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08"/>
  <workbookPr codeName="ThisWorkbook" defaultThemeVersion="124226"/>
  <mc:AlternateContent xmlns:mc="http://schemas.openxmlformats.org/markup-compatibility/2006">
    <mc:Choice Requires="x15">
      <x15ac:absPath xmlns:x15ac="http://schemas.microsoft.com/office/spreadsheetml/2010/11/ac" url="https://partecis-my.sharepoint.com/personal/247146_partecis_com/Documents/profil/247146/Downloads/"/>
    </mc:Choice>
  </mc:AlternateContent>
  <xr:revisionPtr revIDLastSave="0" documentId="8_{295E814E-B88D-4C44-BC98-1C0023BACFF3}" xr6:coauthVersionLast="47" xr6:coauthVersionMax="47" xr10:uidLastSave="{00000000-0000-0000-0000-000000000000}"/>
  <bookViews>
    <workbookView xWindow="-108" yWindow="-108" windowWidth="23256" windowHeight="12456" tabRatio="764" firstSheet="2" activeTab="2" xr2:uid="{00000000-000D-0000-FFFF-FFFF00000000}"/>
  </bookViews>
  <sheets>
    <sheet name="Histo" sheetId="37" r:id="rId1"/>
    <sheet name="DICO_Export" sheetId="51" r:id="rId2"/>
    <sheet name="DICO_Complet" sheetId="50" r:id="rId3"/>
    <sheet name="TypesStructures" sheetId="28" r:id="rId4"/>
    <sheet name="TypesSimples" sheetId="48" r:id="rId5"/>
    <sheet name="Codeset" sheetId="27" r:id="rId6"/>
    <sheet name="DICO_NomsCourts" sheetId="34" r:id="rId7"/>
    <sheet name="ANNEXES" sheetId="35" r:id="rId8"/>
    <sheet name="ISODateTime" sheetId="30" r:id="rId9"/>
    <sheet name="ISO 3166" sheetId="44" r:id="rId10"/>
  </sheets>
  <externalReferences>
    <externalReference r:id="rId11"/>
    <externalReference r:id="rId12"/>
    <externalReference r:id="rId13"/>
    <externalReference r:id="rId14"/>
    <externalReference r:id="rId15"/>
  </externalReferences>
  <definedNames>
    <definedName name="_xlnm._FilterDatabase" localSheetId="2" hidden="1">DICO_Complet!#REF!</definedName>
    <definedName name="a">[1]DicoRefFO!$A:$IV</definedName>
    <definedName name="AAA">[2]DicoRefFO!$1:$1048576</definedName>
    <definedName name="ATICA_DATA">#REF!</definedName>
    <definedName name="CAPE_DATA">#REF!</definedName>
    <definedName name="DicoRefFOTibco">#REF!</definedName>
    <definedName name="Field_Data_Types">#REF!</definedName>
    <definedName name="ListeMsg">'[3] ListeMessages'!$B$7:$E$180</definedName>
    <definedName name="ListeTypeEntite">[4]TypeEntite!$A$5:$A$18</definedName>
    <definedName name="Name">#REF!</definedName>
    <definedName name="TOTO">'[5]Data Elements Spreadsheet-GS'!#REF!</definedName>
    <definedName name="ZoneDicoRefFO">[3]DicoRefFO!$1:$1048576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03" i="51" l="1"/>
  <c r="D403" i="51"/>
  <c r="E403" i="51"/>
  <c r="F403" i="51"/>
  <c r="G403" i="51"/>
  <c r="H403" i="51"/>
  <c r="I403" i="51"/>
  <c r="J403" i="51"/>
  <c r="K403" i="51"/>
  <c r="L403" i="51"/>
  <c r="M403" i="51"/>
  <c r="N403" i="51"/>
  <c r="O403" i="51"/>
  <c r="P403" i="51"/>
  <c r="Q403" i="51"/>
  <c r="C683" i="51"/>
  <c r="C638" i="51"/>
  <c r="D683" i="51"/>
  <c r="D638" i="51"/>
  <c r="E683" i="51"/>
  <c r="E638" i="51"/>
  <c r="F683" i="51"/>
  <c r="F638" i="51"/>
  <c r="G683" i="51"/>
  <c r="G638" i="51"/>
  <c r="H683" i="51"/>
  <c r="H638" i="51"/>
  <c r="I683" i="51"/>
  <c r="I638" i="51"/>
  <c r="J683" i="51"/>
  <c r="J638" i="51"/>
  <c r="K683" i="51"/>
  <c r="K638" i="51"/>
  <c r="L683" i="51"/>
  <c r="L638" i="51"/>
  <c r="M683" i="51"/>
  <c r="M638" i="51"/>
  <c r="N683" i="51"/>
  <c r="N638" i="51"/>
  <c r="O683" i="51"/>
  <c r="O638" i="51"/>
  <c r="P683" i="51"/>
  <c r="P638" i="51"/>
  <c r="Q683" i="51"/>
  <c r="Q638" i="51"/>
  <c r="C276" i="51"/>
  <c r="D276" i="51"/>
  <c r="E276" i="51"/>
  <c r="F276" i="51"/>
  <c r="G276" i="51"/>
  <c r="H276" i="51"/>
  <c r="I276" i="51"/>
  <c r="J276" i="51"/>
  <c r="K276" i="51"/>
  <c r="L276" i="51"/>
  <c r="M276" i="51"/>
  <c r="N276" i="51"/>
  <c r="O276" i="51"/>
  <c r="P276" i="51"/>
  <c r="Q276" i="51"/>
  <c r="Q447" i="51"/>
  <c r="P447" i="51"/>
  <c r="O447" i="51"/>
  <c r="N447" i="51"/>
  <c r="M447" i="51"/>
  <c r="L447" i="51"/>
  <c r="K447" i="51"/>
  <c r="J447" i="51"/>
  <c r="I447" i="51"/>
  <c r="H447" i="51"/>
  <c r="G447" i="51"/>
  <c r="F447" i="51"/>
  <c r="E447" i="51"/>
  <c r="D447" i="51"/>
  <c r="C447" i="51"/>
  <c r="C816" i="51" l="1"/>
  <c r="D816" i="51"/>
  <c r="E816" i="51"/>
  <c r="F816" i="51"/>
  <c r="G816" i="51"/>
  <c r="H816" i="51"/>
  <c r="I816" i="51"/>
  <c r="J816" i="51"/>
  <c r="K816" i="51"/>
  <c r="L816" i="51"/>
  <c r="M816" i="51"/>
  <c r="N816" i="51"/>
  <c r="O816" i="51"/>
  <c r="P816" i="51"/>
  <c r="Q816" i="51"/>
  <c r="C639" i="51"/>
  <c r="D639" i="51"/>
  <c r="E639" i="51"/>
  <c r="F639" i="51"/>
  <c r="G639" i="51"/>
  <c r="H639" i="51"/>
  <c r="I639" i="51"/>
  <c r="J639" i="51"/>
  <c r="K639" i="51"/>
  <c r="L639" i="51"/>
  <c r="M639" i="51"/>
  <c r="N639" i="51"/>
  <c r="O639" i="51"/>
  <c r="P639" i="51"/>
  <c r="Q639" i="51"/>
  <c r="C444" i="51"/>
  <c r="D444" i="51"/>
  <c r="E444" i="51"/>
  <c r="F444" i="51"/>
  <c r="G444" i="51"/>
  <c r="H444" i="51"/>
  <c r="I444" i="51"/>
  <c r="J444" i="51"/>
  <c r="K444" i="51"/>
  <c r="L444" i="51"/>
  <c r="M444" i="51"/>
  <c r="N444" i="51"/>
  <c r="O444" i="51"/>
  <c r="P444" i="51"/>
  <c r="Q444" i="51"/>
  <c r="C442" i="51"/>
  <c r="D442" i="51"/>
  <c r="E442" i="51"/>
  <c r="F442" i="51"/>
  <c r="G442" i="51"/>
  <c r="H442" i="51"/>
  <c r="I442" i="51"/>
  <c r="J442" i="51"/>
  <c r="K442" i="51"/>
  <c r="L442" i="51"/>
  <c r="M442" i="51"/>
  <c r="N442" i="51"/>
  <c r="O442" i="51"/>
  <c r="P442" i="51"/>
  <c r="Q442" i="51"/>
  <c r="C431" i="51"/>
  <c r="D431" i="51"/>
  <c r="E431" i="51"/>
  <c r="F431" i="51"/>
  <c r="G431" i="51"/>
  <c r="H431" i="51"/>
  <c r="I431" i="51"/>
  <c r="J431" i="51"/>
  <c r="K431" i="51"/>
  <c r="L431" i="51"/>
  <c r="M431" i="51"/>
  <c r="N431" i="51"/>
  <c r="O431" i="51"/>
  <c r="P431" i="51"/>
  <c r="Q431" i="51"/>
  <c r="C430" i="51"/>
  <c r="D430" i="51"/>
  <c r="E430" i="51"/>
  <c r="F430" i="51"/>
  <c r="G430" i="51"/>
  <c r="H430" i="51"/>
  <c r="I430" i="51"/>
  <c r="J430" i="51"/>
  <c r="K430" i="51"/>
  <c r="L430" i="51"/>
  <c r="M430" i="51"/>
  <c r="N430" i="51"/>
  <c r="O430" i="51"/>
  <c r="P430" i="51"/>
  <c r="Q430" i="51"/>
  <c r="C404" i="51"/>
  <c r="D404" i="51"/>
  <c r="E404" i="51"/>
  <c r="F404" i="51"/>
  <c r="G404" i="51"/>
  <c r="H404" i="51"/>
  <c r="I404" i="51"/>
  <c r="J404" i="51"/>
  <c r="K404" i="51"/>
  <c r="L404" i="51"/>
  <c r="M404" i="51"/>
  <c r="N404" i="51"/>
  <c r="O404" i="51"/>
  <c r="P404" i="51"/>
  <c r="Q404" i="51"/>
  <c r="C114" i="51"/>
  <c r="D114" i="51"/>
  <c r="E114" i="51"/>
  <c r="F114" i="51"/>
  <c r="G114" i="51"/>
  <c r="H114" i="51"/>
  <c r="I114" i="51"/>
  <c r="J114" i="51"/>
  <c r="K114" i="51"/>
  <c r="L114" i="51"/>
  <c r="M114" i="51"/>
  <c r="N114" i="51"/>
  <c r="O114" i="51"/>
  <c r="P114" i="51"/>
  <c r="Q114" i="51"/>
  <c r="C109" i="51"/>
  <c r="D109" i="51"/>
  <c r="E109" i="51"/>
  <c r="F109" i="51"/>
  <c r="G109" i="51"/>
  <c r="H109" i="51"/>
  <c r="I109" i="51"/>
  <c r="J109" i="51"/>
  <c r="K109" i="51"/>
  <c r="L109" i="51"/>
  <c r="M109" i="51"/>
  <c r="N109" i="51"/>
  <c r="O109" i="51"/>
  <c r="P109" i="51"/>
  <c r="Q109" i="51"/>
  <c r="C98" i="51"/>
  <c r="D98" i="51"/>
  <c r="E98" i="51"/>
  <c r="F98" i="51"/>
  <c r="G98" i="51"/>
  <c r="H98" i="51"/>
  <c r="I98" i="51"/>
  <c r="J98" i="51"/>
  <c r="K98" i="51"/>
  <c r="L98" i="51"/>
  <c r="M98" i="51"/>
  <c r="N98" i="51"/>
  <c r="O98" i="51"/>
  <c r="P98" i="51"/>
  <c r="Q98" i="51"/>
  <c r="C88" i="51"/>
  <c r="D88" i="51"/>
  <c r="E88" i="51"/>
  <c r="F88" i="51"/>
  <c r="G88" i="51"/>
  <c r="H88" i="51"/>
  <c r="I88" i="51"/>
  <c r="J88" i="51"/>
  <c r="K88" i="51"/>
  <c r="L88" i="51"/>
  <c r="M88" i="51"/>
  <c r="N88" i="51"/>
  <c r="O88" i="51"/>
  <c r="P88" i="51"/>
  <c r="Q88" i="51"/>
  <c r="C87" i="51"/>
  <c r="D87" i="51"/>
  <c r="E87" i="51"/>
  <c r="F87" i="51"/>
  <c r="G87" i="51"/>
  <c r="H87" i="51"/>
  <c r="I87" i="51"/>
  <c r="J87" i="51"/>
  <c r="K87" i="51"/>
  <c r="L87" i="51"/>
  <c r="M87" i="51"/>
  <c r="N87" i="51"/>
  <c r="O87" i="51"/>
  <c r="P87" i="51"/>
  <c r="Q87" i="51"/>
  <c r="C80" i="51"/>
  <c r="D80" i="51"/>
  <c r="E80" i="51"/>
  <c r="F80" i="51"/>
  <c r="G80" i="51"/>
  <c r="H80" i="51"/>
  <c r="I80" i="51"/>
  <c r="J80" i="51"/>
  <c r="K80" i="51"/>
  <c r="L80" i="51"/>
  <c r="M80" i="51"/>
  <c r="N80" i="51"/>
  <c r="O80" i="51"/>
  <c r="P80" i="51"/>
  <c r="Q80" i="51"/>
  <c r="C78" i="51"/>
  <c r="D78" i="51"/>
  <c r="E78" i="51"/>
  <c r="F78" i="51"/>
  <c r="G78" i="51"/>
  <c r="H78" i="51"/>
  <c r="I78" i="51"/>
  <c r="J78" i="51"/>
  <c r="K78" i="51"/>
  <c r="L78" i="51"/>
  <c r="M78" i="51"/>
  <c r="N78" i="51"/>
  <c r="O78" i="51"/>
  <c r="P78" i="51"/>
  <c r="Q78" i="51"/>
  <c r="C65" i="51"/>
  <c r="D65" i="51"/>
  <c r="E65" i="51"/>
  <c r="F65" i="51"/>
  <c r="G65" i="51"/>
  <c r="H65" i="51"/>
  <c r="I65" i="51"/>
  <c r="J65" i="51"/>
  <c r="K65" i="51"/>
  <c r="L65" i="51"/>
  <c r="M65" i="51"/>
  <c r="N65" i="51"/>
  <c r="O65" i="51"/>
  <c r="P65" i="51"/>
  <c r="Q65" i="51"/>
  <c r="C60" i="51"/>
  <c r="D60" i="51"/>
  <c r="E60" i="51"/>
  <c r="F60" i="51"/>
  <c r="G60" i="51"/>
  <c r="H60" i="51"/>
  <c r="I60" i="51"/>
  <c r="J60" i="51"/>
  <c r="K60" i="51"/>
  <c r="L60" i="51"/>
  <c r="M60" i="51"/>
  <c r="N60" i="51"/>
  <c r="O60" i="51"/>
  <c r="P60" i="51"/>
  <c r="Q60" i="51"/>
  <c r="C52" i="51"/>
  <c r="D52" i="51"/>
  <c r="E52" i="51"/>
  <c r="F52" i="51"/>
  <c r="G52" i="51"/>
  <c r="H52" i="51"/>
  <c r="I52" i="51"/>
  <c r="J52" i="51"/>
  <c r="K52" i="51"/>
  <c r="L52" i="51"/>
  <c r="M52" i="51"/>
  <c r="N52" i="51"/>
  <c r="O52" i="51"/>
  <c r="P52" i="51"/>
  <c r="Q52" i="51"/>
  <c r="C51" i="51"/>
  <c r="D51" i="51"/>
  <c r="E51" i="51"/>
  <c r="F51" i="51"/>
  <c r="G51" i="51"/>
  <c r="H51" i="51"/>
  <c r="I51" i="51"/>
  <c r="J51" i="51"/>
  <c r="K51" i="51"/>
  <c r="L51" i="51"/>
  <c r="M51" i="51"/>
  <c r="N51" i="51"/>
  <c r="O51" i="51"/>
  <c r="P51" i="51"/>
  <c r="Q51" i="51"/>
  <c r="C49" i="51"/>
  <c r="D49" i="51"/>
  <c r="E49" i="51"/>
  <c r="F49" i="51"/>
  <c r="G49" i="51"/>
  <c r="H49" i="51"/>
  <c r="I49" i="51"/>
  <c r="J49" i="51"/>
  <c r="K49" i="51"/>
  <c r="L49" i="51"/>
  <c r="M49" i="51"/>
  <c r="N49" i="51"/>
  <c r="O49" i="51"/>
  <c r="P49" i="51"/>
  <c r="Q49" i="51"/>
  <c r="G6" i="51"/>
  <c r="G10" i="51"/>
  <c r="G14" i="51"/>
  <c r="G18" i="51"/>
  <c r="G22" i="51"/>
  <c r="G26" i="51"/>
  <c r="G30" i="51"/>
  <c r="G33" i="51"/>
  <c r="G34" i="51"/>
  <c r="G38" i="51"/>
  <c r="G41" i="51"/>
  <c r="G42" i="51"/>
  <c r="G45" i="51"/>
  <c r="G46" i="51"/>
  <c r="G50" i="51"/>
  <c r="G54" i="51"/>
  <c r="G58" i="51"/>
  <c r="G62" i="51"/>
  <c r="G66" i="51"/>
  <c r="G70" i="51"/>
  <c r="G74" i="51"/>
  <c r="G82" i="51"/>
  <c r="G86" i="51"/>
  <c r="G90" i="51"/>
  <c r="G94" i="51"/>
  <c r="G101" i="51"/>
  <c r="G102" i="51"/>
  <c r="G105" i="51"/>
  <c r="G106" i="51"/>
  <c r="G110" i="51"/>
  <c r="G118" i="51"/>
  <c r="G122" i="51"/>
  <c r="G126" i="51"/>
  <c r="G130" i="51"/>
  <c r="G131" i="51"/>
  <c r="G134" i="51"/>
  <c r="G135" i="51"/>
  <c r="G138" i="51"/>
  <c r="G139" i="51"/>
  <c r="G142" i="51"/>
  <c r="G143" i="51"/>
  <c r="G146" i="51"/>
  <c r="G147" i="51"/>
  <c r="G150" i="51"/>
  <c r="G151" i="51"/>
  <c r="G155" i="51"/>
  <c r="G158" i="51"/>
  <c r="G159" i="51"/>
  <c r="G162" i="51"/>
  <c r="G163" i="51"/>
  <c r="G166" i="51"/>
  <c r="G171" i="51"/>
  <c r="G174" i="51"/>
  <c r="G175" i="51"/>
  <c r="G178" i="51"/>
  <c r="G179" i="51"/>
  <c r="G182" i="51"/>
  <c r="G183" i="51"/>
  <c r="G187" i="51"/>
  <c r="G191" i="51"/>
  <c r="G195" i="51"/>
  <c r="G199" i="51"/>
  <c r="G203" i="51"/>
  <c r="G207" i="51"/>
  <c r="G211" i="51"/>
  <c r="G215" i="51"/>
  <c r="G219" i="51"/>
  <c r="G223" i="51"/>
  <c r="G227" i="51"/>
  <c r="G231" i="51"/>
  <c r="G235" i="51"/>
  <c r="G239" i="51"/>
  <c r="G243" i="51"/>
  <c r="G247" i="51"/>
  <c r="G251" i="51"/>
  <c r="G255" i="51"/>
  <c r="G259" i="51"/>
  <c r="G263" i="51"/>
  <c r="G267" i="51"/>
  <c r="G271" i="51"/>
  <c r="G275" i="51"/>
  <c r="G279" i="51"/>
  <c r="G280" i="51"/>
  <c r="G284" i="51"/>
  <c r="G288" i="51"/>
  <c r="G292" i="51"/>
  <c r="G296" i="51"/>
  <c r="G300" i="51"/>
  <c r="G304" i="51"/>
  <c r="G308" i="51"/>
  <c r="G311" i="51"/>
  <c r="G315" i="51"/>
  <c r="G319" i="51"/>
  <c r="G323" i="51"/>
  <c r="G327" i="51"/>
  <c r="G331" i="51"/>
  <c r="G335" i="51"/>
  <c r="G339" i="51"/>
  <c r="G343" i="51"/>
  <c r="G348" i="51"/>
  <c r="G352" i="51"/>
  <c r="G356" i="51"/>
  <c r="G360" i="51"/>
  <c r="G364" i="51"/>
  <c r="G368" i="51"/>
  <c r="G372" i="51"/>
  <c r="G376" i="51"/>
  <c r="G380" i="51"/>
  <c r="G384" i="51"/>
  <c r="G388" i="51"/>
  <c r="G392" i="51"/>
  <c r="G396" i="51"/>
  <c r="G400" i="51"/>
  <c r="G405" i="51"/>
  <c r="G409" i="51"/>
  <c r="G413" i="51"/>
  <c r="G417" i="51"/>
  <c r="G421" i="51"/>
  <c r="G425" i="51"/>
  <c r="G429" i="51"/>
  <c r="G433" i="51"/>
  <c r="G437" i="51"/>
  <c r="G441" i="51"/>
  <c r="G448" i="51"/>
  <c r="G452" i="51"/>
  <c r="G456" i="51"/>
  <c r="G460" i="51"/>
  <c r="G464" i="51"/>
  <c r="G468" i="51"/>
  <c r="G472" i="51"/>
  <c r="G476" i="51"/>
  <c r="G480" i="51"/>
  <c r="G484" i="51"/>
  <c r="G488" i="51"/>
  <c r="G491" i="51"/>
  <c r="G492" i="51"/>
  <c r="G496" i="51"/>
  <c r="G500" i="51"/>
  <c r="G504" i="51"/>
  <c r="G508" i="51"/>
  <c r="G512" i="51"/>
  <c r="G516" i="51"/>
  <c r="G520" i="51"/>
  <c r="G524" i="51"/>
  <c r="G528" i="51"/>
  <c r="G536" i="51"/>
  <c r="G540" i="51"/>
  <c r="G544" i="51"/>
  <c r="G548" i="51"/>
  <c r="G552" i="51"/>
  <c r="G556" i="51"/>
  <c r="G560" i="51"/>
  <c r="G564" i="51"/>
  <c r="G568" i="51"/>
  <c r="G572" i="51"/>
  <c r="G575" i="51"/>
  <c r="G576" i="51"/>
  <c r="G579" i="51"/>
  <c r="G580" i="51"/>
  <c r="G583" i="51"/>
  <c r="G584" i="51"/>
  <c r="G587" i="51"/>
  <c r="G588" i="51"/>
  <c r="G591" i="51"/>
  <c r="G592" i="51"/>
  <c r="G596" i="51"/>
  <c r="G600" i="51"/>
  <c r="G603" i="51"/>
  <c r="G604" i="51"/>
  <c r="G607" i="51"/>
  <c r="G608" i="51"/>
  <c r="G611" i="51"/>
  <c r="G612" i="51"/>
  <c r="G615" i="51"/>
  <c r="G616" i="51"/>
  <c r="G619" i="51"/>
  <c r="G620" i="51"/>
  <c r="G623" i="51"/>
  <c r="G624" i="51"/>
  <c r="G627" i="51"/>
  <c r="G628" i="51"/>
  <c r="G632" i="51"/>
  <c r="G635" i="51"/>
  <c r="G636" i="51"/>
  <c r="G640" i="51"/>
  <c r="G641" i="51"/>
  <c r="G644" i="51"/>
  <c r="G645" i="51"/>
  <c r="G648" i="51"/>
  <c r="G649" i="51"/>
  <c r="G652" i="51"/>
  <c r="G653" i="51"/>
  <c r="G656" i="51"/>
  <c r="G657" i="51"/>
  <c r="G660" i="51"/>
  <c r="G661" i="51"/>
  <c r="G664" i="51"/>
  <c r="G665" i="51"/>
  <c r="G669" i="51"/>
  <c r="G673" i="51"/>
  <c r="G676" i="51"/>
  <c r="G677" i="51"/>
  <c r="G680" i="51"/>
  <c r="G681" i="51"/>
  <c r="G686" i="51"/>
  <c r="G688" i="51"/>
  <c r="G689" i="51"/>
  <c r="G692" i="51"/>
  <c r="G693" i="51"/>
  <c r="G696" i="51"/>
  <c r="G697" i="51"/>
  <c r="G700" i="51"/>
  <c r="G701" i="51"/>
  <c r="G704" i="51"/>
  <c r="G705" i="51"/>
  <c r="G708" i="51"/>
  <c r="G709" i="51"/>
  <c r="G712" i="51"/>
  <c r="G713" i="51"/>
  <c r="G716" i="51"/>
  <c r="G717" i="51"/>
  <c r="G724" i="51"/>
  <c r="G725" i="51"/>
  <c r="G728" i="51"/>
  <c r="G729" i="51"/>
  <c r="G736" i="51"/>
  <c r="G737" i="51"/>
  <c r="G740" i="51"/>
  <c r="G741" i="51"/>
  <c r="G744" i="51"/>
  <c r="G745" i="51"/>
  <c r="G748" i="51"/>
  <c r="G749" i="51"/>
  <c r="G753" i="51"/>
  <c r="G757" i="51"/>
  <c r="G761" i="51"/>
  <c r="G764" i="51"/>
  <c r="G765" i="51"/>
  <c r="G768" i="51"/>
  <c r="G769" i="51"/>
  <c r="G773" i="51"/>
  <c r="G777" i="51"/>
  <c r="G781" i="51"/>
  <c r="G784" i="51"/>
  <c r="G785" i="51"/>
  <c r="G789" i="51"/>
  <c r="G792" i="51"/>
  <c r="G796" i="51"/>
  <c r="G805" i="51"/>
  <c r="G803" i="51"/>
  <c r="G809" i="51"/>
  <c r="G813" i="51"/>
  <c r="G817" i="51"/>
  <c r="G821" i="51"/>
  <c r="G825" i="51"/>
  <c r="G828" i="51"/>
  <c r="G829" i="51"/>
  <c r="G832" i="51"/>
  <c r="G833" i="51"/>
  <c r="G837" i="51"/>
  <c r="G840" i="51"/>
  <c r="G841" i="51"/>
  <c r="G844" i="51"/>
  <c r="G845" i="51"/>
  <c r="G849" i="51"/>
  <c r="G852" i="51"/>
  <c r="G853" i="51"/>
  <c r="G856" i="51"/>
  <c r="G857" i="51"/>
  <c r="G861" i="51"/>
  <c r="G865" i="51"/>
  <c r="G869" i="51"/>
  <c r="G873" i="51"/>
  <c r="G876" i="51"/>
  <c r="G877" i="51"/>
  <c r="G881" i="51"/>
  <c r="G885" i="51"/>
  <c r="G891" i="51"/>
  <c r="G892" i="51"/>
  <c r="G896" i="51"/>
  <c r="F6" i="51"/>
  <c r="E7" i="51"/>
  <c r="B7" i="34" s="1"/>
  <c r="F7" i="34" s="1"/>
  <c r="F10" i="51"/>
  <c r="E11" i="51"/>
  <c r="B11" i="34" s="1"/>
  <c r="F11" i="34" s="1"/>
  <c r="E14" i="51"/>
  <c r="B14" i="34" s="1"/>
  <c r="F14" i="34" s="1"/>
  <c r="F18" i="51"/>
  <c r="F22" i="51"/>
  <c r="F26" i="51"/>
  <c r="F30" i="51"/>
  <c r="E31" i="51"/>
  <c r="E34" i="51"/>
  <c r="E35" i="51"/>
  <c r="E38" i="51"/>
  <c r="E39" i="51"/>
  <c r="F42" i="51"/>
  <c r="E43" i="51"/>
  <c r="E45" i="51"/>
  <c r="E46" i="51"/>
  <c r="E47" i="51"/>
  <c r="E50" i="51"/>
  <c r="F54" i="51"/>
  <c r="E55" i="51"/>
  <c r="E58" i="51"/>
  <c r="E59" i="51"/>
  <c r="E62" i="51"/>
  <c r="E63" i="51"/>
  <c r="E66" i="51"/>
  <c r="E67" i="51"/>
  <c r="F70" i="51"/>
  <c r="E71" i="51"/>
  <c r="F74" i="51"/>
  <c r="E75" i="51"/>
  <c r="F82" i="51"/>
  <c r="E83" i="51"/>
  <c r="F86" i="51"/>
  <c r="F90" i="51"/>
  <c r="E91" i="51"/>
  <c r="F94" i="51"/>
  <c r="E95" i="51"/>
  <c r="F102" i="51"/>
  <c r="E103" i="51"/>
  <c r="F106" i="51"/>
  <c r="E107" i="51"/>
  <c r="E110" i="51"/>
  <c r="E115" i="51"/>
  <c r="F118" i="51"/>
  <c r="E119" i="51"/>
  <c r="E122" i="51"/>
  <c r="E123" i="51"/>
  <c r="F126" i="51"/>
  <c r="E128" i="51"/>
  <c r="E130" i="51"/>
  <c r="E131" i="51"/>
  <c r="E132" i="51"/>
  <c r="F135" i="51"/>
  <c r="E136" i="51"/>
  <c r="F139" i="51"/>
  <c r="E140" i="51"/>
  <c r="E143" i="51"/>
  <c r="E144" i="51"/>
  <c r="F147" i="51"/>
  <c r="E148" i="51"/>
  <c r="F151" i="51"/>
  <c r="E152" i="51"/>
  <c r="E155" i="51"/>
  <c r="E156" i="51"/>
  <c r="F159" i="51"/>
  <c r="E160" i="51"/>
  <c r="E162" i="51"/>
  <c r="F163" i="51"/>
  <c r="E164" i="51"/>
  <c r="F167" i="51"/>
  <c r="E168" i="51"/>
  <c r="F171" i="51"/>
  <c r="E172" i="51"/>
  <c r="F175" i="51"/>
  <c r="E179" i="51"/>
  <c r="E180" i="51"/>
  <c r="F183" i="51"/>
  <c r="E184" i="51"/>
  <c r="E186" i="51"/>
  <c r="F187" i="51"/>
  <c r="E188" i="51"/>
  <c r="E191" i="51"/>
  <c r="E192" i="51"/>
  <c r="F195" i="51"/>
  <c r="E196" i="51"/>
  <c r="F199" i="51"/>
  <c r="E200" i="51"/>
  <c r="E203" i="51"/>
  <c r="E204" i="51"/>
  <c r="F207" i="51"/>
  <c r="E208" i="51"/>
  <c r="F211" i="51"/>
  <c r="E212" i="51"/>
  <c r="F215" i="51"/>
  <c r="E216" i="51"/>
  <c r="E219" i="51"/>
  <c r="F223" i="51"/>
  <c r="F227" i="51"/>
  <c r="F231" i="51"/>
  <c r="E235" i="51"/>
  <c r="E236" i="51"/>
  <c r="E239" i="51"/>
  <c r="E240" i="51"/>
  <c r="F243" i="51"/>
  <c r="E244" i="51"/>
  <c r="F247" i="51"/>
  <c r="E248" i="51"/>
  <c r="F251" i="51"/>
  <c r="E252" i="51"/>
  <c r="E255" i="51"/>
  <c r="F259" i="51"/>
  <c r="F263" i="51"/>
  <c r="F267" i="51"/>
  <c r="E271" i="51"/>
  <c r="E272" i="51"/>
  <c r="E275" i="51"/>
  <c r="E277" i="51"/>
  <c r="E279" i="51"/>
  <c r="F280" i="51"/>
  <c r="E281" i="51"/>
  <c r="E284" i="51"/>
  <c r="E285" i="51"/>
  <c r="F288" i="51"/>
  <c r="E289" i="51"/>
  <c r="F292" i="51"/>
  <c r="E293" i="51"/>
  <c r="F296" i="51"/>
  <c r="F300" i="51"/>
  <c r="F304" i="51"/>
  <c r="F308" i="51"/>
  <c r="E311" i="51"/>
  <c r="E312" i="51"/>
  <c r="F315" i="51"/>
  <c r="E316" i="51"/>
  <c r="F319" i="51"/>
  <c r="E320" i="51"/>
  <c r="F323" i="51"/>
  <c r="E324" i="51"/>
  <c r="F327" i="51"/>
  <c r="E328" i="51"/>
  <c r="F331" i="51"/>
  <c r="E332" i="51"/>
  <c r="E335" i="51"/>
  <c r="F339" i="51"/>
  <c r="F343" i="51"/>
  <c r="E344" i="51"/>
  <c r="F348" i="51"/>
  <c r="E349" i="51"/>
  <c r="F352" i="51"/>
  <c r="E353" i="51"/>
  <c r="E356" i="51"/>
  <c r="E357" i="51"/>
  <c r="F360" i="51"/>
  <c r="E361" i="51"/>
  <c r="F364" i="51"/>
  <c r="E365" i="51"/>
  <c r="F368" i="51"/>
  <c r="E372" i="51"/>
  <c r="E373" i="51"/>
  <c r="F376" i="51"/>
  <c r="E377" i="51"/>
  <c r="F380" i="51"/>
  <c r="E381" i="51"/>
  <c r="F384" i="51"/>
  <c r="E385" i="51"/>
  <c r="E388" i="51"/>
  <c r="E389" i="51"/>
  <c r="F392" i="51"/>
  <c r="E393" i="51"/>
  <c r="F396" i="51"/>
  <c r="E397" i="51"/>
  <c r="F400" i="51"/>
  <c r="E405" i="51"/>
  <c r="E406" i="51"/>
  <c r="F409" i="51"/>
  <c r="E410" i="51"/>
  <c r="F413" i="51"/>
  <c r="E417" i="51"/>
  <c r="E418" i="51"/>
  <c r="F421" i="51"/>
  <c r="E422" i="51"/>
  <c r="F425" i="51"/>
  <c r="E426" i="51"/>
  <c r="F429" i="51"/>
  <c r="F433" i="51"/>
  <c r="E434" i="51"/>
  <c r="F437" i="51"/>
  <c r="E438" i="51"/>
  <c r="E441" i="51"/>
  <c r="F448" i="51"/>
  <c r="F452" i="51"/>
  <c r="F456" i="51"/>
  <c r="F460" i="51"/>
  <c r="E461" i="51"/>
  <c r="F464" i="51"/>
  <c r="E465" i="51"/>
  <c r="F468" i="51"/>
  <c r="E469" i="51"/>
  <c r="E472" i="51"/>
  <c r="E473" i="51"/>
  <c r="F476" i="51"/>
  <c r="E477" i="51"/>
  <c r="F480" i="51"/>
  <c r="E481" i="51"/>
  <c r="F484" i="51"/>
  <c r="E488" i="51"/>
  <c r="E489" i="51"/>
  <c r="E491" i="51"/>
  <c r="F492" i="51"/>
  <c r="F496" i="51"/>
  <c r="E501" i="51"/>
  <c r="F504" i="51"/>
  <c r="E505" i="51"/>
  <c r="E508" i="51"/>
  <c r="E509" i="51"/>
  <c r="F512" i="51"/>
  <c r="E513" i="51"/>
  <c r="F516" i="51"/>
  <c r="E517" i="51"/>
  <c r="F520" i="51"/>
  <c r="E521" i="51"/>
  <c r="F524" i="51"/>
  <c r="E525" i="51"/>
  <c r="F528" i="51"/>
  <c r="E529" i="51"/>
  <c r="E532" i="51"/>
  <c r="E533" i="51"/>
  <c r="F536" i="51"/>
  <c r="E537" i="51"/>
  <c r="F540" i="51"/>
  <c r="E541" i="51"/>
  <c r="F544" i="51"/>
  <c r="E545" i="51"/>
  <c r="E548" i="51"/>
  <c r="E549" i="51"/>
  <c r="F552" i="51"/>
  <c r="E553" i="51"/>
  <c r="E556" i="51"/>
  <c r="F560" i="51"/>
  <c r="F564" i="51"/>
  <c r="F568" i="51"/>
  <c r="E572" i="51"/>
  <c r="E573" i="51"/>
  <c r="F576" i="51"/>
  <c r="E577" i="51"/>
  <c r="F580" i="51"/>
  <c r="E581" i="51"/>
  <c r="F584" i="51"/>
  <c r="E585" i="51"/>
  <c r="E588" i="51"/>
  <c r="E589" i="51"/>
  <c r="F592" i="51"/>
  <c r="E593" i="51"/>
  <c r="F596" i="51"/>
  <c r="E597" i="51"/>
  <c r="E600" i="51"/>
  <c r="E601" i="51"/>
  <c r="F604" i="51"/>
  <c r="E605" i="51"/>
  <c r="F608" i="51"/>
  <c r="E609" i="51"/>
  <c r="F612" i="51"/>
  <c r="E613" i="51"/>
  <c r="E616" i="51"/>
  <c r="E617" i="51"/>
  <c r="F620" i="51"/>
  <c r="E621" i="51"/>
  <c r="F624" i="51"/>
  <c r="E625" i="51"/>
  <c r="F628" i="51"/>
  <c r="E629" i="51"/>
  <c r="F632" i="51"/>
  <c r="E633" i="51"/>
  <c r="F636" i="51"/>
  <c r="E637" i="51"/>
  <c r="F641" i="51"/>
  <c r="E642" i="51"/>
  <c r="F645" i="51"/>
  <c r="E646" i="51"/>
  <c r="E649" i="51"/>
  <c r="E650" i="51"/>
  <c r="F653" i="51"/>
  <c r="E654" i="51"/>
  <c r="E656" i="51"/>
  <c r="F657" i="51"/>
  <c r="E658" i="51"/>
  <c r="F661" i="51"/>
  <c r="E662" i="51"/>
  <c r="F665" i="51"/>
  <c r="E669" i="51"/>
  <c r="E670" i="51"/>
  <c r="F673" i="51"/>
  <c r="E675" i="51"/>
  <c r="F677" i="51"/>
  <c r="E678" i="51"/>
  <c r="E680" i="51"/>
  <c r="F681" i="51"/>
  <c r="F686" i="51"/>
  <c r="F689" i="51"/>
  <c r="E690" i="51"/>
  <c r="F693" i="51"/>
  <c r="E694" i="51"/>
  <c r="F697" i="51"/>
  <c r="E698" i="51"/>
  <c r="F701" i="51"/>
  <c r="E702" i="51"/>
  <c r="E705" i="51"/>
  <c r="E706" i="51"/>
  <c r="F709" i="51"/>
  <c r="E710" i="51"/>
  <c r="F713" i="51"/>
  <c r="E714" i="51"/>
  <c r="F717" i="51"/>
  <c r="E718" i="51"/>
  <c r="E721" i="51"/>
  <c r="E722" i="51"/>
  <c r="F725" i="51"/>
  <c r="E726" i="51"/>
  <c r="F729" i="51"/>
  <c r="F733" i="51"/>
  <c r="E734" i="51"/>
  <c r="F737" i="51"/>
  <c r="E738" i="51"/>
  <c r="F741" i="51"/>
  <c r="E742" i="51"/>
  <c r="E745" i="51"/>
  <c r="E746" i="51"/>
  <c r="F749" i="51"/>
  <c r="F753" i="51"/>
  <c r="E757" i="51"/>
  <c r="E758" i="51"/>
  <c r="E761" i="51"/>
  <c r="E762" i="51"/>
  <c r="F765" i="51"/>
  <c r="E766" i="51"/>
  <c r="F769" i="51"/>
  <c r="E770" i="51"/>
  <c r="F773" i="51"/>
  <c r="E774" i="51"/>
  <c r="F777" i="51"/>
  <c r="E778" i="51"/>
  <c r="F781" i="51"/>
  <c r="E782" i="51"/>
  <c r="E785" i="51"/>
  <c r="E786" i="51"/>
  <c r="F789" i="51"/>
  <c r="E790" i="51"/>
  <c r="F792" i="51"/>
  <c r="E793" i="51"/>
  <c r="F796" i="51"/>
  <c r="F800" i="51"/>
  <c r="E801" i="51"/>
  <c r="F803" i="51"/>
  <c r="E806" i="51"/>
  <c r="E809" i="51"/>
  <c r="E810" i="51"/>
  <c r="E813" i="51"/>
  <c r="E817" i="51"/>
  <c r="E818" i="51"/>
  <c r="F821" i="51"/>
  <c r="E822" i="51"/>
  <c r="F825" i="51"/>
  <c r="E826" i="51"/>
  <c r="F829" i="51"/>
  <c r="E830" i="51"/>
  <c r="F833" i="51"/>
  <c r="E834" i="51"/>
  <c r="F837" i="51"/>
  <c r="E838" i="51"/>
  <c r="F841" i="51"/>
  <c r="E842" i="51"/>
  <c r="E845" i="51"/>
  <c r="E846" i="51"/>
  <c r="F849" i="51"/>
  <c r="E850" i="51"/>
  <c r="F853" i="51"/>
  <c r="E854" i="51"/>
  <c r="F857" i="51"/>
  <c r="E858" i="51"/>
  <c r="E861" i="51"/>
  <c r="E862" i="51"/>
  <c r="F865" i="51"/>
  <c r="E866" i="51"/>
  <c r="F869" i="51"/>
  <c r="E870" i="51"/>
  <c r="F873" i="51"/>
  <c r="E874" i="51"/>
  <c r="F877" i="51"/>
  <c r="E878" i="51"/>
  <c r="E881" i="51"/>
  <c r="E882" i="51"/>
  <c r="F885" i="51"/>
  <c r="E886" i="51"/>
  <c r="E889" i="51"/>
  <c r="F892" i="51"/>
  <c r="F896" i="51"/>
  <c r="D6" i="51"/>
  <c r="A6" i="34" s="1"/>
  <c r="E6" i="34" s="1"/>
  <c r="D10" i="51"/>
  <c r="A10" i="34" s="1"/>
  <c r="E10" i="34" s="1"/>
  <c r="D14" i="51"/>
  <c r="A14" i="34" s="1"/>
  <c r="E14" i="34" s="1"/>
  <c r="D18" i="51"/>
  <c r="A18" i="34" s="1"/>
  <c r="E18" i="34" s="1"/>
  <c r="D22" i="51"/>
  <c r="A22" i="34" s="1"/>
  <c r="E22" i="34" s="1"/>
  <c r="D26" i="51"/>
  <c r="A26" i="34" s="1"/>
  <c r="E26" i="34" s="1"/>
  <c r="D30" i="51"/>
  <c r="D34" i="51"/>
  <c r="D38" i="51"/>
  <c r="D42" i="51"/>
  <c r="D46" i="51"/>
  <c r="D50" i="51"/>
  <c r="D54" i="51"/>
  <c r="D58" i="51"/>
  <c r="D62" i="51"/>
  <c r="D66" i="51"/>
  <c r="D70" i="51"/>
  <c r="D74" i="51"/>
  <c r="D82" i="51"/>
  <c r="D86" i="51"/>
  <c r="D90" i="51"/>
  <c r="D94" i="51"/>
  <c r="D102" i="51"/>
  <c r="D106" i="51"/>
  <c r="D110" i="51"/>
  <c r="D118" i="51"/>
  <c r="D122" i="51"/>
  <c r="D126" i="51"/>
  <c r="D131" i="51"/>
  <c r="D135" i="51"/>
  <c r="D139" i="51"/>
  <c r="D143" i="51"/>
  <c r="D147" i="51"/>
  <c r="D151" i="51"/>
  <c r="D155" i="51"/>
  <c r="D159" i="51"/>
  <c r="D163" i="51"/>
  <c r="D167" i="51"/>
  <c r="D171" i="51"/>
  <c r="D175" i="51"/>
  <c r="D179" i="51"/>
  <c r="D183" i="51"/>
  <c r="D187" i="51"/>
  <c r="D191" i="51"/>
  <c r="D195" i="51"/>
  <c r="D199" i="51"/>
  <c r="D203" i="51"/>
  <c r="D207" i="51"/>
  <c r="D211" i="51"/>
  <c r="D215" i="51"/>
  <c r="D219" i="51"/>
  <c r="D223" i="51"/>
  <c r="D227" i="51"/>
  <c r="D231" i="51"/>
  <c r="D235" i="51"/>
  <c r="D239" i="51"/>
  <c r="D243" i="51"/>
  <c r="D247" i="51"/>
  <c r="D251" i="51"/>
  <c r="D255" i="51"/>
  <c r="D259" i="51"/>
  <c r="D263" i="51"/>
  <c r="D267" i="51"/>
  <c r="D271" i="51"/>
  <c r="D275" i="51"/>
  <c r="D280" i="51"/>
  <c r="D284" i="51"/>
  <c r="D288" i="51"/>
  <c r="D292" i="51"/>
  <c r="D296" i="51"/>
  <c r="D300" i="51"/>
  <c r="D304" i="51"/>
  <c r="D308" i="51"/>
  <c r="D311" i="51"/>
  <c r="D315" i="51"/>
  <c r="D319" i="51"/>
  <c r="D323" i="51"/>
  <c r="D327" i="51"/>
  <c r="D331" i="51"/>
  <c r="D335" i="51"/>
  <c r="D339" i="51"/>
  <c r="D343" i="51"/>
  <c r="D348" i="51"/>
  <c r="D352" i="51"/>
  <c r="D356" i="51"/>
  <c r="D360" i="51"/>
  <c r="D364" i="51"/>
  <c r="D368" i="51"/>
  <c r="D372" i="51"/>
  <c r="D376" i="51"/>
  <c r="D380" i="51"/>
  <c r="D384" i="51"/>
  <c r="D388" i="51"/>
  <c r="D392" i="51"/>
  <c r="D396" i="51"/>
  <c r="D400" i="51"/>
  <c r="D405" i="51"/>
  <c r="D409" i="51"/>
  <c r="D413" i="51"/>
  <c r="D417" i="51"/>
  <c r="D421" i="51"/>
  <c r="D425" i="51"/>
  <c r="D429" i="51"/>
  <c r="D433" i="51"/>
  <c r="D437" i="51"/>
  <c r="D441" i="51"/>
  <c r="D448" i="51"/>
  <c r="D452" i="51"/>
  <c r="D456" i="51"/>
  <c r="D460" i="51"/>
  <c r="D464" i="51"/>
  <c r="D468" i="51"/>
  <c r="D472" i="51"/>
  <c r="D476" i="51"/>
  <c r="D480" i="51"/>
  <c r="D484" i="51"/>
  <c r="D488" i="51"/>
  <c r="D492" i="51"/>
  <c r="D496" i="51"/>
  <c r="D500" i="51"/>
  <c r="D504" i="51"/>
  <c r="D508" i="51"/>
  <c r="D512" i="51"/>
  <c r="D516" i="51"/>
  <c r="D520" i="51"/>
  <c r="D524" i="51"/>
  <c r="D528" i="51"/>
  <c r="D532" i="51"/>
  <c r="D536" i="51"/>
  <c r="D540" i="51"/>
  <c r="D544" i="51"/>
  <c r="D548" i="51"/>
  <c r="D552" i="51"/>
  <c r="D556" i="51"/>
  <c r="D560" i="51"/>
  <c r="D564" i="51"/>
  <c r="D568" i="51"/>
  <c r="D572" i="51"/>
  <c r="D576" i="51"/>
  <c r="D580" i="51"/>
  <c r="D584" i="51"/>
  <c r="D588" i="51"/>
  <c r="D592" i="51"/>
  <c r="D596" i="51"/>
  <c r="D600" i="51"/>
  <c r="D604" i="51"/>
  <c r="D608" i="51"/>
  <c r="D612" i="51"/>
  <c r="D616" i="51"/>
  <c r="D620" i="51"/>
  <c r="D624" i="51"/>
  <c r="D628" i="51"/>
  <c r="D632" i="51"/>
  <c r="D636" i="51"/>
  <c r="D641" i="51"/>
  <c r="D645" i="51"/>
  <c r="D649" i="51"/>
  <c r="D653" i="51"/>
  <c r="D661" i="51"/>
  <c r="D665" i="51"/>
  <c r="D669" i="51"/>
  <c r="D673" i="51"/>
  <c r="D681" i="51"/>
  <c r="D686" i="51"/>
  <c r="D689" i="51"/>
  <c r="D693" i="51"/>
  <c r="D697" i="51"/>
  <c r="D701" i="51"/>
  <c r="D705" i="51"/>
  <c r="D709" i="51"/>
  <c r="D713" i="51"/>
  <c r="D717" i="51"/>
  <c r="D721" i="51"/>
  <c r="D725" i="51"/>
  <c r="D729" i="51"/>
  <c r="D733" i="51"/>
  <c r="D737" i="51"/>
  <c r="D741" i="51"/>
  <c r="D745" i="51"/>
  <c r="D749" i="51"/>
  <c r="D753" i="51"/>
  <c r="D757" i="51"/>
  <c r="D761" i="51"/>
  <c r="D765" i="51"/>
  <c r="D769" i="51"/>
  <c r="D773" i="51"/>
  <c r="D777" i="51"/>
  <c r="D781" i="51"/>
  <c r="D785" i="51"/>
  <c r="D789" i="51"/>
  <c r="D792" i="51"/>
  <c r="D796" i="51"/>
  <c r="D800" i="51"/>
  <c r="D803" i="51"/>
  <c r="D809" i="51"/>
  <c r="D813" i="51"/>
  <c r="D817" i="51"/>
  <c r="D821" i="51"/>
  <c r="D825" i="51"/>
  <c r="D829" i="51"/>
  <c r="D833" i="51"/>
  <c r="D837" i="51"/>
  <c r="D841" i="51"/>
  <c r="D845" i="51"/>
  <c r="D849" i="51"/>
  <c r="D853" i="51"/>
  <c r="D857" i="51"/>
  <c r="D861" i="51"/>
  <c r="D865" i="51"/>
  <c r="D869" i="51"/>
  <c r="D873" i="51"/>
  <c r="D877" i="51"/>
  <c r="D881" i="51"/>
  <c r="D885" i="51"/>
  <c r="D892" i="51"/>
  <c r="D896" i="51"/>
  <c r="C682" i="51"/>
  <c r="D682" i="51"/>
  <c r="E682" i="51"/>
  <c r="F682" i="51"/>
  <c r="G682" i="51"/>
  <c r="H682" i="51"/>
  <c r="I682" i="51"/>
  <c r="J682" i="51"/>
  <c r="K682" i="51"/>
  <c r="L682" i="51"/>
  <c r="M682" i="51"/>
  <c r="N682" i="51"/>
  <c r="O682" i="51"/>
  <c r="P682" i="51"/>
  <c r="Q682" i="51"/>
  <c r="C680" i="51"/>
  <c r="C679" i="51"/>
  <c r="C694" i="51"/>
  <c r="C678" i="51"/>
  <c r="C677" i="51"/>
  <c r="C691" i="51"/>
  <c r="D680" i="51"/>
  <c r="D679" i="51"/>
  <c r="D694" i="51"/>
  <c r="D678" i="51"/>
  <c r="D677" i="51"/>
  <c r="D691" i="51"/>
  <c r="E679" i="51"/>
  <c r="E691" i="51"/>
  <c r="F680" i="51"/>
  <c r="F679" i="51"/>
  <c r="F694" i="51"/>
  <c r="F678" i="51"/>
  <c r="F691" i="51"/>
  <c r="G679" i="51"/>
  <c r="G694" i="51"/>
  <c r="G678" i="51"/>
  <c r="G691" i="51"/>
  <c r="H680" i="51"/>
  <c r="H679" i="51"/>
  <c r="H694" i="51"/>
  <c r="H678" i="51"/>
  <c r="H677" i="51"/>
  <c r="H691" i="51"/>
  <c r="I680" i="51"/>
  <c r="I679" i="51"/>
  <c r="I694" i="51"/>
  <c r="I678" i="51"/>
  <c r="I677" i="51"/>
  <c r="I691" i="51"/>
  <c r="J680" i="51"/>
  <c r="J679" i="51"/>
  <c r="J694" i="51"/>
  <c r="J678" i="51"/>
  <c r="J677" i="51"/>
  <c r="J691" i="51"/>
  <c r="K680" i="51"/>
  <c r="K679" i="51"/>
  <c r="K694" i="51"/>
  <c r="K678" i="51"/>
  <c r="K677" i="51"/>
  <c r="K691" i="51"/>
  <c r="L680" i="51"/>
  <c r="L679" i="51"/>
  <c r="L694" i="51"/>
  <c r="L678" i="51"/>
  <c r="L677" i="51"/>
  <c r="L691" i="51"/>
  <c r="M680" i="51"/>
  <c r="M679" i="51"/>
  <c r="M694" i="51"/>
  <c r="M678" i="51"/>
  <c r="M677" i="51"/>
  <c r="M691" i="51"/>
  <c r="N680" i="51"/>
  <c r="N679" i="51"/>
  <c r="N694" i="51"/>
  <c r="N678" i="51"/>
  <c r="N677" i="51"/>
  <c r="N691" i="51"/>
  <c r="O680" i="51"/>
  <c r="O679" i="51"/>
  <c r="O694" i="51"/>
  <c r="O678" i="51"/>
  <c r="O677" i="51"/>
  <c r="O691" i="51"/>
  <c r="P680" i="51"/>
  <c r="P679" i="51"/>
  <c r="P694" i="51"/>
  <c r="P678" i="51"/>
  <c r="P677" i="51"/>
  <c r="P691" i="51"/>
  <c r="Q680" i="51"/>
  <c r="Q679" i="51"/>
  <c r="Q694" i="51"/>
  <c r="Q678" i="51"/>
  <c r="Q677" i="51"/>
  <c r="Q691" i="51"/>
  <c r="C793" i="51"/>
  <c r="C660" i="51"/>
  <c r="C658" i="51"/>
  <c r="C657" i="51"/>
  <c r="C656" i="51"/>
  <c r="D793" i="51"/>
  <c r="D660" i="51"/>
  <c r="D658" i="51"/>
  <c r="D657" i="51"/>
  <c r="D656" i="51"/>
  <c r="E660" i="51"/>
  <c r="F793" i="51"/>
  <c r="F660" i="51"/>
  <c r="F658" i="51"/>
  <c r="F656" i="51"/>
  <c r="G793" i="51"/>
  <c r="G658" i="51"/>
  <c r="H793" i="51"/>
  <c r="H660" i="51"/>
  <c r="H658" i="51"/>
  <c r="H657" i="51"/>
  <c r="H656" i="51"/>
  <c r="I793" i="51"/>
  <c r="I660" i="51"/>
  <c r="I658" i="51"/>
  <c r="I657" i="51"/>
  <c r="I656" i="51"/>
  <c r="J793" i="51"/>
  <c r="J660" i="51"/>
  <c r="J658" i="51"/>
  <c r="J657" i="51"/>
  <c r="J656" i="51"/>
  <c r="K793" i="51"/>
  <c r="K660" i="51"/>
  <c r="K658" i="51"/>
  <c r="K657" i="51"/>
  <c r="K656" i="51"/>
  <c r="L793" i="51"/>
  <c r="L660" i="51"/>
  <c r="L658" i="51"/>
  <c r="L657" i="51"/>
  <c r="L656" i="51"/>
  <c r="M793" i="51"/>
  <c r="M660" i="51"/>
  <c r="M658" i="51"/>
  <c r="M657" i="51"/>
  <c r="M656" i="51"/>
  <c r="N793" i="51"/>
  <c r="N660" i="51"/>
  <c r="N658" i="51"/>
  <c r="N657" i="51"/>
  <c r="N656" i="51"/>
  <c r="O793" i="51"/>
  <c r="O660" i="51"/>
  <c r="O658" i="51"/>
  <c r="O657" i="51"/>
  <c r="O656" i="51"/>
  <c r="P793" i="51"/>
  <c r="P660" i="51"/>
  <c r="P658" i="51"/>
  <c r="P657" i="51"/>
  <c r="P656" i="51"/>
  <c r="Q793" i="51"/>
  <c r="Q660" i="51"/>
  <c r="Q658" i="51"/>
  <c r="Q657" i="51"/>
  <c r="Q656" i="51"/>
  <c r="C770" i="51"/>
  <c r="D770" i="51"/>
  <c r="F770" i="51"/>
  <c r="G770" i="51"/>
  <c r="H770" i="51"/>
  <c r="I770" i="51"/>
  <c r="J770" i="51"/>
  <c r="K770" i="51"/>
  <c r="L770" i="51"/>
  <c r="M770" i="51"/>
  <c r="N770" i="51"/>
  <c r="O770" i="51"/>
  <c r="P770" i="51"/>
  <c r="Q770" i="51"/>
  <c r="C344" i="51"/>
  <c r="C237" i="51"/>
  <c r="C891" i="51"/>
  <c r="C640" i="51"/>
  <c r="C345" i="51"/>
  <c r="C628" i="51"/>
  <c r="D344" i="51"/>
  <c r="D237" i="51"/>
  <c r="D891" i="51"/>
  <c r="D640" i="51"/>
  <c r="D345" i="51"/>
  <c r="E237" i="51"/>
  <c r="E891" i="51"/>
  <c r="E640" i="51"/>
  <c r="F344" i="51"/>
  <c r="F237" i="51"/>
  <c r="F891" i="51"/>
  <c r="F640" i="51"/>
  <c r="F345" i="51"/>
  <c r="G344" i="51"/>
  <c r="G237" i="51"/>
  <c r="G345" i="51"/>
  <c r="H344" i="51"/>
  <c r="H237" i="51"/>
  <c r="H891" i="51"/>
  <c r="H640" i="51"/>
  <c r="H345" i="51"/>
  <c r="H628" i="51"/>
  <c r="I344" i="51"/>
  <c r="I237" i="51"/>
  <c r="I891" i="51"/>
  <c r="I640" i="51"/>
  <c r="I345" i="51"/>
  <c r="I628" i="51"/>
  <c r="J344" i="51"/>
  <c r="J237" i="51"/>
  <c r="J891" i="51"/>
  <c r="J640" i="51"/>
  <c r="J345" i="51"/>
  <c r="J628" i="51"/>
  <c r="K344" i="51"/>
  <c r="K237" i="51"/>
  <c r="K891" i="51"/>
  <c r="K640" i="51"/>
  <c r="K345" i="51"/>
  <c r="K628" i="51"/>
  <c r="L344" i="51"/>
  <c r="L237" i="51"/>
  <c r="L891" i="51"/>
  <c r="L640" i="51"/>
  <c r="L345" i="51"/>
  <c r="L628" i="51"/>
  <c r="M344" i="51"/>
  <c r="M237" i="51"/>
  <c r="M891" i="51"/>
  <c r="M640" i="51"/>
  <c r="M345" i="51"/>
  <c r="M628" i="51"/>
  <c r="N344" i="51"/>
  <c r="N237" i="51"/>
  <c r="N891" i="51"/>
  <c r="N640" i="51"/>
  <c r="N345" i="51"/>
  <c r="N628" i="51"/>
  <c r="O344" i="51"/>
  <c r="O237" i="51"/>
  <c r="O891" i="51"/>
  <c r="O640" i="51"/>
  <c r="O345" i="51"/>
  <c r="O628" i="51"/>
  <c r="P344" i="51"/>
  <c r="P237" i="51"/>
  <c r="P891" i="51"/>
  <c r="P640" i="51"/>
  <c r="P345" i="51"/>
  <c r="P628" i="51"/>
  <c r="Q344" i="51"/>
  <c r="Q237" i="51"/>
  <c r="Q891" i="51"/>
  <c r="Q640" i="51"/>
  <c r="Q345" i="51"/>
  <c r="Q628" i="51"/>
  <c r="C805" i="51"/>
  <c r="D805" i="51"/>
  <c r="E805" i="51"/>
  <c r="F805" i="51"/>
  <c r="H805" i="51"/>
  <c r="I805" i="51"/>
  <c r="J805" i="51"/>
  <c r="K805" i="51"/>
  <c r="L805" i="51"/>
  <c r="M805" i="51"/>
  <c r="N805" i="51"/>
  <c r="O805" i="51"/>
  <c r="P805" i="51"/>
  <c r="Q805" i="51"/>
  <c r="C462" i="51"/>
  <c r="C748" i="51"/>
  <c r="C804" i="51"/>
  <c r="D462" i="51"/>
  <c r="D748" i="51"/>
  <c r="D804" i="51"/>
  <c r="E462" i="51"/>
  <c r="E748" i="51"/>
  <c r="E804" i="51"/>
  <c r="F462" i="51"/>
  <c r="F748" i="51"/>
  <c r="F804" i="51"/>
  <c r="G462" i="51"/>
  <c r="H462" i="51"/>
  <c r="H748" i="51"/>
  <c r="H804" i="51"/>
  <c r="I462" i="51"/>
  <c r="I748" i="51"/>
  <c r="I804" i="51"/>
  <c r="J462" i="51"/>
  <c r="J748" i="51"/>
  <c r="J804" i="51"/>
  <c r="K462" i="51"/>
  <c r="K748" i="51"/>
  <c r="K804" i="51"/>
  <c r="L462" i="51"/>
  <c r="L748" i="51"/>
  <c r="L804" i="51"/>
  <c r="M462" i="51"/>
  <c r="M748" i="51"/>
  <c r="M804" i="51"/>
  <c r="N462" i="51"/>
  <c r="N748" i="51"/>
  <c r="N804" i="51"/>
  <c r="O462" i="51"/>
  <c r="O748" i="51"/>
  <c r="O804" i="51"/>
  <c r="P462" i="51"/>
  <c r="P748" i="51"/>
  <c r="P804" i="51"/>
  <c r="Q462" i="51"/>
  <c r="Q748" i="51"/>
  <c r="Q804" i="51"/>
  <c r="C759" i="51"/>
  <c r="D759" i="51"/>
  <c r="E759" i="51"/>
  <c r="F759" i="51"/>
  <c r="G759" i="51"/>
  <c r="H759" i="51"/>
  <c r="I759" i="51"/>
  <c r="J759" i="51"/>
  <c r="K759" i="51"/>
  <c r="L759" i="51"/>
  <c r="M759" i="51"/>
  <c r="N759" i="51"/>
  <c r="O759" i="51"/>
  <c r="P759" i="51"/>
  <c r="Q759" i="51"/>
  <c r="C749" i="51"/>
  <c r="H749" i="51"/>
  <c r="I749" i="51"/>
  <c r="J749" i="51"/>
  <c r="K749" i="51"/>
  <c r="L749" i="51"/>
  <c r="M749" i="51"/>
  <c r="N749" i="51"/>
  <c r="O749" i="51"/>
  <c r="P749" i="51"/>
  <c r="Q749" i="51"/>
  <c r="C832" i="51"/>
  <c r="C146" i="51"/>
  <c r="C153" i="51"/>
  <c r="C137" i="51"/>
  <c r="C133" i="51"/>
  <c r="C135" i="51"/>
  <c r="C136" i="51"/>
  <c r="C132" i="51"/>
  <c r="C131" i="51"/>
  <c r="C130" i="51"/>
  <c r="C152" i="51"/>
  <c r="C178" i="51"/>
  <c r="C168" i="51"/>
  <c r="C162" i="51"/>
  <c r="C157" i="51"/>
  <c r="C167" i="51"/>
  <c r="C143" i="51"/>
  <c r="C142" i="51"/>
  <c r="C144" i="51"/>
  <c r="C151" i="51"/>
  <c r="C148" i="51"/>
  <c r="C177" i="51"/>
  <c r="C145" i="51"/>
  <c r="C106" i="51"/>
  <c r="C179" i="51"/>
  <c r="C181" i="51"/>
  <c r="C183" i="51"/>
  <c r="C182" i="51"/>
  <c r="C489" i="51"/>
  <c r="C490" i="51"/>
  <c r="C491" i="51"/>
  <c r="C187" i="51"/>
  <c r="D832" i="51"/>
  <c r="D146" i="51"/>
  <c r="D153" i="51"/>
  <c r="D137" i="51"/>
  <c r="D133" i="51"/>
  <c r="D136" i="51"/>
  <c r="D132" i="51"/>
  <c r="D130" i="51"/>
  <c r="D152" i="51"/>
  <c r="D178" i="51"/>
  <c r="D168" i="51"/>
  <c r="D162" i="51"/>
  <c r="D157" i="51"/>
  <c r="D142" i="51"/>
  <c r="D144" i="51"/>
  <c r="D148" i="51"/>
  <c r="D177" i="51"/>
  <c r="D145" i="51"/>
  <c r="D181" i="51"/>
  <c r="D182" i="51"/>
  <c r="D489" i="51"/>
  <c r="D490" i="51"/>
  <c r="D491" i="51"/>
  <c r="E832" i="51"/>
  <c r="E146" i="51"/>
  <c r="E153" i="51"/>
  <c r="E137" i="51"/>
  <c r="E133" i="51"/>
  <c r="E178" i="51"/>
  <c r="E157" i="51"/>
  <c r="E142" i="51"/>
  <c r="E177" i="51"/>
  <c r="E145" i="51"/>
  <c r="E181" i="51"/>
  <c r="E182" i="51"/>
  <c r="E490" i="51"/>
  <c r="F832" i="51"/>
  <c r="F146" i="51"/>
  <c r="F153" i="51"/>
  <c r="F137" i="51"/>
  <c r="F133" i="51"/>
  <c r="F136" i="51"/>
  <c r="F132" i="51"/>
  <c r="F131" i="51"/>
  <c r="F130" i="51"/>
  <c r="F152" i="51"/>
  <c r="F178" i="51"/>
  <c r="F168" i="51"/>
  <c r="F162" i="51"/>
  <c r="F157" i="51"/>
  <c r="F143" i="51"/>
  <c r="F142" i="51"/>
  <c r="F144" i="51"/>
  <c r="F148" i="51"/>
  <c r="F177" i="51"/>
  <c r="F145" i="51"/>
  <c r="F179" i="51"/>
  <c r="F181" i="51"/>
  <c r="F182" i="51"/>
  <c r="F489" i="51"/>
  <c r="F490" i="51"/>
  <c r="F491" i="51"/>
  <c r="G153" i="51"/>
  <c r="G137" i="51"/>
  <c r="G133" i="51"/>
  <c r="G136" i="51"/>
  <c r="G132" i="51"/>
  <c r="G152" i="51"/>
  <c r="G168" i="51"/>
  <c r="G157" i="51"/>
  <c r="G167" i="51"/>
  <c r="G144" i="51"/>
  <c r="G148" i="51"/>
  <c r="G177" i="51"/>
  <c r="G145" i="51"/>
  <c r="G181" i="51"/>
  <c r="G489" i="51"/>
  <c r="G490" i="51"/>
  <c r="H832" i="51"/>
  <c r="H146" i="51"/>
  <c r="H153" i="51"/>
  <c r="H137" i="51"/>
  <c r="H133" i="51"/>
  <c r="H135" i="51"/>
  <c r="H136" i="51"/>
  <c r="H132" i="51"/>
  <c r="H131" i="51"/>
  <c r="H130" i="51"/>
  <c r="H152" i="51"/>
  <c r="H178" i="51"/>
  <c r="H168" i="51"/>
  <c r="H162" i="51"/>
  <c r="H157" i="51"/>
  <c r="H167" i="51"/>
  <c r="H143" i="51"/>
  <c r="H142" i="51"/>
  <c r="H144" i="51"/>
  <c r="H151" i="51"/>
  <c r="H148" i="51"/>
  <c r="H177" i="51"/>
  <c r="H145" i="51"/>
  <c r="H106" i="51"/>
  <c r="H179" i="51"/>
  <c r="H181" i="51"/>
  <c r="H183" i="51"/>
  <c r="H182" i="51"/>
  <c r="H489" i="51"/>
  <c r="H490" i="51"/>
  <c r="H491" i="51"/>
  <c r="H187" i="51"/>
  <c r="I832" i="51"/>
  <c r="I146" i="51"/>
  <c r="I153" i="51"/>
  <c r="I137" i="51"/>
  <c r="I133" i="51"/>
  <c r="I135" i="51"/>
  <c r="I136" i="51"/>
  <c r="I132" i="51"/>
  <c r="I131" i="51"/>
  <c r="I130" i="51"/>
  <c r="I152" i="51"/>
  <c r="I178" i="51"/>
  <c r="I168" i="51"/>
  <c r="I162" i="51"/>
  <c r="I157" i="51"/>
  <c r="I167" i="51"/>
  <c r="I143" i="51"/>
  <c r="I142" i="51"/>
  <c r="I144" i="51"/>
  <c r="I151" i="51"/>
  <c r="I148" i="51"/>
  <c r="I177" i="51"/>
  <c r="I145" i="51"/>
  <c r="I106" i="51"/>
  <c r="I179" i="51"/>
  <c r="I181" i="51"/>
  <c r="I183" i="51"/>
  <c r="I182" i="51"/>
  <c r="I489" i="51"/>
  <c r="I490" i="51"/>
  <c r="I491" i="51"/>
  <c r="I187" i="51"/>
  <c r="J832" i="51"/>
  <c r="J146" i="51"/>
  <c r="J153" i="51"/>
  <c r="J137" i="51"/>
  <c r="J133" i="51"/>
  <c r="J135" i="51"/>
  <c r="J136" i="51"/>
  <c r="J132" i="51"/>
  <c r="J131" i="51"/>
  <c r="J130" i="51"/>
  <c r="J152" i="51"/>
  <c r="J178" i="51"/>
  <c r="J168" i="51"/>
  <c r="J162" i="51"/>
  <c r="J157" i="51"/>
  <c r="J167" i="51"/>
  <c r="J143" i="51"/>
  <c r="J142" i="51"/>
  <c r="J144" i="51"/>
  <c r="J151" i="51"/>
  <c r="J148" i="51"/>
  <c r="J177" i="51"/>
  <c r="J145" i="51"/>
  <c r="J106" i="51"/>
  <c r="J179" i="51"/>
  <c r="J181" i="51"/>
  <c r="J183" i="51"/>
  <c r="J182" i="51"/>
  <c r="J489" i="51"/>
  <c r="J490" i="51"/>
  <c r="J491" i="51"/>
  <c r="J187" i="51"/>
  <c r="K832" i="51"/>
  <c r="K146" i="51"/>
  <c r="K153" i="51"/>
  <c r="K137" i="51"/>
  <c r="K133" i="51"/>
  <c r="K135" i="51"/>
  <c r="K136" i="51"/>
  <c r="K132" i="51"/>
  <c r="K131" i="51"/>
  <c r="K130" i="51"/>
  <c r="K152" i="51"/>
  <c r="K178" i="51"/>
  <c r="K168" i="51"/>
  <c r="K162" i="51"/>
  <c r="K157" i="51"/>
  <c r="K167" i="51"/>
  <c r="K143" i="51"/>
  <c r="K142" i="51"/>
  <c r="K144" i="51"/>
  <c r="K151" i="51"/>
  <c r="K148" i="51"/>
  <c r="K177" i="51"/>
  <c r="K145" i="51"/>
  <c r="K106" i="51"/>
  <c r="K179" i="51"/>
  <c r="K181" i="51"/>
  <c r="K183" i="51"/>
  <c r="K182" i="51"/>
  <c r="K489" i="51"/>
  <c r="K490" i="51"/>
  <c r="K491" i="51"/>
  <c r="K187" i="51"/>
  <c r="L832" i="51"/>
  <c r="L146" i="51"/>
  <c r="L153" i="51"/>
  <c r="L137" i="51"/>
  <c r="L133" i="51"/>
  <c r="L135" i="51"/>
  <c r="L136" i="51"/>
  <c r="L132" i="51"/>
  <c r="L131" i="51"/>
  <c r="L130" i="51"/>
  <c r="L152" i="51"/>
  <c r="L178" i="51"/>
  <c r="L168" i="51"/>
  <c r="L162" i="51"/>
  <c r="L157" i="51"/>
  <c r="L167" i="51"/>
  <c r="L143" i="51"/>
  <c r="L142" i="51"/>
  <c r="L144" i="51"/>
  <c r="L151" i="51"/>
  <c r="L148" i="51"/>
  <c r="L177" i="51"/>
  <c r="L145" i="51"/>
  <c r="L106" i="51"/>
  <c r="L179" i="51"/>
  <c r="L181" i="51"/>
  <c r="L183" i="51"/>
  <c r="L182" i="51"/>
  <c r="L489" i="51"/>
  <c r="L490" i="51"/>
  <c r="L491" i="51"/>
  <c r="L187" i="51"/>
  <c r="M832" i="51"/>
  <c r="M146" i="51"/>
  <c r="M153" i="51"/>
  <c r="M137" i="51"/>
  <c r="M133" i="51"/>
  <c r="M135" i="51"/>
  <c r="M136" i="51"/>
  <c r="M132" i="51"/>
  <c r="M131" i="51"/>
  <c r="M130" i="51"/>
  <c r="M152" i="51"/>
  <c r="M178" i="51"/>
  <c r="M168" i="51"/>
  <c r="M162" i="51"/>
  <c r="M157" i="51"/>
  <c r="M167" i="51"/>
  <c r="M143" i="51"/>
  <c r="M142" i="51"/>
  <c r="M144" i="51"/>
  <c r="M151" i="51"/>
  <c r="M148" i="51"/>
  <c r="M177" i="51"/>
  <c r="M145" i="51"/>
  <c r="M106" i="51"/>
  <c r="M179" i="51"/>
  <c r="M181" i="51"/>
  <c r="M183" i="51"/>
  <c r="M182" i="51"/>
  <c r="M489" i="51"/>
  <c r="M490" i="51"/>
  <c r="M491" i="51"/>
  <c r="M187" i="51"/>
  <c r="N832" i="51"/>
  <c r="N146" i="51"/>
  <c r="N153" i="51"/>
  <c r="N137" i="51"/>
  <c r="N133" i="51"/>
  <c r="N135" i="51"/>
  <c r="N136" i="51"/>
  <c r="N132" i="51"/>
  <c r="N131" i="51"/>
  <c r="N130" i="51"/>
  <c r="N152" i="51"/>
  <c r="N178" i="51"/>
  <c r="N168" i="51"/>
  <c r="N162" i="51"/>
  <c r="N157" i="51"/>
  <c r="N167" i="51"/>
  <c r="N143" i="51"/>
  <c r="N142" i="51"/>
  <c r="N144" i="51"/>
  <c r="N151" i="51"/>
  <c r="N148" i="51"/>
  <c r="N177" i="51"/>
  <c r="N145" i="51"/>
  <c r="N106" i="51"/>
  <c r="N179" i="51"/>
  <c r="N181" i="51"/>
  <c r="N183" i="51"/>
  <c r="N182" i="51"/>
  <c r="N489" i="51"/>
  <c r="N490" i="51"/>
  <c r="N491" i="51"/>
  <c r="N187" i="51"/>
  <c r="O832" i="51"/>
  <c r="O146" i="51"/>
  <c r="O153" i="51"/>
  <c r="O137" i="51"/>
  <c r="O133" i="51"/>
  <c r="O135" i="51"/>
  <c r="O136" i="51"/>
  <c r="O132" i="51"/>
  <c r="O131" i="51"/>
  <c r="O130" i="51"/>
  <c r="O152" i="51"/>
  <c r="O178" i="51"/>
  <c r="O168" i="51"/>
  <c r="O162" i="51"/>
  <c r="O157" i="51"/>
  <c r="O167" i="51"/>
  <c r="O143" i="51"/>
  <c r="O142" i="51"/>
  <c r="O144" i="51"/>
  <c r="O151" i="51"/>
  <c r="O148" i="51"/>
  <c r="O177" i="51"/>
  <c r="O145" i="51"/>
  <c r="O106" i="51"/>
  <c r="O179" i="51"/>
  <c r="O181" i="51"/>
  <c r="O183" i="51"/>
  <c r="O182" i="51"/>
  <c r="O489" i="51"/>
  <c r="O490" i="51"/>
  <c r="O491" i="51"/>
  <c r="O187" i="51"/>
  <c r="P832" i="51"/>
  <c r="P146" i="51"/>
  <c r="P153" i="51"/>
  <c r="P137" i="51"/>
  <c r="P133" i="51"/>
  <c r="P135" i="51"/>
  <c r="P136" i="51"/>
  <c r="P132" i="51"/>
  <c r="P131" i="51"/>
  <c r="P130" i="51"/>
  <c r="P152" i="51"/>
  <c r="P178" i="51"/>
  <c r="P168" i="51"/>
  <c r="P162" i="51"/>
  <c r="P157" i="51"/>
  <c r="P167" i="51"/>
  <c r="P143" i="51"/>
  <c r="P142" i="51"/>
  <c r="P144" i="51"/>
  <c r="P151" i="51"/>
  <c r="P148" i="51"/>
  <c r="P177" i="51"/>
  <c r="P145" i="51"/>
  <c r="P106" i="51"/>
  <c r="P179" i="51"/>
  <c r="P181" i="51"/>
  <c r="P183" i="51"/>
  <c r="P182" i="51"/>
  <c r="P489" i="51"/>
  <c r="P490" i="51"/>
  <c r="P491" i="51"/>
  <c r="P187" i="51"/>
  <c r="Q832" i="51"/>
  <c r="Q146" i="51"/>
  <c r="Q153" i="51"/>
  <c r="Q137" i="51"/>
  <c r="Q133" i="51"/>
  <c r="Q135" i="51"/>
  <c r="Q136" i="51"/>
  <c r="Q132" i="51"/>
  <c r="Q131" i="51"/>
  <c r="Q130" i="51"/>
  <c r="Q152" i="51"/>
  <c r="Q178" i="51"/>
  <c r="Q168" i="51"/>
  <c r="Q162" i="51"/>
  <c r="Q157" i="51"/>
  <c r="Q167" i="51"/>
  <c r="Q143" i="51"/>
  <c r="Q142" i="51"/>
  <c r="Q144" i="51"/>
  <c r="Q151" i="51"/>
  <c r="Q148" i="51"/>
  <c r="Q177" i="51"/>
  <c r="Q145" i="51"/>
  <c r="Q106" i="51"/>
  <c r="Q179" i="51"/>
  <c r="Q181" i="51"/>
  <c r="Q183" i="51"/>
  <c r="Q182" i="51"/>
  <c r="Q489" i="51"/>
  <c r="Q490" i="51"/>
  <c r="Q491" i="51"/>
  <c r="Q187" i="51"/>
  <c r="C171" i="51"/>
  <c r="C172" i="51"/>
  <c r="D172" i="51"/>
  <c r="F172" i="51"/>
  <c r="G172" i="51"/>
  <c r="H171" i="51"/>
  <c r="H172" i="51"/>
  <c r="I171" i="51"/>
  <c r="I172" i="51"/>
  <c r="J171" i="51"/>
  <c r="J172" i="51"/>
  <c r="K171" i="51"/>
  <c r="K172" i="51"/>
  <c r="L171" i="51"/>
  <c r="L172" i="51"/>
  <c r="M171" i="51"/>
  <c r="M172" i="51"/>
  <c r="N171" i="51"/>
  <c r="N172" i="51"/>
  <c r="O171" i="51"/>
  <c r="O172" i="51"/>
  <c r="P171" i="51"/>
  <c r="P172" i="51"/>
  <c r="Q171" i="51"/>
  <c r="Q172" i="51"/>
  <c r="C175" i="51"/>
  <c r="H175" i="51"/>
  <c r="I175" i="51"/>
  <c r="J175" i="51"/>
  <c r="K175" i="51"/>
  <c r="L175" i="51"/>
  <c r="M175" i="51"/>
  <c r="N175" i="51"/>
  <c r="O175" i="51"/>
  <c r="P175" i="51"/>
  <c r="Q175" i="51"/>
  <c r="C858" i="51"/>
  <c r="C853" i="51"/>
  <c r="C854" i="51"/>
  <c r="C834" i="51"/>
  <c r="C879" i="51"/>
  <c r="C833" i="51"/>
  <c r="C857" i="51"/>
  <c r="D858" i="51"/>
  <c r="D854" i="51"/>
  <c r="D834" i="51"/>
  <c r="D879" i="51"/>
  <c r="E879" i="51"/>
  <c r="F858" i="51"/>
  <c r="F854" i="51"/>
  <c r="F834" i="51"/>
  <c r="F879" i="51"/>
  <c r="G858" i="51"/>
  <c r="G854" i="51"/>
  <c r="G834" i="51"/>
  <c r="G879" i="51"/>
  <c r="H858" i="51"/>
  <c r="H853" i="51"/>
  <c r="H854" i="51"/>
  <c r="H834" i="51"/>
  <c r="H879" i="51"/>
  <c r="H833" i="51"/>
  <c r="H857" i="51"/>
  <c r="I858" i="51"/>
  <c r="I853" i="51"/>
  <c r="I854" i="51"/>
  <c r="I834" i="51"/>
  <c r="I879" i="51"/>
  <c r="I833" i="51"/>
  <c r="I857" i="51"/>
  <c r="J858" i="51"/>
  <c r="J853" i="51"/>
  <c r="J854" i="51"/>
  <c r="J834" i="51"/>
  <c r="J879" i="51"/>
  <c r="J833" i="51"/>
  <c r="J857" i="51"/>
  <c r="K858" i="51"/>
  <c r="K853" i="51"/>
  <c r="K854" i="51"/>
  <c r="K834" i="51"/>
  <c r="K879" i="51"/>
  <c r="K833" i="51"/>
  <c r="K857" i="51"/>
  <c r="L858" i="51"/>
  <c r="L853" i="51"/>
  <c r="L854" i="51"/>
  <c r="L834" i="51"/>
  <c r="L879" i="51"/>
  <c r="L833" i="51"/>
  <c r="L857" i="51"/>
  <c r="M858" i="51"/>
  <c r="M853" i="51"/>
  <c r="M854" i="51"/>
  <c r="M834" i="51"/>
  <c r="M879" i="51"/>
  <c r="M833" i="51"/>
  <c r="M857" i="51"/>
  <c r="N858" i="51"/>
  <c r="N853" i="51"/>
  <c r="N854" i="51"/>
  <c r="N834" i="51"/>
  <c r="N879" i="51"/>
  <c r="N833" i="51"/>
  <c r="N857" i="51"/>
  <c r="O858" i="51"/>
  <c r="O853" i="51"/>
  <c r="O854" i="51"/>
  <c r="O834" i="51"/>
  <c r="O879" i="51"/>
  <c r="O833" i="51"/>
  <c r="O857" i="51"/>
  <c r="P858" i="51"/>
  <c r="P853" i="51"/>
  <c r="P854" i="51"/>
  <c r="P834" i="51"/>
  <c r="P879" i="51"/>
  <c r="P833" i="51"/>
  <c r="P857" i="51"/>
  <c r="Q858" i="51"/>
  <c r="Q853" i="51"/>
  <c r="Q854" i="51"/>
  <c r="Q834" i="51"/>
  <c r="Q879" i="51"/>
  <c r="Q833" i="51"/>
  <c r="Q857" i="51"/>
  <c r="C279" i="51"/>
  <c r="C34" i="51"/>
  <c r="C45" i="51"/>
  <c r="C150" i="51"/>
  <c r="C149" i="51"/>
  <c r="C186" i="51"/>
  <c r="C165" i="51"/>
  <c r="C835" i="51"/>
  <c r="C856" i="51"/>
  <c r="D279" i="51"/>
  <c r="D45" i="51"/>
  <c r="D150" i="51"/>
  <c r="D149" i="51"/>
  <c r="D186" i="51"/>
  <c r="D165" i="51"/>
  <c r="D835" i="51"/>
  <c r="D856" i="51"/>
  <c r="E150" i="51"/>
  <c r="E149" i="51"/>
  <c r="E165" i="51"/>
  <c r="E835" i="51"/>
  <c r="E856" i="51"/>
  <c r="F279" i="51"/>
  <c r="F34" i="51"/>
  <c r="F45" i="51"/>
  <c r="F150" i="51"/>
  <c r="F149" i="51"/>
  <c r="F186" i="51"/>
  <c r="F165" i="51"/>
  <c r="F835" i="51"/>
  <c r="F856" i="51"/>
  <c r="G149" i="51"/>
  <c r="G186" i="51"/>
  <c r="G165" i="51"/>
  <c r="G835" i="51"/>
  <c r="H279" i="51"/>
  <c r="H34" i="51"/>
  <c r="H45" i="51"/>
  <c r="H150" i="51"/>
  <c r="H149" i="51"/>
  <c r="H186" i="51"/>
  <c r="H165" i="51"/>
  <c r="H835" i="51"/>
  <c r="H856" i="51"/>
  <c r="I279" i="51"/>
  <c r="I34" i="51"/>
  <c r="I45" i="51"/>
  <c r="I150" i="51"/>
  <c r="I149" i="51"/>
  <c r="I186" i="51"/>
  <c r="I165" i="51"/>
  <c r="I835" i="51"/>
  <c r="I856" i="51"/>
  <c r="J279" i="51"/>
  <c r="J34" i="51"/>
  <c r="J45" i="51"/>
  <c r="J150" i="51"/>
  <c r="J149" i="51"/>
  <c r="J186" i="51"/>
  <c r="J165" i="51"/>
  <c r="J835" i="51"/>
  <c r="J856" i="51"/>
  <c r="K279" i="51"/>
  <c r="K34" i="51"/>
  <c r="K45" i="51"/>
  <c r="K150" i="51"/>
  <c r="K149" i="51"/>
  <c r="K186" i="51"/>
  <c r="K165" i="51"/>
  <c r="K835" i="51"/>
  <c r="K856" i="51"/>
  <c r="L279" i="51"/>
  <c r="L34" i="51"/>
  <c r="L45" i="51"/>
  <c r="L150" i="51"/>
  <c r="L149" i="51"/>
  <c r="L186" i="51"/>
  <c r="L165" i="51"/>
  <c r="L835" i="51"/>
  <c r="L856" i="51"/>
  <c r="M279" i="51"/>
  <c r="M34" i="51"/>
  <c r="M45" i="51"/>
  <c r="M150" i="51"/>
  <c r="M149" i="51"/>
  <c r="M186" i="51"/>
  <c r="M165" i="51"/>
  <c r="M835" i="51"/>
  <c r="M856" i="51"/>
  <c r="N279" i="51"/>
  <c r="N34" i="51"/>
  <c r="N45" i="51"/>
  <c r="N150" i="51"/>
  <c r="N149" i="51"/>
  <c r="N186" i="51"/>
  <c r="N165" i="51"/>
  <c r="N835" i="51"/>
  <c r="N856" i="51"/>
  <c r="O279" i="51"/>
  <c r="O34" i="51"/>
  <c r="O45" i="51"/>
  <c r="O150" i="51"/>
  <c r="O149" i="51"/>
  <c r="O186" i="51"/>
  <c r="O165" i="51"/>
  <c r="O835" i="51"/>
  <c r="O856" i="51"/>
  <c r="P279" i="51"/>
  <c r="P34" i="51"/>
  <c r="P45" i="51"/>
  <c r="P150" i="51"/>
  <c r="P149" i="51"/>
  <c r="P186" i="51"/>
  <c r="P165" i="51"/>
  <c r="P835" i="51"/>
  <c r="P856" i="51"/>
  <c r="Q279" i="51"/>
  <c r="Q34" i="51"/>
  <c r="Q45" i="51"/>
  <c r="Q150" i="51"/>
  <c r="Q149" i="51"/>
  <c r="Q186" i="51"/>
  <c r="Q165" i="51"/>
  <c r="Q835" i="51"/>
  <c r="Q856" i="51"/>
  <c r="C840" i="51"/>
  <c r="D840" i="51"/>
  <c r="E840" i="51"/>
  <c r="F840" i="51"/>
  <c r="H840" i="51"/>
  <c r="I840" i="51"/>
  <c r="J840" i="51"/>
  <c r="K840" i="51"/>
  <c r="L840" i="51"/>
  <c r="M840" i="51"/>
  <c r="N840" i="51"/>
  <c r="O840" i="51"/>
  <c r="P840" i="51"/>
  <c r="Q840" i="51"/>
  <c r="C158" i="51"/>
  <c r="C147" i="51"/>
  <c r="C880" i="51"/>
  <c r="D158" i="51"/>
  <c r="D880" i="51"/>
  <c r="E158" i="51"/>
  <c r="E880" i="51"/>
  <c r="F158" i="51"/>
  <c r="F880" i="51"/>
  <c r="G880" i="51"/>
  <c r="H158" i="51"/>
  <c r="H147" i="51"/>
  <c r="H880" i="51"/>
  <c r="I158" i="51"/>
  <c r="I147" i="51"/>
  <c r="I880" i="51"/>
  <c r="J158" i="51"/>
  <c r="J147" i="51"/>
  <c r="J880" i="51"/>
  <c r="K158" i="51"/>
  <c r="K147" i="51"/>
  <c r="K880" i="51"/>
  <c r="L158" i="51"/>
  <c r="L147" i="51"/>
  <c r="L880" i="51"/>
  <c r="M158" i="51"/>
  <c r="M147" i="51"/>
  <c r="M880" i="51"/>
  <c r="N158" i="51"/>
  <c r="N147" i="51"/>
  <c r="N880" i="51"/>
  <c r="O158" i="51"/>
  <c r="O147" i="51"/>
  <c r="O880" i="51"/>
  <c r="P158" i="51"/>
  <c r="P147" i="51"/>
  <c r="P880" i="51"/>
  <c r="Q158" i="51"/>
  <c r="Q147" i="51"/>
  <c r="Q880" i="51"/>
  <c r="C170" i="51"/>
  <c r="C129" i="51"/>
  <c r="D170" i="51"/>
  <c r="D129" i="51"/>
  <c r="E170" i="51"/>
  <c r="E129" i="51"/>
  <c r="F170" i="51"/>
  <c r="F129" i="51"/>
  <c r="G170" i="51"/>
  <c r="G129" i="51"/>
  <c r="H170" i="51"/>
  <c r="H129" i="51"/>
  <c r="I170" i="51"/>
  <c r="I129" i="51"/>
  <c r="J170" i="51"/>
  <c r="J129" i="51"/>
  <c r="K170" i="51"/>
  <c r="K129" i="51"/>
  <c r="L170" i="51"/>
  <c r="L129" i="51"/>
  <c r="M170" i="51"/>
  <c r="M129" i="51"/>
  <c r="N170" i="51"/>
  <c r="N129" i="51"/>
  <c r="O170" i="51"/>
  <c r="O129" i="51"/>
  <c r="P170" i="51"/>
  <c r="P129" i="51"/>
  <c r="Q170" i="51"/>
  <c r="Q129" i="51"/>
  <c r="C205" i="51"/>
  <c r="D205" i="51"/>
  <c r="E205" i="51"/>
  <c r="F205" i="51"/>
  <c r="G205" i="51"/>
  <c r="H205" i="51"/>
  <c r="I205" i="51"/>
  <c r="J205" i="51"/>
  <c r="K205" i="51"/>
  <c r="L205" i="51"/>
  <c r="M205" i="51"/>
  <c r="N205" i="51"/>
  <c r="O205" i="51"/>
  <c r="P205" i="51"/>
  <c r="Q205" i="51"/>
  <c r="C43" i="51"/>
  <c r="C30" i="51"/>
  <c r="C42" i="51"/>
  <c r="C38" i="51"/>
  <c r="C40" i="51"/>
  <c r="C39" i="51"/>
  <c r="C36" i="51"/>
  <c r="C37" i="51"/>
  <c r="C33" i="51"/>
  <c r="C41" i="51"/>
  <c r="C44" i="51"/>
  <c r="D43" i="51"/>
  <c r="D40" i="51"/>
  <c r="D39" i="51"/>
  <c r="D36" i="51"/>
  <c r="D37" i="51"/>
  <c r="D33" i="51"/>
  <c r="D41" i="51"/>
  <c r="D44" i="51"/>
  <c r="E42" i="51"/>
  <c r="E40" i="51"/>
  <c r="E36" i="51"/>
  <c r="E37" i="51"/>
  <c r="E33" i="51"/>
  <c r="E41" i="51"/>
  <c r="E44" i="51"/>
  <c r="F43" i="51"/>
  <c r="F38" i="51"/>
  <c r="F40" i="51"/>
  <c r="F39" i="51"/>
  <c r="F36" i="51"/>
  <c r="F37" i="51"/>
  <c r="F33" i="51"/>
  <c r="F41" i="51"/>
  <c r="F44" i="51"/>
  <c r="G43" i="51"/>
  <c r="G40" i="51"/>
  <c r="G39" i="51"/>
  <c r="G36" i="51"/>
  <c r="G37" i="51"/>
  <c r="G44" i="51"/>
  <c r="H43" i="51"/>
  <c r="H30" i="51"/>
  <c r="H42" i="51"/>
  <c r="H38" i="51"/>
  <c r="H40" i="51"/>
  <c r="H39" i="51"/>
  <c r="H36" i="51"/>
  <c r="H37" i="51"/>
  <c r="H33" i="51"/>
  <c r="H41" i="51"/>
  <c r="H44" i="51"/>
  <c r="I43" i="51"/>
  <c r="I30" i="51"/>
  <c r="I42" i="51"/>
  <c r="I38" i="51"/>
  <c r="I40" i="51"/>
  <c r="I39" i="51"/>
  <c r="I36" i="51"/>
  <c r="I37" i="51"/>
  <c r="I33" i="51"/>
  <c r="I41" i="51"/>
  <c r="I44" i="51"/>
  <c r="J43" i="51"/>
  <c r="J30" i="51"/>
  <c r="J42" i="51"/>
  <c r="J38" i="51"/>
  <c r="J40" i="51"/>
  <c r="J39" i="51"/>
  <c r="J36" i="51"/>
  <c r="J37" i="51"/>
  <c r="J33" i="51"/>
  <c r="J41" i="51"/>
  <c r="J44" i="51"/>
  <c r="K43" i="51"/>
  <c r="K30" i="51"/>
  <c r="K42" i="51"/>
  <c r="K38" i="51"/>
  <c r="K40" i="51"/>
  <c r="K39" i="51"/>
  <c r="K36" i="51"/>
  <c r="K37" i="51"/>
  <c r="K33" i="51"/>
  <c r="K41" i="51"/>
  <c r="K44" i="51"/>
  <c r="L43" i="51"/>
  <c r="L30" i="51"/>
  <c r="L42" i="51"/>
  <c r="L38" i="51"/>
  <c r="L40" i="51"/>
  <c r="L39" i="51"/>
  <c r="L36" i="51"/>
  <c r="L37" i="51"/>
  <c r="L33" i="51"/>
  <c r="L41" i="51"/>
  <c r="L44" i="51"/>
  <c r="M43" i="51"/>
  <c r="M30" i="51"/>
  <c r="M42" i="51"/>
  <c r="M38" i="51"/>
  <c r="M40" i="51"/>
  <c r="M39" i="51"/>
  <c r="M36" i="51"/>
  <c r="M37" i="51"/>
  <c r="M33" i="51"/>
  <c r="M41" i="51"/>
  <c r="M44" i="51"/>
  <c r="N43" i="51"/>
  <c r="N30" i="51"/>
  <c r="N42" i="51"/>
  <c r="N38" i="51"/>
  <c r="N40" i="51"/>
  <c r="N39" i="51"/>
  <c r="N36" i="51"/>
  <c r="N37" i="51"/>
  <c r="N33" i="51"/>
  <c r="N41" i="51"/>
  <c r="N44" i="51"/>
  <c r="O43" i="51"/>
  <c r="O30" i="51"/>
  <c r="O42" i="51"/>
  <c r="O38" i="51"/>
  <c r="O40" i="51"/>
  <c r="O39" i="51"/>
  <c r="O36" i="51"/>
  <c r="O37" i="51"/>
  <c r="O33" i="51"/>
  <c r="O41" i="51"/>
  <c r="O44" i="51"/>
  <c r="P43" i="51"/>
  <c r="P30" i="51"/>
  <c r="P42" i="51"/>
  <c r="P38" i="51"/>
  <c r="P40" i="51"/>
  <c r="P39" i="51"/>
  <c r="P36" i="51"/>
  <c r="P37" i="51"/>
  <c r="P33" i="51"/>
  <c r="P41" i="51"/>
  <c r="P44" i="51"/>
  <c r="Q43" i="51"/>
  <c r="Q30" i="51"/>
  <c r="Q42" i="51"/>
  <c r="Q38" i="51"/>
  <c r="Q40" i="51"/>
  <c r="Q39" i="51"/>
  <c r="Q36" i="51"/>
  <c r="Q37" i="51"/>
  <c r="Q33" i="51"/>
  <c r="Q41" i="51"/>
  <c r="Q44" i="51"/>
  <c r="C31" i="51"/>
  <c r="C32" i="51"/>
  <c r="C176" i="51"/>
  <c r="C134" i="51"/>
  <c r="D31" i="51"/>
  <c r="D32" i="51"/>
  <c r="D176" i="51"/>
  <c r="D134" i="51"/>
  <c r="E32" i="51"/>
  <c r="E176" i="51"/>
  <c r="E134" i="51"/>
  <c r="F31" i="51"/>
  <c r="F32" i="51"/>
  <c r="F176" i="51"/>
  <c r="F134" i="51"/>
  <c r="G31" i="51"/>
  <c r="G32" i="51"/>
  <c r="G176" i="51"/>
  <c r="H31" i="51"/>
  <c r="H32" i="51"/>
  <c r="H176" i="51"/>
  <c r="H134" i="51"/>
  <c r="I31" i="51"/>
  <c r="I32" i="51"/>
  <c r="I176" i="51"/>
  <c r="I134" i="51"/>
  <c r="J31" i="51"/>
  <c r="J32" i="51"/>
  <c r="J176" i="51"/>
  <c r="J134" i="51"/>
  <c r="K31" i="51"/>
  <c r="K32" i="51"/>
  <c r="K176" i="51"/>
  <c r="K134" i="51"/>
  <c r="L31" i="51"/>
  <c r="L32" i="51"/>
  <c r="L176" i="51"/>
  <c r="L134" i="51"/>
  <c r="M31" i="51"/>
  <c r="M32" i="51"/>
  <c r="M176" i="51"/>
  <c r="M134" i="51"/>
  <c r="N31" i="51"/>
  <c r="N32" i="51"/>
  <c r="N176" i="51"/>
  <c r="N134" i="51"/>
  <c r="O31" i="51"/>
  <c r="O32" i="51"/>
  <c r="O176" i="51"/>
  <c r="O134" i="51"/>
  <c r="P31" i="51"/>
  <c r="P32" i="51"/>
  <c r="P176" i="51"/>
  <c r="P134" i="51"/>
  <c r="Q31" i="51"/>
  <c r="Q32" i="51"/>
  <c r="Q176" i="51"/>
  <c r="Q134" i="51"/>
  <c r="C174" i="51"/>
  <c r="C189" i="51"/>
  <c r="C173" i="51"/>
  <c r="C184" i="51"/>
  <c r="D174" i="51"/>
  <c r="D189" i="51"/>
  <c r="D173" i="51"/>
  <c r="D184" i="51"/>
  <c r="E174" i="51"/>
  <c r="E189" i="51"/>
  <c r="E173" i="51"/>
  <c r="F174" i="51"/>
  <c r="F189" i="51"/>
  <c r="F173" i="51"/>
  <c r="F184" i="51"/>
  <c r="G189" i="51"/>
  <c r="G173" i="51"/>
  <c r="G184" i="51"/>
  <c r="H174" i="51"/>
  <c r="H189" i="51"/>
  <c r="H173" i="51"/>
  <c r="H184" i="51"/>
  <c r="I174" i="51"/>
  <c r="I189" i="51"/>
  <c r="I173" i="51"/>
  <c r="I184" i="51"/>
  <c r="J174" i="51"/>
  <c r="J189" i="51"/>
  <c r="J173" i="51"/>
  <c r="J184" i="51"/>
  <c r="K174" i="51"/>
  <c r="K189" i="51"/>
  <c r="K173" i="51"/>
  <c r="K184" i="51"/>
  <c r="L174" i="51"/>
  <c r="L189" i="51"/>
  <c r="L173" i="51"/>
  <c r="L184" i="51"/>
  <c r="M174" i="51"/>
  <c r="M189" i="51"/>
  <c r="M173" i="51"/>
  <c r="M184" i="51"/>
  <c r="N174" i="51"/>
  <c r="N189" i="51"/>
  <c r="N173" i="51"/>
  <c r="N184" i="51"/>
  <c r="O174" i="51"/>
  <c r="O189" i="51"/>
  <c r="O173" i="51"/>
  <c r="O184" i="51"/>
  <c r="P174" i="51"/>
  <c r="P189" i="51"/>
  <c r="P173" i="51"/>
  <c r="P184" i="51"/>
  <c r="Q174" i="51"/>
  <c r="Q189" i="51"/>
  <c r="Q173" i="51"/>
  <c r="Q184" i="51"/>
  <c r="C128" i="51"/>
  <c r="D128" i="51"/>
  <c r="F128" i="51"/>
  <c r="G128" i="51"/>
  <c r="H128" i="51"/>
  <c r="I128" i="51"/>
  <c r="J128" i="51"/>
  <c r="K128" i="51"/>
  <c r="L128" i="51"/>
  <c r="M128" i="51"/>
  <c r="N128" i="51"/>
  <c r="O128" i="51"/>
  <c r="P128" i="51"/>
  <c r="Q128" i="51"/>
  <c r="C185" i="51"/>
  <c r="C139" i="51"/>
  <c r="C138" i="51"/>
  <c r="C141" i="51"/>
  <c r="C156" i="51"/>
  <c r="C127" i="51"/>
  <c r="C862" i="51"/>
  <c r="C847" i="51"/>
  <c r="C838" i="51"/>
  <c r="C849" i="51"/>
  <c r="C852" i="51"/>
  <c r="C166" i="51"/>
  <c r="C169" i="51"/>
  <c r="C180" i="51"/>
  <c r="C163" i="51"/>
  <c r="C160" i="51"/>
  <c r="C159" i="51"/>
  <c r="C188" i="51"/>
  <c r="C140" i="51"/>
  <c r="C155" i="51"/>
  <c r="C154" i="51"/>
  <c r="C161" i="51"/>
  <c r="D185" i="51"/>
  <c r="D138" i="51"/>
  <c r="D141" i="51"/>
  <c r="D156" i="51"/>
  <c r="D127" i="51"/>
  <c r="D862" i="51"/>
  <c r="D847" i="51"/>
  <c r="D838" i="51"/>
  <c r="D852" i="51"/>
  <c r="D166" i="51"/>
  <c r="D169" i="51"/>
  <c r="D180" i="51"/>
  <c r="D160" i="51"/>
  <c r="D188" i="51"/>
  <c r="D140" i="51"/>
  <c r="D154" i="51"/>
  <c r="D161" i="51"/>
  <c r="E185" i="51"/>
  <c r="E138" i="51"/>
  <c r="E141" i="51"/>
  <c r="E847" i="51"/>
  <c r="E852" i="51"/>
  <c r="E166" i="51"/>
  <c r="E169" i="51"/>
  <c r="E154" i="51"/>
  <c r="E161" i="51"/>
  <c r="F185" i="51"/>
  <c r="F138" i="51"/>
  <c r="F141" i="51"/>
  <c r="F156" i="51"/>
  <c r="F127" i="51"/>
  <c r="F862" i="51"/>
  <c r="F847" i="51"/>
  <c r="F838" i="51"/>
  <c r="F852" i="51"/>
  <c r="F166" i="51"/>
  <c r="F169" i="51"/>
  <c r="F180" i="51"/>
  <c r="F160" i="51"/>
  <c r="F188" i="51"/>
  <c r="F140" i="51"/>
  <c r="F155" i="51"/>
  <c r="F154" i="51"/>
  <c r="F161" i="51"/>
  <c r="G185" i="51"/>
  <c r="G141" i="51"/>
  <c r="G156" i="51"/>
  <c r="G127" i="51"/>
  <c r="G862" i="51"/>
  <c r="G847" i="51"/>
  <c r="G838" i="51"/>
  <c r="G169" i="51"/>
  <c r="G180" i="51"/>
  <c r="G160" i="51"/>
  <c r="G188" i="51"/>
  <c r="G140" i="51"/>
  <c r="G154" i="51"/>
  <c r="G161" i="51"/>
  <c r="H185" i="51"/>
  <c r="H139" i="51"/>
  <c r="H138" i="51"/>
  <c r="H141" i="51"/>
  <c r="H156" i="51"/>
  <c r="H127" i="51"/>
  <c r="H862" i="51"/>
  <c r="H847" i="51"/>
  <c r="H838" i="51"/>
  <c r="H849" i="51"/>
  <c r="H852" i="51"/>
  <c r="H166" i="51"/>
  <c r="H169" i="51"/>
  <c r="H180" i="51"/>
  <c r="H163" i="51"/>
  <c r="H160" i="51"/>
  <c r="H159" i="51"/>
  <c r="H188" i="51"/>
  <c r="H140" i="51"/>
  <c r="H155" i="51"/>
  <c r="H154" i="51"/>
  <c r="H161" i="51"/>
  <c r="I185" i="51"/>
  <c r="I139" i="51"/>
  <c r="I138" i="51"/>
  <c r="I141" i="51"/>
  <c r="I156" i="51"/>
  <c r="I127" i="51"/>
  <c r="I862" i="51"/>
  <c r="I847" i="51"/>
  <c r="I838" i="51"/>
  <c r="I849" i="51"/>
  <c r="I852" i="51"/>
  <c r="I166" i="51"/>
  <c r="I169" i="51"/>
  <c r="I180" i="51"/>
  <c r="I163" i="51"/>
  <c r="I160" i="51"/>
  <c r="I159" i="51"/>
  <c r="I188" i="51"/>
  <c r="I140" i="51"/>
  <c r="I155" i="51"/>
  <c r="I154" i="51"/>
  <c r="I161" i="51"/>
  <c r="J185" i="51"/>
  <c r="J139" i="51"/>
  <c r="J138" i="51"/>
  <c r="J141" i="51"/>
  <c r="J156" i="51"/>
  <c r="J127" i="51"/>
  <c r="J862" i="51"/>
  <c r="J847" i="51"/>
  <c r="J838" i="51"/>
  <c r="J849" i="51"/>
  <c r="J852" i="51"/>
  <c r="J166" i="51"/>
  <c r="J169" i="51"/>
  <c r="J180" i="51"/>
  <c r="J163" i="51"/>
  <c r="J160" i="51"/>
  <c r="J159" i="51"/>
  <c r="J188" i="51"/>
  <c r="J140" i="51"/>
  <c r="J155" i="51"/>
  <c r="J154" i="51"/>
  <c r="J161" i="51"/>
  <c r="K185" i="51"/>
  <c r="K139" i="51"/>
  <c r="K138" i="51"/>
  <c r="K141" i="51"/>
  <c r="K156" i="51"/>
  <c r="K127" i="51"/>
  <c r="K862" i="51"/>
  <c r="K847" i="51"/>
  <c r="K838" i="51"/>
  <c r="K849" i="51"/>
  <c r="K852" i="51"/>
  <c r="K166" i="51"/>
  <c r="K169" i="51"/>
  <c r="K180" i="51"/>
  <c r="K163" i="51"/>
  <c r="K160" i="51"/>
  <c r="K159" i="51"/>
  <c r="K188" i="51"/>
  <c r="K140" i="51"/>
  <c r="K155" i="51"/>
  <c r="K154" i="51"/>
  <c r="K161" i="51"/>
  <c r="L185" i="51"/>
  <c r="L139" i="51"/>
  <c r="L138" i="51"/>
  <c r="L141" i="51"/>
  <c r="L156" i="51"/>
  <c r="L127" i="51"/>
  <c r="L862" i="51"/>
  <c r="L847" i="51"/>
  <c r="L838" i="51"/>
  <c r="L849" i="51"/>
  <c r="L852" i="51"/>
  <c r="L166" i="51"/>
  <c r="L169" i="51"/>
  <c r="L180" i="51"/>
  <c r="L163" i="51"/>
  <c r="L160" i="51"/>
  <c r="L159" i="51"/>
  <c r="L188" i="51"/>
  <c r="L140" i="51"/>
  <c r="L155" i="51"/>
  <c r="L154" i="51"/>
  <c r="L161" i="51"/>
  <c r="M185" i="51"/>
  <c r="M139" i="51"/>
  <c r="M138" i="51"/>
  <c r="M141" i="51"/>
  <c r="M156" i="51"/>
  <c r="M127" i="51"/>
  <c r="M862" i="51"/>
  <c r="M847" i="51"/>
  <c r="M838" i="51"/>
  <c r="M849" i="51"/>
  <c r="M852" i="51"/>
  <c r="M166" i="51"/>
  <c r="M169" i="51"/>
  <c r="M180" i="51"/>
  <c r="M163" i="51"/>
  <c r="M160" i="51"/>
  <c r="M159" i="51"/>
  <c r="M188" i="51"/>
  <c r="M140" i="51"/>
  <c r="M155" i="51"/>
  <c r="M154" i="51"/>
  <c r="M161" i="51"/>
  <c r="N185" i="51"/>
  <c r="N139" i="51"/>
  <c r="N138" i="51"/>
  <c r="N141" i="51"/>
  <c r="N156" i="51"/>
  <c r="N127" i="51"/>
  <c r="N862" i="51"/>
  <c r="N847" i="51"/>
  <c r="N838" i="51"/>
  <c r="N849" i="51"/>
  <c r="N852" i="51"/>
  <c r="N166" i="51"/>
  <c r="N169" i="51"/>
  <c r="N180" i="51"/>
  <c r="N163" i="51"/>
  <c r="N160" i="51"/>
  <c r="N159" i="51"/>
  <c r="N188" i="51"/>
  <c r="N140" i="51"/>
  <c r="N155" i="51"/>
  <c r="N154" i="51"/>
  <c r="N161" i="51"/>
  <c r="O185" i="51"/>
  <c r="O139" i="51"/>
  <c r="O138" i="51"/>
  <c r="O141" i="51"/>
  <c r="O156" i="51"/>
  <c r="O127" i="51"/>
  <c r="O862" i="51"/>
  <c r="O847" i="51"/>
  <c r="O838" i="51"/>
  <c r="O849" i="51"/>
  <c r="O852" i="51"/>
  <c r="O166" i="51"/>
  <c r="O169" i="51"/>
  <c r="O180" i="51"/>
  <c r="O163" i="51"/>
  <c r="O160" i="51"/>
  <c r="O159" i="51"/>
  <c r="O188" i="51"/>
  <c r="O140" i="51"/>
  <c r="O155" i="51"/>
  <c r="O154" i="51"/>
  <c r="O161" i="51"/>
  <c r="P185" i="51"/>
  <c r="P139" i="51"/>
  <c r="P138" i="51"/>
  <c r="P141" i="51"/>
  <c r="P156" i="51"/>
  <c r="P127" i="51"/>
  <c r="P862" i="51"/>
  <c r="P847" i="51"/>
  <c r="P838" i="51"/>
  <c r="P849" i="51"/>
  <c r="P852" i="51"/>
  <c r="P166" i="51"/>
  <c r="P169" i="51"/>
  <c r="P180" i="51"/>
  <c r="P163" i="51"/>
  <c r="P160" i="51"/>
  <c r="P159" i="51"/>
  <c r="P188" i="51"/>
  <c r="P140" i="51"/>
  <c r="P155" i="51"/>
  <c r="P154" i="51"/>
  <c r="P161" i="51"/>
  <c r="Q185" i="51"/>
  <c r="Q139" i="51"/>
  <c r="Q138" i="51"/>
  <c r="Q141" i="51"/>
  <c r="Q156" i="51"/>
  <c r="Q127" i="51"/>
  <c r="Q862" i="51"/>
  <c r="Q847" i="51"/>
  <c r="Q838" i="51"/>
  <c r="Q849" i="51"/>
  <c r="Q852" i="51"/>
  <c r="Q166" i="51"/>
  <c r="Q169" i="51"/>
  <c r="Q180" i="51"/>
  <c r="Q163" i="51"/>
  <c r="Q160" i="51"/>
  <c r="Q159" i="51"/>
  <c r="Q188" i="51"/>
  <c r="Q140" i="51"/>
  <c r="Q155" i="51"/>
  <c r="Q154" i="51"/>
  <c r="Q161" i="51"/>
  <c r="C35" i="51"/>
  <c r="C851" i="51"/>
  <c r="C164" i="51"/>
  <c r="C829" i="51"/>
  <c r="C825" i="51"/>
  <c r="C855" i="51"/>
  <c r="C826" i="51"/>
  <c r="C865" i="51"/>
  <c r="C864" i="51"/>
  <c r="C845" i="51"/>
  <c r="C877" i="51"/>
  <c r="C844" i="51"/>
  <c r="C837" i="51"/>
  <c r="C822" i="51"/>
  <c r="C876" i="51"/>
  <c r="C850" i="51"/>
  <c r="D35" i="51"/>
  <c r="D851" i="51"/>
  <c r="D164" i="51"/>
  <c r="D855" i="51"/>
  <c r="D826" i="51"/>
  <c r="D864" i="51"/>
  <c r="D844" i="51"/>
  <c r="D822" i="51"/>
  <c r="D876" i="51"/>
  <c r="D850" i="51"/>
  <c r="E851" i="51"/>
  <c r="E855" i="51"/>
  <c r="E864" i="51"/>
  <c r="E844" i="51"/>
  <c r="E876" i="51"/>
  <c r="F35" i="51"/>
  <c r="F851" i="51"/>
  <c r="F164" i="51"/>
  <c r="F855" i="51"/>
  <c r="F826" i="51"/>
  <c r="F864" i="51"/>
  <c r="F845" i="51"/>
  <c r="F844" i="51"/>
  <c r="F822" i="51"/>
  <c r="F876" i="51"/>
  <c r="F850" i="51"/>
  <c r="G35" i="51"/>
  <c r="G851" i="51"/>
  <c r="G164" i="51"/>
  <c r="G855" i="51"/>
  <c r="G826" i="51"/>
  <c r="G864" i="51"/>
  <c r="G822" i="51"/>
  <c r="G850" i="51"/>
  <c r="H35" i="51"/>
  <c r="H851" i="51"/>
  <c r="H164" i="51"/>
  <c r="H829" i="51"/>
  <c r="H825" i="51"/>
  <c r="H855" i="51"/>
  <c r="H826" i="51"/>
  <c r="H865" i="51"/>
  <c r="H864" i="51"/>
  <c r="H845" i="51"/>
  <c r="H877" i="51"/>
  <c r="H844" i="51"/>
  <c r="H837" i="51"/>
  <c r="H822" i="51"/>
  <c r="H876" i="51"/>
  <c r="H850" i="51"/>
  <c r="I35" i="51"/>
  <c r="I851" i="51"/>
  <c r="I164" i="51"/>
  <c r="I829" i="51"/>
  <c r="I825" i="51"/>
  <c r="I855" i="51"/>
  <c r="I826" i="51"/>
  <c r="I865" i="51"/>
  <c r="I864" i="51"/>
  <c r="I845" i="51"/>
  <c r="I877" i="51"/>
  <c r="I844" i="51"/>
  <c r="I837" i="51"/>
  <c r="I822" i="51"/>
  <c r="I876" i="51"/>
  <c r="I850" i="51"/>
  <c r="J35" i="51"/>
  <c r="J851" i="51"/>
  <c r="J164" i="51"/>
  <c r="J829" i="51"/>
  <c r="J825" i="51"/>
  <c r="J855" i="51"/>
  <c r="J826" i="51"/>
  <c r="J865" i="51"/>
  <c r="J864" i="51"/>
  <c r="J845" i="51"/>
  <c r="J877" i="51"/>
  <c r="J844" i="51"/>
  <c r="J837" i="51"/>
  <c r="J822" i="51"/>
  <c r="J876" i="51"/>
  <c r="J850" i="51"/>
  <c r="K35" i="51"/>
  <c r="K851" i="51"/>
  <c r="K164" i="51"/>
  <c r="K829" i="51"/>
  <c r="K825" i="51"/>
  <c r="K855" i="51"/>
  <c r="K826" i="51"/>
  <c r="K865" i="51"/>
  <c r="K864" i="51"/>
  <c r="K845" i="51"/>
  <c r="K877" i="51"/>
  <c r="K844" i="51"/>
  <c r="K837" i="51"/>
  <c r="K822" i="51"/>
  <c r="K876" i="51"/>
  <c r="K850" i="51"/>
  <c r="L35" i="51"/>
  <c r="L851" i="51"/>
  <c r="L164" i="51"/>
  <c r="L829" i="51"/>
  <c r="L825" i="51"/>
  <c r="L855" i="51"/>
  <c r="L826" i="51"/>
  <c r="L865" i="51"/>
  <c r="L864" i="51"/>
  <c r="L845" i="51"/>
  <c r="L877" i="51"/>
  <c r="L844" i="51"/>
  <c r="L837" i="51"/>
  <c r="L822" i="51"/>
  <c r="L876" i="51"/>
  <c r="L850" i="51"/>
  <c r="M35" i="51"/>
  <c r="M851" i="51"/>
  <c r="M164" i="51"/>
  <c r="M829" i="51"/>
  <c r="M825" i="51"/>
  <c r="M855" i="51"/>
  <c r="M826" i="51"/>
  <c r="M865" i="51"/>
  <c r="M864" i="51"/>
  <c r="M845" i="51"/>
  <c r="M877" i="51"/>
  <c r="M844" i="51"/>
  <c r="M837" i="51"/>
  <c r="M822" i="51"/>
  <c r="M876" i="51"/>
  <c r="M850" i="51"/>
  <c r="N35" i="51"/>
  <c r="N851" i="51"/>
  <c r="N164" i="51"/>
  <c r="N829" i="51"/>
  <c r="N825" i="51"/>
  <c r="N855" i="51"/>
  <c r="N826" i="51"/>
  <c r="N865" i="51"/>
  <c r="N864" i="51"/>
  <c r="N845" i="51"/>
  <c r="N877" i="51"/>
  <c r="N844" i="51"/>
  <c r="N837" i="51"/>
  <c r="N822" i="51"/>
  <c r="N876" i="51"/>
  <c r="N850" i="51"/>
  <c r="O35" i="51"/>
  <c r="O851" i="51"/>
  <c r="O164" i="51"/>
  <c r="O829" i="51"/>
  <c r="O825" i="51"/>
  <c r="O855" i="51"/>
  <c r="O826" i="51"/>
  <c r="O865" i="51"/>
  <c r="O864" i="51"/>
  <c r="O845" i="51"/>
  <c r="O877" i="51"/>
  <c r="O844" i="51"/>
  <c r="O837" i="51"/>
  <c r="O822" i="51"/>
  <c r="O876" i="51"/>
  <c r="O850" i="51"/>
  <c r="P35" i="51"/>
  <c r="P851" i="51"/>
  <c r="P164" i="51"/>
  <c r="P829" i="51"/>
  <c r="P825" i="51"/>
  <c r="P855" i="51"/>
  <c r="P826" i="51"/>
  <c r="P865" i="51"/>
  <c r="P864" i="51"/>
  <c r="P845" i="51"/>
  <c r="P877" i="51"/>
  <c r="P844" i="51"/>
  <c r="P837" i="51"/>
  <c r="P822" i="51"/>
  <c r="P876" i="51"/>
  <c r="P850" i="51"/>
  <c r="Q35" i="51"/>
  <c r="Q851" i="51"/>
  <c r="Q164" i="51"/>
  <c r="Q829" i="51"/>
  <c r="Q825" i="51"/>
  <c r="Q855" i="51"/>
  <c r="Q826" i="51"/>
  <c r="Q865" i="51"/>
  <c r="Q864" i="51"/>
  <c r="Q845" i="51"/>
  <c r="Q877" i="51"/>
  <c r="Q844" i="51"/>
  <c r="Q837" i="51"/>
  <c r="Q822" i="51"/>
  <c r="Q876" i="51"/>
  <c r="Q850" i="51"/>
  <c r="C101" i="51"/>
  <c r="C103" i="51"/>
  <c r="C105" i="51"/>
  <c r="C108" i="51"/>
  <c r="C278" i="51"/>
  <c r="C281" i="51"/>
  <c r="C280" i="51"/>
  <c r="C107" i="51"/>
  <c r="D101" i="51"/>
  <c r="D103" i="51"/>
  <c r="D105" i="51"/>
  <c r="D108" i="51"/>
  <c r="D278" i="51"/>
  <c r="D281" i="51"/>
  <c r="D107" i="51"/>
  <c r="E101" i="51"/>
  <c r="E105" i="51"/>
  <c r="E108" i="51"/>
  <c r="E278" i="51"/>
  <c r="F101" i="51"/>
  <c r="F103" i="51"/>
  <c r="F105" i="51"/>
  <c r="F108" i="51"/>
  <c r="F278" i="51"/>
  <c r="F281" i="51"/>
  <c r="F107" i="51"/>
  <c r="G103" i="51"/>
  <c r="G108" i="51"/>
  <c r="G278" i="51"/>
  <c r="G281" i="51"/>
  <c r="G107" i="51"/>
  <c r="H101" i="51"/>
  <c r="H103" i="51"/>
  <c r="H105" i="51"/>
  <c r="H108" i="51"/>
  <c r="H278" i="51"/>
  <c r="H281" i="51"/>
  <c r="H280" i="51"/>
  <c r="H107" i="51"/>
  <c r="I101" i="51"/>
  <c r="I103" i="51"/>
  <c r="I105" i="51"/>
  <c r="I108" i="51"/>
  <c r="I278" i="51"/>
  <c r="I281" i="51"/>
  <c r="I280" i="51"/>
  <c r="I107" i="51"/>
  <c r="J101" i="51"/>
  <c r="J103" i="51"/>
  <c r="J105" i="51"/>
  <c r="J108" i="51"/>
  <c r="J278" i="51"/>
  <c r="J281" i="51"/>
  <c r="J280" i="51"/>
  <c r="J107" i="51"/>
  <c r="K101" i="51"/>
  <c r="K103" i="51"/>
  <c r="K105" i="51"/>
  <c r="K108" i="51"/>
  <c r="K278" i="51"/>
  <c r="K281" i="51"/>
  <c r="K280" i="51"/>
  <c r="K107" i="51"/>
  <c r="L101" i="51"/>
  <c r="L103" i="51"/>
  <c r="L105" i="51"/>
  <c r="L108" i="51"/>
  <c r="L278" i="51"/>
  <c r="L281" i="51"/>
  <c r="L280" i="51"/>
  <c r="L107" i="51"/>
  <c r="M101" i="51"/>
  <c r="M103" i="51"/>
  <c r="M105" i="51"/>
  <c r="M108" i="51"/>
  <c r="M278" i="51"/>
  <c r="M281" i="51"/>
  <c r="M280" i="51"/>
  <c r="M107" i="51"/>
  <c r="N101" i="51"/>
  <c r="N103" i="51"/>
  <c r="N105" i="51"/>
  <c r="N108" i="51"/>
  <c r="N278" i="51"/>
  <c r="N281" i="51"/>
  <c r="N280" i="51"/>
  <c r="N107" i="51"/>
  <c r="O101" i="51"/>
  <c r="O103" i="51"/>
  <c r="O105" i="51"/>
  <c r="O108" i="51"/>
  <c r="O278" i="51"/>
  <c r="O281" i="51"/>
  <c r="O280" i="51"/>
  <c r="O107" i="51"/>
  <c r="P101" i="51"/>
  <c r="P103" i="51"/>
  <c r="P105" i="51"/>
  <c r="P108" i="51"/>
  <c r="P278" i="51"/>
  <c r="P281" i="51"/>
  <c r="P280" i="51"/>
  <c r="P107" i="51"/>
  <c r="Q101" i="51"/>
  <c r="Q103" i="51"/>
  <c r="Q105" i="51"/>
  <c r="Q108" i="51"/>
  <c r="Q278" i="51"/>
  <c r="Q281" i="51"/>
  <c r="Q280" i="51"/>
  <c r="Q107" i="51"/>
  <c r="C676" i="51"/>
  <c r="C671" i="51"/>
  <c r="C673" i="51"/>
  <c r="C674" i="51"/>
  <c r="C115" i="51"/>
  <c r="C684" i="51"/>
  <c r="C552" i="51"/>
  <c r="C520" i="51"/>
  <c r="C208" i="51"/>
  <c r="C207" i="51"/>
  <c r="C272" i="51"/>
  <c r="D676" i="51"/>
  <c r="D671" i="51"/>
  <c r="D674" i="51"/>
  <c r="D115" i="51"/>
  <c r="D684" i="51"/>
  <c r="D208" i="51"/>
  <c r="D272" i="51"/>
  <c r="E676" i="51"/>
  <c r="E671" i="51"/>
  <c r="E674" i="51"/>
  <c r="E684" i="51"/>
  <c r="F676" i="51"/>
  <c r="F671" i="51"/>
  <c r="F674" i="51"/>
  <c r="F115" i="51"/>
  <c r="F684" i="51"/>
  <c r="F208" i="51"/>
  <c r="F272" i="51"/>
  <c r="G671" i="51"/>
  <c r="G674" i="51"/>
  <c r="G115" i="51"/>
  <c r="G684" i="51"/>
  <c r="G208" i="51"/>
  <c r="G272" i="51"/>
  <c r="H676" i="51"/>
  <c r="H671" i="51"/>
  <c r="H673" i="51"/>
  <c r="H674" i="51"/>
  <c r="H115" i="51"/>
  <c r="H684" i="51"/>
  <c r="H552" i="51"/>
  <c r="H520" i="51"/>
  <c r="H208" i="51"/>
  <c r="H207" i="51"/>
  <c r="H272" i="51"/>
  <c r="I676" i="51"/>
  <c r="I671" i="51"/>
  <c r="I673" i="51"/>
  <c r="I674" i="51"/>
  <c r="I115" i="51"/>
  <c r="I684" i="51"/>
  <c r="I552" i="51"/>
  <c r="I520" i="51"/>
  <c r="I208" i="51"/>
  <c r="I207" i="51"/>
  <c r="I272" i="51"/>
  <c r="J676" i="51"/>
  <c r="J671" i="51"/>
  <c r="J673" i="51"/>
  <c r="J674" i="51"/>
  <c r="J115" i="51"/>
  <c r="J684" i="51"/>
  <c r="J552" i="51"/>
  <c r="J520" i="51"/>
  <c r="J208" i="51"/>
  <c r="J207" i="51"/>
  <c r="J272" i="51"/>
  <c r="K676" i="51"/>
  <c r="K671" i="51"/>
  <c r="K673" i="51"/>
  <c r="K674" i="51"/>
  <c r="K115" i="51"/>
  <c r="K684" i="51"/>
  <c r="K552" i="51"/>
  <c r="K520" i="51"/>
  <c r="K208" i="51"/>
  <c r="K207" i="51"/>
  <c r="K272" i="51"/>
  <c r="L676" i="51"/>
  <c r="L671" i="51"/>
  <c r="L673" i="51"/>
  <c r="L674" i="51"/>
  <c r="L115" i="51"/>
  <c r="L684" i="51"/>
  <c r="L552" i="51"/>
  <c r="L520" i="51"/>
  <c r="L208" i="51"/>
  <c r="L207" i="51"/>
  <c r="L272" i="51"/>
  <c r="M676" i="51"/>
  <c r="M671" i="51"/>
  <c r="M673" i="51"/>
  <c r="M674" i="51"/>
  <c r="M115" i="51"/>
  <c r="M684" i="51"/>
  <c r="M552" i="51"/>
  <c r="M520" i="51"/>
  <c r="M208" i="51"/>
  <c r="M207" i="51"/>
  <c r="M272" i="51"/>
  <c r="N676" i="51"/>
  <c r="N671" i="51"/>
  <c r="N673" i="51"/>
  <c r="N674" i="51"/>
  <c r="N115" i="51"/>
  <c r="N684" i="51"/>
  <c r="N552" i="51"/>
  <c r="N520" i="51"/>
  <c r="N208" i="51"/>
  <c r="N207" i="51"/>
  <c r="N272" i="51"/>
  <c r="O676" i="51"/>
  <c r="O671" i="51"/>
  <c r="O673" i="51"/>
  <c r="O674" i="51"/>
  <c r="O115" i="51"/>
  <c r="O684" i="51"/>
  <c r="O552" i="51"/>
  <c r="O520" i="51"/>
  <c r="O208" i="51"/>
  <c r="O207" i="51"/>
  <c r="O272" i="51"/>
  <c r="P676" i="51"/>
  <c r="P671" i="51"/>
  <c r="P673" i="51"/>
  <c r="P674" i="51"/>
  <c r="P115" i="51"/>
  <c r="P684" i="51"/>
  <c r="P552" i="51"/>
  <c r="P520" i="51"/>
  <c r="P208" i="51"/>
  <c r="P207" i="51"/>
  <c r="P272" i="51"/>
  <c r="Q676" i="51"/>
  <c r="Q671" i="51"/>
  <c r="Q673" i="51"/>
  <c r="Q674" i="51"/>
  <c r="Q115" i="51"/>
  <c r="Q684" i="51"/>
  <c r="Q552" i="51"/>
  <c r="Q520" i="51"/>
  <c r="Q208" i="51"/>
  <c r="Q207" i="51"/>
  <c r="Q272" i="51"/>
  <c r="C635" i="51"/>
  <c r="C672" i="51"/>
  <c r="C675" i="51"/>
  <c r="D635" i="51"/>
  <c r="D672" i="51"/>
  <c r="D675" i="51"/>
  <c r="E635" i="51"/>
  <c r="E672" i="51"/>
  <c r="F635" i="51"/>
  <c r="F672" i="51"/>
  <c r="F675" i="51"/>
  <c r="G672" i="51"/>
  <c r="G675" i="51"/>
  <c r="H635" i="51"/>
  <c r="H672" i="51"/>
  <c r="H675" i="51"/>
  <c r="I635" i="51"/>
  <c r="I672" i="51"/>
  <c r="I675" i="51"/>
  <c r="J635" i="51"/>
  <c r="J672" i="51"/>
  <c r="J675" i="51"/>
  <c r="K635" i="51"/>
  <c r="K672" i="51"/>
  <c r="K675" i="51"/>
  <c r="L635" i="51"/>
  <c r="L672" i="51"/>
  <c r="L675" i="51"/>
  <c r="M635" i="51"/>
  <c r="M672" i="51"/>
  <c r="M675" i="51"/>
  <c r="N635" i="51"/>
  <c r="N672" i="51"/>
  <c r="N675" i="51"/>
  <c r="O635" i="51"/>
  <c r="O672" i="51"/>
  <c r="O675" i="51"/>
  <c r="P635" i="51"/>
  <c r="P672" i="51"/>
  <c r="P675" i="51"/>
  <c r="Q635" i="51"/>
  <c r="Q672" i="51"/>
  <c r="Q675" i="51"/>
  <c r="C637" i="51"/>
  <c r="D637" i="51"/>
  <c r="F637" i="51"/>
  <c r="G637" i="51"/>
  <c r="H637" i="51"/>
  <c r="I637" i="51"/>
  <c r="J637" i="51"/>
  <c r="K637" i="51"/>
  <c r="L637" i="51"/>
  <c r="M637" i="51"/>
  <c r="N637" i="51"/>
  <c r="O637" i="51"/>
  <c r="P637" i="51"/>
  <c r="Q637" i="51"/>
  <c r="C636" i="51"/>
  <c r="H636" i="51"/>
  <c r="I636" i="51"/>
  <c r="J636" i="51"/>
  <c r="K636" i="51"/>
  <c r="L636" i="51"/>
  <c r="M636" i="51"/>
  <c r="N636" i="51"/>
  <c r="O636" i="51"/>
  <c r="P636" i="51"/>
  <c r="Q636" i="51"/>
  <c r="C776" i="51"/>
  <c r="D776" i="51"/>
  <c r="E776" i="51"/>
  <c r="F776" i="51"/>
  <c r="G776" i="51"/>
  <c r="H776" i="51"/>
  <c r="I776" i="51"/>
  <c r="J776" i="51"/>
  <c r="K776" i="51"/>
  <c r="L776" i="51"/>
  <c r="M776" i="51"/>
  <c r="N776" i="51"/>
  <c r="O776" i="51"/>
  <c r="P776" i="51"/>
  <c r="Q776" i="51"/>
  <c r="C828" i="51"/>
  <c r="D828" i="51"/>
  <c r="E828" i="51"/>
  <c r="F828" i="51"/>
  <c r="H828" i="51"/>
  <c r="I828" i="51"/>
  <c r="J828" i="51"/>
  <c r="K828" i="51"/>
  <c r="L828" i="51"/>
  <c r="M828" i="51"/>
  <c r="N828" i="51"/>
  <c r="O828" i="51"/>
  <c r="P828" i="51"/>
  <c r="Q828" i="51"/>
  <c r="G502" i="34"/>
  <c r="C4" i="34"/>
  <c r="D4" i="34"/>
  <c r="C5" i="34"/>
  <c r="D5" i="34"/>
  <c r="C6" i="34"/>
  <c r="D6" i="34"/>
  <c r="C7" i="34"/>
  <c r="D7" i="34"/>
  <c r="C8" i="34"/>
  <c r="D8" i="34"/>
  <c r="C9" i="34"/>
  <c r="D9" i="34"/>
  <c r="C10" i="34"/>
  <c r="D10" i="34"/>
  <c r="C11" i="34"/>
  <c r="D11" i="34"/>
  <c r="C12" i="34"/>
  <c r="D12" i="34"/>
  <c r="C13" i="34"/>
  <c r="D13" i="34"/>
  <c r="C14" i="34"/>
  <c r="D14" i="34"/>
  <c r="C15" i="34"/>
  <c r="D15" i="34"/>
  <c r="C16" i="34"/>
  <c r="D16" i="34"/>
  <c r="C17" i="34"/>
  <c r="D17" i="34"/>
  <c r="C18" i="34"/>
  <c r="D18" i="34"/>
  <c r="C19" i="34"/>
  <c r="D19" i="34"/>
  <c r="C20" i="34"/>
  <c r="D20" i="34"/>
  <c r="C21" i="34"/>
  <c r="D21" i="34"/>
  <c r="C22" i="34"/>
  <c r="D22" i="34"/>
  <c r="C23" i="34"/>
  <c r="D23" i="34"/>
  <c r="C24" i="34"/>
  <c r="D24" i="34"/>
  <c r="C25" i="34"/>
  <c r="D25" i="34"/>
  <c r="C26" i="34"/>
  <c r="D26" i="34"/>
  <c r="C27" i="34"/>
  <c r="D27" i="34"/>
  <c r="C28" i="34"/>
  <c r="D28" i="34"/>
  <c r="C29" i="34"/>
  <c r="D29" i="34"/>
  <c r="C30" i="34"/>
  <c r="D30" i="34"/>
  <c r="C31" i="34"/>
  <c r="D31" i="34"/>
  <c r="C32" i="34"/>
  <c r="D32" i="34"/>
  <c r="C33" i="34"/>
  <c r="D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D52" i="34"/>
  <c r="C53" i="34"/>
  <c r="D53" i="34"/>
  <c r="C54" i="34"/>
  <c r="D54" i="34"/>
  <c r="C55" i="34"/>
  <c r="D55" i="34"/>
  <c r="C56" i="34"/>
  <c r="D56" i="34"/>
  <c r="C57" i="34"/>
  <c r="D57" i="34"/>
  <c r="C58" i="34"/>
  <c r="D58" i="34"/>
  <c r="C59" i="34"/>
  <c r="D59" i="34"/>
  <c r="C60" i="34"/>
  <c r="D60" i="34"/>
  <c r="C61" i="34"/>
  <c r="D61" i="34"/>
  <c r="C62" i="34"/>
  <c r="D62" i="34"/>
  <c r="C63" i="34"/>
  <c r="D63" i="34"/>
  <c r="C64" i="34"/>
  <c r="D64" i="34"/>
  <c r="C65" i="34"/>
  <c r="D65" i="34"/>
  <c r="C66" i="34"/>
  <c r="D66" i="34"/>
  <c r="C67" i="34"/>
  <c r="D67" i="34"/>
  <c r="C68" i="34"/>
  <c r="D68" i="34"/>
  <c r="C69" i="34"/>
  <c r="D69" i="34"/>
  <c r="C70" i="34"/>
  <c r="D70" i="34"/>
  <c r="C71" i="34"/>
  <c r="D71" i="34"/>
  <c r="C72" i="34"/>
  <c r="D72" i="34"/>
  <c r="C73" i="34"/>
  <c r="D73" i="34"/>
  <c r="C74" i="34"/>
  <c r="D74" i="34"/>
  <c r="C75" i="34"/>
  <c r="D75" i="34"/>
  <c r="C76" i="34"/>
  <c r="D76" i="34"/>
  <c r="C77" i="34"/>
  <c r="D77" i="34"/>
  <c r="C78" i="34"/>
  <c r="D78" i="34"/>
  <c r="C79" i="34"/>
  <c r="D79" i="34"/>
  <c r="C80" i="34"/>
  <c r="D80" i="34"/>
  <c r="C81" i="34"/>
  <c r="D81" i="34"/>
  <c r="C82" i="34"/>
  <c r="D82" i="34"/>
  <c r="C83" i="34"/>
  <c r="D83" i="34"/>
  <c r="C84" i="34"/>
  <c r="D84" i="34"/>
  <c r="C85" i="34"/>
  <c r="D85" i="34"/>
  <c r="C86" i="34"/>
  <c r="D86" i="34"/>
  <c r="C87" i="34"/>
  <c r="D87" i="34"/>
  <c r="C88" i="34"/>
  <c r="D88" i="34"/>
  <c r="C89" i="34"/>
  <c r="D89" i="34"/>
  <c r="C90" i="34"/>
  <c r="D90" i="34"/>
  <c r="C91" i="34"/>
  <c r="D91" i="34"/>
  <c r="C92" i="34"/>
  <c r="D92" i="34"/>
  <c r="C93" i="34"/>
  <c r="D93" i="34"/>
  <c r="C94" i="34"/>
  <c r="D94" i="34"/>
  <c r="C95" i="34"/>
  <c r="D95" i="34"/>
  <c r="C96" i="34"/>
  <c r="D96" i="34"/>
  <c r="C97" i="34"/>
  <c r="D97" i="34"/>
  <c r="C98" i="34"/>
  <c r="D98" i="34"/>
  <c r="C99" i="34"/>
  <c r="D99" i="34"/>
  <c r="C100" i="34"/>
  <c r="D100" i="34"/>
  <c r="C101" i="34"/>
  <c r="D101" i="34"/>
  <c r="C102" i="34"/>
  <c r="D102" i="34"/>
  <c r="C103" i="34"/>
  <c r="D103" i="34"/>
  <c r="C104" i="34"/>
  <c r="D104" i="34"/>
  <c r="C105" i="34"/>
  <c r="D105" i="34"/>
  <c r="C106" i="34"/>
  <c r="D106" i="34"/>
  <c r="C107" i="34"/>
  <c r="D107" i="34"/>
  <c r="C108" i="34"/>
  <c r="D108" i="34"/>
  <c r="C109" i="34"/>
  <c r="D109" i="34"/>
  <c r="C110" i="34"/>
  <c r="D110" i="34"/>
  <c r="C111" i="34"/>
  <c r="D111" i="34"/>
  <c r="C112" i="34"/>
  <c r="D112" i="34"/>
  <c r="C113" i="34"/>
  <c r="D113" i="34"/>
  <c r="C114" i="34"/>
  <c r="D114" i="34"/>
  <c r="C115" i="34"/>
  <c r="D115" i="34"/>
  <c r="C116" i="34"/>
  <c r="D116" i="34"/>
  <c r="C117" i="34"/>
  <c r="D117" i="34"/>
  <c r="C118" i="34"/>
  <c r="D118" i="34"/>
  <c r="C119" i="34"/>
  <c r="D119" i="34"/>
  <c r="C120" i="34"/>
  <c r="D120" i="34"/>
  <c r="C121" i="34"/>
  <c r="D121" i="34"/>
  <c r="C122" i="34"/>
  <c r="D122" i="34"/>
  <c r="C123" i="34"/>
  <c r="D123" i="34"/>
  <c r="C124" i="34"/>
  <c r="D124" i="34"/>
  <c r="C125" i="34"/>
  <c r="D125" i="34"/>
  <c r="C126" i="34"/>
  <c r="D126" i="34"/>
  <c r="C127" i="34"/>
  <c r="D127" i="34"/>
  <c r="C128" i="34"/>
  <c r="D128" i="34"/>
  <c r="C129" i="34"/>
  <c r="D129" i="34"/>
  <c r="C130" i="34"/>
  <c r="D130" i="34"/>
  <c r="C131" i="34"/>
  <c r="D131" i="34"/>
  <c r="C132" i="34"/>
  <c r="D132" i="34"/>
  <c r="C133" i="34"/>
  <c r="D133" i="34"/>
  <c r="C134" i="34"/>
  <c r="D134" i="34"/>
  <c r="C135" i="34"/>
  <c r="D135" i="34"/>
  <c r="C136" i="34"/>
  <c r="D136" i="34"/>
  <c r="C137" i="34"/>
  <c r="D137" i="34"/>
  <c r="C138" i="34"/>
  <c r="D138" i="34"/>
  <c r="C139" i="34"/>
  <c r="D139" i="34"/>
  <c r="C140" i="34"/>
  <c r="D140" i="34"/>
  <c r="C141" i="34"/>
  <c r="D141" i="34"/>
  <c r="C142" i="34"/>
  <c r="D142" i="34"/>
  <c r="C143" i="34"/>
  <c r="D143" i="34"/>
  <c r="C144" i="34"/>
  <c r="D144" i="34"/>
  <c r="C145" i="34"/>
  <c r="D145" i="34"/>
  <c r="C146" i="34"/>
  <c r="D146" i="34"/>
  <c r="C147" i="34"/>
  <c r="D147" i="34"/>
  <c r="C148" i="34"/>
  <c r="D148" i="34"/>
  <c r="C149" i="34"/>
  <c r="D149" i="34"/>
  <c r="C150" i="34"/>
  <c r="D150" i="34"/>
  <c r="C151" i="34"/>
  <c r="D151" i="34"/>
  <c r="C152" i="34"/>
  <c r="D152" i="34"/>
  <c r="C153" i="34"/>
  <c r="D153" i="34"/>
  <c r="C154" i="34"/>
  <c r="D154" i="34"/>
  <c r="C155" i="34"/>
  <c r="D155" i="34"/>
  <c r="C156" i="34"/>
  <c r="D156" i="34"/>
  <c r="C157" i="34"/>
  <c r="D157" i="34"/>
  <c r="C158" i="34"/>
  <c r="D158" i="34"/>
  <c r="C159" i="34"/>
  <c r="D159" i="34"/>
  <c r="C160" i="34"/>
  <c r="D160" i="34"/>
  <c r="C161" i="34"/>
  <c r="D161" i="34"/>
  <c r="C162" i="34"/>
  <c r="D162" i="34"/>
  <c r="C163" i="34"/>
  <c r="D163" i="34"/>
  <c r="C164" i="34"/>
  <c r="D164" i="34"/>
  <c r="C165" i="34"/>
  <c r="D165" i="34"/>
  <c r="C166" i="34"/>
  <c r="D166" i="34"/>
  <c r="C167" i="34"/>
  <c r="D167" i="34"/>
  <c r="C168" i="34"/>
  <c r="D168" i="34"/>
  <c r="C169" i="34"/>
  <c r="D169" i="34"/>
  <c r="C170" i="34"/>
  <c r="D170" i="34"/>
  <c r="C171" i="34"/>
  <c r="D171" i="34"/>
  <c r="C172" i="34"/>
  <c r="D172" i="34"/>
  <c r="C173" i="34"/>
  <c r="D173" i="34"/>
  <c r="C174" i="34"/>
  <c r="D174" i="34"/>
  <c r="C175" i="34"/>
  <c r="D175" i="34"/>
  <c r="C176" i="34"/>
  <c r="D176" i="34"/>
  <c r="C177" i="34"/>
  <c r="D177" i="34"/>
  <c r="C178" i="34"/>
  <c r="D178" i="34"/>
  <c r="C179" i="34"/>
  <c r="D179" i="34"/>
  <c r="C180" i="34"/>
  <c r="D180" i="34"/>
  <c r="C181" i="34"/>
  <c r="D181" i="34"/>
  <c r="C182" i="34"/>
  <c r="D182" i="34"/>
  <c r="C183" i="34"/>
  <c r="D183" i="34"/>
  <c r="C184" i="34"/>
  <c r="D184" i="34"/>
  <c r="C185" i="34"/>
  <c r="D185" i="34"/>
  <c r="C186" i="34"/>
  <c r="D186" i="34"/>
  <c r="C187" i="34"/>
  <c r="D187" i="34"/>
  <c r="C188" i="34"/>
  <c r="D188" i="34"/>
  <c r="C189" i="34"/>
  <c r="D189" i="34"/>
  <c r="C190" i="34"/>
  <c r="D190" i="34"/>
  <c r="C191" i="34"/>
  <c r="D191" i="34"/>
  <c r="C192" i="34"/>
  <c r="D192" i="34"/>
  <c r="C193" i="34"/>
  <c r="D193" i="34"/>
  <c r="C194" i="34"/>
  <c r="D194" i="34"/>
  <c r="C195" i="34"/>
  <c r="D195" i="34"/>
  <c r="C196" i="34"/>
  <c r="D196" i="34"/>
  <c r="C197" i="34"/>
  <c r="D197" i="34"/>
  <c r="C198" i="34"/>
  <c r="D198" i="34"/>
  <c r="C199" i="34"/>
  <c r="D199" i="34"/>
  <c r="C200" i="34"/>
  <c r="D200" i="34"/>
  <c r="C201" i="34"/>
  <c r="D201" i="34"/>
  <c r="C202" i="34"/>
  <c r="D202" i="34"/>
  <c r="C203" i="34"/>
  <c r="D203" i="34"/>
  <c r="C204" i="34"/>
  <c r="D204" i="34"/>
  <c r="C205" i="34"/>
  <c r="D205" i="34"/>
  <c r="C206" i="34"/>
  <c r="D206" i="34"/>
  <c r="C207" i="34"/>
  <c r="D207" i="34"/>
  <c r="C208" i="34"/>
  <c r="D208" i="34"/>
  <c r="C209" i="34"/>
  <c r="D209" i="34"/>
  <c r="C210" i="34"/>
  <c r="D210" i="34"/>
  <c r="C211" i="34"/>
  <c r="D211" i="34"/>
  <c r="C212" i="34"/>
  <c r="D212" i="34"/>
  <c r="C213" i="34"/>
  <c r="D213" i="34"/>
  <c r="C214" i="34"/>
  <c r="D214" i="34"/>
  <c r="C215" i="34"/>
  <c r="D215" i="34"/>
  <c r="C216" i="34"/>
  <c r="D216" i="34"/>
  <c r="C217" i="34"/>
  <c r="D217" i="34"/>
  <c r="C218" i="34"/>
  <c r="D218" i="34"/>
  <c r="C219" i="34"/>
  <c r="D219" i="34"/>
  <c r="C220" i="34"/>
  <c r="D220" i="34"/>
  <c r="C221" i="34"/>
  <c r="D221" i="34"/>
  <c r="C222" i="34"/>
  <c r="D222" i="34"/>
  <c r="C223" i="34"/>
  <c r="D223" i="34"/>
  <c r="C224" i="34"/>
  <c r="D224" i="34"/>
  <c r="C225" i="34"/>
  <c r="D225" i="34"/>
  <c r="C226" i="34"/>
  <c r="D226" i="34"/>
  <c r="C227" i="34"/>
  <c r="D227" i="34"/>
  <c r="C228" i="34"/>
  <c r="D228" i="34"/>
  <c r="C229" i="34"/>
  <c r="D229" i="34"/>
  <c r="C230" i="34"/>
  <c r="D230" i="34"/>
  <c r="C231" i="34"/>
  <c r="D231" i="34"/>
  <c r="C232" i="34"/>
  <c r="D232" i="34"/>
  <c r="C233" i="34"/>
  <c r="D233" i="34"/>
  <c r="C234" i="34"/>
  <c r="D234" i="34"/>
  <c r="C235" i="34"/>
  <c r="D235" i="34"/>
  <c r="C236" i="34"/>
  <c r="D236" i="34"/>
  <c r="C237" i="34"/>
  <c r="D237" i="34"/>
  <c r="C238" i="34"/>
  <c r="D238" i="34"/>
  <c r="C239" i="34"/>
  <c r="D239" i="34"/>
  <c r="C240" i="34"/>
  <c r="D240" i="34"/>
  <c r="C241" i="34"/>
  <c r="D241" i="34"/>
  <c r="C242" i="34"/>
  <c r="D242" i="34"/>
  <c r="C243" i="34"/>
  <c r="D243" i="34"/>
  <c r="C244" i="34"/>
  <c r="D244" i="34"/>
  <c r="C245" i="34"/>
  <c r="D245" i="34"/>
  <c r="C246" i="34"/>
  <c r="D246" i="34"/>
  <c r="C247" i="34"/>
  <c r="D247" i="34"/>
  <c r="C248" i="34"/>
  <c r="D248" i="34"/>
  <c r="C249" i="34"/>
  <c r="D249" i="34"/>
  <c r="C250" i="34"/>
  <c r="D250" i="34"/>
  <c r="C251" i="34"/>
  <c r="D251" i="34"/>
  <c r="C252" i="34"/>
  <c r="D252" i="34"/>
  <c r="C253" i="34"/>
  <c r="D253" i="34"/>
  <c r="C254" i="34"/>
  <c r="D254" i="34"/>
  <c r="C255" i="34"/>
  <c r="D255" i="34"/>
  <c r="C256" i="34"/>
  <c r="D256" i="34"/>
  <c r="C257" i="34"/>
  <c r="D257" i="34"/>
  <c r="C258" i="34"/>
  <c r="D258" i="34"/>
  <c r="C259" i="34"/>
  <c r="D259" i="34"/>
  <c r="C260" i="34"/>
  <c r="D260" i="34"/>
  <c r="C261" i="34"/>
  <c r="D261" i="34"/>
  <c r="C262" i="34"/>
  <c r="D262" i="34"/>
  <c r="C263" i="34"/>
  <c r="D263" i="34"/>
  <c r="C264" i="34"/>
  <c r="D264" i="34"/>
  <c r="C265" i="34"/>
  <c r="D265" i="34"/>
  <c r="C266" i="34"/>
  <c r="D266" i="34"/>
  <c r="C267" i="34"/>
  <c r="D267" i="34"/>
  <c r="C268" i="34"/>
  <c r="D268" i="34"/>
  <c r="C269" i="34"/>
  <c r="D269" i="34"/>
  <c r="C270" i="34"/>
  <c r="D270" i="34"/>
  <c r="C271" i="34"/>
  <c r="D271" i="34"/>
  <c r="C272" i="34"/>
  <c r="D272" i="34"/>
  <c r="C273" i="34"/>
  <c r="D273" i="34"/>
  <c r="C274" i="34"/>
  <c r="D274" i="34"/>
  <c r="C275" i="34"/>
  <c r="D275" i="34"/>
  <c r="C276" i="34"/>
  <c r="D276" i="34"/>
  <c r="C277" i="34"/>
  <c r="D277" i="34"/>
  <c r="C278" i="34"/>
  <c r="D278" i="34"/>
  <c r="C279" i="34"/>
  <c r="D279" i="34"/>
  <c r="C280" i="34"/>
  <c r="D280" i="34"/>
  <c r="C281" i="34"/>
  <c r="D281" i="34"/>
  <c r="C282" i="34"/>
  <c r="D282" i="34"/>
  <c r="C283" i="34"/>
  <c r="D283" i="34"/>
  <c r="C284" i="34"/>
  <c r="D284" i="34"/>
  <c r="C285" i="34"/>
  <c r="D285" i="34"/>
  <c r="C286" i="34"/>
  <c r="D286" i="34"/>
  <c r="C287" i="34"/>
  <c r="D287" i="34"/>
  <c r="C288" i="34"/>
  <c r="D288" i="34"/>
  <c r="C289" i="34"/>
  <c r="D289" i="34"/>
  <c r="C290" i="34"/>
  <c r="D290" i="34"/>
  <c r="C291" i="34"/>
  <c r="D291" i="34"/>
  <c r="C292" i="34"/>
  <c r="D292" i="34"/>
  <c r="C293" i="34"/>
  <c r="D293" i="34"/>
  <c r="C294" i="34"/>
  <c r="D294" i="34"/>
  <c r="C295" i="34"/>
  <c r="D295" i="34"/>
  <c r="C296" i="34"/>
  <c r="D296" i="34"/>
  <c r="C297" i="34"/>
  <c r="D297" i="34"/>
  <c r="C298" i="34"/>
  <c r="D298" i="34"/>
  <c r="C299" i="34"/>
  <c r="D299" i="34"/>
  <c r="C300" i="34"/>
  <c r="D300" i="34"/>
  <c r="C301" i="34"/>
  <c r="D301" i="34"/>
  <c r="C302" i="34"/>
  <c r="D302" i="34"/>
  <c r="C303" i="34"/>
  <c r="D303" i="34"/>
  <c r="C304" i="34"/>
  <c r="D304" i="34"/>
  <c r="C305" i="34"/>
  <c r="D305" i="34"/>
  <c r="C306" i="34"/>
  <c r="D306" i="34"/>
  <c r="C307" i="34"/>
  <c r="D307" i="34"/>
  <c r="C308" i="34"/>
  <c r="D308" i="34"/>
  <c r="C309" i="34"/>
  <c r="D309" i="34"/>
  <c r="C310" i="34"/>
  <c r="D310" i="34"/>
  <c r="C311" i="34"/>
  <c r="D311" i="34"/>
  <c r="C312" i="34"/>
  <c r="D312" i="34"/>
  <c r="C313" i="34"/>
  <c r="D313" i="34"/>
  <c r="C314" i="34"/>
  <c r="D314" i="34"/>
  <c r="C315" i="34"/>
  <c r="D315" i="34"/>
  <c r="C316" i="34"/>
  <c r="D316" i="34"/>
  <c r="C317" i="34"/>
  <c r="D317" i="34"/>
  <c r="C318" i="34"/>
  <c r="D318" i="34"/>
  <c r="C319" i="34"/>
  <c r="D319" i="34"/>
  <c r="C320" i="34"/>
  <c r="D320" i="34"/>
  <c r="C321" i="34"/>
  <c r="D321" i="34"/>
  <c r="C322" i="34"/>
  <c r="D322" i="34"/>
  <c r="C323" i="34"/>
  <c r="D323" i="34"/>
  <c r="C324" i="34"/>
  <c r="D324" i="34"/>
  <c r="C325" i="34"/>
  <c r="D325" i="34"/>
  <c r="C326" i="34"/>
  <c r="D326" i="34"/>
  <c r="C327" i="34"/>
  <c r="D327" i="34"/>
  <c r="C328" i="34"/>
  <c r="D328" i="34"/>
  <c r="C329" i="34"/>
  <c r="D329" i="34"/>
  <c r="C330" i="34"/>
  <c r="D330" i="34"/>
  <c r="C331" i="34"/>
  <c r="D331" i="34"/>
  <c r="C332" i="34"/>
  <c r="D332" i="34"/>
  <c r="C333" i="34"/>
  <c r="D333" i="34"/>
  <c r="C334" i="34"/>
  <c r="D334" i="34"/>
  <c r="C335" i="34"/>
  <c r="D335" i="34"/>
  <c r="C336" i="34"/>
  <c r="D336" i="34"/>
  <c r="C337" i="34"/>
  <c r="D337" i="34"/>
  <c r="C338" i="34"/>
  <c r="D338" i="34"/>
  <c r="C339" i="34"/>
  <c r="D339" i="34"/>
  <c r="C340" i="34"/>
  <c r="D340" i="34"/>
  <c r="C341" i="34"/>
  <c r="D341" i="34"/>
  <c r="C342" i="34"/>
  <c r="D342" i="34"/>
  <c r="C343" i="34"/>
  <c r="D343" i="34"/>
  <c r="C344" i="34"/>
  <c r="D344" i="34"/>
  <c r="C345" i="34"/>
  <c r="D345" i="34"/>
  <c r="C346" i="34"/>
  <c r="D346" i="34"/>
  <c r="C347" i="34"/>
  <c r="D347" i="34"/>
  <c r="C348" i="34"/>
  <c r="D348" i="34"/>
  <c r="C349" i="34"/>
  <c r="D349" i="34"/>
  <c r="C350" i="34"/>
  <c r="D350" i="34"/>
  <c r="C351" i="34"/>
  <c r="D351" i="34"/>
  <c r="C352" i="34"/>
  <c r="D352" i="34"/>
  <c r="C353" i="34"/>
  <c r="D353" i="34"/>
  <c r="C354" i="34"/>
  <c r="D354" i="34"/>
  <c r="C355" i="34"/>
  <c r="D355" i="34"/>
  <c r="C356" i="34"/>
  <c r="D356" i="34"/>
  <c r="C357" i="34"/>
  <c r="D357" i="34"/>
  <c r="C358" i="34"/>
  <c r="D358" i="34"/>
  <c r="C359" i="34"/>
  <c r="D359" i="34"/>
  <c r="C360" i="34"/>
  <c r="D360" i="34"/>
  <c r="C361" i="34"/>
  <c r="D361" i="34"/>
  <c r="C362" i="34"/>
  <c r="D362" i="34"/>
  <c r="C363" i="34"/>
  <c r="D363" i="34"/>
  <c r="C364" i="34"/>
  <c r="D364" i="34"/>
  <c r="C365" i="34"/>
  <c r="D365" i="34"/>
  <c r="C366" i="34"/>
  <c r="D366" i="34"/>
  <c r="C367" i="34"/>
  <c r="D367" i="34"/>
  <c r="C368" i="34"/>
  <c r="D368" i="34"/>
  <c r="C369" i="34"/>
  <c r="D369" i="34"/>
  <c r="C370" i="34"/>
  <c r="D370" i="34"/>
  <c r="C371" i="34"/>
  <c r="D371" i="34"/>
  <c r="C372" i="34"/>
  <c r="D372" i="34"/>
  <c r="C373" i="34"/>
  <c r="D373" i="34"/>
  <c r="C374" i="34"/>
  <c r="D374" i="34"/>
  <c r="C375" i="34"/>
  <c r="D375" i="34"/>
  <c r="C376" i="34"/>
  <c r="D376" i="34"/>
  <c r="C377" i="34"/>
  <c r="D377" i="34"/>
  <c r="C378" i="34"/>
  <c r="D378" i="34"/>
  <c r="C379" i="34"/>
  <c r="D379" i="34"/>
  <c r="C380" i="34"/>
  <c r="D380" i="34"/>
  <c r="C381" i="34"/>
  <c r="D381" i="34"/>
  <c r="C382" i="34"/>
  <c r="D382" i="34"/>
  <c r="C383" i="34"/>
  <c r="D383" i="34"/>
  <c r="C384" i="34"/>
  <c r="D384" i="34"/>
  <c r="C385" i="34"/>
  <c r="D385" i="34"/>
  <c r="C386" i="34"/>
  <c r="D386" i="34"/>
  <c r="C387" i="34"/>
  <c r="D387" i="34"/>
  <c r="C388" i="34"/>
  <c r="D388" i="34"/>
  <c r="C389" i="34"/>
  <c r="D389" i="34"/>
  <c r="C390" i="34"/>
  <c r="D390" i="34"/>
  <c r="C391" i="34"/>
  <c r="D391" i="34"/>
  <c r="C392" i="34"/>
  <c r="D392" i="34"/>
  <c r="C393" i="34"/>
  <c r="D393" i="34"/>
  <c r="C394" i="34"/>
  <c r="D394" i="34"/>
  <c r="C395" i="34"/>
  <c r="D395" i="34"/>
  <c r="C396" i="34"/>
  <c r="D396" i="34"/>
  <c r="C397" i="34"/>
  <c r="D397" i="34"/>
  <c r="C398" i="34"/>
  <c r="D398" i="34"/>
  <c r="C399" i="34"/>
  <c r="D399" i="34"/>
  <c r="C400" i="34"/>
  <c r="D400" i="34"/>
  <c r="C401" i="34"/>
  <c r="D401" i="34"/>
  <c r="C402" i="34"/>
  <c r="D402" i="34"/>
  <c r="C403" i="34"/>
  <c r="D403" i="34"/>
  <c r="C404" i="34"/>
  <c r="D404" i="34"/>
  <c r="C405" i="34"/>
  <c r="D405" i="34"/>
  <c r="C406" i="34"/>
  <c r="D406" i="34"/>
  <c r="C407" i="34"/>
  <c r="D407" i="34"/>
  <c r="C408" i="34"/>
  <c r="D408" i="34"/>
  <c r="C409" i="34"/>
  <c r="D409" i="34"/>
  <c r="C410" i="34"/>
  <c r="D410" i="34"/>
  <c r="C411" i="34"/>
  <c r="D411" i="34"/>
  <c r="C412" i="34"/>
  <c r="D412" i="34"/>
  <c r="C413" i="34"/>
  <c r="D413" i="34"/>
  <c r="C414" i="34"/>
  <c r="D414" i="34"/>
  <c r="C415" i="34"/>
  <c r="D415" i="34"/>
  <c r="C416" i="34"/>
  <c r="G416" i="34" s="1"/>
  <c r="D416" i="34"/>
  <c r="H416" i="34" s="1"/>
  <c r="C417" i="34"/>
  <c r="G417" i="34" s="1"/>
  <c r="D417" i="34"/>
  <c r="H417" i="34" s="1"/>
  <c r="C418" i="34"/>
  <c r="G418" i="34" s="1"/>
  <c r="D418" i="34"/>
  <c r="H418" i="34" s="1"/>
  <c r="C419" i="34"/>
  <c r="G419" i="34" s="1"/>
  <c r="D419" i="34"/>
  <c r="H419" i="34" s="1"/>
  <c r="C420" i="34"/>
  <c r="G420" i="34" s="1"/>
  <c r="D420" i="34"/>
  <c r="H420" i="34" s="1"/>
  <c r="C421" i="34"/>
  <c r="G421" i="34" s="1"/>
  <c r="D421" i="34"/>
  <c r="H421" i="34" s="1"/>
  <c r="C422" i="34"/>
  <c r="G422" i="34" s="1"/>
  <c r="D422" i="34"/>
  <c r="H422" i="34" s="1"/>
  <c r="C423" i="34"/>
  <c r="G423" i="34" s="1"/>
  <c r="D423" i="34"/>
  <c r="H423" i="34" s="1"/>
  <c r="C424" i="34"/>
  <c r="G424" i="34" s="1"/>
  <c r="D424" i="34"/>
  <c r="H424" i="34" s="1"/>
  <c r="C425" i="34"/>
  <c r="G425" i="34" s="1"/>
  <c r="D425" i="34"/>
  <c r="H425" i="34" s="1"/>
  <c r="C426" i="34"/>
  <c r="G426" i="34" s="1"/>
  <c r="D426" i="34"/>
  <c r="H426" i="34" s="1"/>
  <c r="C427" i="34"/>
  <c r="G427" i="34" s="1"/>
  <c r="D427" i="34"/>
  <c r="H427" i="34" s="1"/>
  <c r="C428" i="34"/>
  <c r="G428" i="34" s="1"/>
  <c r="D428" i="34"/>
  <c r="H428" i="34" s="1"/>
  <c r="C429" i="34"/>
  <c r="G429" i="34" s="1"/>
  <c r="D429" i="34"/>
  <c r="H429" i="34" s="1"/>
  <c r="C430" i="34"/>
  <c r="G430" i="34" s="1"/>
  <c r="D430" i="34"/>
  <c r="H430" i="34" s="1"/>
  <c r="C431" i="34"/>
  <c r="G431" i="34" s="1"/>
  <c r="D431" i="34"/>
  <c r="H431" i="34" s="1"/>
  <c r="C432" i="34"/>
  <c r="G432" i="34" s="1"/>
  <c r="D432" i="34"/>
  <c r="H432" i="34" s="1"/>
  <c r="C433" i="34"/>
  <c r="G433" i="34" s="1"/>
  <c r="D433" i="34"/>
  <c r="H433" i="34" s="1"/>
  <c r="C434" i="34"/>
  <c r="G434" i="34" s="1"/>
  <c r="D434" i="34"/>
  <c r="H434" i="34" s="1"/>
  <c r="C435" i="34"/>
  <c r="G435" i="34" s="1"/>
  <c r="D435" i="34"/>
  <c r="H435" i="34" s="1"/>
  <c r="C436" i="34"/>
  <c r="G436" i="34" s="1"/>
  <c r="D436" i="34"/>
  <c r="H436" i="34" s="1"/>
  <c r="C437" i="34"/>
  <c r="G437" i="34" s="1"/>
  <c r="D437" i="34"/>
  <c r="H437" i="34" s="1"/>
  <c r="C438" i="34"/>
  <c r="G438" i="34" s="1"/>
  <c r="D438" i="34"/>
  <c r="H438" i="34" s="1"/>
  <c r="C439" i="34"/>
  <c r="G439" i="34" s="1"/>
  <c r="D439" i="34"/>
  <c r="H439" i="34" s="1"/>
  <c r="C440" i="34"/>
  <c r="G440" i="34" s="1"/>
  <c r="D440" i="34"/>
  <c r="H440" i="34" s="1"/>
  <c r="C441" i="34"/>
  <c r="G441" i="34" s="1"/>
  <c r="D441" i="34"/>
  <c r="H441" i="34" s="1"/>
  <c r="C442" i="34"/>
  <c r="G442" i="34" s="1"/>
  <c r="D442" i="34"/>
  <c r="H442" i="34" s="1"/>
  <c r="C443" i="34"/>
  <c r="G443" i="34" s="1"/>
  <c r="D443" i="34"/>
  <c r="H443" i="34" s="1"/>
  <c r="C444" i="34"/>
  <c r="G444" i="34" s="1"/>
  <c r="D444" i="34"/>
  <c r="H444" i="34" s="1"/>
  <c r="C445" i="34"/>
  <c r="G445" i="34" s="1"/>
  <c r="D445" i="34"/>
  <c r="H445" i="34" s="1"/>
  <c r="C446" i="34"/>
  <c r="G446" i="34" s="1"/>
  <c r="D446" i="34"/>
  <c r="H446" i="34" s="1"/>
  <c r="C447" i="34"/>
  <c r="G447" i="34" s="1"/>
  <c r="D447" i="34"/>
  <c r="H447" i="34" s="1"/>
  <c r="C448" i="34"/>
  <c r="G448" i="34" s="1"/>
  <c r="D448" i="34"/>
  <c r="H448" i="34" s="1"/>
  <c r="C449" i="34"/>
  <c r="G449" i="34" s="1"/>
  <c r="D449" i="34"/>
  <c r="H449" i="34" s="1"/>
  <c r="C450" i="34"/>
  <c r="G450" i="34" s="1"/>
  <c r="D450" i="34"/>
  <c r="H450" i="34" s="1"/>
  <c r="C451" i="34"/>
  <c r="G451" i="34" s="1"/>
  <c r="D451" i="34"/>
  <c r="H451" i="34" s="1"/>
  <c r="C452" i="34"/>
  <c r="G452" i="34" s="1"/>
  <c r="D452" i="34"/>
  <c r="H452" i="34" s="1"/>
  <c r="C453" i="34"/>
  <c r="G453" i="34" s="1"/>
  <c r="D453" i="34"/>
  <c r="H453" i="34" s="1"/>
  <c r="C454" i="34"/>
  <c r="G454" i="34" s="1"/>
  <c r="D454" i="34"/>
  <c r="H454" i="34" s="1"/>
  <c r="C455" i="34"/>
  <c r="G455" i="34" s="1"/>
  <c r="D455" i="34"/>
  <c r="H455" i="34" s="1"/>
  <c r="C456" i="34"/>
  <c r="G456" i="34" s="1"/>
  <c r="D456" i="34"/>
  <c r="H456" i="34" s="1"/>
  <c r="C457" i="34"/>
  <c r="G457" i="34" s="1"/>
  <c r="D457" i="34"/>
  <c r="H457" i="34" s="1"/>
  <c r="C458" i="34"/>
  <c r="G458" i="34" s="1"/>
  <c r="D458" i="34"/>
  <c r="H458" i="34" s="1"/>
  <c r="C459" i="34"/>
  <c r="G459" i="34" s="1"/>
  <c r="D459" i="34"/>
  <c r="H459" i="34" s="1"/>
  <c r="C460" i="34"/>
  <c r="G460" i="34" s="1"/>
  <c r="D460" i="34"/>
  <c r="H460" i="34" s="1"/>
  <c r="C461" i="34"/>
  <c r="G461" i="34" s="1"/>
  <c r="D461" i="34"/>
  <c r="H461" i="34" s="1"/>
  <c r="C462" i="34"/>
  <c r="G462" i="34" s="1"/>
  <c r="D462" i="34"/>
  <c r="H462" i="34" s="1"/>
  <c r="C463" i="34"/>
  <c r="G463" i="34" s="1"/>
  <c r="D463" i="34"/>
  <c r="H463" i="34" s="1"/>
  <c r="C464" i="34"/>
  <c r="G464" i="34" s="1"/>
  <c r="D464" i="34"/>
  <c r="H464" i="34" s="1"/>
  <c r="C465" i="34"/>
  <c r="G465" i="34" s="1"/>
  <c r="D465" i="34"/>
  <c r="H465" i="34" s="1"/>
  <c r="C466" i="34"/>
  <c r="G466" i="34" s="1"/>
  <c r="D466" i="34"/>
  <c r="H466" i="34" s="1"/>
  <c r="C467" i="34"/>
  <c r="G467" i="34" s="1"/>
  <c r="D467" i="34"/>
  <c r="H467" i="34" s="1"/>
  <c r="C468" i="34"/>
  <c r="G468" i="34" s="1"/>
  <c r="D468" i="34"/>
  <c r="H468" i="34" s="1"/>
  <c r="C469" i="34"/>
  <c r="G469" i="34" s="1"/>
  <c r="D469" i="34"/>
  <c r="H469" i="34" s="1"/>
  <c r="C470" i="34"/>
  <c r="G470" i="34" s="1"/>
  <c r="D470" i="34"/>
  <c r="H470" i="34" s="1"/>
  <c r="C471" i="34"/>
  <c r="G471" i="34" s="1"/>
  <c r="D471" i="34"/>
  <c r="H471" i="34" s="1"/>
  <c r="C472" i="34"/>
  <c r="G472" i="34" s="1"/>
  <c r="D472" i="34"/>
  <c r="H472" i="34" s="1"/>
  <c r="C473" i="34"/>
  <c r="G473" i="34" s="1"/>
  <c r="D473" i="34"/>
  <c r="H473" i="34" s="1"/>
  <c r="C474" i="34"/>
  <c r="G474" i="34" s="1"/>
  <c r="D474" i="34"/>
  <c r="H474" i="34" s="1"/>
  <c r="C475" i="34"/>
  <c r="G475" i="34" s="1"/>
  <c r="D475" i="34"/>
  <c r="H475" i="34" s="1"/>
  <c r="C476" i="34"/>
  <c r="G476" i="34" s="1"/>
  <c r="D476" i="34"/>
  <c r="H476" i="34" s="1"/>
  <c r="C477" i="34"/>
  <c r="G477" i="34" s="1"/>
  <c r="D477" i="34"/>
  <c r="H477" i="34" s="1"/>
  <c r="C478" i="34"/>
  <c r="G478" i="34" s="1"/>
  <c r="D478" i="34"/>
  <c r="H478" i="34" s="1"/>
  <c r="C479" i="34"/>
  <c r="G479" i="34" s="1"/>
  <c r="D479" i="34"/>
  <c r="H479" i="34" s="1"/>
  <c r="C480" i="34"/>
  <c r="G480" i="34" s="1"/>
  <c r="D480" i="34"/>
  <c r="H480" i="34" s="1"/>
  <c r="C481" i="34"/>
  <c r="G481" i="34" s="1"/>
  <c r="D481" i="34"/>
  <c r="H481" i="34" s="1"/>
  <c r="C482" i="34"/>
  <c r="G482" i="34" s="1"/>
  <c r="D482" i="34"/>
  <c r="H482" i="34" s="1"/>
  <c r="C483" i="34"/>
  <c r="G483" i="34" s="1"/>
  <c r="D483" i="34"/>
  <c r="H483" i="34" s="1"/>
  <c r="C484" i="34"/>
  <c r="G484" i="34" s="1"/>
  <c r="D484" i="34"/>
  <c r="H484" i="34" s="1"/>
  <c r="C485" i="34"/>
  <c r="G485" i="34" s="1"/>
  <c r="D485" i="34"/>
  <c r="H485" i="34" s="1"/>
  <c r="C486" i="34"/>
  <c r="G486" i="34" s="1"/>
  <c r="D486" i="34"/>
  <c r="H486" i="34" s="1"/>
  <c r="C487" i="34"/>
  <c r="G487" i="34" s="1"/>
  <c r="D487" i="34"/>
  <c r="H487" i="34" s="1"/>
  <c r="C488" i="34"/>
  <c r="G488" i="34" s="1"/>
  <c r="D488" i="34"/>
  <c r="H488" i="34" s="1"/>
  <c r="C489" i="34"/>
  <c r="G489" i="34" s="1"/>
  <c r="D489" i="34"/>
  <c r="H489" i="34" s="1"/>
  <c r="C490" i="34"/>
  <c r="G490" i="34" s="1"/>
  <c r="D490" i="34"/>
  <c r="H490" i="34" s="1"/>
  <c r="C491" i="34"/>
  <c r="G491" i="34" s="1"/>
  <c r="D491" i="34"/>
  <c r="H491" i="34" s="1"/>
  <c r="C492" i="34"/>
  <c r="G492" i="34" s="1"/>
  <c r="D492" i="34"/>
  <c r="H492" i="34" s="1"/>
  <c r="C493" i="34"/>
  <c r="G493" i="34" s="1"/>
  <c r="D493" i="34"/>
  <c r="H493" i="34" s="1"/>
  <c r="C494" i="34"/>
  <c r="G494" i="34" s="1"/>
  <c r="D494" i="34"/>
  <c r="H494" i="34" s="1"/>
  <c r="C495" i="34"/>
  <c r="G495" i="34" s="1"/>
  <c r="D495" i="34"/>
  <c r="H495" i="34" s="1"/>
  <c r="C496" i="34"/>
  <c r="G496" i="34" s="1"/>
  <c r="D496" i="34"/>
  <c r="H496" i="34" s="1"/>
  <c r="C497" i="34"/>
  <c r="G497" i="34" s="1"/>
  <c r="D497" i="34"/>
  <c r="H497" i="34" s="1"/>
  <c r="C498" i="34"/>
  <c r="G498" i="34" s="1"/>
  <c r="D498" i="34"/>
  <c r="H498" i="34" s="1"/>
  <c r="C499" i="34"/>
  <c r="G499" i="34" s="1"/>
  <c r="D499" i="34"/>
  <c r="H499" i="34" s="1"/>
  <c r="C500" i="34"/>
  <c r="G500" i="34" s="1"/>
  <c r="D500" i="34"/>
  <c r="H500" i="34" s="1"/>
  <c r="C501" i="34"/>
  <c r="G501" i="34" s="1"/>
  <c r="D501" i="34"/>
  <c r="H501" i="34" s="1"/>
  <c r="C502" i="34"/>
  <c r="D502" i="34"/>
  <c r="H502" i="34" s="1"/>
  <c r="C503" i="34"/>
  <c r="G503" i="34" s="1"/>
  <c r="D503" i="34"/>
  <c r="H503" i="34" s="1"/>
  <c r="C504" i="34"/>
  <c r="G504" i="34" s="1"/>
  <c r="D504" i="34"/>
  <c r="H504" i="34" s="1"/>
  <c r="C505" i="34"/>
  <c r="G505" i="34" s="1"/>
  <c r="D505" i="34"/>
  <c r="H505" i="34" s="1"/>
  <c r="C506" i="34"/>
  <c r="G506" i="34" s="1"/>
  <c r="D506" i="34"/>
  <c r="H506" i="34" s="1"/>
  <c r="C507" i="34"/>
  <c r="G507" i="34" s="1"/>
  <c r="D507" i="34"/>
  <c r="H507" i="34" s="1"/>
  <c r="C508" i="34"/>
  <c r="G508" i="34" s="1"/>
  <c r="D508" i="34"/>
  <c r="H508" i="34" s="1"/>
  <c r="C509" i="34"/>
  <c r="G509" i="34" s="1"/>
  <c r="D509" i="34"/>
  <c r="H509" i="34" s="1"/>
  <c r="C510" i="34"/>
  <c r="G510" i="34" s="1"/>
  <c r="D510" i="34"/>
  <c r="H510" i="34" s="1"/>
  <c r="C511" i="34"/>
  <c r="G511" i="34" s="1"/>
  <c r="D511" i="34"/>
  <c r="H511" i="34" s="1"/>
  <c r="C512" i="34"/>
  <c r="G512" i="34" s="1"/>
  <c r="D512" i="34"/>
  <c r="H512" i="34" s="1"/>
  <c r="C513" i="34"/>
  <c r="G513" i="34" s="1"/>
  <c r="D513" i="34"/>
  <c r="H513" i="34" s="1"/>
  <c r="C514" i="34"/>
  <c r="G514" i="34" s="1"/>
  <c r="D514" i="34"/>
  <c r="H514" i="34" s="1"/>
  <c r="C515" i="34"/>
  <c r="G515" i="34" s="1"/>
  <c r="D515" i="34"/>
  <c r="H515" i="34" s="1"/>
  <c r="C516" i="34"/>
  <c r="G516" i="34" s="1"/>
  <c r="D516" i="34"/>
  <c r="H516" i="34" s="1"/>
  <c r="C517" i="34"/>
  <c r="G517" i="34" s="1"/>
  <c r="D517" i="34"/>
  <c r="H517" i="34" s="1"/>
  <c r="C518" i="34"/>
  <c r="G518" i="34" s="1"/>
  <c r="D518" i="34"/>
  <c r="H518" i="34" s="1"/>
  <c r="C519" i="34"/>
  <c r="G519" i="34" s="1"/>
  <c r="D519" i="34"/>
  <c r="H519" i="34" s="1"/>
  <c r="C520" i="34"/>
  <c r="G520" i="34" s="1"/>
  <c r="D520" i="34"/>
  <c r="H520" i="34" s="1"/>
  <c r="C521" i="34"/>
  <c r="G521" i="34" s="1"/>
  <c r="D521" i="34"/>
  <c r="H521" i="34" s="1"/>
  <c r="C522" i="34"/>
  <c r="G522" i="34" s="1"/>
  <c r="D522" i="34"/>
  <c r="H522" i="34" s="1"/>
  <c r="C523" i="34"/>
  <c r="G523" i="34" s="1"/>
  <c r="D523" i="34"/>
  <c r="H523" i="34" s="1"/>
  <c r="C524" i="34"/>
  <c r="G524" i="34" s="1"/>
  <c r="D524" i="34"/>
  <c r="H524" i="34" s="1"/>
  <c r="C525" i="34"/>
  <c r="G525" i="34" s="1"/>
  <c r="D525" i="34"/>
  <c r="H525" i="34" s="1"/>
  <c r="C526" i="34"/>
  <c r="G526" i="34" s="1"/>
  <c r="D526" i="34"/>
  <c r="H526" i="34" s="1"/>
  <c r="C527" i="34"/>
  <c r="G527" i="34" s="1"/>
  <c r="D527" i="34"/>
  <c r="H527" i="34" s="1"/>
  <c r="C528" i="34"/>
  <c r="G528" i="34" s="1"/>
  <c r="D528" i="34"/>
  <c r="H528" i="34" s="1"/>
  <c r="C529" i="34"/>
  <c r="G529" i="34" s="1"/>
  <c r="D529" i="34"/>
  <c r="H529" i="34" s="1"/>
  <c r="C530" i="34"/>
  <c r="G530" i="34" s="1"/>
  <c r="D530" i="34"/>
  <c r="H530" i="34" s="1"/>
  <c r="C531" i="34"/>
  <c r="G531" i="34" s="1"/>
  <c r="D531" i="34"/>
  <c r="H531" i="34" s="1"/>
  <c r="C532" i="34"/>
  <c r="G532" i="34" s="1"/>
  <c r="D532" i="34"/>
  <c r="H532" i="34" s="1"/>
  <c r="C533" i="34"/>
  <c r="G533" i="34" s="1"/>
  <c r="D533" i="34"/>
  <c r="H533" i="34" s="1"/>
  <c r="C534" i="34"/>
  <c r="G534" i="34" s="1"/>
  <c r="D534" i="34"/>
  <c r="H534" i="34" s="1"/>
  <c r="C535" i="34"/>
  <c r="G535" i="34" s="1"/>
  <c r="D535" i="34"/>
  <c r="H535" i="34" s="1"/>
  <c r="C536" i="34"/>
  <c r="G536" i="34" s="1"/>
  <c r="D536" i="34"/>
  <c r="H536" i="34" s="1"/>
  <c r="C537" i="34"/>
  <c r="G537" i="34" s="1"/>
  <c r="D537" i="34"/>
  <c r="H537" i="34" s="1"/>
  <c r="C538" i="34"/>
  <c r="G538" i="34" s="1"/>
  <c r="D538" i="34"/>
  <c r="H538" i="34" s="1"/>
  <c r="C539" i="34"/>
  <c r="G539" i="34" s="1"/>
  <c r="D539" i="34"/>
  <c r="H539" i="34" s="1"/>
  <c r="C540" i="34"/>
  <c r="G540" i="34" s="1"/>
  <c r="D540" i="34"/>
  <c r="H540" i="34" s="1"/>
  <c r="C541" i="34"/>
  <c r="G541" i="34" s="1"/>
  <c r="D541" i="34"/>
  <c r="H541" i="34" s="1"/>
  <c r="C542" i="34"/>
  <c r="G542" i="34" s="1"/>
  <c r="D542" i="34"/>
  <c r="H542" i="34" s="1"/>
  <c r="C543" i="34"/>
  <c r="G543" i="34" s="1"/>
  <c r="D543" i="34"/>
  <c r="H543" i="34" s="1"/>
  <c r="C544" i="34"/>
  <c r="G544" i="34" s="1"/>
  <c r="D544" i="34"/>
  <c r="H544" i="34" s="1"/>
  <c r="C545" i="34"/>
  <c r="G545" i="34" s="1"/>
  <c r="D545" i="34"/>
  <c r="H545" i="34" s="1"/>
  <c r="C546" i="34"/>
  <c r="G546" i="34" s="1"/>
  <c r="D546" i="34"/>
  <c r="H546" i="34" s="1"/>
  <c r="C547" i="34"/>
  <c r="G547" i="34" s="1"/>
  <c r="D547" i="34"/>
  <c r="H547" i="34" s="1"/>
  <c r="C548" i="34"/>
  <c r="G548" i="34" s="1"/>
  <c r="D548" i="34"/>
  <c r="H548" i="34" s="1"/>
  <c r="C549" i="34"/>
  <c r="G549" i="34" s="1"/>
  <c r="D549" i="34"/>
  <c r="H549" i="34" s="1"/>
  <c r="C550" i="34"/>
  <c r="G550" i="34" s="1"/>
  <c r="D550" i="34"/>
  <c r="H550" i="34" s="1"/>
  <c r="C551" i="34"/>
  <c r="G551" i="34" s="1"/>
  <c r="D551" i="34"/>
  <c r="H551" i="34" s="1"/>
  <c r="C552" i="34"/>
  <c r="G552" i="34" s="1"/>
  <c r="D552" i="34"/>
  <c r="H552" i="34" s="1"/>
  <c r="C553" i="34"/>
  <c r="G553" i="34" s="1"/>
  <c r="D553" i="34"/>
  <c r="H553" i="34" s="1"/>
  <c r="C554" i="34"/>
  <c r="G554" i="34" s="1"/>
  <c r="D554" i="34"/>
  <c r="H554" i="34" s="1"/>
  <c r="C555" i="34"/>
  <c r="G555" i="34" s="1"/>
  <c r="D555" i="34"/>
  <c r="H555" i="34" s="1"/>
  <c r="C556" i="34"/>
  <c r="G556" i="34" s="1"/>
  <c r="D556" i="34"/>
  <c r="H556" i="34" s="1"/>
  <c r="C557" i="34"/>
  <c r="G557" i="34" s="1"/>
  <c r="D557" i="34"/>
  <c r="H557" i="34" s="1"/>
  <c r="C558" i="34"/>
  <c r="G558" i="34" s="1"/>
  <c r="D558" i="34"/>
  <c r="H558" i="34" s="1"/>
  <c r="C559" i="34"/>
  <c r="G559" i="34" s="1"/>
  <c r="D559" i="34"/>
  <c r="H559" i="34" s="1"/>
  <c r="C560" i="34"/>
  <c r="G560" i="34" s="1"/>
  <c r="D560" i="34"/>
  <c r="H560" i="34" s="1"/>
  <c r="C561" i="34"/>
  <c r="G561" i="34" s="1"/>
  <c r="D561" i="34"/>
  <c r="H561" i="34" s="1"/>
  <c r="C562" i="34"/>
  <c r="G562" i="34" s="1"/>
  <c r="D562" i="34"/>
  <c r="H562" i="34" s="1"/>
  <c r="C563" i="34"/>
  <c r="G563" i="34" s="1"/>
  <c r="D563" i="34"/>
  <c r="H563" i="34" s="1"/>
  <c r="C564" i="34"/>
  <c r="G564" i="34" s="1"/>
  <c r="D564" i="34"/>
  <c r="H564" i="34" s="1"/>
  <c r="C565" i="34"/>
  <c r="G565" i="34" s="1"/>
  <c r="D565" i="34"/>
  <c r="H565" i="34" s="1"/>
  <c r="C566" i="34"/>
  <c r="G566" i="34" s="1"/>
  <c r="D566" i="34"/>
  <c r="H566" i="34" s="1"/>
  <c r="C567" i="34"/>
  <c r="G567" i="34" s="1"/>
  <c r="D567" i="34"/>
  <c r="H567" i="34" s="1"/>
  <c r="C568" i="34"/>
  <c r="G568" i="34" s="1"/>
  <c r="D568" i="34"/>
  <c r="H568" i="34" s="1"/>
  <c r="C569" i="34"/>
  <c r="G569" i="34" s="1"/>
  <c r="D569" i="34"/>
  <c r="H569" i="34" s="1"/>
  <c r="C570" i="34"/>
  <c r="G570" i="34" s="1"/>
  <c r="D570" i="34"/>
  <c r="H570" i="34" s="1"/>
  <c r="C571" i="34"/>
  <c r="G571" i="34" s="1"/>
  <c r="D571" i="34"/>
  <c r="H571" i="34" s="1"/>
  <c r="C572" i="34"/>
  <c r="G572" i="34" s="1"/>
  <c r="D572" i="34"/>
  <c r="H572" i="34" s="1"/>
  <c r="C573" i="34"/>
  <c r="G573" i="34" s="1"/>
  <c r="D573" i="34"/>
  <c r="H573" i="34" s="1"/>
  <c r="C574" i="34"/>
  <c r="G574" i="34" s="1"/>
  <c r="D574" i="34"/>
  <c r="H574" i="34" s="1"/>
  <c r="C575" i="34"/>
  <c r="G575" i="34" s="1"/>
  <c r="D575" i="34"/>
  <c r="H575" i="34" s="1"/>
  <c r="C576" i="34"/>
  <c r="G576" i="34" s="1"/>
  <c r="D576" i="34"/>
  <c r="H576" i="34" s="1"/>
  <c r="C577" i="34"/>
  <c r="G577" i="34" s="1"/>
  <c r="D577" i="34"/>
  <c r="H577" i="34" s="1"/>
  <c r="C578" i="34"/>
  <c r="G578" i="34" s="1"/>
  <c r="D578" i="34"/>
  <c r="H578" i="34" s="1"/>
  <c r="C579" i="34"/>
  <c r="G579" i="34" s="1"/>
  <c r="D579" i="34"/>
  <c r="H579" i="34" s="1"/>
  <c r="C580" i="34"/>
  <c r="G580" i="34" s="1"/>
  <c r="D580" i="34"/>
  <c r="H580" i="34" s="1"/>
  <c r="C581" i="34"/>
  <c r="G581" i="34" s="1"/>
  <c r="D581" i="34"/>
  <c r="H581" i="34" s="1"/>
  <c r="C582" i="34"/>
  <c r="G582" i="34" s="1"/>
  <c r="D582" i="34"/>
  <c r="H582" i="34" s="1"/>
  <c r="C583" i="34"/>
  <c r="G583" i="34" s="1"/>
  <c r="D583" i="34"/>
  <c r="H583" i="34" s="1"/>
  <c r="C584" i="34"/>
  <c r="G584" i="34" s="1"/>
  <c r="D584" i="34"/>
  <c r="H584" i="34" s="1"/>
  <c r="C585" i="34"/>
  <c r="G585" i="34" s="1"/>
  <c r="D585" i="34"/>
  <c r="H585" i="34" s="1"/>
  <c r="C586" i="34"/>
  <c r="G586" i="34" s="1"/>
  <c r="D586" i="34"/>
  <c r="H586" i="34" s="1"/>
  <c r="C587" i="34"/>
  <c r="G587" i="34" s="1"/>
  <c r="D587" i="34"/>
  <c r="H587" i="34" s="1"/>
  <c r="C588" i="34"/>
  <c r="G588" i="34" s="1"/>
  <c r="D588" i="34"/>
  <c r="H588" i="34" s="1"/>
  <c r="C589" i="34"/>
  <c r="G589" i="34" s="1"/>
  <c r="D589" i="34"/>
  <c r="H589" i="34" s="1"/>
  <c r="C590" i="34"/>
  <c r="G590" i="34" s="1"/>
  <c r="D590" i="34"/>
  <c r="H590" i="34" s="1"/>
  <c r="C591" i="34"/>
  <c r="G591" i="34" s="1"/>
  <c r="D591" i="34"/>
  <c r="H591" i="34" s="1"/>
  <c r="C592" i="34"/>
  <c r="G592" i="34" s="1"/>
  <c r="D592" i="34"/>
  <c r="H592" i="34" s="1"/>
  <c r="C593" i="34"/>
  <c r="G593" i="34" s="1"/>
  <c r="D593" i="34"/>
  <c r="H593" i="34" s="1"/>
  <c r="C594" i="34"/>
  <c r="G594" i="34" s="1"/>
  <c r="D594" i="34"/>
  <c r="H594" i="34" s="1"/>
  <c r="C595" i="34"/>
  <c r="G595" i="34" s="1"/>
  <c r="D595" i="34"/>
  <c r="H595" i="34" s="1"/>
  <c r="C596" i="34"/>
  <c r="G596" i="34" s="1"/>
  <c r="D596" i="34"/>
  <c r="H596" i="34" s="1"/>
  <c r="C597" i="34"/>
  <c r="G597" i="34" s="1"/>
  <c r="D597" i="34"/>
  <c r="H597" i="34" s="1"/>
  <c r="C598" i="34"/>
  <c r="G598" i="34" s="1"/>
  <c r="D598" i="34"/>
  <c r="H598" i="34" s="1"/>
  <c r="C599" i="34"/>
  <c r="G599" i="34" s="1"/>
  <c r="D599" i="34"/>
  <c r="H599" i="34" s="1"/>
  <c r="C600" i="34"/>
  <c r="G600" i="34" s="1"/>
  <c r="D600" i="34"/>
  <c r="H600" i="34" s="1"/>
  <c r="C601" i="34"/>
  <c r="G601" i="34" s="1"/>
  <c r="D601" i="34"/>
  <c r="H601" i="34" s="1"/>
  <c r="C602" i="34"/>
  <c r="G602" i="34" s="1"/>
  <c r="D602" i="34"/>
  <c r="H602" i="34" s="1"/>
  <c r="C603" i="34"/>
  <c r="G603" i="34" s="1"/>
  <c r="D603" i="34"/>
  <c r="H603" i="34" s="1"/>
  <c r="C604" i="34"/>
  <c r="G604" i="34" s="1"/>
  <c r="D604" i="34"/>
  <c r="H604" i="34" s="1"/>
  <c r="C605" i="34"/>
  <c r="G605" i="34" s="1"/>
  <c r="D605" i="34"/>
  <c r="H605" i="34" s="1"/>
  <c r="C606" i="34"/>
  <c r="G606" i="34" s="1"/>
  <c r="D606" i="34"/>
  <c r="H606" i="34" s="1"/>
  <c r="C607" i="34"/>
  <c r="G607" i="34" s="1"/>
  <c r="D607" i="34"/>
  <c r="H607" i="34" s="1"/>
  <c r="C608" i="34"/>
  <c r="G608" i="34" s="1"/>
  <c r="D608" i="34"/>
  <c r="H608" i="34" s="1"/>
  <c r="C609" i="34"/>
  <c r="G609" i="34" s="1"/>
  <c r="D609" i="34"/>
  <c r="H609" i="34" s="1"/>
  <c r="C610" i="34"/>
  <c r="G610" i="34" s="1"/>
  <c r="D610" i="34"/>
  <c r="H610" i="34" s="1"/>
  <c r="C611" i="34"/>
  <c r="G611" i="34" s="1"/>
  <c r="D611" i="34"/>
  <c r="H611" i="34" s="1"/>
  <c r="C612" i="34"/>
  <c r="G612" i="34" s="1"/>
  <c r="D612" i="34"/>
  <c r="H612" i="34" s="1"/>
  <c r="C613" i="34"/>
  <c r="G613" i="34" s="1"/>
  <c r="D613" i="34"/>
  <c r="H613" i="34" s="1"/>
  <c r="C614" i="34"/>
  <c r="G614" i="34" s="1"/>
  <c r="D614" i="34"/>
  <c r="H614" i="34" s="1"/>
  <c r="C615" i="34"/>
  <c r="G615" i="34" s="1"/>
  <c r="D615" i="34"/>
  <c r="H615" i="34" s="1"/>
  <c r="C616" i="34"/>
  <c r="G616" i="34" s="1"/>
  <c r="D616" i="34"/>
  <c r="H616" i="34" s="1"/>
  <c r="C617" i="34"/>
  <c r="G617" i="34" s="1"/>
  <c r="D617" i="34"/>
  <c r="H617" i="34" s="1"/>
  <c r="C618" i="34"/>
  <c r="G618" i="34" s="1"/>
  <c r="D618" i="34"/>
  <c r="H618" i="34" s="1"/>
  <c r="C619" i="34"/>
  <c r="G619" i="34" s="1"/>
  <c r="D619" i="34"/>
  <c r="H619" i="34" s="1"/>
  <c r="C620" i="34"/>
  <c r="G620" i="34" s="1"/>
  <c r="D620" i="34"/>
  <c r="H620" i="34" s="1"/>
  <c r="C621" i="34"/>
  <c r="G621" i="34" s="1"/>
  <c r="D621" i="34"/>
  <c r="H621" i="34" s="1"/>
  <c r="C622" i="34"/>
  <c r="G622" i="34" s="1"/>
  <c r="D622" i="34"/>
  <c r="H622" i="34" s="1"/>
  <c r="C623" i="34"/>
  <c r="G623" i="34" s="1"/>
  <c r="D623" i="34"/>
  <c r="H623" i="34" s="1"/>
  <c r="C624" i="34"/>
  <c r="G624" i="34" s="1"/>
  <c r="D624" i="34"/>
  <c r="H624" i="34" s="1"/>
  <c r="C625" i="34"/>
  <c r="G625" i="34" s="1"/>
  <c r="D625" i="34"/>
  <c r="H625" i="34" s="1"/>
  <c r="C626" i="34"/>
  <c r="G626" i="34" s="1"/>
  <c r="D626" i="34"/>
  <c r="H626" i="34" s="1"/>
  <c r="C627" i="34"/>
  <c r="G627" i="34" s="1"/>
  <c r="D627" i="34"/>
  <c r="H627" i="34" s="1"/>
  <c r="C628" i="34"/>
  <c r="G628" i="34" s="1"/>
  <c r="D628" i="34"/>
  <c r="H628" i="34" s="1"/>
  <c r="C629" i="34"/>
  <c r="G629" i="34" s="1"/>
  <c r="D629" i="34"/>
  <c r="H629" i="34" s="1"/>
  <c r="C630" i="34"/>
  <c r="G630" i="34" s="1"/>
  <c r="D630" i="34"/>
  <c r="H630" i="34" s="1"/>
  <c r="C631" i="34"/>
  <c r="G631" i="34" s="1"/>
  <c r="D631" i="34"/>
  <c r="H631" i="34" s="1"/>
  <c r="C632" i="34"/>
  <c r="G632" i="34" s="1"/>
  <c r="D632" i="34"/>
  <c r="H632" i="34" s="1"/>
  <c r="C633" i="34"/>
  <c r="G633" i="34" s="1"/>
  <c r="D633" i="34"/>
  <c r="H633" i="34" s="1"/>
  <c r="C634" i="34"/>
  <c r="G634" i="34" s="1"/>
  <c r="D634" i="34"/>
  <c r="H634" i="34" s="1"/>
  <c r="C635" i="34"/>
  <c r="G635" i="34" s="1"/>
  <c r="D635" i="34"/>
  <c r="H635" i="34" s="1"/>
  <c r="C636" i="34"/>
  <c r="G636" i="34" s="1"/>
  <c r="D636" i="34"/>
  <c r="H636" i="34" s="1"/>
  <c r="C637" i="34"/>
  <c r="G637" i="34" s="1"/>
  <c r="D637" i="34"/>
  <c r="H637" i="34" s="1"/>
  <c r="C638" i="34"/>
  <c r="G638" i="34" s="1"/>
  <c r="D638" i="34"/>
  <c r="H638" i="34" s="1"/>
  <c r="C639" i="34"/>
  <c r="G639" i="34" s="1"/>
  <c r="D639" i="34"/>
  <c r="H639" i="34" s="1"/>
  <c r="C640" i="34"/>
  <c r="G640" i="34" s="1"/>
  <c r="D640" i="34"/>
  <c r="H640" i="34" s="1"/>
  <c r="C641" i="34"/>
  <c r="G641" i="34" s="1"/>
  <c r="D641" i="34"/>
  <c r="H641" i="34" s="1"/>
  <c r="C642" i="34"/>
  <c r="G642" i="34" s="1"/>
  <c r="D642" i="34"/>
  <c r="H642" i="34" s="1"/>
  <c r="C643" i="34"/>
  <c r="G643" i="34" s="1"/>
  <c r="D643" i="34"/>
  <c r="H643" i="34" s="1"/>
  <c r="C644" i="34"/>
  <c r="G644" i="34" s="1"/>
  <c r="D644" i="34"/>
  <c r="H644" i="34" s="1"/>
  <c r="C645" i="34"/>
  <c r="G645" i="34" s="1"/>
  <c r="D645" i="34"/>
  <c r="H645" i="34" s="1"/>
  <c r="C646" i="34"/>
  <c r="G646" i="34" s="1"/>
  <c r="D646" i="34"/>
  <c r="H646" i="34" s="1"/>
  <c r="C647" i="34"/>
  <c r="G647" i="34" s="1"/>
  <c r="D647" i="34"/>
  <c r="H647" i="34" s="1"/>
  <c r="C648" i="34"/>
  <c r="G648" i="34" s="1"/>
  <c r="D648" i="34"/>
  <c r="H648" i="34" s="1"/>
  <c r="C649" i="34"/>
  <c r="G649" i="34" s="1"/>
  <c r="D649" i="34"/>
  <c r="H649" i="34" s="1"/>
  <c r="C650" i="34"/>
  <c r="G650" i="34" s="1"/>
  <c r="D650" i="34"/>
  <c r="H650" i="34" s="1"/>
  <c r="C651" i="34"/>
  <c r="G651" i="34" s="1"/>
  <c r="D651" i="34"/>
  <c r="H651" i="34" s="1"/>
  <c r="C652" i="34"/>
  <c r="G652" i="34" s="1"/>
  <c r="D652" i="34"/>
  <c r="H652" i="34" s="1"/>
  <c r="C653" i="34"/>
  <c r="G653" i="34" s="1"/>
  <c r="D653" i="34"/>
  <c r="H653" i="34" s="1"/>
  <c r="C654" i="34"/>
  <c r="G654" i="34" s="1"/>
  <c r="D654" i="34"/>
  <c r="H654" i="34" s="1"/>
  <c r="C655" i="34"/>
  <c r="G655" i="34" s="1"/>
  <c r="D655" i="34"/>
  <c r="H655" i="34" s="1"/>
  <c r="C656" i="34"/>
  <c r="G656" i="34" s="1"/>
  <c r="D656" i="34"/>
  <c r="H656" i="34" s="1"/>
  <c r="C657" i="34"/>
  <c r="G657" i="34" s="1"/>
  <c r="D657" i="34"/>
  <c r="H657" i="34" s="1"/>
  <c r="C658" i="34"/>
  <c r="G658" i="34" s="1"/>
  <c r="D658" i="34"/>
  <c r="H658" i="34" s="1"/>
  <c r="C659" i="34"/>
  <c r="G659" i="34" s="1"/>
  <c r="D659" i="34"/>
  <c r="H659" i="34" s="1"/>
  <c r="C660" i="34"/>
  <c r="G660" i="34" s="1"/>
  <c r="D660" i="34"/>
  <c r="H660" i="34" s="1"/>
  <c r="C661" i="34"/>
  <c r="G661" i="34" s="1"/>
  <c r="D661" i="34"/>
  <c r="H661" i="34" s="1"/>
  <c r="C662" i="34"/>
  <c r="G662" i="34" s="1"/>
  <c r="D662" i="34"/>
  <c r="H662" i="34" s="1"/>
  <c r="C663" i="34"/>
  <c r="G663" i="34" s="1"/>
  <c r="D663" i="34"/>
  <c r="H663" i="34" s="1"/>
  <c r="C664" i="34"/>
  <c r="G664" i="34" s="1"/>
  <c r="D664" i="34"/>
  <c r="H664" i="34" s="1"/>
  <c r="C665" i="34"/>
  <c r="G665" i="34" s="1"/>
  <c r="D665" i="34"/>
  <c r="H665" i="34" s="1"/>
  <c r="C666" i="34"/>
  <c r="G666" i="34" s="1"/>
  <c r="D666" i="34"/>
  <c r="H666" i="34" s="1"/>
  <c r="C667" i="34"/>
  <c r="G667" i="34" s="1"/>
  <c r="D667" i="34"/>
  <c r="H667" i="34" s="1"/>
  <c r="C668" i="34"/>
  <c r="G668" i="34" s="1"/>
  <c r="D668" i="34"/>
  <c r="H668" i="34" s="1"/>
  <c r="C669" i="34"/>
  <c r="G669" i="34" s="1"/>
  <c r="D669" i="34"/>
  <c r="H669" i="34" s="1"/>
  <c r="C670" i="34"/>
  <c r="G670" i="34" s="1"/>
  <c r="D670" i="34"/>
  <c r="H670" i="34" s="1"/>
  <c r="C671" i="34"/>
  <c r="G671" i="34" s="1"/>
  <c r="D671" i="34"/>
  <c r="H671" i="34" s="1"/>
  <c r="C672" i="34"/>
  <c r="G672" i="34" s="1"/>
  <c r="D672" i="34"/>
  <c r="H672" i="34" s="1"/>
  <c r="C673" i="34"/>
  <c r="G673" i="34" s="1"/>
  <c r="D673" i="34"/>
  <c r="H673" i="34" s="1"/>
  <c r="C674" i="34"/>
  <c r="G674" i="34" s="1"/>
  <c r="D674" i="34"/>
  <c r="H674" i="34" s="1"/>
  <c r="C675" i="34"/>
  <c r="G675" i="34" s="1"/>
  <c r="D675" i="34"/>
  <c r="H675" i="34" s="1"/>
  <c r="C676" i="34"/>
  <c r="G676" i="34" s="1"/>
  <c r="D676" i="34"/>
  <c r="H676" i="34" s="1"/>
  <c r="C677" i="34"/>
  <c r="G677" i="34" s="1"/>
  <c r="D677" i="34"/>
  <c r="H677" i="34" s="1"/>
  <c r="C678" i="34"/>
  <c r="G678" i="34" s="1"/>
  <c r="D678" i="34"/>
  <c r="H678" i="34" s="1"/>
  <c r="C679" i="34"/>
  <c r="G679" i="34" s="1"/>
  <c r="D679" i="34"/>
  <c r="H679" i="34" s="1"/>
  <c r="C680" i="34"/>
  <c r="G680" i="34" s="1"/>
  <c r="D680" i="34"/>
  <c r="H680" i="34" s="1"/>
  <c r="C681" i="34"/>
  <c r="G681" i="34" s="1"/>
  <c r="D681" i="34"/>
  <c r="H681" i="34" s="1"/>
  <c r="C682" i="34"/>
  <c r="G682" i="34" s="1"/>
  <c r="D682" i="34"/>
  <c r="H682" i="34" s="1"/>
  <c r="C683" i="34"/>
  <c r="G683" i="34" s="1"/>
  <c r="D683" i="34"/>
  <c r="H683" i="34" s="1"/>
  <c r="C684" i="34"/>
  <c r="G684" i="34" s="1"/>
  <c r="D684" i="34"/>
  <c r="H684" i="34" s="1"/>
  <c r="C685" i="34"/>
  <c r="G685" i="34" s="1"/>
  <c r="D685" i="34"/>
  <c r="H685" i="34" s="1"/>
  <c r="C686" i="34"/>
  <c r="G686" i="34" s="1"/>
  <c r="D686" i="34"/>
  <c r="H686" i="34" s="1"/>
  <c r="C687" i="34"/>
  <c r="G687" i="34" s="1"/>
  <c r="D687" i="34"/>
  <c r="H687" i="34" s="1"/>
  <c r="C688" i="34"/>
  <c r="G688" i="34" s="1"/>
  <c r="D688" i="34"/>
  <c r="H688" i="34" s="1"/>
  <c r="C689" i="34"/>
  <c r="G689" i="34" s="1"/>
  <c r="D689" i="34"/>
  <c r="H689" i="34" s="1"/>
  <c r="C690" i="34"/>
  <c r="G690" i="34" s="1"/>
  <c r="D690" i="34"/>
  <c r="H690" i="34" s="1"/>
  <c r="C691" i="34"/>
  <c r="G691" i="34" s="1"/>
  <c r="D691" i="34"/>
  <c r="H691" i="34" s="1"/>
  <c r="C692" i="34"/>
  <c r="G692" i="34" s="1"/>
  <c r="D692" i="34"/>
  <c r="H692" i="34" s="1"/>
  <c r="C693" i="34"/>
  <c r="G693" i="34" s="1"/>
  <c r="D693" i="34"/>
  <c r="H693" i="34" s="1"/>
  <c r="C694" i="34"/>
  <c r="G694" i="34" s="1"/>
  <c r="D694" i="34"/>
  <c r="H694" i="34" s="1"/>
  <c r="C695" i="34"/>
  <c r="G695" i="34" s="1"/>
  <c r="D695" i="34"/>
  <c r="H695" i="34" s="1"/>
  <c r="C696" i="34"/>
  <c r="G696" i="34" s="1"/>
  <c r="D696" i="34"/>
  <c r="H696" i="34" s="1"/>
  <c r="C697" i="34"/>
  <c r="G697" i="34" s="1"/>
  <c r="D697" i="34"/>
  <c r="H697" i="34" s="1"/>
  <c r="C698" i="34"/>
  <c r="G698" i="34" s="1"/>
  <c r="D698" i="34"/>
  <c r="H698" i="34" s="1"/>
  <c r="C699" i="34"/>
  <c r="G699" i="34" s="1"/>
  <c r="D699" i="34"/>
  <c r="H699" i="34" s="1"/>
  <c r="C700" i="34"/>
  <c r="G700" i="34" s="1"/>
  <c r="D700" i="34"/>
  <c r="H700" i="34" s="1"/>
  <c r="C701" i="34"/>
  <c r="G701" i="34" s="1"/>
  <c r="D701" i="34"/>
  <c r="H701" i="34" s="1"/>
  <c r="C702" i="34"/>
  <c r="G702" i="34" s="1"/>
  <c r="D702" i="34"/>
  <c r="H702" i="34" s="1"/>
  <c r="C703" i="34"/>
  <c r="G703" i="34" s="1"/>
  <c r="D703" i="34"/>
  <c r="H703" i="34" s="1"/>
  <c r="C704" i="34"/>
  <c r="G704" i="34" s="1"/>
  <c r="D704" i="34"/>
  <c r="H704" i="34" s="1"/>
  <c r="C705" i="34"/>
  <c r="G705" i="34" s="1"/>
  <c r="D705" i="34"/>
  <c r="H705" i="34" s="1"/>
  <c r="C706" i="34"/>
  <c r="G706" i="34" s="1"/>
  <c r="D706" i="34"/>
  <c r="H706" i="34" s="1"/>
  <c r="C707" i="34"/>
  <c r="G707" i="34" s="1"/>
  <c r="D707" i="34"/>
  <c r="H707" i="34" s="1"/>
  <c r="C708" i="34"/>
  <c r="G708" i="34" s="1"/>
  <c r="D708" i="34"/>
  <c r="H708" i="34" s="1"/>
  <c r="C709" i="34"/>
  <c r="G709" i="34" s="1"/>
  <c r="D709" i="34"/>
  <c r="H709" i="34" s="1"/>
  <c r="C710" i="34"/>
  <c r="G710" i="34" s="1"/>
  <c r="D710" i="34"/>
  <c r="H710" i="34" s="1"/>
  <c r="C711" i="34"/>
  <c r="G711" i="34" s="1"/>
  <c r="D711" i="34"/>
  <c r="H711" i="34" s="1"/>
  <c r="C712" i="34"/>
  <c r="G712" i="34" s="1"/>
  <c r="D712" i="34"/>
  <c r="H712" i="34" s="1"/>
  <c r="C713" i="34"/>
  <c r="G713" i="34" s="1"/>
  <c r="D713" i="34"/>
  <c r="H713" i="34" s="1"/>
  <c r="C714" i="34"/>
  <c r="G714" i="34" s="1"/>
  <c r="D714" i="34"/>
  <c r="H714" i="34" s="1"/>
  <c r="C715" i="34"/>
  <c r="G715" i="34" s="1"/>
  <c r="D715" i="34"/>
  <c r="H715" i="34" s="1"/>
  <c r="C716" i="34"/>
  <c r="G716" i="34" s="1"/>
  <c r="D716" i="34"/>
  <c r="H716" i="34" s="1"/>
  <c r="C717" i="34"/>
  <c r="G717" i="34" s="1"/>
  <c r="D717" i="34"/>
  <c r="H717" i="34" s="1"/>
  <c r="C718" i="34"/>
  <c r="G718" i="34" s="1"/>
  <c r="D718" i="34"/>
  <c r="H718" i="34" s="1"/>
  <c r="C719" i="34"/>
  <c r="G719" i="34" s="1"/>
  <c r="D719" i="34"/>
  <c r="H719" i="34" s="1"/>
  <c r="C720" i="34"/>
  <c r="G720" i="34" s="1"/>
  <c r="D720" i="34"/>
  <c r="H720" i="34" s="1"/>
  <c r="C721" i="34"/>
  <c r="G721" i="34" s="1"/>
  <c r="D721" i="34"/>
  <c r="H721" i="34" s="1"/>
  <c r="C722" i="34"/>
  <c r="G722" i="34" s="1"/>
  <c r="D722" i="34"/>
  <c r="H722" i="34" s="1"/>
  <c r="C723" i="34"/>
  <c r="G723" i="34" s="1"/>
  <c r="D723" i="34"/>
  <c r="H723" i="34" s="1"/>
  <c r="C724" i="34"/>
  <c r="G724" i="34" s="1"/>
  <c r="D724" i="34"/>
  <c r="H724" i="34" s="1"/>
  <c r="C725" i="34"/>
  <c r="G725" i="34" s="1"/>
  <c r="D725" i="34"/>
  <c r="H725" i="34" s="1"/>
  <c r="C726" i="34"/>
  <c r="G726" i="34" s="1"/>
  <c r="D726" i="34"/>
  <c r="H726" i="34" s="1"/>
  <c r="C727" i="34"/>
  <c r="G727" i="34" s="1"/>
  <c r="D727" i="34"/>
  <c r="H727" i="34" s="1"/>
  <c r="C728" i="34"/>
  <c r="G728" i="34" s="1"/>
  <c r="D728" i="34"/>
  <c r="H728" i="34" s="1"/>
  <c r="C729" i="34"/>
  <c r="G729" i="34" s="1"/>
  <c r="D729" i="34"/>
  <c r="H729" i="34" s="1"/>
  <c r="C730" i="34"/>
  <c r="G730" i="34" s="1"/>
  <c r="D730" i="34"/>
  <c r="H730" i="34" s="1"/>
  <c r="C731" i="34"/>
  <c r="G731" i="34" s="1"/>
  <c r="D731" i="34"/>
  <c r="H731" i="34" s="1"/>
  <c r="C572" i="51"/>
  <c r="F572" i="51"/>
  <c r="H572" i="51"/>
  <c r="I572" i="51"/>
  <c r="J572" i="51"/>
  <c r="K572" i="51"/>
  <c r="L572" i="51"/>
  <c r="M572" i="51"/>
  <c r="N572" i="51"/>
  <c r="O572" i="51"/>
  <c r="P572" i="51"/>
  <c r="Q572" i="51"/>
  <c r="C573" i="51"/>
  <c r="D573" i="51"/>
  <c r="F573" i="51"/>
  <c r="G573" i="51"/>
  <c r="H573" i="51"/>
  <c r="I573" i="51"/>
  <c r="J573" i="51"/>
  <c r="K573" i="51"/>
  <c r="L573" i="51"/>
  <c r="M573" i="51"/>
  <c r="N573" i="51"/>
  <c r="O573" i="51"/>
  <c r="P573" i="51"/>
  <c r="Q573" i="51"/>
  <c r="C574" i="51"/>
  <c r="D574" i="51"/>
  <c r="E574" i="51"/>
  <c r="F574" i="51"/>
  <c r="G574" i="51"/>
  <c r="H574" i="51"/>
  <c r="I574" i="51"/>
  <c r="J574" i="51"/>
  <c r="K574" i="51"/>
  <c r="L574" i="51"/>
  <c r="M574" i="51"/>
  <c r="N574" i="51"/>
  <c r="O574" i="51"/>
  <c r="P574" i="51"/>
  <c r="Q574" i="51"/>
  <c r="C575" i="51"/>
  <c r="D575" i="51"/>
  <c r="E575" i="51"/>
  <c r="F575" i="51"/>
  <c r="H575" i="51"/>
  <c r="I575" i="51"/>
  <c r="J575" i="51"/>
  <c r="K575" i="51"/>
  <c r="L575" i="51"/>
  <c r="M575" i="51"/>
  <c r="N575" i="51"/>
  <c r="O575" i="51"/>
  <c r="P575" i="51"/>
  <c r="Q575" i="51"/>
  <c r="C576" i="51"/>
  <c r="H576" i="51"/>
  <c r="I576" i="51"/>
  <c r="J576" i="51"/>
  <c r="K576" i="51"/>
  <c r="L576" i="51"/>
  <c r="M576" i="51"/>
  <c r="N576" i="51"/>
  <c r="O576" i="51"/>
  <c r="P576" i="51"/>
  <c r="Q576" i="51"/>
  <c r="C577" i="51"/>
  <c r="D577" i="51"/>
  <c r="F577" i="51"/>
  <c r="G577" i="51"/>
  <c r="H577" i="51"/>
  <c r="I577" i="51"/>
  <c r="J577" i="51"/>
  <c r="K577" i="51"/>
  <c r="L577" i="51"/>
  <c r="M577" i="51"/>
  <c r="N577" i="51"/>
  <c r="O577" i="51"/>
  <c r="P577" i="51"/>
  <c r="Q577" i="51"/>
  <c r="C578" i="51"/>
  <c r="D578" i="51"/>
  <c r="E578" i="51"/>
  <c r="F578" i="51"/>
  <c r="G578" i="51"/>
  <c r="H578" i="51"/>
  <c r="I578" i="51"/>
  <c r="J578" i="51"/>
  <c r="K578" i="51"/>
  <c r="L578" i="51"/>
  <c r="M578" i="51"/>
  <c r="N578" i="51"/>
  <c r="O578" i="51"/>
  <c r="P578" i="51"/>
  <c r="Q578" i="51"/>
  <c r="C579" i="51"/>
  <c r="D579" i="51"/>
  <c r="E579" i="51"/>
  <c r="F579" i="51"/>
  <c r="H579" i="51"/>
  <c r="I579" i="51"/>
  <c r="J579" i="51"/>
  <c r="K579" i="51"/>
  <c r="L579" i="51"/>
  <c r="M579" i="51"/>
  <c r="N579" i="51"/>
  <c r="O579" i="51"/>
  <c r="P579" i="51"/>
  <c r="Q579" i="51"/>
  <c r="C580" i="51"/>
  <c r="H580" i="51"/>
  <c r="I580" i="51"/>
  <c r="J580" i="51"/>
  <c r="K580" i="51"/>
  <c r="L580" i="51"/>
  <c r="M580" i="51"/>
  <c r="N580" i="51"/>
  <c r="O580" i="51"/>
  <c r="P580" i="51"/>
  <c r="Q580" i="51"/>
  <c r="C581" i="51"/>
  <c r="D581" i="51"/>
  <c r="F581" i="51"/>
  <c r="G581" i="51"/>
  <c r="H581" i="51"/>
  <c r="I581" i="51"/>
  <c r="J581" i="51"/>
  <c r="K581" i="51"/>
  <c r="L581" i="51"/>
  <c r="M581" i="51"/>
  <c r="N581" i="51"/>
  <c r="O581" i="51"/>
  <c r="P581" i="51"/>
  <c r="Q581" i="51"/>
  <c r="C582" i="51"/>
  <c r="D582" i="51"/>
  <c r="E582" i="51"/>
  <c r="F582" i="51"/>
  <c r="G582" i="51"/>
  <c r="H582" i="51"/>
  <c r="I582" i="51"/>
  <c r="J582" i="51"/>
  <c r="K582" i="51"/>
  <c r="L582" i="51"/>
  <c r="M582" i="51"/>
  <c r="N582" i="51"/>
  <c r="O582" i="51"/>
  <c r="P582" i="51"/>
  <c r="Q582" i="51"/>
  <c r="C583" i="51"/>
  <c r="D583" i="51"/>
  <c r="E583" i="51"/>
  <c r="F583" i="51"/>
  <c r="H583" i="51"/>
  <c r="I583" i="51"/>
  <c r="J583" i="51"/>
  <c r="K583" i="51"/>
  <c r="L583" i="51"/>
  <c r="M583" i="51"/>
  <c r="N583" i="51"/>
  <c r="O583" i="51"/>
  <c r="P583" i="51"/>
  <c r="Q583" i="51"/>
  <c r="C584" i="51"/>
  <c r="H584" i="51"/>
  <c r="I584" i="51"/>
  <c r="J584" i="51"/>
  <c r="K584" i="51"/>
  <c r="L584" i="51"/>
  <c r="M584" i="51"/>
  <c r="N584" i="51"/>
  <c r="O584" i="51"/>
  <c r="P584" i="51"/>
  <c r="Q584" i="51"/>
  <c r="C585" i="51"/>
  <c r="D585" i="51"/>
  <c r="F585" i="51"/>
  <c r="G585" i="51"/>
  <c r="H585" i="51"/>
  <c r="I585" i="51"/>
  <c r="J585" i="51"/>
  <c r="K585" i="51"/>
  <c r="L585" i="51"/>
  <c r="M585" i="51"/>
  <c r="N585" i="51"/>
  <c r="O585" i="51"/>
  <c r="P585" i="51"/>
  <c r="Q585" i="51"/>
  <c r="C586" i="51"/>
  <c r="D586" i="51"/>
  <c r="E586" i="51"/>
  <c r="F586" i="51"/>
  <c r="G586" i="51"/>
  <c r="H586" i="51"/>
  <c r="I586" i="51"/>
  <c r="J586" i="51"/>
  <c r="K586" i="51"/>
  <c r="L586" i="51"/>
  <c r="M586" i="51"/>
  <c r="N586" i="51"/>
  <c r="O586" i="51"/>
  <c r="P586" i="51"/>
  <c r="Q586" i="51"/>
  <c r="C587" i="51"/>
  <c r="D587" i="51"/>
  <c r="E587" i="51"/>
  <c r="F587" i="51"/>
  <c r="H587" i="51"/>
  <c r="I587" i="51"/>
  <c r="J587" i="51"/>
  <c r="K587" i="51"/>
  <c r="L587" i="51"/>
  <c r="M587" i="51"/>
  <c r="N587" i="51"/>
  <c r="O587" i="51"/>
  <c r="P587" i="51"/>
  <c r="Q587" i="51"/>
  <c r="C588" i="51"/>
  <c r="F588" i="51"/>
  <c r="H588" i="51"/>
  <c r="I588" i="51"/>
  <c r="J588" i="51"/>
  <c r="K588" i="51"/>
  <c r="L588" i="51"/>
  <c r="M588" i="51"/>
  <c r="N588" i="51"/>
  <c r="O588" i="51"/>
  <c r="P588" i="51"/>
  <c r="Q588" i="51"/>
  <c r="C589" i="51"/>
  <c r="D589" i="51"/>
  <c r="F589" i="51"/>
  <c r="G589" i="51"/>
  <c r="H589" i="51"/>
  <c r="I589" i="51"/>
  <c r="J589" i="51"/>
  <c r="K589" i="51"/>
  <c r="L589" i="51"/>
  <c r="M589" i="51"/>
  <c r="N589" i="51"/>
  <c r="O589" i="51"/>
  <c r="P589" i="51"/>
  <c r="Q589" i="51"/>
  <c r="C590" i="51"/>
  <c r="D590" i="51"/>
  <c r="E590" i="51"/>
  <c r="F590" i="51"/>
  <c r="G590" i="51"/>
  <c r="H590" i="51"/>
  <c r="I590" i="51"/>
  <c r="J590" i="51"/>
  <c r="K590" i="51"/>
  <c r="L590" i="51"/>
  <c r="M590" i="51"/>
  <c r="N590" i="51"/>
  <c r="O590" i="51"/>
  <c r="P590" i="51"/>
  <c r="Q590" i="51"/>
  <c r="C811" i="51"/>
  <c r="D811" i="51"/>
  <c r="E811" i="51"/>
  <c r="F811" i="51"/>
  <c r="G811" i="51"/>
  <c r="H811" i="51"/>
  <c r="I811" i="51"/>
  <c r="J811" i="51"/>
  <c r="K811" i="51"/>
  <c r="L811" i="51"/>
  <c r="M811" i="51"/>
  <c r="N811" i="51"/>
  <c r="O811" i="51"/>
  <c r="P811" i="51"/>
  <c r="Q811" i="51"/>
  <c r="C591" i="51"/>
  <c r="D591" i="51"/>
  <c r="E591" i="51"/>
  <c r="F591" i="51"/>
  <c r="H591" i="51"/>
  <c r="I591" i="51"/>
  <c r="J591" i="51"/>
  <c r="K591" i="51"/>
  <c r="L591" i="51"/>
  <c r="M591" i="51"/>
  <c r="N591" i="51"/>
  <c r="O591" i="51"/>
  <c r="P591" i="51"/>
  <c r="Q591" i="51"/>
  <c r="C592" i="51"/>
  <c r="H592" i="51"/>
  <c r="I592" i="51"/>
  <c r="J592" i="51"/>
  <c r="K592" i="51"/>
  <c r="L592" i="51"/>
  <c r="M592" i="51"/>
  <c r="N592" i="51"/>
  <c r="O592" i="51"/>
  <c r="P592" i="51"/>
  <c r="Q592" i="51"/>
  <c r="C593" i="51"/>
  <c r="D593" i="51"/>
  <c r="F593" i="51"/>
  <c r="G593" i="51"/>
  <c r="H593" i="51"/>
  <c r="I593" i="51"/>
  <c r="J593" i="51"/>
  <c r="K593" i="51"/>
  <c r="L593" i="51"/>
  <c r="M593" i="51"/>
  <c r="N593" i="51"/>
  <c r="O593" i="51"/>
  <c r="P593" i="51"/>
  <c r="Q593" i="51"/>
  <c r="C594" i="51"/>
  <c r="D594" i="51"/>
  <c r="E594" i="51"/>
  <c r="F594" i="51"/>
  <c r="G594" i="51"/>
  <c r="H594" i="51"/>
  <c r="I594" i="51"/>
  <c r="J594" i="51"/>
  <c r="K594" i="51"/>
  <c r="L594" i="51"/>
  <c r="M594" i="51"/>
  <c r="N594" i="51"/>
  <c r="O594" i="51"/>
  <c r="P594" i="51"/>
  <c r="Q594" i="51"/>
  <c r="C595" i="51"/>
  <c r="D595" i="51"/>
  <c r="E595" i="51"/>
  <c r="F595" i="51"/>
  <c r="G595" i="51"/>
  <c r="H595" i="51"/>
  <c r="I595" i="51"/>
  <c r="J595" i="51"/>
  <c r="K595" i="51"/>
  <c r="L595" i="51"/>
  <c r="M595" i="51"/>
  <c r="N595" i="51"/>
  <c r="O595" i="51"/>
  <c r="P595" i="51"/>
  <c r="Q595" i="51"/>
  <c r="C596" i="51"/>
  <c r="H596" i="51"/>
  <c r="I596" i="51"/>
  <c r="J596" i="51"/>
  <c r="K596" i="51"/>
  <c r="L596" i="51"/>
  <c r="M596" i="51"/>
  <c r="N596" i="51"/>
  <c r="O596" i="51"/>
  <c r="P596" i="51"/>
  <c r="Q596" i="51"/>
  <c r="C597" i="51"/>
  <c r="D597" i="51"/>
  <c r="F597" i="51"/>
  <c r="G597" i="51"/>
  <c r="H597" i="51"/>
  <c r="I597" i="51"/>
  <c r="J597" i="51"/>
  <c r="K597" i="51"/>
  <c r="L597" i="51"/>
  <c r="M597" i="51"/>
  <c r="N597" i="51"/>
  <c r="O597" i="51"/>
  <c r="P597" i="51"/>
  <c r="Q597" i="51"/>
  <c r="C598" i="51"/>
  <c r="D598" i="51"/>
  <c r="E598" i="51"/>
  <c r="F598" i="51"/>
  <c r="G598" i="51"/>
  <c r="H598" i="51"/>
  <c r="I598" i="51"/>
  <c r="J598" i="51"/>
  <c r="K598" i="51"/>
  <c r="L598" i="51"/>
  <c r="M598" i="51"/>
  <c r="N598" i="51"/>
  <c r="O598" i="51"/>
  <c r="P598" i="51"/>
  <c r="Q598" i="51"/>
  <c r="C599" i="51"/>
  <c r="D599" i="51"/>
  <c r="E599" i="51"/>
  <c r="F599" i="51"/>
  <c r="G599" i="51"/>
  <c r="H599" i="51"/>
  <c r="I599" i="51"/>
  <c r="J599" i="51"/>
  <c r="K599" i="51"/>
  <c r="L599" i="51"/>
  <c r="M599" i="51"/>
  <c r="N599" i="51"/>
  <c r="O599" i="51"/>
  <c r="P599" i="51"/>
  <c r="Q599" i="51"/>
  <c r="C600" i="51"/>
  <c r="F600" i="51"/>
  <c r="H600" i="51"/>
  <c r="I600" i="51"/>
  <c r="J600" i="51"/>
  <c r="K600" i="51"/>
  <c r="L600" i="51"/>
  <c r="M600" i="51"/>
  <c r="N600" i="51"/>
  <c r="O600" i="51"/>
  <c r="P600" i="51"/>
  <c r="Q600" i="51"/>
  <c r="C601" i="51"/>
  <c r="D601" i="51"/>
  <c r="F601" i="51"/>
  <c r="G601" i="51"/>
  <c r="H601" i="51"/>
  <c r="I601" i="51"/>
  <c r="J601" i="51"/>
  <c r="K601" i="51"/>
  <c r="L601" i="51"/>
  <c r="M601" i="51"/>
  <c r="N601" i="51"/>
  <c r="O601" i="51"/>
  <c r="P601" i="51"/>
  <c r="Q601" i="51"/>
  <c r="C602" i="51"/>
  <c r="D602" i="51"/>
  <c r="E602" i="51"/>
  <c r="F602" i="51"/>
  <c r="G602" i="51"/>
  <c r="H602" i="51"/>
  <c r="I602" i="51"/>
  <c r="J602" i="51"/>
  <c r="K602" i="51"/>
  <c r="L602" i="51"/>
  <c r="M602" i="51"/>
  <c r="N602" i="51"/>
  <c r="O602" i="51"/>
  <c r="P602" i="51"/>
  <c r="Q602" i="51"/>
  <c r="C603" i="51"/>
  <c r="D603" i="51"/>
  <c r="E603" i="51"/>
  <c r="F603" i="51"/>
  <c r="H603" i="51"/>
  <c r="I603" i="51"/>
  <c r="J603" i="51"/>
  <c r="K603" i="51"/>
  <c r="L603" i="51"/>
  <c r="M603" i="51"/>
  <c r="N603" i="51"/>
  <c r="O603" i="51"/>
  <c r="P603" i="51"/>
  <c r="Q603" i="51"/>
  <c r="C604" i="51"/>
  <c r="H604" i="51"/>
  <c r="I604" i="51"/>
  <c r="J604" i="51"/>
  <c r="K604" i="51"/>
  <c r="L604" i="51"/>
  <c r="M604" i="51"/>
  <c r="N604" i="51"/>
  <c r="O604" i="51"/>
  <c r="P604" i="51"/>
  <c r="Q604" i="51"/>
  <c r="C605" i="51"/>
  <c r="D605" i="51"/>
  <c r="F605" i="51"/>
  <c r="G605" i="51"/>
  <c r="H605" i="51"/>
  <c r="I605" i="51"/>
  <c r="J605" i="51"/>
  <c r="K605" i="51"/>
  <c r="L605" i="51"/>
  <c r="M605" i="51"/>
  <c r="N605" i="51"/>
  <c r="O605" i="51"/>
  <c r="P605" i="51"/>
  <c r="Q605" i="51"/>
  <c r="C606" i="51"/>
  <c r="D606" i="51"/>
  <c r="E606" i="51"/>
  <c r="F606" i="51"/>
  <c r="G606" i="51"/>
  <c r="H606" i="51"/>
  <c r="I606" i="51"/>
  <c r="J606" i="51"/>
  <c r="K606" i="51"/>
  <c r="L606" i="51"/>
  <c r="M606" i="51"/>
  <c r="N606" i="51"/>
  <c r="O606" i="51"/>
  <c r="P606" i="51"/>
  <c r="Q606" i="51"/>
  <c r="C607" i="51"/>
  <c r="D607" i="51"/>
  <c r="E607" i="51"/>
  <c r="F607" i="51"/>
  <c r="H607" i="51"/>
  <c r="I607" i="51"/>
  <c r="J607" i="51"/>
  <c r="K607" i="51"/>
  <c r="L607" i="51"/>
  <c r="M607" i="51"/>
  <c r="N607" i="51"/>
  <c r="O607" i="51"/>
  <c r="P607" i="51"/>
  <c r="Q607" i="51"/>
  <c r="C608" i="51"/>
  <c r="H608" i="51"/>
  <c r="I608" i="51"/>
  <c r="J608" i="51"/>
  <c r="K608" i="51"/>
  <c r="L608" i="51"/>
  <c r="M608" i="51"/>
  <c r="N608" i="51"/>
  <c r="O608" i="51"/>
  <c r="P608" i="51"/>
  <c r="Q608" i="51"/>
  <c r="C609" i="51"/>
  <c r="D609" i="51"/>
  <c r="F609" i="51"/>
  <c r="G609" i="51"/>
  <c r="H609" i="51"/>
  <c r="I609" i="51"/>
  <c r="J609" i="51"/>
  <c r="K609" i="51"/>
  <c r="L609" i="51"/>
  <c r="M609" i="51"/>
  <c r="N609" i="51"/>
  <c r="O609" i="51"/>
  <c r="P609" i="51"/>
  <c r="Q609" i="51"/>
  <c r="C610" i="51"/>
  <c r="D610" i="51"/>
  <c r="E610" i="51"/>
  <c r="F610" i="51"/>
  <c r="G610" i="51"/>
  <c r="H610" i="51"/>
  <c r="I610" i="51"/>
  <c r="J610" i="51"/>
  <c r="K610" i="51"/>
  <c r="L610" i="51"/>
  <c r="M610" i="51"/>
  <c r="N610" i="51"/>
  <c r="O610" i="51"/>
  <c r="P610" i="51"/>
  <c r="Q610" i="51"/>
  <c r="C611" i="51"/>
  <c r="D611" i="51"/>
  <c r="E611" i="51"/>
  <c r="F611" i="51"/>
  <c r="H611" i="51"/>
  <c r="I611" i="51"/>
  <c r="J611" i="51"/>
  <c r="K611" i="51"/>
  <c r="L611" i="51"/>
  <c r="M611" i="51"/>
  <c r="N611" i="51"/>
  <c r="O611" i="51"/>
  <c r="P611" i="51"/>
  <c r="Q611" i="51"/>
  <c r="C612" i="51"/>
  <c r="H612" i="51"/>
  <c r="I612" i="51"/>
  <c r="J612" i="51"/>
  <c r="K612" i="51"/>
  <c r="L612" i="51"/>
  <c r="M612" i="51"/>
  <c r="N612" i="51"/>
  <c r="O612" i="51"/>
  <c r="P612" i="51"/>
  <c r="Q612" i="51"/>
  <c r="C613" i="51"/>
  <c r="D613" i="51"/>
  <c r="F613" i="51"/>
  <c r="G613" i="51"/>
  <c r="H613" i="51"/>
  <c r="I613" i="51"/>
  <c r="J613" i="51"/>
  <c r="K613" i="51"/>
  <c r="L613" i="51"/>
  <c r="M613" i="51"/>
  <c r="N613" i="51"/>
  <c r="O613" i="51"/>
  <c r="P613" i="51"/>
  <c r="Q613" i="51"/>
  <c r="C614" i="51"/>
  <c r="D614" i="51"/>
  <c r="E614" i="51"/>
  <c r="F614" i="51"/>
  <c r="G614" i="51"/>
  <c r="H614" i="51"/>
  <c r="I614" i="51"/>
  <c r="J614" i="51"/>
  <c r="K614" i="51"/>
  <c r="L614" i="51"/>
  <c r="M614" i="51"/>
  <c r="N614" i="51"/>
  <c r="O614" i="51"/>
  <c r="P614" i="51"/>
  <c r="Q614" i="51"/>
  <c r="C615" i="51"/>
  <c r="D615" i="51"/>
  <c r="E615" i="51"/>
  <c r="F615" i="51"/>
  <c r="H615" i="51"/>
  <c r="I615" i="51"/>
  <c r="J615" i="51"/>
  <c r="K615" i="51"/>
  <c r="L615" i="51"/>
  <c r="M615" i="51"/>
  <c r="N615" i="51"/>
  <c r="O615" i="51"/>
  <c r="P615" i="51"/>
  <c r="Q615" i="51"/>
  <c r="C616" i="51"/>
  <c r="F616" i="51"/>
  <c r="H616" i="51"/>
  <c r="I616" i="51"/>
  <c r="J616" i="51"/>
  <c r="K616" i="51"/>
  <c r="L616" i="51"/>
  <c r="M616" i="51"/>
  <c r="N616" i="51"/>
  <c r="O616" i="51"/>
  <c r="P616" i="51"/>
  <c r="Q616" i="51"/>
  <c r="C617" i="51"/>
  <c r="D617" i="51"/>
  <c r="F617" i="51"/>
  <c r="G617" i="51"/>
  <c r="H617" i="51"/>
  <c r="I617" i="51"/>
  <c r="J617" i="51"/>
  <c r="K617" i="51"/>
  <c r="L617" i="51"/>
  <c r="M617" i="51"/>
  <c r="N617" i="51"/>
  <c r="O617" i="51"/>
  <c r="P617" i="51"/>
  <c r="Q617" i="51"/>
  <c r="C618" i="51"/>
  <c r="D618" i="51"/>
  <c r="E618" i="51"/>
  <c r="F618" i="51"/>
  <c r="G618" i="51"/>
  <c r="H618" i="51"/>
  <c r="I618" i="51"/>
  <c r="J618" i="51"/>
  <c r="K618" i="51"/>
  <c r="L618" i="51"/>
  <c r="M618" i="51"/>
  <c r="N618" i="51"/>
  <c r="O618" i="51"/>
  <c r="P618" i="51"/>
  <c r="Q618" i="51"/>
  <c r="C619" i="51"/>
  <c r="D619" i="51"/>
  <c r="E619" i="51"/>
  <c r="F619" i="51"/>
  <c r="H619" i="51"/>
  <c r="I619" i="51"/>
  <c r="J619" i="51"/>
  <c r="K619" i="51"/>
  <c r="L619" i="51"/>
  <c r="M619" i="51"/>
  <c r="N619" i="51"/>
  <c r="O619" i="51"/>
  <c r="P619" i="51"/>
  <c r="Q619" i="51"/>
  <c r="C620" i="51"/>
  <c r="H620" i="51"/>
  <c r="I620" i="51"/>
  <c r="J620" i="51"/>
  <c r="K620" i="51"/>
  <c r="L620" i="51"/>
  <c r="M620" i="51"/>
  <c r="N620" i="51"/>
  <c r="O620" i="51"/>
  <c r="P620" i="51"/>
  <c r="Q620" i="51"/>
  <c r="C621" i="51"/>
  <c r="D621" i="51"/>
  <c r="F621" i="51"/>
  <c r="G621" i="51"/>
  <c r="H621" i="51"/>
  <c r="I621" i="51"/>
  <c r="J621" i="51"/>
  <c r="K621" i="51"/>
  <c r="L621" i="51"/>
  <c r="M621" i="51"/>
  <c r="N621" i="51"/>
  <c r="O621" i="51"/>
  <c r="P621" i="51"/>
  <c r="Q621" i="51"/>
  <c r="C622" i="51"/>
  <c r="D622" i="51"/>
  <c r="E622" i="51"/>
  <c r="F622" i="51"/>
  <c r="G622" i="51"/>
  <c r="H622" i="51"/>
  <c r="I622" i="51"/>
  <c r="J622" i="51"/>
  <c r="K622" i="51"/>
  <c r="L622" i="51"/>
  <c r="M622" i="51"/>
  <c r="N622" i="51"/>
  <c r="O622" i="51"/>
  <c r="P622" i="51"/>
  <c r="Q622" i="51"/>
  <c r="C623" i="51"/>
  <c r="D623" i="51"/>
  <c r="E623" i="51"/>
  <c r="F623" i="51"/>
  <c r="H623" i="51"/>
  <c r="I623" i="51"/>
  <c r="J623" i="51"/>
  <c r="K623" i="51"/>
  <c r="L623" i="51"/>
  <c r="M623" i="51"/>
  <c r="N623" i="51"/>
  <c r="O623" i="51"/>
  <c r="P623" i="51"/>
  <c r="Q623" i="51"/>
  <c r="C624" i="51"/>
  <c r="H624" i="51"/>
  <c r="I624" i="51"/>
  <c r="J624" i="51"/>
  <c r="K624" i="51"/>
  <c r="L624" i="51"/>
  <c r="M624" i="51"/>
  <c r="N624" i="51"/>
  <c r="O624" i="51"/>
  <c r="P624" i="51"/>
  <c r="Q624" i="51"/>
  <c r="C625" i="51"/>
  <c r="D625" i="51"/>
  <c r="F625" i="51"/>
  <c r="G625" i="51"/>
  <c r="H625" i="51"/>
  <c r="I625" i="51"/>
  <c r="J625" i="51"/>
  <c r="K625" i="51"/>
  <c r="L625" i="51"/>
  <c r="M625" i="51"/>
  <c r="N625" i="51"/>
  <c r="O625" i="51"/>
  <c r="P625" i="51"/>
  <c r="Q625" i="51"/>
  <c r="C626" i="51"/>
  <c r="D626" i="51"/>
  <c r="E626" i="51"/>
  <c r="F626" i="51"/>
  <c r="G626" i="51"/>
  <c r="H626" i="51"/>
  <c r="I626" i="51"/>
  <c r="J626" i="51"/>
  <c r="K626" i="51"/>
  <c r="L626" i="51"/>
  <c r="M626" i="51"/>
  <c r="N626" i="51"/>
  <c r="O626" i="51"/>
  <c r="P626" i="51"/>
  <c r="Q626" i="51"/>
  <c r="C627" i="51"/>
  <c r="D627" i="51"/>
  <c r="E627" i="51"/>
  <c r="F627" i="51"/>
  <c r="H627" i="51"/>
  <c r="I627" i="51"/>
  <c r="J627" i="51"/>
  <c r="K627" i="51"/>
  <c r="L627" i="51"/>
  <c r="M627" i="51"/>
  <c r="N627" i="51"/>
  <c r="O627" i="51"/>
  <c r="P627" i="51"/>
  <c r="Q627" i="51"/>
  <c r="C629" i="51"/>
  <c r="D629" i="51"/>
  <c r="F629" i="51"/>
  <c r="G629" i="51"/>
  <c r="H629" i="51"/>
  <c r="I629" i="51"/>
  <c r="J629" i="51"/>
  <c r="K629" i="51"/>
  <c r="L629" i="51"/>
  <c r="M629" i="51"/>
  <c r="N629" i="51"/>
  <c r="O629" i="51"/>
  <c r="P629" i="51"/>
  <c r="Q629" i="51"/>
  <c r="C631" i="51"/>
  <c r="D631" i="51"/>
  <c r="E631" i="51"/>
  <c r="F631" i="51"/>
  <c r="G631" i="51"/>
  <c r="H631" i="51"/>
  <c r="I631" i="51"/>
  <c r="J631" i="51"/>
  <c r="K631" i="51"/>
  <c r="L631" i="51"/>
  <c r="M631" i="51"/>
  <c r="N631" i="51"/>
  <c r="O631" i="51"/>
  <c r="P631" i="51"/>
  <c r="Q631" i="51"/>
  <c r="C630" i="51"/>
  <c r="D630" i="51"/>
  <c r="E630" i="51"/>
  <c r="F630" i="51"/>
  <c r="G630" i="51"/>
  <c r="H630" i="51"/>
  <c r="I630" i="51"/>
  <c r="J630" i="51"/>
  <c r="K630" i="51"/>
  <c r="L630" i="51"/>
  <c r="M630" i="51"/>
  <c r="N630" i="51"/>
  <c r="O630" i="51"/>
  <c r="P630" i="51"/>
  <c r="Q630" i="51"/>
  <c r="C632" i="51"/>
  <c r="H632" i="51"/>
  <c r="I632" i="51"/>
  <c r="J632" i="51"/>
  <c r="K632" i="51"/>
  <c r="L632" i="51"/>
  <c r="M632" i="51"/>
  <c r="N632" i="51"/>
  <c r="O632" i="51"/>
  <c r="P632" i="51"/>
  <c r="Q632" i="51"/>
  <c r="C633" i="51"/>
  <c r="D633" i="51"/>
  <c r="F633" i="51"/>
  <c r="G633" i="51"/>
  <c r="H633" i="51"/>
  <c r="I633" i="51"/>
  <c r="J633" i="51"/>
  <c r="K633" i="51"/>
  <c r="L633" i="51"/>
  <c r="M633" i="51"/>
  <c r="N633" i="51"/>
  <c r="O633" i="51"/>
  <c r="P633" i="51"/>
  <c r="Q633" i="51"/>
  <c r="C634" i="51"/>
  <c r="D634" i="51"/>
  <c r="E634" i="51"/>
  <c r="F634" i="51"/>
  <c r="G634" i="51"/>
  <c r="H634" i="51"/>
  <c r="I634" i="51"/>
  <c r="J634" i="51"/>
  <c r="K634" i="51"/>
  <c r="L634" i="51"/>
  <c r="M634" i="51"/>
  <c r="N634" i="51"/>
  <c r="O634" i="51"/>
  <c r="P634" i="51"/>
  <c r="Q634" i="51"/>
  <c r="C641" i="51"/>
  <c r="H641" i="51"/>
  <c r="I641" i="51"/>
  <c r="J641" i="51"/>
  <c r="K641" i="51"/>
  <c r="L641" i="51"/>
  <c r="M641" i="51"/>
  <c r="N641" i="51"/>
  <c r="O641" i="51"/>
  <c r="P641" i="51"/>
  <c r="Q641" i="51"/>
  <c r="C642" i="51"/>
  <c r="D642" i="51"/>
  <c r="F642" i="51"/>
  <c r="G642" i="51"/>
  <c r="H642" i="51"/>
  <c r="I642" i="51"/>
  <c r="J642" i="51"/>
  <c r="K642" i="51"/>
  <c r="L642" i="51"/>
  <c r="M642" i="51"/>
  <c r="N642" i="51"/>
  <c r="O642" i="51"/>
  <c r="P642" i="51"/>
  <c r="Q642" i="51"/>
  <c r="C643" i="51"/>
  <c r="D643" i="51"/>
  <c r="E643" i="51"/>
  <c r="F643" i="51"/>
  <c r="G643" i="51"/>
  <c r="H643" i="51"/>
  <c r="I643" i="51"/>
  <c r="J643" i="51"/>
  <c r="K643" i="51"/>
  <c r="L643" i="51"/>
  <c r="M643" i="51"/>
  <c r="N643" i="51"/>
  <c r="O643" i="51"/>
  <c r="P643" i="51"/>
  <c r="Q643" i="51"/>
  <c r="C644" i="51"/>
  <c r="D644" i="51"/>
  <c r="E644" i="51"/>
  <c r="F644" i="51"/>
  <c r="H644" i="51"/>
  <c r="I644" i="51"/>
  <c r="J644" i="51"/>
  <c r="K644" i="51"/>
  <c r="L644" i="51"/>
  <c r="M644" i="51"/>
  <c r="N644" i="51"/>
  <c r="O644" i="51"/>
  <c r="P644" i="51"/>
  <c r="Q644" i="51"/>
  <c r="C645" i="51"/>
  <c r="H645" i="51"/>
  <c r="I645" i="51"/>
  <c r="J645" i="51"/>
  <c r="K645" i="51"/>
  <c r="L645" i="51"/>
  <c r="M645" i="51"/>
  <c r="N645" i="51"/>
  <c r="O645" i="51"/>
  <c r="P645" i="51"/>
  <c r="Q645" i="51"/>
  <c r="C646" i="51"/>
  <c r="D646" i="51"/>
  <c r="F646" i="51"/>
  <c r="G646" i="51"/>
  <c r="H646" i="51"/>
  <c r="I646" i="51"/>
  <c r="J646" i="51"/>
  <c r="K646" i="51"/>
  <c r="L646" i="51"/>
  <c r="M646" i="51"/>
  <c r="N646" i="51"/>
  <c r="O646" i="51"/>
  <c r="P646" i="51"/>
  <c r="Q646" i="51"/>
  <c r="C647" i="51"/>
  <c r="D647" i="51"/>
  <c r="E647" i="51"/>
  <c r="F647" i="51"/>
  <c r="G647" i="51"/>
  <c r="H647" i="51"/>
  <c r="I647" i="51"/>
  <c r="J647" i="51"/>
  <c r="K647" i="51"/>
  <c r="L647" i="51"/>
  <c r="M647" i="51"/>
  <c r="N647" i="51"/>
  <c r="O647" i="51"/>
  <c r="P647" i="51"/>
  <c r="Q647" i="51"/>
  <c r="C648" i="51"/>
  <c r="D648" i="51"/>
  <c r="E648" i="51"/>
  <c r="F648" i="51"/>
  <c r="H648" i="51"/>
  <c r="I648" i="51"/>
  <c r="J648" i="51"/>
  <c r="K648" i="51"/>
  <c r="L648" i="51"/>
  <c r="M648" i="51"/>
  <c r="N648" i="51"/>
  <c r="O648" i="51"/>
  <c r="P648" i="51"/>
  <c r="Q648" i="51"/>
  <c r="C649" i="51"/>
  <c r="F649" i="51"/>
  <c r="H649" i="51"/>
  <c r="I649" i="51"/>
  <c r="J649" i="51"/>
  <c r="K649" i="51"/>
  <c r="L649" i="51"/>
  <c r="M649" i="51"/>
  <c r="N649" i="51"/>
  <c r="O649" i="51"/>
  <c r="P649" i="51"/>
  <c r="Q649" i="51"/>
  <c r="C650" i="51"/>
  <c r="D650" i="51"/>
  <c r="F650" i="51"/>
  <c r="G650" i="51"/>
  <c r="H650" i="51"/>
  <c r="I650" i="51"/>
  <c r="J650" i="51"/>
  <c r="K650" i="51"/>
  <c r="L650" i="51"/>
  <c r="M650" i="51"/>
  <c r="N650" i="51"/>
  <c r="O650" i="51"/>
  <c r="P650" i="51"/>
  <c r="Q650" i="51"/>
  <c r="C651" i="51"/>
  <c r="D651" i="51"/>
  <c r="E651" i="51"/>
  <c r="F651" i="51"/>
  <c r="G651" i="51"/>
  <c r="H651" i="51"/>
  <c r="I651" i="51"/>
  <c r="J651" i="51"/>
  <c r="K651" i="51"/>
  <c r="L651" i="51"/>
  <c r="M651" i="51"/>
  <c r="N651" i="51"/>
  <c r="O651" i="51"/>
  <c r="P651" i="51"/>
  <c r="Q651" i="51"/>
  <c r="C652" i="51"/>
  <c r="D652" i="51"/>
  <c r="E652" i="51"/>
  <c r="F652" i="51"/>
  <c r="H652" i="51"/>
  <c r="I652" i="51"/>
  <c r="J652" i="51"/>
  <c r="K652" i="51"/>
  <c r="L652" i="51"/>
  <c r="M652" i="51"/>
  <c r="N652" i="51"/>
  <c r="O652" i="51"/>
  <c r="P652" i="51"/>
  <c r="Q652" i="51"/>
  <c r="C653" i="51"/>
  <c r="H653" i="51"/>
  <c r="I653" i="51"/>
  <c r="J653" i="51"/>
  <c r="K653" i="51"/>
  <c r="L653" i="51"/>
  <c r="M653" i="51"/>
  <c r="N653" i="51"/>
  <c r="O653" i="51"/>
  <c r="P653" i="51"/>
  <c r="Q653" i="51"/>
  <c r="C654" i="51"/>
  <c r="D654" i="51"/>
  <c r="F654" i="51"/>
  <c r="G654" i="51"/>
  <c r="H654" i="51"/>
  <c r="I654" i="51"/>
  <c r="J654" i="51"/>
  <c r="K654" i="51"/>
  <c r="L654" i="51"/>
  <c r="M654" i="51"/>
  <c r="N654" i="51"/>
  <c r="O654" i="51"/>
  <c r="P654" i="51"/>
  <c r="Q654" i="51"/>
  <c r="C655" i="51"/>
  <c r="D655" i="51"/>
  <c r="E655" i="51"/>
  <c r="F655" i="51"/>
  <c r="G655" i="51"/>
  <c r="H655" i="51"/>
  <c r="I655" i="51"/>
  <c r="J655" i="51"/>
  <c r="K655" i="51"/>
  <c r="L655" i="51"/>
  <c r="M655" i="51"/>
  <c r="N655" i="51"/>
  <c r="O655" i="51"/>
  <c r="P655" i="51"/>
  <c r="Q655" i="51"/>
  <c r="C659" i="51"/>
  <c r="D659" i="51"/>
  <c r="E659" i="51"/>
  <c r="F659" i="51"/>
  <c r="G659" i="51"/>
  <c r="H659" i="51"/>
  <c r="I659" i="51"/>
  <c r="J659" i="51"/>
  <c r="K659" i="51"/>
  <c r="L659" i="51"/>
  <c r="M659" i="51"/>
  <c r="N659" i="51"/>
  <c r="O659" i="51"/>
  <c r="P659" i="51"/>
  <c r="Q659" i="51"/>
  <c r="C661" i="51"/>
  <c r="H661" i="51"/>
  <c r="I661" i="51"/>
  <c r="J661" i="51"/>
  <c r="K661" i="51"/>
  <c r="L661" i="51"/>
  <c r="M661" i="51"/>
  <c r="N661" i="51"/>
  <c r="O661" i="51"/>
  <c r="P661" i="51"/>
  <c r="Q661" i="51"/>
  <c r="C662" i="51"/>
  <c r="D662" i="51"/>
  <c r="F662" i="51"/>
  <c r="G662" i="51"/>
  <c r="H662" i="51"/>
  <c r="I662" i="51"/>
  <c r="J662" i="51"/>
  <c r="K662" i="51"/>
  <c r="L662" i="51"/>
  <c r="M662" i="51"/>
  <c r="N662" i="51"/>
  <c r="O662" i="51"/>
  <c r="P662" i="51"/>
  <c r="Q662" i="51"/>
  <c r="C663" i="51"/>
  <c r="D663" i="51"/>
  <c r="E663" i="51"/>
  <c r="F663" i="51"/>
  <c r="G663" i="51"/>
  <c r="H663" i="51"/>
  <c r="I663" i="51"/>
  <c r="J663" i="51"/>
  <c r="K663" i="51"/>
  <c r="L663" i="51"/>
  <c r="M663" i="51"/>
  <c r="N663" i="51"/>
  <c r="O663" i="51"/>
  <c r="P663" i="51"/>
  <c r="Q663" i="51"/>
  <c r="C664" i="51"/>
  <c r="D664" i="51"/>
  <c r="E664" i="51"/>
  <c r="F664" i="51"/>
  <c r="H664" i="51"/>
  <c r="I664" i="51"/>
  <c r="J664" i="51"/>
  <c r="K664" i="51"/>
  <c r="L664" i="51"/>
  <c r="M664" i="51"/>
  <c r="N664" i="51"/>
  <c r="O664" i="51"/>
  <c r="P664" i="51"/>
  <c r="Q664" i="51"/>
  <c r="C665" i="51"/>
  <c r="H665" i="51"/>
  <c r="I665" i="51"/>
  <c r="J665" i="51"/>
  <c r="K665" i="51"/>
  <c r="L665" i="51"/>
  <c r="M665" i="51"/>
  <c r="N665" i="51"/>
  <c r="O665" i="51"/>
  <c r="P665" i="51"/>
  <c r="Q665" i="51"/>
  <c r="C666" i="51"/>
  <c r="D666" i="51"/>
  <c r="E666" i="51"/>
  <c r="F666" i="51"/>
  <c r="G666" i="51"/>
  <c r="H666" i="51"/>
  <c r="I666" i="51"/>
  <c r="J666" i="51"/>
  <c r="K666" i="51"/>
  <c r="L666" i="51"/>
  <c r="M666" i="51"/>
  <c r="N666" i="51"/>
  <c r="O666" i="51"/>
  <c r="P666" i="51"/>
  <c r="Q666" i="51"/>
  <c r="C667" i="51"/>
  <c r="D667" i="51"/>
  <c r="E667" i="51"/>
  <c r="F667" i="51"/>
  <c r="G667" i="51"/>
  <c r="H667" i="51"/>
  <c r="I667" i="51"/>
  <c r="J667" i="51"/>
  <c r="K667" i="51"/>
  <c r="L667" i="51"/>
  <c r="M667" i="51"/>
  <c r="N667" i="51"/>
  <c r="O667" i="51"/>
  <c r="P667" i="51"/>
  <c r="Q667" i="51"/>
  <c r="C668" i="51"/>
  <c r="D668" i="51"/>
  <c r="E668" i="51"/>
  <c r="F668" i="51"/>
  <c r="G668" i="51"/>
  <c r="H668" i="51"/>
  <c r="I668" i="51"/>
  <c r="J668" i="51"/>
  <c r="K668" i="51"/>
  <c r="L668" i="51"/>
  <c r="M668" i="51"/>
  <c r="N668" i="51"/>
  <c r="O668" i="51"/>
  <c r="P668" i="51"/>
  <c r="Q668" i="51"/>
  <c r="C669" i="51"/>
  <c r="F669" i="51"/>
  <c r="H669" i="51"/>
  <c r="I669" i="51"/>
  <c r="J669" i="51"/>
  <c r="K669" i="51"/>
  <c r="L669" i="51"/>
  <c r="M669" i="51"/>
  <c r="N669" i="51"/>
  <c r="O669" i="51"/>
  <c r="P669" i="51"/>
  <c r="Q669" i="51"/>
  <c r="C670" i="51"/>
  <c r="D670" i="51"/>
  <c r="F670" i="51"/>
  <c r="G670" i="51"/>
  <c r="H670" i="51"/>
  <c r="I670" i="51"/>
  <c r="J670" i="51"/>
  <c r="K670" i="51"/>
  <c r="L670" i="51"/>
  <c r="M670" i="51"/>
  <c r="N670" i="51"/>
  <c r="O670" i="51"/>
  <c r="P670" i="51"/>
  <c r="Q670" i="51"/>
  <c r="C681" i="51"/>
  <c r="H681" i="51"/>
  <c r="I681" i="51"/>
  <c r="J681" i="51"/>
  <c r="K681" i="51"/>
  <c r="L681" i="51"/>
  <c r="M681" i="51"/>
  <c r="N681" i="51"/>
  <c r="O681" i="51"/>
  <c r="P681" i="51"/>
  <c r="Q681" i="51"/>
  <c r="C686" i="51"/>
  <c r="H686" i="51"/>
  <c r="I686" i="51"/>
  <c r="J686" i="51"/>
  <c r="K686" i="51"/>
  <c r="L686" i="51"/>
  <c r="M686" i="51"/>
  <c r="N686" i="51"/>
  <c r="O686" i="51"/>
  <c r="P686" i="51"/>
  <c r="Q686" i="51"/>
  <c r="C687" i="51"/>
  <c r="D687" i="51"/>
  <c r="E687" i="51"/>
  <c r="F687" i="51"/>
  <c r="G687" i="51"/>
  <c r="H687" i="51"/>
  <c r="I687" i="51"/>
  <c r="J687" i="51"/>
  <c r="K687" i="51"/>
  <c r="L687" i="51"/>
  <c r="M687" i="51"/>
  <c r="N687" i="51"/>
  <c r="O687" i="51"/>
  <c r="P687" i="51"/>
  <c r="Q687" i="51"/>
  <c r="C688" i="51"/>
  <c r="D688" i="51"/>
  <c r="E688" i="51"/>
  <c r="F688" i="51"/>
  <c r="H688" i="51"/>
  <c r="I688" i="51"/>
  <c r="J688" i="51"/>
  <c r="K688" i="51"/>
  <c r="L688" i="51"/>
  <c r="M688" i="51"/>
  <c r="N688" i="51"/>
  <c r="O688" i="51"/>
  <c r="P688" i="51"/>
  <c r="Q688" i="51"/>
  <c r="C689" i="51"/>
  <c r="H689" i="51"/>
  <c r="I689" i="51"/>
  <c r="J689" i="51"/>
  <c r="K689" i="51"/>
  <c r="L689" i="51"/>
  <c r="M689" i="51"/>
  <c r="N689" i="51"/>
  <c r="O689" i="51"/>
  <c r="P689" i="51"/>
  <c r="Q689" i="51"/>
  <c r="C690" i="51"/>
  <c r="D690" i="51"/>
  <c r="F690" i="51"/>
  <c r="G690" i="51"/>
  <c r="H690" i="51"/>
  <c r="I690" i="51"/>
  <c r="J690" i="51"/>
  <c r="K690" i="51"/>
  <c r="L690" i="51"/>
  <c r="M690" i="51"/>
  <c r="N690" i="51"/>
  <c r="O690" i="51"/>
  <c r="P690" i="51"/>
  <c r="Q690" i="51"/>
  <c r="C692" i="51"/>
  <c r="D692" i="51"/>
  <c r="E692" i="51"/>
  <c r="F692" i="51"/>
  <c r="H692" i="51"/>
  <c r="I692" i="51"/>
  <c r="J692" i="51"/>
  <c r="K692" i="51"/>
  <c r="L692" i="51"/>
  <c r="M692" i="51"/>
  <c r="N692" i="51"/>
  <c r="O692" i="51"/>
  <c r="P692" i="51"/>
  <c r="Q692" i="51"/>
  <c r="C693" i="51"/>
  <c r="H693" i="51"/>
  <c r="I693" i="51"/>
  <c r="J693" i="51"/>
  <c r="K693" i="51"/>
  <c r="L693" i="51"/>
  <c r="M693" i="51"/>
  <c r="N693" i="51"/>
  <c r="O693" i="51"/>
  <c r="P693" i="51"/>
  <c r="Q693" i="51"/>
  <c r="C695" i="51"/>
  <c r="D695" i="51"/>
  <c r="E695" i="51"/>
  <c r="F695" i="51"/>
  <c r="G695" i="51"/>
  <c r="H695" i="51"/>
  <c r="I695" i="51"/>
  <c r="J695" i="51"/>
  <c r="K695" i="51"/>
  <c r="L695" i="51"/>
  <c r="M695" i="51"/>
  <c r="N695" i="51"/>
  <c r="O695" i="51"/>
  <c r="P695" i="51"/>
  <c r="Q695" i="51"/>
  <c r="C696" i="51"/>
  <c r="D696" i="51"/>
  <c r="E696" i="51"/>
  <c r="F696" i="51"/>
  <c r="H696" i="51"/>
  <c r="I696" i="51"/>
  <c r="J696" i="51"/>
  <c r="K696" i="51"/>
  <c r="L696" i="51"/>
  <c r="M696" i="51"/>
  <c r="N696" i="51"/>
  <c r="O696" i="51"/>
  <c r="P696" i="51"/>
  <c r="Q696" i="51"/>
  <c r="C697" i="51"/>
  <c r="H697" i="51"/>
  <c r="I697" i="51"/>
  <c r="J697" i="51"/>
  <c r="K697" i="51"/>
  <c r="L697" i="51"/>
  <c r="M697" i="51"/>
  <c r="N697" i="51"/>
  <c r="O697" i="51"/>
  <c r="P697" i="51"/>
  <c r="Q697" i="51"/>
  <c r="C698" i="51"/>
  <c r="D698" i="51"/>
  <c r="F698" i="51"/>
  <c r="G698" i="51"/>
  <c r="H698" i="51"/>
  <c r="I698" i="51"/>
  <c r="J698" i="51"/>
  <c r="K698" i="51"/>
  <c r="L698" i="51"/>
  <c r="M698" i="51"/>
  <c r="N698" i="51"/>
  <c r="O698" i="51"/>
  <c r="P698" i="51"/>
  <c r="Q698" i="51"/>
  <c r="C699" i="51"/>
  <c r="D699" i="51"/>
  <c r="E699" i="51"/>
  <c r="F699" i="51"/>
  <c r="G699" i="51"/>
  <c r="H699" i="51"/>
  <c r="I699" i="51"/>
  <c r="J699" i="51"/>
  <c r="K699" i="51"/>
  <c r="L699" i="51"/>
  <c r="M699" i="51"/>
  <c r="N699" i="51"/>
  <c r="O699" i="51"/>
  <c r="P699" i="51"/>
  <c r="Q699" i="51"/>
  <c r="C700" i="51"/>
  <c r="D700" i="51"/>
  <c r="E700" i="51"/>
  <c r="F700" i="51"/>
  <c r="H700" i="51"/>
  <c r="I700" i="51"/>
  <c r="J700" i="51"/>
  <c r="K700" i="51"/>
  <c r="L700" i="51"/>
  <c r="M700" i="51"/>
  <c r="N700" i="51"/>
  <c r="O700" i="51"/>
  <c r="P700" i="51"/>
  <c r="Q700" i="51"/>
  <c r="C701" i="51"/>
  <c r="H701" i="51"/>
  <c r="I701" i="51"/>
  <c r="J701" i="51"/>
  <c r="K701" i="51"/>
  <c r="L701" i="51"/>
  <c r="M701" i="51"/>
  <c r="N701" i="51"/>
  <c r="O701" i="51"/>
  <c r="P701" i="51"/>
  <c r="Q701" i="51"/>
  <c r="C702" i="51"/>
  <c r="D702" i="51"/>
  <c r="F702" i="51"/>
  <c r="G702" i="51"/>
  <c r="H702" i="51"/>
  <c r="I702" i="51"/>
  <c r="J702" i="51"/>
  <c r="K702" i="51"/>
  <c r="L702" i="51"/>
  <c r="M702" i="51"/>
  <c r="N702" i="51"/>
  <c r="O702" i="51"/>
  <c r="P702" i="51"/>
  <c r="Q702" i="51"/>
  <c r="C703" i="51"/>
  <c r="D703" i="51"/>
  <c r="E703" i="51"/>
  <c r="F703" i="51"/>
  <c r="G703" i="51"/>
  <c r="H703" i="51"/>
  <c r="I703" i="51"/>
  <c r="J703" i="51"/>
  <c r="K703" i="51"/>
  <c r="L703" i="51"/>
  <c r="M703" i="51"/>
  <c r="N703" i="51"/>
  <c r="O703" i="51"/>
  <c r="P703" i="51"/>
  <c r="Q703" i="51"/>
  <c r="C704" i="51"/>
  <c r="D704" i="51"/>
  <c r="E704" i="51"/>
  <c r="F704" i="51"/>
  <c r="H704" i="51"/>
  <c r="I704" i="51"/>
  <c r="J704" i="51"/>
  <c r="K704" i="51"/>
  <c r="L704" i="51"/>
  <c r="M704" i="51"/>
  <c r="N704" i="51"/>
  <c r="O704" i="51"/>
  <c r="P704" i="51"/>
  <c r="Q704" i="51"/>
  <c r="C705" i="51"/>
  <c r="F705" i="51"/>
  <c r="H705" i="51"/>
  <c r="I705" i="51"/>
  <c r="J705" i="51"/>
  <c r="K705" i="51"/>
  <c r="L705" i="51"/>
  <c r="M705" i="51"/>
  <c r="N705" i="51"/>
  <c r="O705" i="51"/>
  <c r="P705" i="51"/>
  <c r="Q705" i="51"/>
  <c r="C706" i="51"/>
  <c r="D706" i="51"/>
  <c r="F706" i="51"/>
  <c r="G706" i="51"/>
  <c r="H706" i="51"/>
  <c r="I706" i="51"/>
  <c r="J706" i="51"/>
  <c r="K706" i="51"/>
  <c r="L706" i="51"/>
  <c r="M706" i="51"/>
  <c r="N706" i="51"/>
  <c r="O706" i="51"/>
  <c r="P706" i="51"/>
  <c r="Q706" i="51"/>
  <c r="C707" i="51"/>
  <c r="D707" i="51"/>
  <c r="E707" i="51"/>
  <c r="F707" i="51"/>
  <c r="G707" i="51"/>
  <c r="H707" i="51"/>
  <c r="I707" i="51"/>
  <c r="J707" i="51"/>
  <c r="K707" i="51"/>
  <c r="L707" i="51"/>
  <c r="M707" i="51"/>
  <c r="N707" i="51"/>
  <c r="O707" i="51"/>
  <c r="P707" i="51"/>
  <c r="Q707" i="51"/>
  <c r="C708" i="51"/>
  <c r="D708" i="51"/>
  <c r="E708" i="51"/>
  <c r="F708" i="51"/>
  <c r="H708" i="51"/>
  <c r="I708" i="51"/>
  <c r="J708" i="51"/>
  <c r="K708" i="51"/>
  <c r="L708" i="51"/>
  <c r="M708" i="51"/>
  <c r="N708" i="51"/>
  <c r="O708" i="51"/>
  <c r="P708" i="51"/>
  <c r="Q708" i="51"/>
  <c r="C709" i="51"/>
  <c r="H709" i="51"/>
  <c r="I709" i="51"/>
  <c r="J709" i="51"/>
  <c r="K709" i="51"/>
  <c r="L709" i="51"/>
  <c r="M709" i="51"/>
  <c r="N709" i="51"/>
  <c r="O709" i="51"/>
  <c r="P709" i="51"/>
  <c r="Q709" i="51"/>
  <c r="C710" i="51"/>
  <c r="D710" i="51"/>
  <c r="F710" i="51"/>
  <c r="G710" i="51"/>
  <c r="H710" i="51"/>
  <c r="I710" i="51"/>
  <c r="J710" i="51"/>
  <c r="K710" i="51"/>
  <c r="L710" i="51"/>
  <c r="M710" i="51"/>
  <c r="N710" i="51"/>
  <c r="O710" i="51"/>
  <c r="P710" i="51"/>
  <c r="Q710" i="51"/>
  <c r="C711" i="51"/>
  <c r="D711" i="51"/>
  <c r="E711" i="51"/>
  <c r="F711" i="51"/>
  <c r="G711" i="51"/>
  <c r="H711" i="51"/>
  <c r="I711" i="51"/>
  <c r="J711" i="51"/>
  <c r="K711" i="51"/>
  <c r="L711" i="51"/>
  <c r="M711" i="51"/>
  <c r="N711" i="51"/>
  <c r="O711" i="51"/>
  <c r="P711" i="51"/>
  <c r="Q711" i="51"/>
  <c r="C712" i="51"/>
  <c r="D712" i="51"/>
  <c r="E712" i="51"/>
  <c r="F712" i="51"/>
  <c r="H712" i="51"/>
  <c r="I712" i="51"/>
  <c r="J712" i="51"/>
  <c r="K712" i="51"/>
  <c r="L712" i="51"/>
  <c r="M712" i="51"/>
  <c r="N712" i="51"/>
  <c r="O712" i="51"/>
  <c r="P712" i="51"/>
  <c r="Q712" i="51"/>
  <c r="C713" i="51"/>
  <c r="H713" i="51"/>
  <c r="I713" i="51"/>
  <c r="J713" i="51"/>
  <c r="K713" i="51"/>
  <c r="L713" i="51"/>
  <c r="M713" i="51"/>
  <c r="N713" i="51"/>
  <c r="O713" i="51"/>
  <c r="P713" i="51"/>
  <c r="Q713" i="51"/>
  <c r="C714" i="51"/>
  <c r="D714" i="51"/>
  <c r="F714" i="51"/>
  <c r="G714" i="51"/>
  <c r="H714" i="51"/>
  <c r="I714" i="51"/>
  <c r="J714" i="51"/>
  <c r="K714" i="51"/>
  <c r="L714" i="51"/>
  <c r="M714" i="51"/>
  <c r="N714" i="51"/>
  <c r="O714" i="51"/>
  <c r="P714" i="51"/>
  <c r="Q714" i="51"/>
  <c r="C715" i="51"/>
  <c r="D715" i="51"/>
  <c r="E715" i="51"/>
  <c r="F715" i="51"/>
  <c r="G715" i="51"/>
  <c r="H715" i="51"/>
  <c r="I715" i="51"/>
  <c r="J715" i="51"/>
  <c r="K715" i="51"/>
  <c r="L715" i="51"/>
  <c r="M715" i="51"/>
  <c r="N715" i="51"/>
  <c r="O715" i="51"/>
  <c r="P715" i="51"/>
  <c r="Q715" i="51"/>
  <c r="C716" i="51"/>
  <c r="D716" i="51"/>
  <c r="E716" i="51"/>
  <c r="F716" i="51"/>
  <c r="H716" i="51"/>
  <c r="I716" i="51"/>
  <c r="J716" i="51"/>
  <c r="K716" i="51"/>
  <c r="L716" i="51"/>
  <c r="M716" i="51"/>
  <c r="N716" i="51"/>
  <c r="O716" i="51"/>
  <c r="P716" i="51"/>
  <c r="Q716" i="51"/>
  <c r="C717" i="51"/>
  <c r="H717" i="51"/>
  <c r="I717" i="51"/>
  <c r="J717" i="51"/>
  <c r="K717" i="51"/>
  <c r="L717" i="51"/>
  <c r="M717" i="51"/>
  <c r="N717" i="51"/>
  <c r="O717" i="51"/>
  <c r="P717" i="51"/>
  <c r="Q717" i="51"/>
  <c r="C718" i="51"/>
  <c r="D718" i="51"/>
  <c r="F718" i="51"/>
  <c r="G718" i="51"/>
  <c r="H718" i="51"/>
  <c r="I718" i="51"/>
  <c r="J718" i="51"/>
  <c r="K718" i="51"/>
  <c r="L718" i="51"/>
  <c r="M718" i="51"/>
  <c r="N718" i="51"/>
  <c r="O718" i="51"/>
  <c r="P718" i="51"/>
  <c r="Q718" i="51"/>
  <c r="C719" i="51"/>
  <c r="D719" i="51"/>
  <c r="E719" i="51"/>
  <c r="F719" i="51"/>
  <c r="G719" i="51"/>
  <c r="H719" i="51"/>
  <c r="I719" i="51"/>
  <c r="J719" i="51"/>
  <c r="K719" i="51"/>
  <c r="L719" i="51"/>
  <c r="M719" i="51"/>
  <c r="N719" i="51"/>
  <c r="O719" i="51"/>
  <c r="P719" i="51"/>
  <c r="Q719" i="51"/>
  <c r="C720" i="51"/>
  <c r="D720" i="51"/>
  <c r="E720" i="51"/>
  <c r="F720" i="51"/>
  <c r="G720" i="51"/>
  <c r="H720" i="51"/>
  <c r="I720" i="51"/>
  <c r="J720" i="51"/>
  <c r="K720" i="51"/>
  <c r="L720" i="51"/>
  <c r="M720" i="51"/>
  <c r="N720" i="51"/>
  <c r="O720" i="51"/>
  <c r="P720" i="51"/>
  <c r="Q720" i="51"/>
  <c r="C721" i="51"/>
  <c r="F721" i="51"/>
  <c r="G721" i="51"/>
  <c r="H721" i="51"/>
  <c r="I721" i="51"/>
  <c r="J721" i="51"/>
  <c r="K721" i="51"/>
  <c r="L721" i="51"/>
  <c r="M721" i="51"/>
  <c r="N721" i="51"/>
  <c r="O721" i="51"/>
  <c r="P721" i="51"/>
  <c r="Q721" i="51"/>
  <c r="C722" i="51"/>
  <c r="D722" i="51"/>
  <c r="F722" i="51"/>
  <c r="G722" i="51"/>
  <c r="H722" i="51"/>
  <c r="I722" i="51"/>
  <c r="J722" i="51"/>
  <c r="K722" i="51"/>
  <c r="L722" i="51"/>
  <c r="M722" i="51"/>
  <c r="N722" i="51"/>
  <c r="O722" i="51"/>
  <c r="P722" i="51"/>
  <c r="Q722" i="51"/>
  <c r="C723" i="51"/>
  <c r="D723" i="51"/>
  <c r="E723" i="51"/>
  <c r="F723" i="51"/>
  <c r="G723" i="51"/>
  <c r="H723" i="51"/>
  <c r="I723" i="51"/>
  <c r="J723" i="51"/>
  <c r="K723" i="51"/>
  <c r="L723" i="51"/>
  <c r="M723" i="51"/>
  <c r="N723" i="51"/>
  <c r="O723" i="51"/>
  <c r="P723" i="51"/>
  <c r="Q723" i="51"/>
  <c r="C724" i="51"/>
  <c r="D724" i="51"/>
  <c r="E724" i="51"/>
  <c r="F724" i="51"/>
  <c r="H724" i="51"/>
  <c r="I724" i="51"/>
  <c r="J724" i="51"/>
  <c r="K724" i="51"/>
  <c r="L724" i="51"/>
  <c r="M724" i="51"/>
  <c r="N724" i="51"/>
  <c r="O724" i="51"/>
  <c r="P724" i="51"/>
  <c r="Q724" i="51"/>
  <c r="C725" i="51"/>
  <c r="H725" i="51"/>
  <c r="I725" i="51"/>
  <c r="J725" i="51"/>
  <c r="K725" i="51"/>
  <c r="L725" i="51"/>
  <c r="M725" i="51"/>
  <c r="N725" i="51"/>
  <c r="O725" i="51"/>
  <c r="P725" i="51"/>
  <c r="Q725" i="51"/>
  <c r="C726" i="51"/>
  <c r="D726" i="51"/>
  <c r="F726" i="51"/>
  <c r="G726" i="51"/>
  <c r="H726" i="51"/>
  <c r="I726" i="51"/>
  <c r="J726" i="51"/>
  <c r="K726" i="51"/>
  <c r="L726" i="51"/>
  <c r="M726" i="51"/>
  <c r="N726" i="51"/>
  <c r="O726" i="51"/>
  <c r="P726" i="51"/>
  <c r="Q726" i="51"/>
  <c r="C727" i="51"/>
  <c r="D727" i="51"/>
  <c r="E727" i="51"/>
  <c r="F727" i="51"/>
  <c r="G727" i="51"/>
  <c r="H727" i="51"/>
  <c r="I727" i="51"/>
  <c r="J727" i="51"/>
  <c r="K727" i="51"/>
  <c r="L727" i="51"/>
  <c r="M727" i="51"/>
  <c r="N727" i="51"/>
  <c r="O727" i="51"/>
  <c r="P727" i="51"/>
  <c r="Q727" i="51"/>
  <c r="C728" i="51"/>
  <c r="D728" i="51"/>
  <c r="E728" i="51"/>
  <c r="F728" i="51"/>
  <c r="H728" i="51"/>
  <c r="I728" i="51"/>
  <c r="J728" i="51"/>
  <c r="K728" i="51"/>
  <c r="L728" i="51"/>
  <c r="M728" i="51"/>
  <c r="N728" i="51"/>
  <c r="O728" i="51"/>
  <c r="P728" i="51"/>
  <c r="Q728" i="51"/>
  <c r="C729" i="51"/>
  <c r="H729" i="51"/>
  <c r="I729" i="51"/>
  <c r="J729" i="51"/>
  <c r="K729" i="51"/>
  <c r="L729" i="51"/>
  <c r="M729" i="51"/>
  <c r="N729" i="51"/>
  <c r="O729" i="51"/>
  <c r="P729" i="51"/>
  <c r="Q729" i="51"/>
  <c r="C730" i="51"/>
  <c r="D730" i="51"/>
  <c r="E730" i="51"/>
  <c r="F730" i="51"/>
  <c r="G730" i="51"/>
  <c r="H730" i="51"/>
  <c r="I730" i="51"/>
  <c r="J730" i="51"/>
  <c r="K730" i="51"/>
  <c r="L730" i="51"/>
  <c r="M730" i="51"/>
  <c r="N730" i="51"/>
  <c r="O730" i="51"/>
  <c r="P730" i="51"/>
  <c r="Q730" i="51"/>
  <c r="C731" i="51"/>
  <c r="D731" i="51"/>
  <c r="E731" i="51"/>
  <c r="F731" i="51"/>
  <c r="G731" i="51"/>
  <c r="H731" i="51"/>
  <c r="I731" i="51"/>
  <c r="J731" i="51"/>
  <c r="K731" i="51"/>
  <c r="L731" i="51"/>
  <c r="M731" i="51"/>
  <c r="N731" i="51"/>
  <c r="O731" i="51"/>
  <c r="P731" i="51"/>
  <c r="Q731" i="51"/>
  <c r="C732" i="51"/>
  <c r="D732" i="51"/>
  <c r="E732" i="51"/>
  <c r="F732" i="51"/>
  <c r="G732" i="51"/>
  <c r="H732" i="51"/>
  <c r="I732" i="51"/>
  <c r="J732" i="51"/>
  <c r="K732" i="51"/>
  <c r="L732" i="51"/>
  <c r="M732" i="51"/>
  <c r="N732" i="51"/>
  <c r="O732" i="51"/>
  <c r="P732" i="51"/>
  <c r="Q732" i="51"/>
  <c r="C733" i="51"/>
  <c r="G733" i="51"/>
  <c r="H733" i="51"/>
  <c r="I733" i="51"/>
  <c r="J733" i="51"/>
  <c r="K733" i="51"/>
  <c r="L733" i="51"/>
  <c r="M733" i="51"/>
  <c r="N733" i="51"/>
  <c r="O733" i="51"/>
  <c r="P733" i="51"/>
  <c r="Q733" i="51"/>
  <c r="C734" i="51"/>
  <c r="D734" i="51"/>
  <c r="F734" i="51"/>
  <c r="G734" i="51"/>
  <c r="H734" i="51"/>
  <c r="I734" i="51"/>
  <c r="J734" i="51"/>
  <c r="K734" i="51"/>
  <c r="L734" i="51"/>
  <c r="M734" i="51"/>
  <c r="N734" i="51"/>
  <c r="O734" i="51"/>
  <c r="P734" i="51"/>
  <c r="Q734" i="51"/>
  <c r="C735" i="51"/>
  <c r="D735" i="51"/>
  <c r="E735" i="51"/>
  <c r="F735" i="51"/>
  <c r="G735" i="51"/>
  <c r="H735" i="51"/>
  <c r="I735" i="51"/>
  <c r="J735" i="51"/>
  <c r="K735" i="51"/>
  <c r="L735" i="51"/>
  <c r="M735" i="51"/>
  <c r="N735" i="51"/>
  <c r="O735" i="51"/>
  <c r="P735" i="51"/>
  <c r="Q735" i="51"/>
  <c r="C736" i="51"/>
  <c r="D736" i="51"/>
  <c r="E736" i="51"/>
  <c r="F736" i="51"/>
  <c r="H736" i="51"/>
  <c r="I736" i="51"/>
  <c r="J736" i="51"/>
  <c r="K736" i="51"/>
  <c r="L736" i="51"/>
  <c r="M736" i="51"/>
  <c r="N736" i="51"/>
  <c r="O736" i="51"/>
  <c r="P736" i="51"/>
  <c r="Q736" i="51"/>
  <c r="C830" i="51"/>
  <c r="D830" i="51"/>
  <c r="F830" i="51"/>
  <c r="G830" i="51"/>
  <c r="H830" i="51"/>
  <c r="I830" i="51"/>
  <c r="J830" i="51"/>
  <c r="K830" i="51"/>
  <c r="L830" i="51"/>
  <c r="M830" i="51"/>
  <c r="N830" i="51"/>
  <c r="O830" i="51"/>
  <c r="P830" i="51"/>
  <c r="Q830" i="51"/>
  <c r="C859" i="51"/>
  <c r="D859" i="51"/>
  <c r="E859" i="51"/>
  <c r="F859" i="51"/>
  <c r="G859" i="51"/>
  <c r="H859" i="51"/>
  <c r="I859" i="51"/>
  <c r="J859" i="51"/>
  <c r="K859" i="51"/>
  <c r="L859" i="51"/>
  <c r="M859" i="51"/>
  <c r="N859" i="51"/>
  <c r="O859" i="51"/>
  <c r="P859" i="51"/>
  <c r="Q859" i="51"/>
  <c r="C737" i="51"/>
  <c r="H737" i="51"/>
  <c r="I737" i="51"/>
  <c r="J737" i="51"/>
  <c r="K737" i="51"/>
  <c r="L737" i="51"/>
  <c r="M737" i="51"/>
  <c r="N737" i="51"/>
  <c r="O737" i="51"/>
  <c r="P737" i="51"/>
  <c r="Q737" i="51"/>
  <c r="C738" i="51"/>
  <c r="D738" i="51"/>
  <c r="F738" i="51"/>
  <c r="G738" i="51"/>
  <c r="H738" i="51"/>
  <c r="I738" i="51"/>
  <c r="J738" i="51"/>
  <c r="K738" i="51"/>
  <c r="L738" i="51"/>
  <c r="M738" i="51"/>
  <c r="N738" i="51"/>
  <c r="O738" i="51"/>
  <c r="P738" i="51"/>
  <c r="Q738" i="51"/>
  <c r="C739" i="51"/>
  <c r="D739" i="51"/>
  <c r="E739" i="51"/>
  <c r="F739" i="51"/>
  <c r="G739" i="51"/>
  <c r="H739" i="51"/>
  <c r="I739" i="51"/>
  <c r="J739" i="51"/>
  <c r="K739" i="51"/>
  <c r="L739" i="51"/>
  <c r="M739" i="51"/>
  <c r="N739" i="51"/>
  <c r="O739" i="51"/>
  <c r="P739" i="51"/>
  <c r="Q739" i="51"/>
  <c r="C740" i="51"/>
  <c r="D740" i="51"/>
  <c r="E740" i="51"/>
  <c r="F740" i="51"/>
  <c r="H740" i="51"/>
  <c r="I740" i="51"/>
  <c r="J740" i="51"/>
  <c r="K740" i="51"/>
  <c r="L740" i="51"/>
  <c r="M740" i="51"/>
  <c r="N740" i="51"/>
  <c r="O740" i="51"/>
  <c r="P740" i="51"/>
  <c r="Q740" i="51"/>
  <c r="C741" i="51"/>
  <c r="H741" i="51"/>
  <c r="I741" i="51"/>
  <c r="J741" i="51"/>
  <c r="K741" i="51"/>
  <c r="L741" i="51"/>
  <c r="M741" i="51"/>
  <c r="N741" i="51"/>
  <c r="O741" i="51"/>
  <c r="P741" i="51"/>
  <c r="Q741" i="51"/>
  <c r="C742" i="51"/>
  <c r="D742" i="51"/>
  <c r="F742" i="51"/>
  <c r="G742" i="51"/>
  <c r="H742" i="51"/>
  <c r="I742" i="51"/>
  <c r="J742" i="51"/>
  <c r="K742" i="51"/>
  <c r="L742" i="51"/>
  <c r="M742" i="51"/>
  <c r="N742" i="51"/>
  <c r="O742" i="51"/>
  <c r="P742" i="51"/>
  <c r="Q742" i="51"/>
  <c r="C743" i="51"/>
  <c r="D743" i="51"/>
  <c r="E743" i="51"/>
  <c r="F743" i="51"/>
  <c r="G743" i="51"/>
  <c r="H743" i="51"/>
  <c r="I743" i="51"/>
  <c r="J743" i="51"/>
  <c r="K743" i="51"/>
  <c r="L743" i="51"/>
  <c r="M743" i="51"/>
  <c r="N743" i="51"/>
  <c r="O743" i="51"/>
  <c r="P743" i="51"/>
  <c r="Q743" i="51"/>
  <c r="C744" i="51"/>
  <c r="D744" i="51"/>
  <c r="E744" i="51"/>
  <c r="F744" i="51"/>
  <c r="H744" i="51"/>
  <c r="I744" i="51"/>
  <c r="J744" i="51"/>
  <c r="K744" i="51"/>
  <c r="L744" i="51"/>
  <c r="M744" i="51"/>
  <c r="N744" i="51"/>
  <c r="O744" i="51"/>
  <c r="P744" i="51"/>
  <c r="Q744" i="51"/>
  <c r="C745" i="51"/>
  <c r="F745" i="51"/>
  <c r="H745" i="51"/>
  <c r="I745" i="51"/>
  <c r="J745" i="51"/>
  <c r="K745" i="51"/>
  <c r="L745" i="51"/>
  <c r="M745" i="51"/>
  <c r="N745" i="51"/>
  <c r="O745" i="51"/>
  <c r="P745" i="51"/>
  <c r="Q745" i="51"/>
  <c r="C746" i="51"/>
  <c r="D746" i="51"/>
  <c r="F746" i="51"/>
  <c r="G746" i="51"/>
  <c r="H746" i="51"/>
  <c r="I746" i="51"/>
  <c r="J746" i="51"/>
  <c r="K746" i="51"/>
  <c r="L746" i="51"/>
  <c r="M746" i="51"/>
  <c r="N746" i="51"/>
  <c r="O746" i="51"/>
  <c r="P746" i="51"/>
  <c r="Q746" i="51"/>
  <c r="C747" i="51"/>
  <c r="D747" i="51"/>
  <c r="E747" i="51"/>
  <c r="F747" i="51"/>
  <c r="G747" i="51"/>
  <c r="H747" i="51"/>
  <c r="I747" i="51"/>
  <c r="J747" i="51"/>
  <c r="K747" i="51"/>
  <c r="L747" i="51"/>
  <c r="M747" i="51"/>
  <c r="N747" i="51"/>
  <c r="O747" i="51"/>
  <c r="P747" i="51"/>
  <c r="Q747" i="51"/>
  <c r="C750" i="51"/>
  <c r="D750" i="51"/>
  <c r="E750" i="51"/>
  <c r="F750" i="51"/>
  <c r="G750" i="51"/>
  <c r="H750" i="51"/>
  <c r="I750" i="51"/>
  <c r="J750" i="51"/>
  <c r="K750" i="51"/>
  <c r="L750" i="51"/>
  <c r="M750" i="51"/>
  <c r="N750" i="51"/>
  <c r="O750" i="51"/>
  <c r="P750" i="51"/>
  <c r="Q750" i="51"/>
  <c r="C751" i="51"/>
  <c r="D751" i="51"/>
  <c r="E751" i="51"/>
  <c r="F751" i="51"/>
  <c r="G751" i="51"/>
  <c r="H751" i="51"/>
  <c r="I751" i="51"/>
  <c r="J751" i="51"/>
  <c r="K751" i="51"/>
  <c r="L751" i="51"/>
  <c r="M751" i="51"/>
  <c r="N751" i="51"/>
  <c r="O751" i="51"/>
  <c r="P751" i="51"/>
  <c r="Q751" i="51"/>
  <c r="C752" i="51"/>
  <c r="D752" i="51"/>
  <c r="E752" i="51"/>
  <c r="F752" i="51"/>
  <c r="G752" i="51"/>
  <c r="H752" i="51"/>
  <c r="I752" i="51"/>
  <c r="J752" i="51"/>
  <c r="K752" i="51"/>
  <c r="L752" i="51"/>
  <c r="M752" i="51"/>
  <c r="N752" i="51"/>
  <c r="O752" i="51"/>
  <c r="P752" i="51"/>
  <c r="Q752" i="51"/>
  <c r="C753" i="51"/>
  <c r="H753" i="51"/>
  <c r="I753" i="51"/>
  <c r="J753" i="51"/>
  <c r="K753" i="51"/>
  <c r="L753" i="51"/>
  <c r="M753" i="51"/>
  <c r="N753" i="51"/>
  <c r="O753" i="51"/>
  <c r="P753" i="51"/>
  <c r="Q753" i="51"/>
  <c r="C754" i="51"/>
  <c r="D754" i="51"/>
  <c r="E754" i="51"/>
  <c r="F754" i="51"/>
  <c r="G754" i="51"/>
  <c r="H754" i="51"/>
  <c r="I754" i="51"/>
  <c r="J754" i="51"/>
  <c r="K754" i="51"/>
  <c r="L754" i="51"/>
  <c r="M754" i="51"/>
  <c r="N754" i="51"/>
  <c r="O754" i="51"/>
  <c r="P754" i="51"/>
  <c r="Q754" i="51"/>
  <c r="C755" i="51"/>
  <c r="D755" i="51"/>
  <c r="E755" i="51"/>
  <c r="F755" i="51"/>
  <c r="G755" i="51"/>
  <c r="H755" i="51"/>
  <c r="I755" i="51"/>
  <c r="J755" i="51"/>
  <c r="K755" i="51"/>
  <c r="L755" i="51"/>
  <c r="M755" i="51"/>
  <c r="N755" i="51"/>
  <c r="O755" i="51"/>
  <c r="P755" i="51"/>
  <c r="Q755" i="51"/>
  <c r="C756" i="51"/>
  <c r="D756" i="51"/>
  <c r="E756" i="51"/>
  <c r="F756" i="51"/>
  <c r="G756" i="51"/>
  <c r="H756" i="51"/>
  <c r="I756" i="51"/>
  <c r="J756" i="51"/>
  <c r="K756" i="51"/>
  <c r="L756" i="51"/>
  <c r="M756" i="51"/>
  <c r="N756" i="51"/>
  <c r="O756" i="51"/>
  <c r="P756" i="51"/>
  <c r="Q756" i="51"/>
  <c r="C757" i="51"/>
  <c r="F757" i="51"/>
  <c r="H757" i="51"/>
  <c r="I757" i="51"/>
  <c r="J757" i="51"/>
  <c r="K757" i="51"/>
  <c r="L757" i="51"/>
  <c r="M757" i="51"/>
  <c r="N757" i="51"/>
  <c r="O757" i="51"/>
  <c r="P757" i="51"/>
  <c r="Q757" i="51"/>
  <c r="C758" i="51"/>
  <c r="D758" i="51"/>
  <c r="F758" i="51"/>
  <c r="G758" i="51"/>
  <c r="H758" i="51"/>
  <c r="I758" i="51"/>
  <c r="J758" i="51"/>
  <c r="K758" i="51"/>
  <c r="L758" i="51"/>
  <c r="M758" i="51"/>
  <c r="N758" i="51"/>
  <c r="O758" i="51"/>
  <c r="P758" i="51"/>
  <c r="Q758" i="51"/>
  <c r="C760" i="51"/>
  <c r="D760" i="51"/>
  <c r="E760" i="51"/>
  <c r="F760" i="51"/>
  <c r="G760" i="51"/>
  <c r="H760" i="51"/>
  <c r="I760" i="51"/>
  <c r="J760" i="51"/>
  <c r="K760" i="51"/>
  <c r="L760" i="51"/>
  <c r="M760" i="51"/>
  <c r="N760" i="51"/>
  <c r="O760" i="51"/>
  <c r="P760" i="51"/>
  <c r="Q760" i="51"/>
  <c r="C761" i="51"/>
  <c r="F761" i="51"/>
  <c r="H761" i="51"/>
  <c r="I761" i="51"/>
  <c r="J761" i="51"/>
  <c r="K761" i="51"/>
  <c r="L761" i="51"/>
  <c r="M761" i="51"/>
  <c r="N761" i="51"/>
  <c r="O761" i="51"/>
  <c r="P761" i="51"/>
  <c r="Q761" i="51"/>
  <c r="C762" i="51"/>
  <c r="D762" i="51"/>
  <c r="F762" i="51"/>
  <c r="G762" i="51"/>
  <c r="H762" i="51"/>
  <c r="I762" i="51"/>
  <c r="J762" i="51"/>
  <c r="K762" i="51"/>
  <c r="L762" i="51"/>
  <c r="M762" i="51"/>
  <c r="N762" i="51"/>
  <c r="O762" i="51"/>
  <c r="P762" i="51"/>
  <c r="Q762" i="51"/>
  <c r="C763" i="51"/>
  <c r="D763" i="51"/>
  <c r="E763" i="51"/>
  <c r="F763" i="51"/>
  <c r="G763" i="51"/>
  <c r="H763" i="51"/>
  <c r="I763" i="51"/>
  <c r="J763" i="51"/>
  <c r="K763" i="51"/>
  <c r="L763" i="51"/>
  <c r="M763" i="51"/>
  <c r="N763" i="51"/>
  <c r="O763" i="51"/>
  <c r="P763" i="51"/>
  <c r="Q763" i="51"/>
  <c r="C764" i="51"/>
  <c r="D764" i="51"/>
  <c r="E764" i="51"/>
  <c r="F764" i="51"/>
  <c r="H764" i="51"/>
  <c r="I764" i="51"/>
  <c r="J764" i="51"/>
  <c r="K764" i="51"/>
  <c r="L764" i="51"/>
  <c r="M764" i="51"/>
  <c r="N764" i="51"/>
  <c r="O764" i="51"/>
  <c r="P764" i="51"/>
  <c r="Q764" i="51"/>
  <c r="C765" i="51"/>
  <c r="H765" i="51"/>
  <c r="I765" i="51"/>
  <c r="J765" i="51"/>
  <c r="K765" i="51"/>
  <c r="L765" i="51"/>
  <c r="M765" i="51"/>
  <c r="N765" i="51"/>
  <c r="O765" i="51"/>
  <c r="P765" i="51"/>
  <c r="Q765" i="51"/>
  <c r="C766" i="51"/>
  <c r="D766" i="51"/>
  <c r="F766" i="51"/>
  <c r="G766" i="51"/>
  <c r="H766" i="51"/>
  <c r="I766" i="51"/>
  <c r="J766" i="51"/>
  <c r="K766" i="51"/>
  <c r="L766" i="51"/>
  <c r="M766" i="51"/>
  <c r="N766" i="51"/>
  <c r="O766" i="51"/>
  <c r="P766" i="51"/>
  <c r="Q766" i="51"/>
  <c r="C767" i="51"/>
  <c r="D767" i="51"/>
  <c r="E767" i="51"/>
  <c r="F767" i="51"/>
  <c r="G767" i="51"/>
  <c r="H767" i="51"/>
  <c r="I767" i="51"/>
  <c r="J767" i="51"/>
  <c r="K767" i="51"/>
  <c r="L767" i="51"/>
  <c r="M767" i="51"/>
  <c r="N767" i="51"/>
  <c r="O767" i="51"/>
  <c r="P767" i="51"/>
  <c r="Q767" i="51"/>
  <c r="C768" i="51"/>
  <c r="D768" i="51"/>
  <c r="E768" i="51"/>
  <c r="F768" i="51"/>
  <c r="H768" i="51"/>
  <c r="I768" i="51"/>
  <c r="J768" i="51"/>
  <c r="K768" i="51"/>
  <c r="L768" i="51"/>
  <c r="M768" i="51"/>
  <c r="N768" i="51"/>
  <c r="O768" i="51"/>
  <c r="P768" i="51"/>
  <c r="Q768" i="51"/>
  <c r="C769" i="51"/>
  <c r="H769" i="51"/>
  <c r="I769" i="51"/>
  <c r="J769" i="51"/>
  <c r="K769" i="51"/>
  <c r="L769" i="51"/>
  <c r="M769" i="51"/>
  <c r="N769" i="51"/>
  <c r="O769" i="51"/>
  <c r="P769" i="51"/>
  <c r="Q769" i="51"/>
  <c r="C771" i="51"/>
  <c r="D771" i="51"/>
  <c r="E771" i="51"/>
  <c r="F771" i="51"/>
  <c r="G771" i="51"/>
  <c r="H771" i="51"/>
  <c r="I771" i="51"/>
  <c r="J771" i="51"/>
  <c r="K771" i="51"/>
  <c r="L771" i="51"/>
  <c r="M771" i="51"/>
  <c r="N771" i="51"/>
  <c r="O771" i="51"/>
  <c r="P771" i="51"/>
  <c r="Q771" i="51"/>
  <c r="C772" i="51"/>
  <c r="D772" i="51"/>
  <c r="E772" i="51"/>
  <c r="F772" i="51"/>
  <c r="G772" i="51"/>
  <c r="H772" i="51"/>
  <c r="I772" i="51"/>
  <c r="J772" i="51"/>
  <c r="K772" i="51"/>
  <c r="L772" i="51"/>
  <c r="M772" i="51"/>
  <c r="N772" i="51"/>
  <c r="O772" i="51"/>
  <c r="P772" i="51"/>
  <c r="Q772" i="51"/>
  <c r="C773" i="51"/>
  <c r="H773" i="51"/>
  <c r="I773" i="51"/>
  <c r="J773" i="51"/>
  <c r="K773" i="51"/>
  <c r="L773" i="51"/>
  <c r="M773" i="51"/>
  <c r="N773" i="51"/>
  <c r="O773" i="51"/>
  <c r="P773" i="51"/>
  <c r="Q773" i="51"/>
  <c r="C774" i="51"/>
  <c r="D774" i="51"/>
  <c r="F774" i="51"/>
  <c r="G774" i="51"/>
  <c r="H774" i="51"/>
  <c r="I774" i="51"/>
  <c r="J774" i="51"/>
  <c r="K774" i="51"/>
  <c r="L774" i="51"/>
  <c r="M774" i="51"/>
  <c r="N774" i="51"/>
  <c r="O774" i="51"/>
  <c r="P774" i="51"/>
  <c r="Q774" i="51"/>
  <c r="C775" i="51"/>
  <c r="D775" i="51"/>
  <c r="E775" i="51"/>
  <c r="F775" i="51"/>
  <c r="G775" i="51"/>
  <c r="H775" i="51"/>
  <c r="I775" i="51"/>
  <c r="J775" i="51"/>
  <c r="K775" i="51"/>
  <c r="L775" i="51"/>
  <c r="M775" i="51"/>
  <c r="N775" i="51"/>
  <c r="O775" i="51"/>
  <c r="P775" i="51"/>
  <c r="Q775" i="51"/>
  <c r="C777" i="51"/>
  <c r="H777" i="51"/>
  <c r="I777" i="51"/>
  <c r="J777" i="51"/>
  <c r="K777" i="51"/>
  <c r="L777" i="51"/>
  <c r="M777" i="51"/>
  <c r="N777" i="51"/>
  <c r="O777" i="51"/>
  <c r="P777" i="51"/>
  <c r="Q777" i="51"/>
  <c r="C778" i="51"/>
  <c r="D778" i="51"/>
  <c r="F778" i="51"/>
  <c r="G778" i="51"/>
  <c r="H778" i="51"/>
  <c r="I778" i="51"/>
  <c r="J778" i="51"/>
  <c r="K778" i="51"/>
  <c r="L778" i="51"/>
  <c r="M778" i="51"/>
  <c r="N778" i="51"/>
  <c r="O778" i="51"/>
  <c r="P778" i="51"/>
  <c r="Q778" i="51"/>
  <c r="C779" i="51"/>
  <c r="D779" i="51"/>
  <c r="E779" i="51"/>
  <c r="F779" i="51"/>
  <c r="G779" i="51"/>
  <c r="H779" i="51"/>
  <c r="I779" i="51"/>
  <c r="J779" i="51"/>
  <c r="K779" i="51"/>
  <c r="L779" i="51"/>
  <c r="M779" i="51"/>
  <c r="N779" i="51"/>
  <c r="O779" i="51"/>
  <c r="P779" i="51"/>
  <c r="Q779" i="51"/>
  <c r="C780" i="51"/>
  <c r="D780" i="51"/>
  <c r="E780" i="51"/>
  <c r="F780" i="51"/>
  <c r="G780" i="51"/>
  <c r="H780" i="51"/>
  <c r="I780" i="51"/>
  <c r="J780" i="51"/>
  <c r="K780" i="51"/>
  <c r="L780" i="51"/>
  <c r="M780" i="51"/>
  <c r="N780" i="51"/>
  <c r="O780" i="51"/>
  <c r="P780" i="51"/>
  <c r="Q780" i="51"/>
  <c r="C781" i="51"/>
  <c r="H781" i="51"/>
  <c r="I781" i="51"/>
  <c r="J781" i="51"/>
  <c r="K781" i="51"/>
  <c r="L781" i="51"/>
  <c r="M781" i="51"/>
  <c r="N781" i="51"/>
  <c r="O781" i="51"/>
  <c r="P781" i="51"/>
  <c r="Q781" i="51"/>
  <c r="C782" i="51"/>
  <c r="D782" i="51"/>
  <c r="F782" i="51"/>
  <c r="G782" i="51"/>
  <c r="H782" i="51"/>
  <c r="I782" i="51"/>
  <c r="J782" i="51"/>
  <c r="K782" i="51"/>
  <c r="L782" i="51"/>
  <c r="M782" i="51"/>
  <c r="N782" i="51"/>
  <c r="O782" i="51"/>
  <c r="P782" i="51"/>
  <c r="Q782" i="51"/>
  <c r="C783" i="51"/>
  <c r="D783" i="51"/>
  <c r="E783" i="51"/>
  <c r="F783" i="51"/>
  <c r="G783" i="51"/>
  <c r="H783" i="51"/>
  <c r="I783" i="51"/>
  <c r="J783" i="51"/>
  <c r="K783" i="51"/>
  <c r="L783" i="51"/>
  <c r="M783" i="51"/>
  <c r="N783" i="51"/>
  <c r="O783" i="51"/>
  <c r="P783" i="51"/>
  <c r="Q783" i="51"/>
  <c r="C784" i="51"/>
  <c r="D784" i="51"/>
  <c r="E784" i="51"/>
  <c r="F784" i="51"/>
  <c r="H784" i="51"/>
  <c r="I784" i="51"/>
  <c r="J784" i="51"/>
  <c r="K784" i="51"/>
  <c r="L784" i="51"/>
  <c r="M784" i="51"/>
  <c r="N784" i="51"/>
  <c r="O784" i="51"/>
  <c r="P784" i="51"/>
  <c r="Q784" i="51"/>
  <c r="C785" i="51"/>
  <c r="F785" i="51"/>
  <c r="H785" i="51"/>
  <c r="I785" i="51"/>
  <c r="J785" i="51"/>
  <c r="K785" i="51"/>
  <c r="L785" i="51"/>
  <c r="M785" i="51"/>
  <c r="N785" i="51"/>
  <c r="O785" i="51"/>
  <c r="P785" i="51"/>
  <c r="Q785" i="51"/>
  <c r="C786" i="51"/>
  <c r="D786" i="51"/>
  <c r="F786" i="51"/>
  <c r="G786" i="51"/>
  <c r="H786" i="51"/>
  <c r="I786" i="51"/>
  <c r="J786" i="51"/>
  <c r="K786" i="51"/>
  <c r="L786" i="51"/>
  <c r="M786" i="51"/>
  <c r="N786" i="51"/>
  <c r="O786" i="51"/>
  <c r="P786" i="51"/>
  <c r="Q786" i="51"/>
  <c r="C787" i="51"/>
  <c r="D787" i="51"/>
  <c r="E787" i="51"/>
  <c r="F787" i="51"/>
  <c r="G787" i="51"/>
  <c r="H787" i="51"/>
  <c r="I787" i="51"/>
  <c r="J787" i="51"/>
  <c r="K787" i="51"/>
  <c r="L787" i="51"/>
  <c r="M787" i="51"/>
  <c r="N787" i="51"/>
  <c r="O787" i="51"/>
  <c r="P787" i="51"/>
  <c r="Q787" i="51"/>
  <c r="C788" i="51"/>
  <c r="D788" i="51"/>
  <c r="E788" i="51"/>
  <c r="F788" i="51"/>
  <c r="G788" i="51"/>
  <c r="H788" i="51"/>
  <c r="I788" i="51"/>
  <c r="J788" i="51"/>
  <c r="K788" i="51"/>
  <c r="L788" i="51"/>
  <c r="M788" i="51"/>
  <c r="N788" i="51"/>
  <c r="O788" i="51"/>
  <c r="P788" i="51"/>
  <c r="Q788" i="51"/>
  <c r="C789" i="51"/>
  <c r="H789" i="51"/>
  <c r="I789" i="51"/>
  <c r="J789" i="51"/>
  <c r="K789" i="51"/>
  <c r="L789" i="51"/>
  <c r="M789" i="51"/>
  <c r="N789" i="51"/>
  <c r="O789" i="51"/>
  <c r="P789" i="51"/>
  <c r="Q789" i="51"/>
  <c r="C790" i="51"/>
  <c r="D790" i="51"/>
  <c r="F790" i="51"/>
  <c r="G790" i="51"/>
  <c r="H790" i="51"/>
  <c r="I790" i="51"/>
  <c r="J790" i="51"/>
  <c r="K790" i="51"/>
  <c r="L790" i="51"/>
  <c r="M790" i="51"/>
  <c r="N790" i="51"/>
  <c r="O790" i="51"/>
  <c r="P790" i="51"/>
  <c r="Q790" i="51"/>
  <c r="C791" i="51"/>
  <c r="D791" i="51"/>
  <c r="E791" i="51"/>
  <c r="F791" i="51"/>
  <c r="G791" i="51"/>
  <c r="H791" i="51"/>
  <c r="I791" i="51"/>
  <c r="J791" i="51"/>
  <c r="K791" i="51"/>
  <c r="L791" i="51"/>
  <c r="M791" i="51"/>
  <c r="N791" i="51"/>
  <c r="O791" i="51"/>
  <c r="P791" i="51"/>
  <c r="Q791" i="51"/>
  <c r="C792" i="51"/>
  <c r="H792" i="51"/>
  <c r="I792" i="51"/>
  <c r="J792" i="51"/>
  <c r="K792" i="51"/>
  <c r="L792" i="51"/>
  <c r="M792" i="51"/>
  <c r="N792" i="51"/>
  <c r="O792" i="51"/>
  <c r="P792" i="51"/>
  <c r="Q792" i="51"/>
  <c r="C794" i="51"/>
  <c r="D794" i="51"/>
  <c r="E794" i="51"/>
  <c r="F794" i="51"/>
  <c r="G794" i="51"/>
  <c r="H794" i="51"/>
  <c r="I794" i="51"/>
  <c r="J794" i="51"/>
  <c r="K794" i="51"/>
  <c r="L794" i="51"/>
  <c r="M794" i="51"/>
  <c r="N794" i="51"/>
  <c r="O794" i="51"/>
  <c r="P794" i="51"/>
  <c r="Q794" i="51"/>
  <c r="C795" i="51"/>
  <c r="D795" i="51"/>
  <c r="E795" i="51"/>
  <c r="F795" i="51"/>
  <c r="G795" i="51"/>
  <c r="H795" i="51"/>
  <c r="I795" i="51"/>
  <c r="J795" i="51"/>
  <c r="K795" i="51"/>
  <c r="L795" i="51"/>
  <c r="M795" i="51"/>
  <c r="N795" i="51"/>
  <c r="O795" i="51"/>
  <c r="P795" i="51"/>
  <c r="Q795" i="51"/>
  <c r="C796" i="51"/>
  <c r="H796" i="51"/>
  <c r="I796" i="51"/>
  <c r="J796" i="51"/>
  <c r="K796" i="51"/>
  <c r="L796" i="51"/>
  <c r="M796" i="51"/>
  <c r="N796" i="51"/>
  <c r="O796" i="51"/>
  <c r="P796" i="51"/>
  <c r="Q796" i="51"/>
  <c r="C797" i="51"/>
  <c r="D797" i="51"/>
  <c r="E797" i="51"/>
  <c r="F797" i="51"/>
  <c r="G797" i="51"/>
  <c r="H797" i="51"/>
  <c r="I797" i="51"/>
  <c r="J797" i="51"/>
  <c r="K797" i="51"/>
  <c r="L797" i="51"/>
  <c r="M797" i="51"/>
  <c r="N797" i="51"/>
  <c r="O797" i="51"/>
  <c r="P797" i="51"/>
  <c r="Q797" i="51"/>
  <c r="C798" i="51"/>
  <c r="D798" i="51"/>
  <c r="E798" i="51"/>
  <c r="F798" i="51"/>
  <c r="G798" i="51"/>
  <c r="H798" i="51"/>
  <c r="I798" i="51"/>
  <c r="J798" i="51"/>
  <c r="K798" i="51"/>
  <c r="L798" i="51"/>
  <c r="M798" i="51"/>
  <c r="N798" i="51"/>
  <c r="O798" i="51"/>
  <c r="P798" i="51"/>
  <c r="Q798" i="51"/>
  <c r="C799" i="51"/>
  <c r="D799" i="51"/>
  <c r="E799" i="51"/>
  <c r="F799" i="51"/>
  <c r="G799" i="51"/>
  <c r="H799" i="51"/>
  <c r="I799" i="51"/>
  <c r="J799" i="51"/>
  <c r="K799" i="51"/>
  <c r="L799" i="51"/>
  <c r="M799" i="51"/>
  <c r="N799" i="51"/>
  <c r="O799" i="51"/>
  <c r="P799" i="51"/>
  <c r="Q799" i="51"/>
  <c r="C800" i="51"/>
  <c r="G800" i="51"/>
  <c r="H800" i="51"/>
  <c r="I800" i="51"/>
  <c r="J800" i="51"/>
  <c r="K800" i="51"/>
  <c r="L800" i="51"/>
  <c r="M800" i="51"/>
  <c r="N800" i="51"/>
  <c r="O800" i="51"/>
  <c r="P800" i="51"/>
  <c r="Q800" i="51"/>
  <c r="C801" i="51"/>
  <c r="D801" i="51"/>
  <c r="F801" i="51"/>
  <c r="G801" i="51"/>
  <c r="H801" i="51"/>
  <c r="I801" i="51"/>
  <c r="J801" i="51"/>
  <c r="K801" i="51"/>
  <c r="L801" i="51"/>
  <c r="M801" i="51"/>
  <c r="N801" i="51"/>
  <c r="O801" i="51"/>
  <c r="P801" i="51"/>
  <c r="Q801" i="51"/>
  <c r="C802" i="51"/>
  <c r="D802" i="51"/>
  <c r="E802" i="51"/>
  <c r="F802" i="51"/>
  <c r="G802" i="51"/>
  <c r="H802" i="51"/>
  <c r="I802" i="51"/>
  <c r="J802" i="51"/>
  <c r="K802" i="51"/>
  <c r="L802" i="51"/>
  <c r="M802" i="51"/>
  <c r="N802" i="51"/>
  <c r="O802" i="51"/>
  <c r="P802" i="51"/>
  <c r="Q802" i="51"/>
  <c r="C803" i="51"/>
  <c r="H803" i="51"/>
  <c r="I803" i="51"/>
  <c r="J803" i="51"/>
  <c r="K803" i="51"/>
  <c r="L803" i="51"/>
  <c r="M803" i="51"/>
  <c r="N803" i="51"/>
  <c r="O803" i="51"/>
  <c r="P803" i="51"/>
  <c r="Q803" i="51"/>
  <c r="C806" i="51"/>
  <c r="D806" i="51"/>
  <c r="F806" i="51"/>
  <c r="G806" i="51"/>
  <c r="H806" i="51"/>
  <c r="I806" i="51"/>
  <c r="J806" i="51"/>
  <c r="K806" i="51"/>
  <c r="L806" i="51"/>
  <c r="M806" i="51"/>
  <c r="N806" i="51"/>
  <c r="O806" i="51"/>
  <c r="P806" i="51"/>
  <c r="Q806" i="51"/>
  <c r="C807" i="51"/>
  <c r="D807" i="51"/>
  <c r="E807" i="51"/>
  <c r="F807" i="51"/>
  <c r="G807" i="51"/>
  <c r="H807" i="51"/>
  <c r="I807" i="51"/>
  <c r="J807" i="51"/>
  <c r="K807" i="51"/>
  <c r="L807" i="51"/>
  <c r="M807" i="51"/>
  <c r="N807" i="51"/>
  <c r="O807" i="51"/>
  <c r="P807" i="51"/>
  <c r="Q807" i="51"/>
  <c r="C808" i="51"/>
  <c r="D808" i="51"/>
  <c r="E808" i="51"/>
  <c r="F808" i="51"/>
  <c r="G808" i="51"/>
  <c r="H808" i="51"/>
  <c r="I808" i="51"/>
  <c r="J808" i="51"/>
  <c r="K808" i="51"/>
  <c r="L808" i="51"/>
  <c r="M808" i="51"/>
  <c r="N808" i="51"/>
  <c r="O808" i="51"/>
  <c r="P808" i="51"/>
  <c r="Q808" i="51"/>
  <c r="C809" i="51"/>
  <c r="F809" i="51"/>
  <c r="H809" i="51"/>
  <c r="I809" i="51"/>
  <c r="J809" i="51"/>
  <c r="K809" i="51"/>
  <c r="L809" i="51"/>
  <c r="M809" i="51"/>
  <c r="N809" i="51"/>
  <c r="O809" i="51"/>
  <c r="P809" i="51"/>
  <c r="Q809" i="51"/>
  <c r="C810" i="51"/>
  <c r="D810" i="51"/>
  <c r="F810" i="51"/>
  <c r="G810" i="51"/>
  <c r="H810" i="51"/>
  <c r="I810" i="51"/>
  <c r="J810" i="51"/>
  <c r="K810" i="51"/>
  <c r="L810" i="51"/>
  <c r="M810" i="51"/>
  <c r="N810" i="51"/>
  <c r="O810" i="51"/>
  <c r="P810" i="51"/>
  <c r="Q810" i="51"/>
  <c r="C812" i="51"/>
  <c r="D812" i="51"/>
  <c r="E812" i="51"/>
  <c r="F812" i="51"/>
  <c r="G812" i="51"/>
  <c r="H812" i="51"/>
  <c r="I812" i="51"/>
  <c r="J812" i="51"/>
  <c r="K812" i="51"/>
  <c r="L812" i="51"/>
  <c r="M812" i="51"/>
  <c r="N812" i="51"/>
  <c r="O812" i="51"/>
  <c r="P812" i="51"/>
  <c r="Q812" i="51"/>
  <c r="C813" i="51"/>
  <c r="F813" i="51"/>
  <c r="H813" i="51"/>
  <c r="I813" i="51"/>
  <c r="J813" i="51"/>
  <c r="K813" i="51"/>
  <c r="L813" i="51"/>
  <c r="M813" i="51"/>
  <c r="N813" i="51"/>
  <c r="O813" i="51"/>
  <c r="P813" i="51"/>
  <c r="Q813" i="51"/>
  <c r="C814" i="51"/>
  <c r="D814" i="51"/>
  <c r="E814" i="51"/>
  <c r="F814" i="51"/>
  <c r="G814" i="51"/>
  <c r="H814" i="51"/>
  <c r="I814" i="51"/>
  <c r="J814" i="51"/>
  <c r="K814" i="51"/>
  <c r="L814" i="51"/>
  <c r="M814" i="51"/>
  <c r="N814" i="51"/>
  <c r="O814" i="51"/>
  <c r="P814" i="51"/>
  <c r="Q814" i="51"/>
  <c r="C815" i="51"/>
  <c r="D815" i="51"/>
  <c r="E815" i="51"/>
  <c r="F815" i="51"/>
  <c r="G815" i="51"/>
  <c r="H815" i="51"/>
  <c r="I815" i="51"/>
  <c r="J815" i="51"/>
  <c r="K815" i="51"/>
  <c r="L815" i="51"/>
  <c r="M815" i="51"/>
  <c r="N815" i="51"/>
  <c r="O815" i="51"/>
  <c r="P815" i="51"/>
  <c r="Q815" i="51"/>
  <c r="C817" i="51"/>
  <c r="F817" i="51"/>
  <c r="H817" i="51"/>
  <c r="I817" i="51"/>
  <c r="J817" i="51"/>
  <c r="K817" i="51"/>
  <c r="L817" i="51"/>
  <c r="M817" i="51"/>
  <c r="N817" i="51"/>
  <c r="O817" i="51"/>
  <c r="P817" i="51"/>
  <c r="Q817" i="51"/>
  <c r="C818" i="51"/>
  <c r="D818" i="51"/>
  <c r="F818" i="51"/>
  <c r="G818" i="51"/>
  <c r="H818" i="51"/>
  <c r="I818" i="51"/>
  <c r="J818" i="51"/>
  <c r="K818" i="51"/>
  <c r="L818" i="51"/>
  <c r="M818" i="51"/>
  <c r="N818" i="51"/>
  <c r="O818" i="51"/>
  <c r="P818" i="51"/>
  <c r="Q818" i="51"/>
  <c r="C819" i="51"/>
  <c r="D819" i="51"/>
  <c r="E819" i="51"/>
  <c r="F819" i="51"/>
  <c r="G819" i="51"/>
  <c r="H819" i="51"/>
  <c r="I819" i="51"/>
  <c r="J819" i="51"/>
  <c r="K819" i="51"/>
  <c r="L819" i="51"/>
  <c r="M819" i="51"/>
  <c r="N819" i="51"/>
  <c r="O819" i="51"/>
  <c r="P819" i="51"/>
  <c r="Q819" i="51"/>
  <c r="C820" i="51"/>
  <c r="D820" i="51"/>
  <c r="E820" i="51"/>
  <c r="F820" i="51"/>
  <c r="G820" i="51"/>
  <c r="H820" i="51"/>
  <c r="I820" i="51"/>
  <c r="J820" i="51"/>
  <c r="K820" i="51"/>
  <c r="L820" i="51"/>
  <c r="M820" i="51"/>
  <c r="N820" i="51"/>
  <c r="O820" i="51"/>
  <c r="P820" i="51"/>
  <c r="Q820" i="51"/>
  <c r="C821" i="51"/>
  <c r="H821" i="51"/>
  <c r="I821" i="51"/>
  <c r="J821" i="51"/>
  <c r="K821" i="51"/>
  <c r="L821" i="51"/>
  <c r="M821" i="51"/>
  <c r="N821" i="51"/>
  <c r="O821" i="51"/>
  <c r="P821" i="51"/>
  <c r="Q821" i="51"/>
  <c r="C823" i="51"/>
  <c r="D823" i="51"/>
  <c r="E823" i="51"/>
  <c r="F823" i="51"/>
  <c r="G823" i="51"/>
  <c r="H823" i="51"/>
  <c r="I823" i="51"/>
  <c r="J823" i="51"/>
  <c r="K823" i="51"/>
  <c r="L823" i="51"/>
  <c r="M823" i="51"/>
  <c r="N823" i="51"/>
  <c r="O823" i="51"/>
  <c r="P823" i="51"/>
  <c r="Q823" i="51"/>
  <c r="C824" i="51"/>
  <c r="D824" i="51"/>
  <c r="E824" i="51"/>
  <c r="F824" i="51"/>
  <c r="G824" i="51"/>
  <c r="H824" i="51"/>
  <c r="I824" i="51"/>
  <c r="J824" i="51"/>
  <c r="K824" i="51"/>
  <c r="L824" i="51"/>
  <c r="M824" i="51"/>
  <c r="N824" i="51"/>
  <c r="O824" i="51"/>
  <c r="P824" i="51"/>
  <c r="Q824" i="51"/>
  <c r="C827" i="51"/>
  <c r="D827" i="51"/>
  <c r="E827" i="51"/>
  <c r="F827" i="51"/>
  <c r="G827" i="51"/>
  <c r="H827" i="51"/>
  <c r="I827" i="51"/>
  <c r="J827" i="51"/>
  <c r="K827" i="51"/>
  <c r="L827" i="51"/>
  <c r="M827" i="51"/>
  <c r="N827" i="51"/>
  <c r="O827" i="51"/>
  <c r="P827" i="51"/>
  <c r="Q827" i="51"/>
  <c r="C831" i="51"/>
  <c r="D831" i="51"/>
  <c r="E831" i="51"/>
  <c r="F831" i="51"/>
  <c r="G831" i="51"/>
  <c r="H831" i="51"/>
  <c r="I831" i="51"/>
  <c r="J831" i="51"/>
  <c r="K831" i="51"/>
  <c r="L831" i="51"/>
  <c r="M831" i="51"/>
  <c r="N831" i="51"/>
  <c r="O831" i="51"/>
  <c r="P831" i="51"/>
  <c r="Q831" i="51"/>
  <c r="C836" i="51"/>
  <c r="D836" i="51"/>
  <c r="E836" i="51"/>
  <c r="F836" i="51"/>
  <c r="G836" i="51"/>
  <c r="H836" i="51"/>
  <c r="I836" i="51"/>
  <c r="J836" i="51"/>
  <c r="K836" i="51"/>
  <c r="L836" i="51"/>
  <c r="M836" i="51"/>
  <c r="N836" i="51"/>
  <c r="O836" i="51"/>
  <c r="P836" i="51"/>
  <c r="Q836" i="51"/>
  <c r="C839" i="51"/>
  <c r="D839" i="51"/>
  <c r="E839" i="51"/>
  <c r="F839" i="51"/>
  <c r="G839" i="51"/>
  <c r="H839" i="51"/>
  <c r="I839" i="51"/>
  <c r="J839" i="51"/>
  <c r="K839" i="51"/>
  <c r="L839" i="51"/>
  <c r="M839" i="51"/>
  <c r="N839" i="51"/>
  <c r="O839" i="51"/>
  <c r="P839" i="51"/>
  <c r="Q839" i="51"/>
  <c r="C841" i="51"/>
  <c r="H841" i="51"/>
  <c r="I841" i="51"/>
  <c r="J841" i="51"/>
  <c r="K841" i="51"/>
  <c r="L841" i="51"/>
  <c r="M841" i="51"/>
  <c r="N841" i="51"/>
  <c r="O841" i="51"/>
  <c r="P841" i="51"/>
  <c r="Q841" i="51"/>
  <c r="C842" i="51"/>
  <c r="D842" i="51"/>
  <c r="F842" i="51"/>
  <c r="G842" i="51"/>
  <c r="H842" i="51"/>
  <c r="I842" i="51"/>
  <c r="J842" i="51"/>
  <c r="K842" i="51"/>
  <c r="L842" i="51"/>
  <c r="M842" i="51"/>
  <c r="N842" i="51"/>
  <c r="O842" i="51"/>
  <c r="P842" i="51"/>
  <c r="Q842" i="51"/>
  <c r="C843" i="51"/>
  <c r="D843" i="51"/>
  <c r="E843" i="51"/>
  <c r="F843" i="51"/>
  <c r="G843" i="51"/>
  <c r="H843" i="51"/>
  <c r="I843" i="51"/>
  <c r="J843" i="51"/>
  <c r="K843" i="51"/>
  <c r="L843" i="51"/>
  <c r="M843" i="51"/>
  <c r="N843" i="51"/>
  <c r="O843" i="51"/>
  <c r="P843" i="51"/>
  <c r="Q843" i="51"/>
  <c r="C846" i="51"/>
  <c r="D846" i="51"/>
  <c r="F846" i="51"/>
  <c r="G846" i="51"/>
  <c r="H846" i="51"/>
  <c r="I846" i="51"/>
  <c r="J846" i="51"/>
  <c r="K846" i="51"/>
  <c r="L846" i="51"/>
  <c r="M846" i="51"/>
  <c r="N846" i="51"/>
  <c r="O846" i="51"/>
  <c r="P846" i="51"/>
  <c r="Q846" i="51"/>
  <c r="C848" i="51"/>
  <c r="D848" i="51"/>
  <c r="E848" i="51"/>
  <c r="F848" i="51"/>
  <c r="G848" i="51"/>
  <c r="H848" i="51"/>
  <c r="I848" i="51"/>
  <c r="J848" i="51"/>
  <c r="K848" i="51"/>
  <c r="L848" i="51"/>
  <c r="M848" i="51"/>
  <c r="N848" i="51"/>
  <c r="O848" i="51"/>
  <c r="P848" i="51"/>
  <c r="Q848" i="51"/>
  <c r="C860" i="51"/>
  <c r="D860" i="51"/>
  <c r="E860" i="51"/>
  <c r="F860" i="51"/>
  <c r="G860" i="51"/>
  <c r="H860" i="51"/>
  <c r="I860" i="51"/>
  <c r="J860" i="51"/>
  <c r="K860" i="51"/>
  <c r="L860" i="51"/>
  <c r="M860" i="51"/>
  <c r="N860" i="51"/>
  <c r="O860" i="51"/>
  <c r="P860" i="51"/>
  <c r="Q860" i="51"/>
  <c r="C861" i="51"/>
  <c r="F861" i="51"/>
  <c r="H861" i="51"/>
  <c r="I861" i="51"/>
  <c r="J861" i="51"/>
  <c r="K861" i="51"/>
  <c r="L861" i="51"/>
  <c r="M861" i="51"/>
  <c r="N861" i="51"/>
  <c r="O861" i="51"/>
  <c r="P861" i="51"/>
  <c r="Q861" i="51"/>
  <c r="C863" i="51"/>
  <c r="D863" i="51"/>
  <c r="E863" i="51"/>
  <c r="F863" i="51"/>
  <c r="G863" i="51"/>
  <c r="H863" i="51"/>
  <c r="I863" i="51"/>
  <c r="J863" i="51"/>
  <c r="K863" i="51"/>
  <c r="L863" i="51"/>
  <c r="M863" i="51"/>
  <c r="N863" i="51"/>
  <c r="O863" i="51"/>
  <c r="P863" i="51"/>
  <c r="Q863" i="51"/>
  <c r="C866" i="51"/>
  <c r="D866" i="51"/>
  <c r="F866" i="51"/>
  <c r="G866" i="51"/>
  <c r="H866" i="51"/>
  <c r="I866" i="51"/>
  <c r="J866" i="51"/>
  <c r="K866" i="51"/>
  <c r="L866" i="51"/>
  <c r="M866" i="51"/>
  <c r="N866" i="51"/>
  <c r="O866" i="51"/>
  <c r="P866" i="51"/>
  <c r="Q866" i="51"/>
  <c r="C867" i="51"/>
  <c r="D867" i="51"/>
  <c r="E867" i="51"/>
  <c r="F867" i="51"/>
  <c r="G867" i="51"/>
  <c r="H867" i="51"/>
  <c r="I867" i="51"/>
  <c r="J867" i="51"/>
  <c r="K867" i="51"/>
  <c r="L867" i="51"/>
  <c r="M867" i="51"/>
  <c r="N867" i="51"/>
  <c r="O867" i="51"/>
  <c r="P867" i="51"/>
  <c r="Q867" i="51"/>
  <c r="C868" i="51"/>
  <c r="D868" i="51"/>
  <c r="E868" i="51"/>
  <c r="F868" i="51"/>
  <c r="G868" i="51"/>
  <c r="H868" i="51"/>
  <c r="I868" i="51"/>
  <c r="J868" i="51"/>
  <c r="K868" i="51"/>
  <c r="L868" i="51"/>
  <c r="M868" i="51"/>
  <c r="N868" i="51"/>
  <c r="O868" i="51"/>
  <c r="P868" i="51"/>
  <c r="Q868" i="51"/>
  <c r="C869" i="51"/>
  <c r="H869" i="51"/>
  <c r="I869" i="51"/>
  <c r="J869" i="51"/>
  <c r="K869" i="51"/>
  <c r="L869" i="51"/>
  <c r="M869" i="51"/>
  <c r="N869" i="51"/>
  <c r="O869" i="51"/>
  <c r="P869" i="51"/>
  <c r="Q869" i="51"/>
  <c r="C870" i="51"/>
  <c r="D870" i="51"/>
  <c r="F870" i="51"/>
  <c r="G870" i="51"/>
  <c r="H870" i="51"/>
  <c r="I870" i="51"/>
  <c r="J870" i="51"/>
  <c r="K870" i="51"/>
  <c r="L870" i="51"/>
  <c r="M870" i="51"/>
  <c r="N870" i="51"/>
  <c r="O870" i="51"/>
  <c r="P870" i="51"/>
  <c r="Q870" i="51"/>
  <c r="C871" i="51"/>
  <c r="D871" i="51"/>
  <c r="E871" i="51"/>
  <c r="F871" i="51"/>
  <c r="G871" i="51"/>
  <c r="H871" i="51"/>
  <c r="I871" i="51"/>
  <c r="J871" i="51"/>
  <c r="K871" i="51"/>
  <c r="L871" i="51"/>
  <c r="M871" i="51"/>
  <c r="N871" i="51"/>
  <c r="O871" i="51"/>
  <c r="P871" i="51"/>
  <c r="Q871" i="51"/>
  <c r="C872" i="51"/>
  <c r="D872" i="51"/>
  <c r="E872" i="51"/>
  <c r="F872" i="51"/>
  <c r="G872" i="51"/>
  <c r="H872" i="51"/>
  <c r="I872" i="51"/>
  <c r="J872" i="51"/>
  <c r="K872" i="51"/>
  <c r="L872" i="51"/>
  <c r="M872" i="51"/>
  <c r="N872" i="51"/>
  <c r="O872" i="51"/>
  <c r="P872" i="51"/>
  <c r="Q872" i="51"/>
  <c r="C873" i="51"/>
  <c r="H873" i="51"/>
  <c r="I873" i="51"/>
  <c r="J873" i="51"/>
  <c r="K873" i="51"/>
  <c r="L873" i="51"/>
  <c r="M873" i="51"/>
  <c r="N873" i="51"/>
  <c r="O873" i="51"/>
  <c r="P873" i="51"/>
  <c r="Q873" i="51"/>
  <c r="C874" i="51"/>
  <c r="D874" i="51"/>
  <c r="F874" i="51"/>
  <c r="G874" i="51"/>
  <c r="H874" i="51"/>
  <c r="I874" i="51"/>
  <c r="J874" i="51"/>
  <c r="K874" i="51"/>
  <c r="L874" i="51"/>
  <c r="M874" i="51"/>
  <c r="N874" i="51"/>
  <c r="O874" i="51"/>
  <c r="P874" i="51"/>
  <c r="Q874" i="51"/>
  <c r="C875" i="51"/>
  <c r="D875" i="51"/>
  <c r="E875" i="51"/>
  <c r="F875" i="51"/>
  <c r="G875" i="51"/>
  <c r="H875" i="51"/>
  <c r="I875" i="51"/>
  <c r="J875" i="51"/>
  <c r="K875" i="51"/>
  <c r="L875" i="51"/>
  <c r="M875" i="51"/>
  <c r="N875" i="51"/>
  <c r="O875" i="51"/>
  <c r="P875" i="51"/>
  <c r="Q875" i="51"/>
  <c r="C878" i="51"/>
  <c r="D878" i="51"/>
  <c r="F878" i="51"/>
  <c r="G878" i="51"/>
  <c r="H878" i="51"/>
  <c r="I878" i="51"/>
  <c r="J878" i="51"/>
  <c r="K878" i="51"/>
  <c r="L878" i="51"/>
  <c r="M878" i="51"/>
  <c r="N878" i="51"/>
  <c r="O878" i="51"/>
  <c r="P878" i="51"/>
  <c r="Q878" i="51"/>
  <c r="C881" i="51"/>
  <c r="F881" i="51"/>
  <c r="H881" i="51"/>
  <c r="I881" i="51"/>
  <c r="J881" i="51"/>
  <c r="K881" i="51"/>
  <c r="L881" i="51"/>
  <c r="M881" i="51"/>
  <c r="N881" i="51"/>
  <c r="O881" i="51"/>
  <c r="P881" i="51"/>
  <c r="Q881" i="51"/>
  <c r="C882" i="51"/>
  <c r="D882" i="51"/>
  <c r="F882" i="51"/>
  <c r="G882" i="51"/>
  <c r="H882" i="51"/>
  <c r="I882" i="51"/>
  <c r="J882" i="51"/>
  <c r="K882" i="51"/>
  <c r="L882" i="51"/>
  <c r="M882" i="51"/>
  <c r="N882" i="51"/>
  <c r="O882" i="51"/>
  <c r="P882" i="51"/>
  <c r="Q882" i="51"/>
  <c r="C883" i="51"/>
  <c r="D883" i="51"/>
  <c r="E883" i="51"/>
  <c r="F883" i="51"/>
  <c r="G883" i="51"/>
  <c r="H883" i="51"/>
  <c r="I883" i="51"/>
  <c r="J883" i="51"/>
  <c r="K883" i="51"/>
  <c r="L883" i="51"/>
  <c r="M883" i="51"/>
  <c r="N883" i="51"/>
  <c r="O883" i="51"/>
  <c r="P883" i="51"/>
  <c r="Q883" i="51"/>
  <c r="C884" i="51"/>
  <c r="D884" i="51"/>
  <c r="E884" i="51"/>
  <c r="F884" i="51"/>
  <c r="G884" i="51"/>
  <c r="H884" i="51"/>
  <c r="I884" i="51"/>
  <c r="J884" i="51"/>
  <c r="K884" i="51"/>
  <c r="L884" i="51"/>
  <c r="M884" i="51"/>
  <c r="N884" i="51"/>
  <c r="O884" i="51"/>
  <c r="P884" i="51"/>
  <c r="Q884" i="51"/>
  <c r="C885" i="51"/>
  <c r="H885" i="51"/>
  <c r="I885" i="51"/>
  <c r="J885" i="51"/>
  <c r="K885" i="51"/>
  <c r="L885" i="51"/>
  <c r="M885" i="51"/>
  <c r="N885" i="51"/>
  <c r="O885" i="51"/>
  <c r="P885" i="51"/>
  <c r="Q885" i="51"/>
  <c r="C886" i="51"/>
  <c r="D886" i="51"/>
  <c r="F886" i="51"/>
  <c r="G886" i="51"/>
  <c r="H886" i="51"/>
  <c r="I886" i="51"/>
  <c r="J886" i="51"/>
  <c r="K886" i="51"/>
  <c r="L886" i="51"/>
  <c r="M886" i="51"/>
  <c r="N886" i="51"/>
  <c r="O886" i="51"/>
  <c r="P886" i="51"/>
  <c r="Q886" i="51"/>
  <c r="C887" i="51"/>
  <c r="D887" i="51"/>
  <c r="E887" i="51"/>
  <c r="F887" i="51"/>
  <c r="G887" i="51"/>
  <c r="H887" i="51"/>
  <c r="I887" i="51"/>
  <c r="J887" i="51"/>
  <c r="K887" i="51"/>
  <c r="L887" i="51"/>
  <c r="M887" i="51"/>
  <c r="N887" i="51"/>
  <c r="O887" i="51"/>
  <c r="P887" i="51"/>
  <c r="Q887" i="51"/>
  <c r="C888" i="51"/>
  <c r="D888" i="51"/>
  <c r="E888" i="51"/>
  <c r="F888" i="51"/>
  <c r="G888" i="51"/>
  <c r="H888" i="51"/>
  <c r="I888" i="51"/>
  <c r="J888" i="51"/>
  <c r="K888" i="51"/>
  <c r="L888" i="51"/>
  <c r="M888" i="51"/>
  <c r="N888" i="51"/>
  <c r="O888" i="51"/>
  <c r="P888" i="51"/>
  <c r="Q888" i="51"/>
  <c r="C889" i="51"/>
  <c r="D889" i="51"/>
  <c r="F889" i="51"/>
  <c r="G889" i="51"/>
  <c r="H889" i="51"/>
  <c r="I889" i="51"/>
  <c r="J889" i="51"/>
  <c r="K889" i="51"/>
  <c r="L889" i="51"/>
  <c r="M889" i="51"/>
  <c r="N889" i="51"/>
  <c r="O889" i="51"/>
  <c r="P889" i="51"/>
  <c r="Q889" i="51"/>
  <c r="C890" i="51"/>
  <c r="D890" i="51"/>
  <c r="E890" i="51"/>
  <c r="F890" i="51"/>
  <c r="G890" i="51"/>
  <c r="H890" i="51"/>
  <c r="I890" i="51"/>
  <c r="J890" i="51"/>
  <c r="K890" i="51"/>
  <c r="L890" i="51"/>
  <c r="M890" i="51"/>
  <c r="N890" i="51"/>
  <c r="O890" i="51"/>
  <c r="P890" i="51"/>
  <c r="Q890" i="51"/>
  <c r="C892" i="51"/>
  <c r="H892" i="51"/>
  <c r="I892" i="51"/>
  <c r="J892" i="51"/>
  <c r="K892" i="51"/>
  <c r="L892" i="51"/>
  <c r="M892" i="51"/>
  <c r="N892" i="51"/>
  <c r="O892" i="51"/>
  <c r="P892" i="51"/>
  <c r="Q892" i="51"/>
  <c r="C894" i="51"/>
  <c r="D894" i="51"/>
  <c r="E894" i="51"/>
  <c r="F894" i="51"/>
  <c r="G894" i="51"/>
  <c r="H894" i="51"/>
  <c r="I894" i="51"/>
  <c r="J894" i="51"/>
  <c r="K894" i="51"/>
  <c r="L894" i="51"/>
  <c r="M894" i="51"/>
  <c r="N894" i="51"/>
  <c r="O894" i="51"/>
  <c r="P894" i="51"/>
  <c r="Q894" i="51"/>
  <c r="C893" i="51"/>
  <c r="D893" i="51"/>
  <c r="E893" i="51"/>
  <c r="F893" i="51"/>
  <c r="G893" i="51"/>
  <c r="H893" i="51"/>
  <c r="I893" i="51"/>
  <c r="J893" i="51"/>
  <c r="K893" i="51"/>
  <c r="L893" i="51"/>
  <c r="M893" i="51"/>
  <c r="N893" i="51"/>
  <c r="O893" i="51"/>
  <c r="P893" i="51"/>
  <c r="Q893" i="51"/>
  <c r="C895" i="51"/>
  <c r="D895" i="51"/>
  <c r="E895" i="51"/>
  <c r="F895" i="51"/>
  <c r="G895" i="51"/>
  <c r="H895" i="51"/>
  <c r="I895" i="51"/>
  <c r="J895" i="51"/>
  <c r="K895" i="51"/>
  <c r="L895" i="51"/>
  <c r="M895" i="51"/>
  <c r="N895" i="51"/>
  <c r="O895" i="51"/>
  <c r="P895" i="51"/>
  <c r="Q895" i="51"/>
  <c r="C896" i="51"/>
  <c r="H896" i="51"/>
  <c r="I896" i="51"/>
  <c r="J896" i="51"/>
  <c r="K896" i="51"/>
  <c r="L896" i="51"/>
  <c r="M896" i="51"/>
  <c r="N896" i="51"/>
  <c r="O896" i="51"/>
  <c r="P896" i="51"/>
  <c r="Q896" i="51"/>
  <c r="C4" i="51"/>
  <c r="D4" i="51"/>
  <c r="A4" i="34" s="1"/>
  <c r="E4" i="34" s="1"/>
  <c r="E4" i="51"/>
  <c r="B4" i="34" s="1"/>
  <c r="F4" i="34" s="1"/>
  <c r="F4" i="51"/>
  <c r="G4" i="51"/>
  <c r="H4" i="51"/>
  <c r="I4" i="51"/>
  <c r="J4" i="51"/>
  <c r="K4" i="51"/>
  <c r="L4" i="51"/>
  <c r="M4" i="51"/>
  <c r="N4" i="51"/>
  <c r="O4" i="51"/>
  <c r="P4" i="51"/>
  <c r="Q4" i="51"/>
  <c r="C5" i="51"/>
  <c r="D5" i="51"/>
  <c r="A5" i="34" s="1"/>
  <c r="E5" i="34" s="1"/>
  <c r="E5" i="51"/>
  <c r="B5" i="34" s="1"/>
  <c r="F5" i="34" s="1"/>
  <c r="F5" i="51"/>
  <c r="G5" i="51"/>
  <c r="H5" i="51"/>
  <c r="I5" i="51"/>
  <c r="J5" i="51"/>
  <c r="K5" i="51"/>
  <c r="L5" i="51"/>
  <c r="M5" i="51"/>
  <c r="N5" i="51"/>
  <c r="O5" i="51"/>
  <c r="P5" i="51"/>
  <c r="Q5" i="51"/>
  <c r="C6" i="51"/>
  <c r="H6" i="51"/>
  <c r="I6" i="51"/>
  <c r="J6" i="51"/>
  <c r="K6" i="51"/>
  <c r="L6" i="51"/>
  <c r="M6" i="51"/>
  <c r="N6" i="51"/>
  <c r="O6" i="51"/>
  <c r="P6" i="51"/>
  <c r="Q6" i="51"/>
  <c r="C7" i="51"/>
  <c r="D7" i="51"/>
  <c r="A7" i="34" s="1"/>
  <c r="E7" i="34" s="1"/>
  <c r="F7" i="51"/>
  <c r="G7" i="51"/>
  <c r="H7" i="51"/>
  <c r="I7" i="51"/>
  <c r="J7" i="51"/>
  <c r="K7" i="51"/>
  <c r="L7" i="51"/>
  <c r="M7" i="51"/>
  <c r="N7" i="51"/>
  <c r="O7" i="51"/>
  <c r="P7" i="51"/>
  <c r="Q7" i="51"/>
  <c r="C8" i="51"/>
  <c r="D8" i="51"/>
  <c r="A8" i="34" s="1"/>
  <c r="E8" i="34" s="1"/>
  <c r="E8" i="51"/>
  <c r="B8" i="34" s="1"/>
  <c r="F8" i="34" s="1"/>
  <c r="F8" i="51"/>
  <c r="G8" i="51"/>
  <c r="H8" i="51"/>
  <c r="I8" i="51"/>
  <c r="J8" i="51"/>
  <c r="K8" i="51"/>
  <c r="L8" i="51"/>
  <c r="M8" i="51"/>
  <c r="N8" i="51"/>
  <c r="O8" i="51"/>
  <c r="P8" i="51"/>
  <c r="Q8" i="51"/>
  <c r="C9" i="51"/>
  <c r="D9" i="51"/>
  <c r="A9" i="34" s="1"/>
  <c r="E9" i="34" s="1"/>
  <c r="E9" i="51"/>
  <c r="B9" i="34" s="1"/>
  <c r="F9" i="34" s="1"/>
  <c r="F9" i="51"/>
  <c r="G9" i="51"/>
  <c r="H9" i="51"/>
  <c r="I9" i="51"/>
  <c r="J9" i="51"/>
  <c r="K9" i="51"/>
  <c r="L9" i="51"/>
  <c r="M9" i="51"/>
  <c r="N9" i="51"/>
  <c r="O9" i="51"/>
  <c r="P9" i="51"/>
  <c r="Q9" i="51"/>
  <c r="C10" i="51"/>
  <c r="H10" i="51"/>
  <c r="I10" i="51"/>
  <c r="J10" i="51"/>
  <c r="K10" i="51"/>
  <c r="L10" i="51"/>
  <c r="M10" i="51"/>
  <c r="N10" i="51"/>
  <c r="O10" i="51"/>
  <c r="P10" i="51"/>
  <c r="Q10" i="51"/>
  <c r="C11" i="51"/>
  <c r="D11" i="51"/>
  <c r="A11" i="34" s="1"/>
  <c r="E11" i="34" s="1"/>
  <c r="F11" i="51"/>
  <c r="G11" i="51"/>
  <c r="H11" i="51"/>
  <c r="I11" i="51"/>
  <c r="J11" i="51"/>
  <c r="K11" i="51"/>
  <c r="L11" i="51"/>
  <c r="M11" i="51"/>
  <c r="N11" i="51"/>
  <c r="O11" i="51"/>
  <c r="P11" i="51"/>
  <c r="Q11" i="51"/>
  <c r="C12" i="51"/>
  <c r="D12" i="51"/>
  <c r="A12" i="34" s="1"/>
  <c r="E12" i="34" s="1"/>
  <c r="E12" i="51"/>
  <c r="B12" i="34" s="1"/>
  <c r="F12" i="34" s="1"/>
  <c r="F12" i="51"/>
  <c r="G12" i="51"/>
  <c r="H12" i="51"/>
  <c r="I12" i="51"/>
  <c r="J12" i="51"/>
  <c r="K12" i="51"/>
  <c r="L12" i="51"/>
  <c r="M12" i="51"/>
  <c r="N12" i="51"/>
  <c r="O12" i="51"/>
  <c r="P12" i="51"/>
  <c r="Q12" i="51"/>
  <c r="C13" i="51"/>
  <c r="D13" i="51"/>
  <c r="A13" i="34" s="1"/>
  <c r="E13" i="34" s="1"/>
  <c r="E13" i="51"/>
  <c r="B13" i="34" s="1"/>
  <c r="F13" i="34" s="1"/>
  <c r="F13" i="51"/>
  <c r="G13" i="51"/>
  <c r="H13" i="51"/>
  <c r="I13" i="51"/>
  <c r="J13" i="51"/>
  <c r="K13" i="51"/>
  <c r="L13" i="51"/>
  <c r="M13" i="51"/>
  <c r="N13" i="51"/>
  <c r="O13" i="51"/>
  <c r="P13" i="51"/>
  <c r="Q13" i="51"/>
  <c r="C14" i="51"/>
  <c r="F14" i="51"/>
  <c r="H14" i="51"/>
  <c r="I14" i="51"/>
  <c r="J14" i="51"/>
  <c r="K14" i="51"/>
  <c r="L14" i="51"/>
  <c r="M14" i="51"/>
  <c r="N14" i="51"/>
  <c r="O14" i="51"/>
  <c r="P14" i="51"/>
  <c r="Q14" i="51"/>
  <c r="C15" i="51"/>
  <c r="D15" i="51"/>
  <c r="A15" i="34" s="1"/>
  <c r="E15" i="34" s="1"/>
  <c r="E15" i="51"/>
  <c r="B15" i="34" s="1"/>
  <c r="F15" i="34" s="1"/>
  <c r="F15" i="51"/>
  <c r="G15" i="51"/>
  <c r="H15" i="51"/>
  <c r="I15" i="51"/>
  <c r="J15" i="51"/>
  <c r="K15" i="51"/>
  <c r="L15" i="51"/>
  <c r="M15" i="51"/>
  <c r="N15" i="51"/>
  <c r="O15" i="51"/>
  <c r="P15" i="51"/>
  <c r="Q15" i="51"/>
  <c r="C16" i="51"/>
  <c r="D16" i="51"/>
  <c r="A16" i="34" s="1"/>
  <c r="E16" i="34" s="1"/>
  <c r="E16" i="51"/>
  <c r="B16" i="34" s="1"/>
  <c r="F16" i="34" s="1"/>
  <c r="F16" i="51"/>
  <c r="G16" i="51"/>
  <c r="H16" i="51"/>
  <c r="I16" i="51"/>
  <c r="J16" i="51"/>
  <c r="K16" i="51"/>
  <c r="L16" i="51"/>
  <c r="M16" i="51"/>
  <c r="N16" i="51"/>
  <c r="O16" i="51"/>
  <c r="P16" i="51"/>
  <c r="Q16" i="51"/>
  <c r="C17" i="51"/>
  <c r="D17" i="51"/>
  <c r="A17" i="34" s="1"/>
  <c r="E17" i="34" s="1"/>
  <c r="E17" i="51"/>
  <c r="B17" i="34" s="1"/>
  <c r="F17" i="34" s="1"/>
  <c r="F17" i="51"/>
  <c r="G17" i="51"/>
  <c r="H17" i="51"/>
  <c r="I17" i="51"/>
  <c r="J17" i="51"/>
  <c r="K17" i="51"/>
  <c r="L17" i="51"/>
  <c r="M17" i="51"/>
  <c r="N17" i="51"/>
  <c r="O17" i="51"/>
  <c r="P17" i="51"/>
  <c r="Q17" i="51"/>
  <c r="C18" i="51"/>
  <c r="H18" i="51"/>
  <c r="I18" i="51"/>
  <c r="J18" i="51"/>
  <c r="K18" i="51"/>
  <c r="L18" i="51"/>
  <c r="M18" i="51"/>
  <c r="N18" i="51"/>
  <c r="O18" i="51"/>
  <c r="P18" i="51"/>
  <c r="Q18" i="51"/>
  <c r="C19" i="51"/>
  <c r="D19" i="51"/>
  <c r="A19" i="34" s="1"/>
  <c r="E19" i="34" s="1"/>
  <c r="E19" i="51"/>
  <c r="B19" i="34" s="1"/>
  <c r="F19" i="34" s="1"/>
  <c r="F19" i="51"/>
  <c r="G19" i="51"/>
  <c r="H19" i="51"/>
  <c r="I19" i="51"/>
  <c r="J19" i="51"/>
  <c r="K19" i="51"/>
  <c r="L19" i="51"/>
  <c r="M19" i="51"/>
  <c r="N19" i="51"/>
  <c r="O19" i="51"/>
  <c r="P19" i="51"/>
  <c r="Q19" i="51"/>
  <c r="C20" i="51"/>
  <c r="D20" i="51"/>
  <c r="A20" i="34" s="1"/>
  <c r="E20" i="34" s="1"/>
  <c r="E20" i="51"/>
  <c r="B20" i="34" s="1"/>
  <c r="F20" i="34" s="1"/>
  <c r="F20" i="51"/>
  <c r="G20" i="51"/>
  <c r="H20" i="51"/>
  <c r="I20" i="51"/>
  <c r="J20" i="51"/>
  <c r="K20" i="51"/>
  <c r="L20" i="51"/>
  <c r="M20" i="51"/>
  <c r="N20" i="51"/>
  <c r="O20" i="51"/>
  <c r="P20" i="51"/>
  <c r="Q20" i="51"/>
  <c r="C21" i="51"/>
  <c r="D21" i="51"/>
  <c r="A21" i="34" s="1"/>
  <c r="E21" i="34" s="1"/>
  <c r="E21" i="51"/>
  <c r="B21" i="34" s="1"/>
  <c r="F21" i="34" s="1"/>
  <c r="F21" i="51"/>
  <c r="G21" i="51"/>
  <c r="H21" i="51"/>
  <c r="I21" i="51"/>
  <c r="J21" i="51"/>
  <c r="K21" i="51"/>
  <c r="L21" i="51"/>
  <c r="M21" i="51"/>
  <c r="N21" i="51"/>
  <c r="O21" i="51"/>
  <c r="P21" i="51"/>
  <c r="Q21" i="51"/>
  <c r="C22" i="51"/>
  <c r="H22" i="51"/>
  <c r="I22" i="51"/>
  <c r="J22" i="51"/>
  <c r="K22" i="51"/>
  <c r="L22" i="51"/>
  <c r="M22" i="51"/>
  <c r="N22" i="51"/>
  <c r="O22" i="51"/>
  <c r="P22" i="51"/>
  <c r="Q22" i="51"/>
  <c r="C23" i="51"/>
  <c r="D23" i="51"/>
  <c r="A23" i="34" s="1"/>
  <c r="E23" i="34" s="1"/>
  <c r="E23" i="51"/>
  <c r="B23" i="34" s="1"/>
  <c r="F23" i="34" s="1"/>
  <c r="F23" i="51"/>
  <c r="G23" i="51"/>
  <c r="H23" i="51"/>
  <c r="I23" i="51"/>
  <c r="J23" i="51"/>
  <c r="K23" i="51"/>
  <c r="L23" i="51"/>
  <c r="M23" i="51"/>
  <c r="N23" i="51"/>
  <c r="O23" i="51"/>
  <c r="P23" i="51"/>
  <c r="Q23" i="51"/>
  <c r="C24" i="51"/>
  <c r="D24" i="51"/>
  <c r="A24" i="34" s="1"/>
  <c r="E24" i="34" s="1"/>
  <c r="E24" i="51"/>
  <c r="B24" i="34" s="1"/>
  <c r="F24" i="34" s="1"/>
  <c r="F24" i="51"/>
  <c r="G24" i="51"/>
  <c r="H24" i="51"/>
  <c r="I24" i="51"/>
  <c r="J24" i="51"/>
  <c r="K24" i="51"/>
  <c r="L24" i="51"/>
  <c r="M24" i="51"/>
  <c r="N24" i="51"/>
  <c r="O24" i="51"/>
  <c r="P24" i="51"/>
  <c r="Q24" i="51"/>
  <c r="C25" i="51"/>
  <c r="D25" i="51"/>
  <c r="A25" i="34" s="1"/>
  <c r="E25" i="34" s="1"/>
  <c r="E25" i="51"/>
  <c r="B25" i="34" s="1"/>
  <c r="F25" i="34" s="1"/>
  <c r="F25" i="51"/>
  <c r="G25" i="51"/>
  <c r="H25" i="51"/>
  <c r="I25" i="51"/>
  <c r="J25" i="51"/>
  <c r="K25" i="51"/>
  <c r="L25" i="51"/>
  <c r="M25" i="51"/>
  <c r="N25" i="51"/>
  <c r="O25" i="51"/>
  <c r="P25" i="51"/>
  <c r="Q25" i="51"/>
  <c r="C26" i="51"/>
  <c r="H26" i="51"/>
  <c r="I26" i="51"/>
  <c r="J26" i="51"/>
  <c r="K26" i="51"/>
  <c r="L26" i="51"/>
  <c r="M26" i="51"/>
  <c r="N26" i="51"/>
  <c r="O26" i="51"/>
  <c r="P26" i="51"/>
  <c r="Q26" i="51"/>
  <c r="C27" i="51"/>
  <c r="D27" i="51"/>
  <c r="A27" i="34" s="1"/>
  <c r="E27" i="34" s="1"/>
  <c r="E27" i="51"/>
  <c r="B27" i="34" s="1"/>
  <c r="F27" i="34" s="1"/>
  <c r="F27" i="51"/>
  <c r="G27" i="51"/>
  <c r="H27" i="51"/>
  <c r="I27" i="51"/>
  <c r="J27" i="51"/>
  <c r="K27" i="51"/>
  <c r="L27" i="51"/>
  <c r="M27" i="51"/>
  <c r="N27" i="51"/>
  <c r="O27" i="51"/>
  <c r="P27" i="51"/>
  <c r="Q27" i="51"/>
  <c r="C28" i="51"/>
  <c r="D28" i="51"/>
  <c r="A28" i="34" s="1"/>
  <c r="E28" i="34" s="1"/>
  <c r="E28" i="51"/>
  <c r="B28" i="34" s="1"/>
  <c r="F28" i="34" s="1"/>
  <c r="F28" i="51"/>
  <c r="G28" i="51"/>
  <c r="H28" i="51"/>
  <c r="I28" i="51"/>
  <c r="J28" i="51"/>
  <c r="K28" i="51"/>
  <c r="L28" i="51"/>
  <c r="M28" i="51"/>
  <c r="N28" i="51"/>
  <c r="O28" i="51"/>
  <c r="P28" i="51"/>
  <c r="Q28" i="51"/>
  <c r="C29" i="51"/>
  <c r="D29" i="51"/>
  <c r="A29" i="34" s="1"/>
  <c r="E29" i="34" s="1"/>
  <c r="E29" i="51"/>
  <c r="B29" i="34" s="1"/>
  <c r="F29" i="34" s="1"/>
  <c r="F29" i="51"/>
  <c r="G29" i="51"/>
  <c r="H29" i="51"/>
  <c r="I29" i="51"/>
  <c r="J29" i="51"/>
  <c r="K29" i="51"/>
  <c r="L29" i="51"/>
  <c r="M29" i="51"/>
  <c r="N29" i="51"/>
  <c r="O29" i="51"/>
  <c r="P29" i="51"/>
  <c r="Q29" i="51"/>
  <c r="C46" i="51"/>
  <c r="F46" i="51"/>
  <c r="H46" i="51"/>
  <c r="I46" i="51"/>
  <c r="J46" i="51"/>
  <c r="K46" i="51"/>
  <c r="L46" i="51"/>
  <c r="M46" i="51"/>
  <c r="N46" i="51"/>
  <c r="O46" i="51"/>
  <c r="P46" i="51"/>
  <c r="Q46" i="51"/>
  <c r="C47" i="51"/>
  <c r="D47" i="51"/>
  <c r="F47" i="51"/>
  <c r="G47" i="51"/>
  <c r="H47" i="51"/>
  <c r="I47" i="51"/>
  <c r="J47" i="51"/>
  <c r="K47" i="51"/>
  <c r="L47" i="51"/>
  <c r="M47" i="51"/>
  <c r="N47" i="51"/>
  <c r="O47" i="51"/>
  <c r="P47" i="51"/>
  <c r="Q47" i="51"/>
  <c r="C48" i="51"/>
  <c r="D48" i="51"/>
  <c r="E48" i="51"/>
  <c r="F48" i="51"/>
  <c r="G48" i="51"/>
  <c r="H48" i="51"/>
  <c r="I48" i="51"/>
  <c r="J48" i="51"/>
  <c r="K48" i="51"/>
  <c r="L48" i="51"/>
  <c r="M48" i="51"/>
  <c r="N48" i="51"/>
  <c r="O48" i="51"/>
  <c r="P48" i="51"/>
  <c r="Q48" i="51"/>
  <c r="C50" i="51"/>
  <c r="F50" i="51"/>
  <c r="H50" i="51"/>
  <c r="I50" i="51"/>
  <c r="J50" i="51"/>
  <c r="K50" i="51"/>
  <c r="L50" i="51"/>
  <c r="M50" i="51"/>
  <c r="N50" i="51"/>
  <c r="O50" i="51"/>
  <c r="P50" i="51"/>
  <c r="Q50" i="51"/>
  <c r="C53" i="51"/>
  <c r="D53" i="51"/>
  <c r="E53" i="51"/>
  <c r="F53" i="51"/>
  <c r="G53" i="51"/>
  <c r="H53" i="51"/>
  <c r="I53" i="51"/>
  <c r="J53" i="51"/>
  <c r="K53" i="51"/>
  <c r="L53" i="51"/>
  <c r="M53" i="51"/>
  <c r="N53" i="51"/>
  <c r="O53" i="51"/>
  <c r="P53" i="51"/>
  <c r="Q53" i="51"/>
  <c r="C54" i="51"/>
  <c r="H54" i="51"/>
  <c r="I54" i="51"/>
  <c r="J54" i="51"/>
  <c r="K54" i="51"/>
  <c r="L54" i="51"/>
  <c r="M54" i="51"/>
  <c r="N54" i="51"/>
  <c r="O54" i="51"/>
  <c r="P54" i="51"/>
  <c r="Q54" i="51"/>
  <c r="C55" i="51"/>
  <c r="D55" i="51"/>
  <c r="F55" i="51"/>
  <c r="G55" i="51"/>
  <c r="H55" i="51"/>
  <c r="I55" i="51"/>
  <c r="J55" i="51"/>
  <c r="K55" i="51"/>
  <c r="L55" i="51"/>
  <c r="M55" i="51"/>
  <c r="N55" i="51"/>
  <c r="O55" i="51"/>
  <c r="P55" i="51"/>
  <c r="Q55" i="51"/>
  <c r="C56" i="51"/>
  <c r="D56" i="51"/>
  <c r="E56" i="51"/>
  <c r="F56" i="51"/>
  <c r="G56" i="51"/>
  <c r="H56" i="51"/>
  <c r="I56" i="51"/>
  <c r="J56" i="51"/>
  <c r="K56" i="51"/>
  <c r="L56" i="51"/>
  <c r="M56" i="51"/>
  <c r="N56" i="51"/>
  <c r="O56" i="51"/>
  <c r="P56" i="51"/>
  <c r="Q56" i="51"/>
  <c r="C57" i="51"/>
  <c r="D57" i="51"/>
  <c r="E57" i="51"/>
  <c r="F57" i="51"/>
  <c r="G57" i="51"/>
  <c r="H57" i="51"/>
  <c r="I57" i="51"/>
  <c r="J57" i="51"/>
  <c r="K57" i="51"/>
  <c r="L57" i="51"/>
  <c r="M57" i="51"/>
  <c r="N57" i="51"/>
  <c r="O57" i="51"/>
  <c r="P57" i="51"/>
  <c r="Q57" i="51"/>
  <c r="C58" i="51"/>
  <c r="F58" i="51"/>
  <c r="H58" i="51"/>
  <c r="I58" i="51"/>
  <c r="J58" i="51"/>
  <c r="K58" i="51"/>
  <c r="L58" i="51"/>
  <c r="M58" i="51"/>
  <c r="N58" i="51"/>
  <c r="O58" i="51"/>
  <c r="P58" i="51"/>
  <c r="Q58" i="51"/>
  <c r="C59" i="51"/>
  <c r="D59" i="51"/>
  <c r="F59" i="51"/>
  <c r="G59" i="51"/>
  <c r="H59" i="51"/>
  <c r="I59" i="51"/>
  <c r="J59" i="51"/>
  <c r="K59" i="51"/>
  <c r="L59" i="51"/>
  <c r="M59" i="51"/>
  <c r="N59" i="51"/>
  <c r="O59" i="51"/>
  <c r="P59" i="51"/>
  <c r="Q59" i="51"/>
  <c r="C61" i="51"/>
  <c r="D61" i="51"/>
  <c r="E61" i="51"/>
  <c r="F61" i="51"/>
  <c r="G61" i="51"/>
  <c r="H61" i="51"/>
  <c r="I61" i="51"/>
  <c r="J61" i="51"/>
  <c r="K61" i="51"/>
  <c r="L61" i="51"/>
  <c r="M61" i="51"/>
  <c r="N61" i="51"/>
  <c r="O61" i="51"/>
  <c r="P61" i="51"/>
  <c r="Q61" i="51"/>
  <c r="C62" i="51"/>
  <c r="F62" i="51"/>
  <c r="H62" i="51"/>
  <c r="I62" i="51"/>
  <c r="J62" i="51"/>
  <c r="K62" i="51"/>
  <c r="L62" i="51"/>
  <c r="M62" i="51"/>
  <c r="N62" i="51"/>
  <c r="O62" i="51"/>
  <c r="P62" i="51"/>
  <c r="Q62" i="51"/>
  <c r="C63" i="51"/>
  <c r="D63" i="51"/>
  <c r="F63" i="51"/>
  <c r="G63" i="51"/>
  <c r="H63" i="51"/>
  <c r="I63" i="51"/>
  <c r="J63" i="51"/>
  <c r="K63" i="51"/>
  <c r="L63" i="51"/>
  <c r="M63" i="51"/>
  <c r="N63" i="51"/>
  <c r="O63" i="51"/>
  <c r="P63" i="51"/>
  <c r="Q63" i="51"/>
  <c r="C64" i="51"/>
  <c r="D64" i="51"/>
  <c r="E64" i="51"/>
  <c r="F64" i="51"/>
  <c r="G64" i="51"/>
  <c r="H64" i="51"/>
  <c r="I64" i="51"/>
  <c r="J64" i="51"/>
  <c r="K64" i="51"/>
  <c r="L64" i="51"/>
  <c r="M64" i="51"/>
  <c r="N64" i="51"/>
  <c r="O64" i="51"/>
  <c r="P64" i="51"/>
  <c r="Q64" i="51"/>
  <c r="C66" i="51"/>
  <c r="F66" i="51"/>
  <c r="H66" i="51"/>
  <c r="I66" i="51"/>
  <c r="J66" i="51"/>
  <c r="K66" i="51"/>
  <c r="L66" i="51"/>
  <c r="M66" i="51"/>
  <c r="N66" i="51"/>
  <c r="O66" i="51"/>
  <c r="P66" i="51"/>
  <c r="Q66" i="51"/>
  <c r="C67" i="51"/>
  <c r="D67" i="51"/>
  <c r="F67" i="51"/>
  <c r="G67" i="51"/>
  <c r="H67" i="51"/>
  <c r="I67" i="51"/>
  <c r="J67" i="51"/>
  <c r="K67" i="51"/>
  <c r="L67" i="51"/>
  <c r="M67" i="51"/>
  <c r="N67" i="51"/>
  <c r="O67" i="51"/>
  <c r="P67" i="51"/>
  <c r="Q67" i="51"/>
  <c r="C68" i="51"/>
  <c r="D68" i="51"/>
  <c r="E68" i="51"/>
  <c r="F68" i="51"/>
  <c r="G68" i="51"/>
  <c r="H68" i="51"/>
  <c r="I68" i="51"/>
  <c r="J68" i="51"/>
  <c r="K68" i="51"/>
  <c r="L68" i="51"/>
  <c r="M68" i="51"/>
  <c r="N68" i="51"/>
  <c r="O68" i="51"/>
  <c r="P68" i="51"/>
  <c r="Q68" i="51"/>
  <c r="C69" i="51"/>
  <c r="D69" i="51"/>
  <c r="E69" i="51"/>
  <c r="F69" i="51"/>
  <c r="G69" i="51"/>
  <c r="H69" i="51"/>
  <c r="I69" i="51"/>
  <c r="J69" i="51"/>
  <c r="K69" i="51"/>
  <c r="L69" i="51"/>
  <c r="M69" i="51"/>
  <c r="N69" i="51"/>
  <c r="O69" i="51"/>
  <c r="P69" i="51"/>
  <c r="Q69" i="51"/>
  <c r="C70" i="51"/>
  <c r="H70" i="51"/>
  <c r="I70" i="51"/>
  <c r="J70" i="51"/>
  <c r="K70" i="51"/>
  <c r="L70" i="51"/>
  <c r="M70" i="51"/>
  <c r="N70" i="51"/>
  <c r="O70" i="51"/>
  <c r="P70" i="51"/>
  <c r="Q70" i="51"/>
  <c r="C71" i="51"/>
  <c r="D71" i="51"/>
  <c r="F71" i="51"/>
  <c r="G71" i="51"/>
  <c r="H71" i="51"/>
  <c r="I71" i="51"/>
  <c r="J71" i="51"/>
  <c r="K71" i="51"/>
  <c r="L71" i="51"/>
  <c r="M71" i="51"/>
  <c r="N71" i="51"/>
  <c r="O71" i="51"/>
  <c r="P71" i="51"/>
  <c r="Q71" i="51"/>
  <c r="C72" i="51"/>
  <c r="D72" i="51"/>
  <c r="E72" i="51"/>
  <c r="F72" i="51"/>
  <c r="G72" i="51"/>
  <c r="H72" i="51"/>
  <c r="I72" i="51"/>
  <c r="J72" i="51"/>
  <c r="K72" i="51"/>
  <c r="L72" i="51"/>
  <c r="M72" i="51"/>
  <c r="N72" i="51"/>
  <c r="O72" i="51"/>
  <c r="P72" i="51"/>
  <c r="Q72" i="51"/>
  <c r="C73" i="51"/>
  <c r="D73" i="51"/>
  <c r="E73" i="51"/>
  <c r="F73" i="51"/>
  <c r="G73" i="51"/>
  <c r="H73" i="51"/>
  <c r="I73" i="51"/>
  <c r="J73" i="51"/>
  <c r="K73" i="51"/>
  <c r="L73" i="51"/>
  <c r="M73" i="51"/>
  <c r="N73" i="51"/>
  <c r="O73" i="51"/>
  <c r="P73" i="51"/>
  <c r="Q73" i="51"/>
  <c r="C74" i="51"/>
  <c r="H74" i="51"/>
  <c r="I74" i="51"/>
  <c r="J74" i="51"/>
  <c r="K74" i="51"/>
  <c r="L74" i="51"/>
  <c r="M74" i="51"/>
  <c r="N74" i="51"/>
  <c r="O74" i="51"/>
  <c r="P74" i="51"/>
  <c r="Q74" i="51"/>
  <c r="C75" i="51"/>
  <c r="D75" i="51"/>
  <c r="F75" i="51"/>
  <c r="G75" i="51"/>
  <c r="H75" i="51"/>
  <c r="I75" i="51"/>
  <c r="J75" i="51"/>
  <c r="K75" i="51"/>
  <c r="L75" i="51"/>
  <c r="M75" i="51"/>
  <c r="N75" i="51"/>
  <c r="O75" i="51"/>
  <c r="P75" i="51"/>
  <c r="Q75" i="51"/>
  <c r="C76" i="51"/>
  <c r="D76" i="51"/>
  <c r="E76" i="51"/>
  <c r="F76" i="51"/>
  <c r="G76" i="51"/>
  <c r="H76" i="51"/>
  <c r="I76" i="51"/>
  <c r="J76" i="51"/>
  <c r="K76" i="51"/>
  <c r="L76" i="51"/>
  <c r="M76" i="51"/>
  <c r="N76" i="51"/>
  <c r="O76" i="51"/>
  <c r="P76" i="51"/>
  <c r="Q76" i="51"/>
  <c r="C77" i="51"/>
  <c r="D77" i="51"/>
  <c r="E77" i="51"/>
  <c r="F77" i="51"/>
  <c r="G77" i="51"/>
  <c r="H77" i="51"/>
  <c r="I77" i="51"/>
  <c r="J77" i="51"/>
  <c r="K77" i="51"/>
  <c r="L77" i="51"/>
  <c r="M77" i="51"/>
  <c r="N77" i="51"/>
  <c r="O77" i="51"/>
  <c r="P77" i="51"/>
  <c r="Q77" i="51"/>
  <c r="C79" i="51"/>
  <c r="D79" i="51"/>
  <c r="E79" i="51"/>
  <c r="F79" i="51"/>
  <c r="G79" i="51"/>
  <c r="H79" i="51"/>
  <c r="I79" i="51"/>
  <c r="J79" i="51"/>
  <c r="K79" i="51"/>
  <c r="L79" i="51"/>
  <c r="M79" i="51"/>
  <c r="N79" i="51"/>
  <c r="O79" i="51"/>
  <c r="P79" i="51"/>
  <c r="Q79" i="51"/>
  <c r="C81" i="51"/>
  <c r="D81" i="51"/>
  <c r="E81" i="51"/>
  <c r="F81" i="51"/>
  <c r="G81" i="51"/>
  <c r="H81" i="51"/>
  <c r="I81" i="51"/>
  <c r="J81" i="51"/>
  <c r="K81" i="51"/>
  <c r="L81" i="51"/>
  <c r="M81" i="51"/>
  <c r="N81" i="51"/>
  <c r="O81" i="51"/>
  <c r="P81" i="51"/>
  <c r="Q81" i="51"/>
  <c r="C82" i="51"/>
  <c r="H82" i="51"/>
  <c r="I82" i="51"/>
  <c r="J82" i="51"/>
  <c r="K82" i="51"/>
  <c r="L82" i="51"/>
  <c r="M82" i="51"/>
  <c r="N82" i="51"/>
  <c r="O82" i="51"/>
  <c r="P82" i="51"/>
  <c r="Q82" i="51"/>
  <c r="C83" i="51"/>
  <c r="D83" i="51"/>
  <c r="F83" i="51"/>
  <c r="G83" i="51"/>
  <c r="H83" i="51"/>
  <c r="I83" i="51"/>
  <c r="J83" i="51"/>
  <c r="K83" i="51"/>
  <c r="L83" i="51"/>
  <c r="M83" i="51"/>
  <c r="N83" i="51"/>
  <c r="O83" i="51"/>
  <c r="P83" i="51"/>
  <c r="Q83" i="51"/>
  <c r="C84" i="51"/>
  <c r="D84" i="51"/>
  <c r="E84" i="51"/>
  <c r="F84" i="51"/>
  <c r="G84" i="51"/>
  <c r="H84" i="51"/>
  <c r="I84" i="51"/>
  <c r="J84" i="51"/>
  <c r="K84" i="51"/>
  <c r="L84" i="51"/>
  <c r="M84" i="51"/>
  <c r="N84" i="51"/>
  <c r="O84" i="51"/>
  <c r="P84" i="51"/>
  <c r="Q84" i="51"/>
  <c r="C85" i="51"/>
  <c r="D85" i="51"/>
  <c r="E85" i="51"/>
  <c r="F85" i="51"/>
  <c r="G85" i="51"/>
  <c r="H85" i="51"/>
  <c r="I85" i="51"/>
  <c r="J85" i="51"/>
  <c r="K85" i="51"/>
  <c r="L85" i="51"/>
  <c r="M85" i="51"/>
  <c r="N85" i="51"/>
  <c r="O85" i="51"/>
  <c r="P85" i="51"/>
  <c r="Q85" i="51"/>
  <c r="C86" i="51"/>
  <c r="H86" i="51"/>
  <c r="I86" i="51"/>
  <c r="J86" i="51"/>
  <c r="K86" i="51"/>
  <c r="L86" i="51"/>
  <c r="M86" i="51"/>
  <c r="N86" i="51"/>
  <c r="O86" i="51"/>
  <c r="P86" i="51"/>
  <c r="Q86" i="51"/>
  <c r="C89" i="51"/>
  <c r="D89" i="51"/>
  <c r="E89" i="51"/>
  <c r="F89" i="51"/>
  <c r="G89" i="51"/>
  <c r="H89" i="51"/>
  <c r="I89" i="51"/>
  <c r="J89" i="51"/>
  <c r="K89" i="51"/>
  <c r="L89" i="51"/>
  <c r="M89" i="51"/>
  <c r="N89" i="51"/>
  <c r="O89" i="51"/>
  <c r="P89" i="51"/>
  <c r="Q89" i="51"/>
  <c r="C90" i="51"/>
  <c r="H90" i="51"/>
  <c r="I90" i="51"/>
  <c r="J90" i="51"/>
  <c r="K90" i="51"/>
  <c r="L90" i="51"/>
  <c r="M90" i="51"/>
  <c r="N90" i="51"/>
  <c r="O90" i="51"/>
  <c r="P90" i="51"/>
  <c r="Q90" i="51"/>
  <c r="C91" i="51"/>
  <c r="D91" i="51"/>
  <c r="F91" i="51"/>
  <c r="G91" i="51"/>
  <c r="H91" i="51"/>
  <c r="I91" i="51"/>
  <c r="J91" i="51"/>
  <c r="K91" i="51"/>
  <c r="L91" i="51"/>
  <c r="M91" i="51"/>
  <c r="N91" i="51"/>
  <c r="O91" i="51"/>
  <c r="P91" i="51"/>
  <c r="Q91" i="51"/>
  <c r="C92" i="51"/>
  <c r="D92" i="51"/>
  <c r="E92" i="51"/>
  <c r="F92" i="51"/>
  <c r="G92" i="51"/>
  <c r="H92" i="51"/>
  <c r="I92" i="51"/>
  <c r="J92" i="51"/>
  <c r="K92" i="51"/>
  <c r="L92" i="51"/>
  <c r="M92" i="51"/>
  <c r="N92" i="51"/>
  <c r="O92" i="51"/>
  <c r="P92" i="51"/>
  <c r="Q92" i="51"/>
  <c r="C93" i="51"/>
  <c r="D93" i="51"/>
  <c r="E93" i="51"/>
  <c r="F93" i="51"/>
  <c r="G93" i="51"/>
  <c r="H93" i="51"/>
  <c r="I93" i="51"/>
  <c r="J93" i="51"/>
  <c r="K93" i="51"/>
  <c r="L93" i="51"/>
  <c r="M93" i="51"/>
  <c r="N93" i="51"/>
  <c r="O93" i="51"/>
  <c r="P93" i="51"/>
  <c r="Q93" i="51"/>
  <c r="C94" i="51"/>
  <c r="H94" i="51"/>
  <c r="I94" i="51"/>
  <c r="J94" i="51"/>
  <c r="K94" i="51"/>
  <c r="L94" i="51"/>
  <c r="M94" i="51"/>
  <c r="N94" i="51"/>
  <c r="O94" i="51"/>
  <c r="P94" i="51"/>
  <c r="Q94" i="51"/>
  <c r="C95" i="51"/>
  <c r="D95" i="51"/>
  <c r="F95" i="51"/>
  <c r="G95" i="51"/>
  <c r="H95" i="51"/>
  <c r="I95" i="51"/>
  <c r="J95" i="51"/>
  <c r="K95" i="51"/>
  <c r="L95" i="51"/>
  <c r="M95" i="51"/>
  <c r="N95" i="51"/>
  <c r="O95" i="51"/>
  <c r="P95" i="51"/>
  <c r="Q95" i="51"/>
  <c r="C96" i="51"/>
  <c r="D96" i="51"/>
  <c r="E96" i="51"/>
  <c r="F96" i="51"/>
  <c r="G96" i="51"/>
  <c r="H96" i="51"/>
  <c r="I96" i="51"/>
  <c r="J96" i="51"/>
  <c r="K96" i="51"/>
  <c r="L96" i="51"/>
  <c r="M96" i="51"/>
  <c r="N96" i="51"/>
  <c r="O96" i="51"/>
  <c r="P96" i="51"/>
  <c r="Q96" i="51"/>
  <c r="C97" i="51"/>
  <c r="D97" i="51"/>
  <c r="E97" i="51"/>
  <c r="F97" i="51"/>
  <c r="G97" i="51"/>
  <c r="H97" i="51"/>
  <c r="I97" i="51"/>
  <c r="J97" i="51"/>
  <c r="K97" i="51"/>
  <c r="L97" i="51"/>
  <c r="M97" i="51"/>
  <c r="N97" i="51"/>
  <c r="O97" i="51"/>
  <c r="P97" i="51"/>
  <c r="Q97" i="51"/>
  <c r="C99" i="51"/>
  <c r="D99" i="51"/>
  <c r="E99" i="51"/>
  <c r="F99" i="51"/>
  <c r="G99" i="51"/>
  <c r="H99" i="51"/>
  <c r="I99" i="51"/>
  <c r="J99" i="51"/>
  <c r="K99" i="51"/>
  <c r="L99" i="51"/>
  <c r="M99" i="51"/>
  <c r="N99" i="51"/>
  <c r="O99" i="51"/>
  <c r="P99" i="51"/>
  <c r="Q99" i="51"/>
  <c r="C100" i="51"/>
  <c r="D100" i="51"/>
  <c r="E100" i="51"/>
  <c r="F100" i="51"/>
  <c r="G100" i="51"/>
  <c r="H100" i="51"/>
  <c r="I100" i="51"/>
  <c r="J100" i="51"/>
  <c r="K100" i="51"/>
  <c r="L100" i="51"/>
  <c r="M100" i="51"/>
  <c r="N100" i="51"/>
  <c r="O100" i="51"/>
  <c r="P100" i="51"/>
  <c r="Q100" i="51"/>
  <c r="C102" i="51"/>
  <c r="H102" i="51"/>
  <c r="I102" i="51"/>
  <c r="J102" i="51"/>
  <c r="K102" i="51"/>
  <c r="L102" i="51"/>
  <c r="M102" i="51"/>
  <c r="N102" i="51"/>
  <c r="O102" i="51"/>
  <c r="P102" i="51"/>
  <c r="Q102" i="51"/>
  <c r="C104" i="51"/>
  <c r="D104" i="51"/>
  <c r="E104" i="51"/>
  <c r="F104" i="51"/>
  <c r="G104" i="51"/>
  <c r="H104" i="51"/>
  <c r="I104" i="51"/>
  <c r="J104" i="51"/>
  <c r="K104" i="51"/>
  <c r="L104" i="51"/>
  <c r="M104" i="51"/>
  <c r="N104" i="51"/>
  <c r="O104" i="51"/>
  <c r="P104" i="51"/>
  <c r="Q104" i="51"/>
  <c r="C110" i="51"/>
  <c r="F110" i="51"/>
  <c r="H110" i="51"/>
  <c r="I110" i="51"/>
  <c r="J110" i="51"/>
  <c r="K110" i="51"/>
  <c r="L110" i="51"/>
  <c r="M110" i="51"/>
  <c r="N110" i="51"/>
  <c r="O110" i="51"/>
  <c r="P110" i="51"/>
  <c r="Q110" i="51"/>
  <c r="C111" i="51"/>
  <c r="D111" i="51"/>
  <c r="E111" i="51"/>
  <c r="F111" i="51"/>
  <c r="G111" i="51"/>
  <c r="H111" i="51"/>
  <c r="I111" i="51"/>
  <c r="J111" i="51"/>
  <c r="K111" i="51"/>
  <c r="L111" i="51"/>
  <c r="M111" i="51"/>
  <c r="N111" i="51"/>
  <c r="O111" i="51"/>
  <c r="P111" i="51"/>
  <c r="Q111" i="51"/>
  <c r="C112" i="51"/>
  <c r="D112" i="51"/>
  <c r="E112" i="51"/>
  <c r="F112" i="51"/>
  <c r="G112" i="51"/>
  <c r="H112" i="51"/>
  <c r="I112" i="51"/>
  <c r="J112" i="51"/>
  <c r="K112" i="51"/>
  <c r="L112" i="51"/>
  <c r="M112" i="51"/>
  <c r="N112" i="51"/>
  <c r="O112" i="51"/>
  <c r="P112" i="51"/>
  <c r="Q112" i="51"/>
  <c r="C113" i="51"/>
  <c r="D113" i="51"/>
  <c r="E113" i="51"/>
  <c r="F113" i="51"/>
  <c r="G113" i="51"/>
  <c r="H113" i="51"/>
  <c r="I113" i="51"/>
  <c r="J113" i="51"/>
  <c r="K113" i="51"/>
  <c r="L113" i="51"/>
  <c r="M113" i="51"/>
  <c r="N113" i="51"/>
  <c r="O113" i="51"/>
  <c r="P113" i="51"/>
  <c r="Q113" i="51"/>
  <c r="C116" i="51"/>
  <c r="D116" i="51"/>
  <c r="E116" i="51"/>
  <c r="F116" i="51"/>
  <c r="G116" i="51"/>
  <c r="H116" i="51"/>
  <c r="I116" i="51"/>
  <c r="J116" i="51"/>
  <c r="K116" i="51"/>
  <c r="L116" i="51"/>
  <c r="M116" i="51"/>
  <c r="N116" i="51"/>
  <c r="O116" i="51"/>
  <c r="P116" i="51"/>
  <c r="Q116" i="51"/>
  <c r="C117" i="51"/>
  <c r="D117" i="51"/>
  <c r="E117" i="51"/>
  <c r="F117" i="51"/>
  <c r="G117" i="51"/>
  <c r="H117" i="51"/>
  <c r="I117" i="51"/>
  <c r="J117" i="51"/>
  <c r="K117" i="51"/>
  <c r="L117" i="51"/>
  <c r="M117" i="51"/>
  <c r="N117" i="51"/>
  <c r="O117" i="51"/>
  <c r="P117" i="51"/>
  <c r="Q117" i="51"/>
  <c r="C118" i="51"/>
  <c r="H118" i="51"/>
  <c r="I118" i="51"/>
  <c r="J118" i="51"/>
  <c r="K118" i="51"/>
  <c r="L118" i="51"/>
  <c r="M118" i="51"/>
  <c r="N118" i="51"/>
  <c r="O118" i="51"/>
  <c r="P118" i="51"/>
  <c r="Q118" i="51"/>
  <c r="C119" i="51"/>
  <c r="D119" i="51"/>
  <c r="F119" i="51"/>
  <c r="G119" i="51"/>
  <c r="H119" i="51"/>
  <c r="I119" i="51"/>
  <c r="J119" i="51"/>
  <c r="K119" i="51"/>
  <c r="L119" i="51"/>
  <c r="M119" i="51"/>
  <c r="N119" i="51"/>
  <c r="O119" i="51"/>
  <c r="P119" i="51"/>
  <c r="Q119" i="51"/>
  <c r="C120" i="51"/>
  <c r="D120" i="51"/>
  <c r="E120" i="51"/>
  <c r="F120" i="51"/>
  <c r="G120" i="51"/>
  <c r="H120" i="51"/>
  <c r="I120" i="51"/>
  <c r="J120" i="51"/>
  <c r="K120" i="51"/>
  <c r="L120" i="51"/>
  <c r="M120" i="51"/>
  <c r="N120" i="51"/>
  <c r="O120" i="51"/>
  <c r="P120" i="51"/>
  <c r="Q120" i="51"/>
  <c r="C121" i="51"/>
  <c r="D121" i="51"/>
  <c r="E121" i="51"/>
  <c r="F121" i="51"/>
  <c r="G121" i="51"/>
  <c r="H121" i="51"/>
  <c r="I121" i="51"/>
  <c r="J121" i="51"/>
  <c r="K121" i="51"/>
  <c r="L121" i="51"/>
  <c r="M121" i="51"/>
  <c r="N121" i="51"/>
  <c r="O121" i="51"/>
  <c r="P121" i="51"/>
  <c r="Q121" i="51"/>
  <c r="C122" i="51"/>
  <c r="F122" i="51"/>
  <c r="H122" i="51"/>
  <c r="I122" i="51"/>
  <c r="J122" i="51"/>
  <c r="K122" i="51"/>
  <c r="L122" i="51"/>
  <c r="M122" i="51"/>
  <c r="N122" i="51"/>
  <c r="O122" i="51"/>
  <c r="P122" i="51"/>
  <c r="Q122" i="51"/>
  <c r="C123" i="51"/>
  <c r="D123" i="51"/>
  <c r="F123" i="51"/>
  <c r="G123" i="51"/>
  <c r="H123" i="51"/>
  <c r="I123" i="51"/>
  <c r="J123" i="51"/>
  <c r="K123" i="51"/>
  <c r="L123" i="51"/>
  <c r="M123" i="51"/>
  <c r="N123" i="51"/>
  <c r="O123" i="51"/>
  <c r="P123" i="51"/>
  <c r="Q123" i="51"/>
  <c r="C124" i="51"/>
  <c r="D124" i="51"/>
  <c r="E124" i="51"/>
  <c r="F124" i="51"/>
  <c r="G124" i="51"/>
  <c r="H124" i="51"/>
  <c r="I124" i="51"/>
  <c r="J124" i="51"/>
  <c r="K124" i="51"/>
  <c r="L124" i="51"/>
  <c r="M124" i="51"/>
  <c r="N124" i="51"/>
  <c r="O124" i="51"/>
  <c r="P124" i="51"/>
  <c r="Q124" i="51"/>
  <c r="C125" i="51"/>
  <c r="D125" i="51"/>
  <c r="E125" i="51"/>
  <c r="F125" i="51"/>
  <c r="G125" i="51"/>
  <c r="H125" i="51"/>
  <c r="I125" i="51"/>
  <c r="J125" i="51"/>
  <c r="K125" i="51"/>
  <c r="L125" i="51"/>
  <c r="M125" i="51"/>
  <c r="N125" i="51"/>
  <c r="O125" i="51"/>
  <c r="P125" i="51"/>
  <c r="Q125" i="51"/>
  <c r="C126" i="51"/>
  <c r="H126" i="51"/>
  <c r="I126" i="51"/>
  <c r="J126" i="51"/>
  <c r="K126" i="51"/>
  <c r="L126" i="51"/>
  <c r="M126" i="51"/>
  <c r="N126" i="51"/>
  <c r="O126" i="51"/>
  <c r="P126" i="51"/>
  <c r="Q126" i="51"/>
  <c r="C190" i="51"/>
  <c r="D190" i="51"/>
  <c r="E190" i="51"/>
  <c r="F190" i="51"/>
  <c r="G190" i="51"/>
  <c r="H190" i="51"/>
  <c r="I190" i="51"/>
  <c r="J190" i="51"/>
  <c r="K190" i="51"/>
  <c r="L190" i="51"/>
  <c r="M190" i="51"/>
  <c r="N190" i="51"/>
  <c r="O190" i="51"/>
  <c r="P190" i="51"/>
  <c r="Q190" i="51"/>
  <c r="C191" i="51"/>
  <c r="F191" i="51"/>
  <c r="H191" i="51"/>
  <c r="I191" i="51"/>
  <c r="J191" i="51"/>
  <c r="K191" i="51"/>
  <c r="L191" i="51"/>
  <c r="M191" i="51"/>
  <c r="N191" i="51"/>
  <c r="O191" i="51"/>
  <c r="P191" i="51"/>
  <c r="Q191" i="51"/>
  <c r="C685" i="51"/>
  <c r="D685" i="51"/>
  <c r="E685" i="51"/>
  <c r="F685" i="51"/>
  <c r="G685" i="51"/>
  <c r="H685" i="51"/>
  <c r="I685" i="51"/>
  <c r="J685" i="51"/>
  <c r="K685" i="51"/>
  <c r="L685" i="51"/>
  <c r="M685" i="51"/>
  <c r="N685" i="51"/>
  <c r="O685" i="51"/>
  <c r="P685" i="51"/>
  <c r="Q685" i="51"/>
  <c r="C192" i="51"/>
  <c r="D192" i="51"/>
  <c r="F192" i="51"/>
  <c r="G192" i="51"/>
  <c r="H192" i="51"/>
  <c r="I192" i="51"/>
  <c r="J192" i="51"/>
  <c r="K192" i="51"/>
  <c r="L192" i="51"/>
  <c r="M192" i="51"/>
  <c r="N192" i="51"/>
  <c r="O192" i="51"/>
  <c r="P192" i="51"/>
  <c r="Q192" i="51"/>
  <c r="C193" i="51"/>
  <c r="D193" i="51"/>
  <c r="E193" i="51"/>
  <c r="F193" i="51"/>
  <c r="G193" i="51"/>
  <c r="H193" i="51"/>
  <c r="I193" i="51"/>
  <c r="J193" i="51"/>
  <c r="K193" i="51"/>
  <c r="L193" i="51"/>
  <c r="M193" i="51"/>
  <c r="N193" i="51"/>
  <c r="O193" i="51"/>
  <c r="P193" i="51"/>
  <c r="Q193" i="51"/>
  <c r="C194" i="51"/>
  <c r="D194" i="51"/>
  <c r="E194" i="51"/>
  <c r="F194" i="51"/>
  <c r="G194" i="51"/>
  <c r="H194" i="51"/>
  <c r="I194" i="51"/>
  <c r="J194" i="51"/>
  <c r="K194" i="51"/>
  <c r="L194" i="51"/>
  <c r="M194" i="51"/>
  <c r="N194" i="51"/>
  <c r="O194" i="51"/>
  <c r="P194" i="51"/>
  <c r="Q194" i="51"/>
  <c r="C195" i="51"/>
  <c r="H195" i="51"/>
  <c r="I195" i="51"/>
  <c r="J195" i="51"/>
  <c r="K195" i="51"/>
  <c r="L195" i="51"/>
  <c r="M195" i="51"/>
  <c r="N195" i="51"/>
  <c r="O195" i="51"/>
  <c r="P195" i="51"/>
  <c r="Q195" i="51"/>
  <c r="C196" i="51"/>
  <c r="D196" i="51"/>
  <c r="F196" i="51"/>
  <c r="G196" i="51"/>
  <c r="H196" i="51"/>
  <c r="I196" i="51"/>
  <c r="J196" i="51"/>
  <c r="K196" i="51"/>
  <c r="L196" i="51"/>
  <c r="M196" i="51"/>
  <c r="N196" i="51"/>
  <c r="O196" i="51"/>
  <c r="P196" i="51"/>
  <c r="Q196" i="51"/>
  <c r="C197" i="51"/>
  <c r="D197" i="51"/>
  <c r="E197" i="51"/>
  <c r="F197" i="51"/>
  <c r="G197" i="51"/>
  <c r="H197" i="51"/>
  <c r="I197" i="51"/>
  <c r="J197" i="51"/>
  <c r="K197" i="51"/>
  <c r="L197" i="51"/>
  <c r="M197" i="51"/>
  <c r="N197" i="51"/>
  <c r="O197" i="51"/>
  <c r="P197" i="51"/>
  <c r="Q197" i="51"/>
  <c r="C198" i="51"/>
  <c r="D198" i="51"/>
  <c r="E198" i="51"/>
  <c r="F198" i="51"/>
  <c r="G198" i="51"/>
  <c r="H198" i="51"/>
  <c r="I198" i="51"/>
  <c r="J198" i="51"/>
  <c r="K198" i="51"/>
  <c r="L198" i="51"/>
  <c r="M198" i="51"/>
  <c r="N198" i="51"/>
  <c r="O198" i="51"/>
  <c r="P198" i="51"/>
  <c r="Q198" i="51"/>
  <c r="C199" i="51"/>
  <c r="H199" i="51"/>
  <c r="I199" i="51"/>
  <c r="J199" i="51"/>
  <c r="K199" i="51"/>
  <c r="L199" i="51"/>
  <c r="M199" i="51"/>
  <c r="N199" i="51"/>
  <c r="O199" i="51"/>
  <c r="P199" i="51"/>
  <c r="Q199" i="51"/>
  <c r="C200" i="51"/>
  <c r="D200" i="51"/>
  <c r="F200" i="51"/>
  <c r="G200" i="51"/>
  <c r="H200" i="51"/>
  <c r="I200" i="51"/>
  <c r="J200" i="51"/>
  <c r="K200" i="51"/>
  <c r="L200" i="51"/>
  <c r="M200" i="51"/>
  <c r="N200" i="51"/>
  <c r="O200" i="51"/>
  <c r="P200" i="51"/>
  <c r="Q200" i="51"/>
  <c r="C201" i="51"/>
  <c r="D201" i="51"/>
  <c r="E201" i="51"/>
  <c r="F201" i="51"/>
  <c r="G201" i="51"/>
  <c r="H201" i="51"/>
  <c r="I201" i="51"/>
  <c r="J201" i="51"/>
  <c r="K201" i="51"/>
  <c r="L201" i="51"/>
  <c r="M201" i="51"/>
  <c r="N201" i="51"/>
  <c r="O201" i="51"/>
  <c r="P201" i="51"/>
  <c r="Q201" i="51"/>
  <c r="C202" i="51"/>
  <c r="D202" i="51"/>
  <c r="E202" i="51"/>
  <c r="F202" i="51"/>
  <c r="G202" i="51"/>
  <c r="H202" i="51"/>
  <c r="I202" i="51"/>
  <c r="J202" i="51"/>
  <c r="K202" i="51"/>
  <c r="L202" i="51"/>
  <c r="M202" i="51"/>
  <c r="N202" i="51"/>
  <c r="O202" i="51"/>
  <c r="P202" i="51"/>
  <c r="Q202" i="51"/>
  <c r="C203" i="51"/>
  <c r="F203" i="51"/>
  <c r="H203" i="51"/>
  <c r="I203" i="51"/>
  <c r="J203" i="51"/>
  <c r="K203" i="51"/>
  <c r="L203" i="51"/>
  <c r="M203" i="51"/>
  <c r="N203" i="51"/>
  <c r="O203" i="51"/>
  <c r="P203" i="51"/>
  <c r="Q203" i="51"/>
  <c r="C204" i="51"/>
  <c r="D204" i="51"/>
  <c r="F204" i="51"/>
  <c r="G204" i="51"/>
  <c r="H204" i="51"/>
  <c r="I204" i="51"/>
  <c r="J204" i="51"/>
  <c r="K204" i="51"/>
  <c r="L204" i="51"/>
  <c r="M204" i="51"/>
  <c r="N204" i="51"/>
  <c r="O204" i="51"/>
  <c r="P204" i="51"/>
  <c r="Q204" i="51"/>
  <c r="C206" i="51"/>
  <c r="D206" i="51"/>
  <c r="E206" i="51"/>
  <c r="F206" i="51"/>
  <c r="G206" i="51"/>
  <c r="H206" i="51"/>
  <c r="I206" i="51"/>
  <c r="J206" i="51"/>
  <c r="K206" i="51"/>
  <c r="L206" i="51"/>
  <c r="M206" i="51"/>
  <c r="N206" i="51"/>
  <c r="O206" i="51"/>
  <c r="P206" i="51"/>
  <c r="Q206" i="51"/>
  <c r="C209" i="51"/>
  <c r="D209" i="51"/>
  <c r="E209" i="51"/>
  <c r="F209" i="51"/>
  <c r="G209" i="51"/>
  <c r="H209" i="51"/>
  <c r="I209" i="51"/>
  <c r="J209" i="51"/>
  <c r="K209" i="51"/>
  <c r="L209" i="51"/>
  <c r="M209" i="51"/>
  <c r="N209" i="51"/>
  <c r="O209" i="51"/>
  <c r="P209" i="51"/>
  <c r="Q209" i="51"/>
  <c r="C210" i="51"/>
  <c r="D210" i="51"/>
  <c r="E210" i="51"/>
  <c r="F210" i="51"/>
  <c r="G210" i="51"/>
  <c r="H210" i="51"/>
  <c r="I210" i="51"/>
  <c r="J210" i="51"/>
  <c r="K210" i="51"/>
  <c r="L210" i="51"/>
  <c r="M210" i="51"/>
  <c r="N210" i="51"/>
  <c r="O210" i="51"/>
  <c r="P210" i="51"/>
  <c r="Q210" i="51"/>
  <c r="C211" i="51"/>
  <c r="H211" i="51"/>
  <c r="I211" i="51"/>
  <c r="J211" i="51"/>
  <c r="K211" i="51"/>
  <c r="L211" i="51"/>
  <c r="M211" i="51"/>
  <c r="N211" i="51"/>
  <c r="O211" i="51"/>
  <c r="P211" i="51"/>
  <c r="Q211" i="51"/>
  <c r="C212" i="51"/>
  <c r="D212" i="51"/>
  <c r="F212" i="51"/>
  <c r="G212" i="51"/>
  <c r="H212" i="51"/>
  <c r="I212" i="51"/>
  <c r="J212" i="51"/>
  <c r="K212" i="51"/>
  <c r="L212" i="51"/>
  <c r="M212" i="51"/>
  <c r="N212" i="51"/>
  <c r="O212" i="51"/>
  <c r="P212" i="51"/>
  <c r="Q212" i="51"/>
  <c r="C213" i="51"/>
  <c r="D213" i="51"/>
  <c r="E213" i="51"/>
  <c r="F213" i="51"/>
  <c r="G213" i="51"/>
  <c r="H213" i="51"/>
  <c r="I213" i="51"/>
  <c r="J213" i="51"/>
  <c r="K213" i="51"/>
  <c r="L213" i="51"/>
  <c r="M213" i="51"/>
  <c r="N213" i="51"/>
  <c r="O213" i="51"/>
  <c r="P213" i="51"/>
  <c r="Q213" i="51"/>
  <c r="C214" i="51"/>
  <c r="D214" i="51"/>
  <c r="E214" i="51"/>
  <c r="F214" i="51"/>
  <c r="G214" i="51"/>
  <c r="H214" i="51"/>
  <c r="I214" i="51"/>
  <c r="J214" i="51"/>
  <c r="K214" i="51"/>
  <c r="L214" i="51"/>
  <c r="M214" i="51"/>
  <c r="N214" i="51"/>
  <c r="O214" i="51"/>
  <c r="P214" i="51"/>
  <c r="Q214" i="51"/>
  <c r="C215" i="51"/>
  <c r="H215" i="51"/>
  <c r="I215" i="51"/>
  <c r="J215" i="51"/>
  <c r="K215" i="51"/>
  <c r="L215" i="51"/>
  <c r="M215" i="51"/>
  <c r="N215" i="51"/>
  <c r="O215" i="51"/>
  <c r="P215" i="51"/>
  <c r="Q215" i="51"/>
  <c r="C216" i="51"/>
  <c r="D216" i="51"/>
  <c r="F216" i="51"/>
  <c r="G216" i="51"/>
  <c r="H216" i="51"/>
  <c r="I216" i="51"/>
  <c r="J216" i="51"/>
  <c r="K216" i="51"/>
  <c r="L216" i="51"/>
  <c r="M216" i="51"/>
  <c r="N216" i="51"/>
  <c r="O216" i="51"/>
  <c r="P216" i="51"/>
  <c r="Q216" i="51"/>
  <c r="C217" i="51"/>
  <c r="D217" i="51"/>
  <c r="E217" i="51"/>
  <c r="F217" i="51"/>
  <c r="G217" i="51"/>
  <c r="H217" i="51"/>
  <c r="I217" i="51"/>
  <c r="J217" i="51"/>
  <c r="K217" i="51"/>
  <c r="L217" i="51"/>
  <c r="M217" i="51"/>
  <c r="N217" i="51"/>
  <c r="O217" i="51"/>
  <c r="P217" i="51"/>
  <c r="Q217" i="51"/>
  <c r="C218" i="51"/>
  <c r="D218" i="51"/>
  <c r="E218" i="51"/>
  <c r="F218" i="51"/>
  <c r="G218" i="51"/>
  <c r="H218" i="51"/>
  <c r="I218" i="51"/>
  <c r="J218" i="51"/>
  <c r="K218" i="51"/>
  <c r="L218" i="51"/>
  <c r="M218" i="51"/>
  <c r="N218" i="51"/>
  <c r="O218" i="51"/>
  <c r="P218" i="51"/>
  <c r="Q218" i="51"/>
  <c r="C219" i="51"/>
  <c r="F219" i="51"/>
  <c r="H219" i="51"/>
  <c r="I219" i="51"/>
  <c r="J219" i="51"/>
  <c r="K219" i="51"/>
  <c r="L219" i="51"/>
  <c r="M219" i="51"/>
  <c r="N219" i="51"/>
  <c r="O219" i="51"/>
  <c r="P219" i="51"/>
  <c r="Q219" i="51"/>
  <c r="C220" i="51"/>
  <c r="D220" i="51"/>
  <c r="E220" i="51"/>
  <c r="F220" i="51"/>
  <c r="G220" i="51"/>
  <c r="H220" i="51"/>
  <c r="I220" i="51"/>
  <c r="J220" i="51"/>
  <c r="K220" i="51"/>
  <c r="L220" i="51"/>
  <c r="M220" i="51"/>
  <c r="N220" i="51"/>
  <c r="O220" i="51"/>
  <c r="P220" i="51"/>
  <c r="Q220" i="51"/>
  <c r="C221" i="51"/>
  <c r="D221" i="51"/>
  <c r="E221" i="51"/>
  <c r="F221" i="51"/>
  <c r="G221" i="51"/>
  <c r="H221" i="51"/>
  <c r="I221" i="51"/>
  <c r="J221" i="51"/>
  <c r="K221" i="51"/>
  <c r="L221" i="51"/>
  <c r="M221" i="51"/>
  <c r="N221" i="51"/>
  <c r="O221" i="51"/>
  <c r="P221" i="51"/>
  <c r="Q221" i="51"/>
  <c r="C222" i="51"/>
  <c r="D222" i="51"/>
  <c r="E222" i="51"/>
  <c r="F222" i="51"/>
  <c r="G222" i="51"/>
  <c r="H222" i="51"/>
  <c r="I222" i="51"/>
  <c r="J222" i="51"/>
  <c r="K222" i="51"/>
  <c r="L222" i="51"/>
  <c r="M222" i="51"/>
  <c r="N222" i="51"/>
  <c r="O222" i="51"/>
  <c r="P222" i="51"/>
  <c r="Q222" i="51"/>
  <c r="C223" i="51"/>
  <c r="H223" i="51"/>
  <c r="I223" i="51"/>
  <c r="J223" i="51"/>
  <c r="K223" i="51"/>
  <c r="L223" i="51"/>
  <c r="M223" i="51"/>
  <c r="N223" i="51"/>
  <c r="O223" i="51"/>
  <c r="P223" i="51"/>
  <c r="Q223" i="51"/>
  <c r="C224" i="51"/>
  <c r="D224" i="51"/>
  <c r="E224" i="51"/>
  <c r="F224" i="51"/>
  <c r="G224" i="51"/>
  <c r="H224" i="51"/>
  <c r="I224" i="51"/>
  <c r="J224" i="51"/>
  <c r="K224" i="51"/>
  <c r="L224" i="51"/>
  <c r="M224" i="51"/>
  <c r="N224" i="51"/>
  <c r="O224" i="51"/>
  <c r="P224" i="51"/>
  <c r="Q224" i="51"/>
  <c r="C225" i="51"/>
  <c r="D225" i="51"/>
  <c r="E225" i="51"/>
  <c r="F225" i="51"/>
  <c r="G225" i="51"/>
  <c r="H225" i="51"/>
  <c r="I225" i="51"/>
  <c r="J225" i="51"/>
  <c r="K225" i="51"/>
  <c r="L225" i="51"/>
  <c r="M225" i="51"/>
  <c r="N225" i="51"/>
  <c r="O225" i="51"/>
  <c r="P225" i="51"/>
  <c r="Q225" i="51"/>
  <c r="C226" i="51"/>
  <c r="D226" i="51"/>
  <c r="E226" i="51"/>
  <c r="F226" i="51"/>
  <c r="G226" i="51"/>
  <c r="H226" i="51"/>
  <c r="I226" i="51"/>
  <c r="J226" i="51"/>
  <c r="K226" i="51"/>
  <c r="L226" i="51"/>
  <c r="M226" i="51"/>
  <c r="N226" i="51"/>
  <c r="O226" i="51"/>
  <c r="P226" i="51"/>
  <c r="Q226" i="51"/>
  <c r="C227" i="51"/>
  <c r="H227" i="51"/>
  <c r="I227" i="51"/>
  <c r="J227" i="51"/>
  <c r="K227" i="51"/>
  <c r="L227" i="51"/>
  <c r="M227" i="51"/>
  <c r="N227" i="51"/>
  <c r="O227" i="51"/>
  <c r="P227" i="51"/>
  <c r="Q227" i="51"/>
  <c r="C228" i="51"/>
  <c r="D228" i="51"/>
  <c r="E228" i="51"/>
  <c r="F228" i="51"/>
  <c r="G228" i="51"/>
  <c r="H228" i="51"/>
  <c r="I228" i="51"/>
  <c r="J228" i="51"/>
  <c r="K228" i="51"/>
  <c r="L228" i="51"/>
  <c r="M228" i="51"/>
  <c r="N228" i="51"/>
  <c r="O228" i="51"/>
  <c r="P228" i="51"/>
  <c r="Q228" i="51"/>
  <c r="C229" i="51"/>
  <c r="D229" i="51"/>
  <c r="E229" i="51"/>
  <c r="F229" i="51"/>
  <c r="G229" i="51"/>
  <c r="H229" i="51"/>
  <c r="I229" i="51"/>
  <c r="J229" i="51"/>
  <c r="K229" i="51"/>
  <c r="L229" i="51"/>
  <c r="M229" i="51"/>
  <c r="N229" i="51"/>
  <c r="O229" i="51"/>
  <c r="P229" i="51"/>
  <c r="Q229" i="51"/>
  <c r="C230" i="51"/>
  <c r="D230" i="51"/>
  <c r="E230" i="51"/>
  <c r="F230" i="51"/>
  <c r="G230" i="51"/>
  <c r="H230" i="51"/>
  <c r="I230" i="51"/>
  <c r="J230" i="51"/>
  <c r="K230" i="51"/>
  <c r="L230" i="51"/>
  <c r="M230" i="51"/>
  <c r="N230" i="51"/>
  <c r="O230" i="51"/>
  <c r="P230" i="51"/>
  <c r="Q230" i="51"/>
  <c r="C231" i="51"/>
  <c r="H231" i="51"/>
  <c r="I231" i="51"/>
  <c r="J231" i="51"/>
  <c r="K231" i="51"/>
  <c r="L231" i="51"/>
  <c r="M231" i="51"/>
  <c r="N231" i="51"/>
  <c r="O231" i="51"/>
  <c r="P231" i="51"/>
  <c r="Q231" i="51"/>
  <c r="C232" i="51"/>
  <c r="D232" i="51"/>
  <c r="E232" i="51"/>
  <c r="F232" i="51"/>
  <c r="G232" i="51"/>
  <c r="H232" i="51"/>
  <c r="I232" i="51"/>
  <c r="J232" i="51"/>
  <c r="K232" i="51"/>
  <c r="L232" i="51"/>
  <c r="M232" i="51"/>
  <c r="N232" i="51"/>
  <c r="O232" i="51"/>
  <c r="P232" i="51"/>
  <c r="Q232" i="51"/>
  <c r="C233" i="51"/>
  <c r="D233" i="51"/>
  <c r="E233" i="51"/>
  <c r="F233" i="51"/>
  <c r="G233" i="51"/>
  <c r="H233" i="51"/>
  <c r="I233" i="51"/>
  <c r="J233" i="51"/>
  <c r="K233" i="51"/>
  <c r="L233" i="51"/>
  <c r="M233" i="51"/>
  <c r="N233" i="51"/>
  <c r="O233" i="51"/>
  <c r="P233" i="51"/>
  <c r="Q233" i="51"/>
  <c r="C234" i="51"/>
  <c r="D234" i="51"/>
  <c r="E234" i="51"/>
  <c r="F234" i="51"/>
  <c r="G234" i="51"/>
  <c r="H234" i="51"/>
  <c r="I234" i="51"/>
  <c r="J234" i="51"/>
  <c r="K234" i="51"/>
  <c r="L234" i="51"/>
  <c r="M234" i="51"/>
  <c r="N234" i="51"/>
  <c r="O234" i="51"/>
  <c r="P234" i="51"/>
  <c r="Q234" i="51"/>
  <c r="C235" i="51"/>
  <c r="F235" i="51"/>
  <c r="H235" i="51"/>
  <c r="I235" i="51"/>
  <c r="J235" i="51"/>
  <c r="K235" i="51"/>
  <c r="L235" i="51"/>
  <c r="M235" i="51"/>
  <c r="N235" i="51"/>
  <c r="O235" i="51"/>
  <c r="P235" i="51"/>
  <c r="Q235" i="51"/>
  <c r="C236" i="51"/>
  <c r="D236" i="51"/>
  <c r="F236" i="51"/>
  <c r="G236" i="51"/>
  <c r="H236" i="51"/>
  <c r="I236" i="51"/>
  <c r="J236" i="51"/>
  <c r="K236" i="51"/>
  <c r="L236" i="51"/>
  <c r="M236" i="51"/>
  <c r="N236" i="51"/>
  <c r="O236" i="51"/>
  <c r="P236" i="51"/>
  <c r="Q236" i="51"/>
  <c r="C238" i="51"/>
  <c r="D238" i="51"/>
  <c r="E238" i="51"/>
  <c r="F238" i="51"/>
  <c r="G238" i="51"/>
  <c r="H238" i="51"/>
  <c r="I238" i="51"/>
  <c r="J238" i="51"/>
  <c r="K238" i="51"/>
  <c r="L238" i="51"/>
  <c r="M238" i="51"/>
  <c r="N238" i="51"/>
  <c r="O238" i="51"/>
  <c r="P238" i="51"/>
  <c r="Q238" i="51"/>
  <c r="C239" i="51"/>
  <c r="F239" i="51"/>
  <c r="H239" i="51"/>
  <c r="I239" i="51"/>
  <c r="J239" i="51"/>
  <c r="K239" i="51"/>
  <c r="L239" i="51"/>
  <c r="M239" i="51"/>
  <c r="N239" i="51"/>
  <c r="O239" i="51"/>
  <c r="P239" i="51"/>
  <c r="Q239" i="51"/>
  <c r="C240" i="51"/>
  <c r="D240" i="51"/>
  <c r="F240" i="51"/>
  <c r="G240" i="51"/>
  <c r="H240" i="51"/>
  <c r="I240" i="51"/>
  <c r="J240" i="51"/>
  <c r="K240" i="51"/>
  <c r="L240" i="51"/>
  <c r="M240" i="51"/>
  <c r="N240" i="51"/>
  <c r="O240" i="51"/>
  <c r="P240" i="51"/>
  <c r="Q240" i="51"/>
  <c r="C241" i="51"/>
  <c r="D241" i="51"/>
  <c r="E241" i="51"/>
  <c r="F241" i="51"/>
  <c r="G241" i="51"/>
  <c r="H241" i="51"/>
  <c r="I241" i="51"/>
  <c r="J241" i="51"/>
  <c r="K241" i="51"/>
  <c r="L241" i="51"/>
  <c r="M241" i="51"/>
  <c r="N241" i="51"/>
  <c r="O241" i="51"/>
  <c r="P241" i="51"/>
  <c r="Q241" i="51"/>
  <c r="C242" i="51"/>
  <c r="D242" i="51"/>
  <c r="E242" i="51"/>
  <c r="F242" i="51"/>
  <c r="G242" i="51"/>
  <c r="H242" i="51"/>
  <c r="I242" i="51"/>
  <c r="J242" i="51"/>
  <c r="K242" i="51"/>
  <c r="L242" i="51"/>
  <c r="M242" i="51"/>
  <c r="N242" i="51"/>
  <c r="O242" i="51"/>
  <c r="P242" i="51"/>
  <c r="Q242" i="51"/>
  <c r="C243" i="51"/>
  <c r="H243" i="51"/>
  <c r="I243" i="51"/>
  <c r="J243" i="51"/>
  <c r="K243" i="51"/>
  <c r="L243" i="51"/>
  <c r="M243" i="51"/>
  <c r="N243" i="51"/>
  <c r="O243" i="51"/>
  <c r="P243" i="51"/>
  <c r="Q243" i="51"/>
  <c r="C244" i="51"/>
  <c r="D244" i="51"/>
  <c r="F244" i="51"/>
  <c r="G244" i="51"/>
  <c r="H244" i="51"/>
  <c r="I244" i="51"/>
  <c r="J244" i="51"/>
  <c r="K244" i="51"/>
  <c r="L244" i="51"/>
  <c r="M244" i="51"/>
  <c r="N244" i="51"/>
  <c r="O244" i="51"/>
  <c r="P244" i="51"/>
  <c r="Q244" i="51"/>
  <c r="C245" i="51"/>
  <c r="D245" i="51"/>
  <c r="E245" i="51"/>
  <c r="F245" i="51"/>
  <c r="G245" i="51"/>
  <c r="H245" i="51"/>
  <c r="I245" i="51"/>
  <c r="J245" i="51"/>
  <c r="K245" i="51"/>
  <c r="L245" i="51"/>
  <c r="M245" i="51"/>
  <c r="N245" i="51"/>
  <c r="O245" i="51"/>
  <c r="P245" i="51"/>
  <c r="Q245" i="51"/>
  <c r="C246" i="51"/>
  <c r="D246" i="51"/>
  <c r="E246" i="51"/>
  <c r="F246" i="51"/>
  <c r="G246" i="51"/>
  <c r="H246" i="51"/>
  <c r="I246" i="51"/>
  <c r="J246" i="51"/>
  <c r="K246" i="51"/>
  <c r="L246" i="51"/>
  <c r="M246" i="51"/>
  <c r="N246" i="51"/>
  <c r="O246" i="51"/>
  <c r="P246" i="51"/>
  <c r="Q246" i="51"/>
  <c r="C247" i="51"/>
  <c r="H247" i="51"/>
  <c r="I247" i="51"/>
  <c r="J247" i="51"/>
  <c r="K247" i="51"/>
  <c r="L247" i="51"/>
  <c r="M247" i="51"/>
  <c r="N247" i="51"/>
  <c r="O247" i="51"/>
  <c r="P247" i="51"/>
  <c r="Q247" i="51"/>
  <c r="C248" i="51"/>
  <c r="D248" i="51"/>
  <c r="F248" i="51"/>
  <c r="G248" i="51"/>
  <c r="H248" i="51"/>
  <c r="I248" i="51"/>
  <c r="J248" i="51"/>
  <c r="K248" i="51"/>
  <c r="L248" i="51"/>
  <c r="M248" i="51"/>
  <c r="N248" i="51"/>
  <c r="O248" i="51"/>
  <c r="P248" i="51"/>
  <c r="Q248" i="51"/>
  <c r="C249" i="51"/>
  <c r="D249" i="51"/>
  <c r="E249" i="51"/>
  <c r="F249" i="51"/>
  <c r="G249" i="51"/>
  <c r="H249" i="51"/>
  <c r="I249" i="51"/>
  <c r="J249" i="51"/>
  <c r="K249" i="51"/>
  <c r="L249" i="51"/>
  <c r="M249" i="51"/>
  <c r="N249" i="51"/>
  <c r="O249" i="51"/>
  <c r="P249" i="51"/>
  <c r="Q249" i="51"/>
  <c r="C250" i="51"/>
  <c r="D250" i="51"/>
  <c r="E250" i="51"/>
  <c r="F250" i="51"/>
  <c r="G250" i="51"/>
  <c r="H250" i="51"/>
  <c r="I250" i="51"/>
  <c r="J250" i="51"/>
  <c r="K250" i="51"/>
  <c r="L250" i="51"/>
  <c r="M250" i="51"/>
  <c r="N250" i="51"/>
  <c r="O250" i="51"/>
  <c r="P250" i="51"/>
  <c r="Q250" i="51"/>
  <c r="C251" i="51"/>
  <c r="H251" i="51"/>
  <c r="I251" i="51"/>
  <c r="J251" i="51"/>
  <c r="K251" i="51"/>
  <c r="L251" i="51"/>
  <c r="M251" i="51"/>
  <c r="N251" i="51"/>
  <c r="O251" i="51"/>
  <c r="P251" i="51"/>
  <c r="Q251" i="51"/>
  <c r="C252" i="51"/>
  <c r="D252" i="51"/>
  <c r="F252" i="51"/>
  <c r="G252" i="51"/>
  <c r="H252" i="51"/>
  <c r="I252" i="51"/>
  <c r="J252" i="51"/>
  <c r="K252" i="51"/>
  <c r="L252" i="51"/>
  <c r="M252" i="51"/>
  <c r="N252" i="51"/>
  <c r="O252" i="51"/>
  <c r="P252" i="51"/>
  <c r="Q252" i="51"/>
  <c r="C253" i="51"/>
  <c r="D253" i="51"/>
  <c r="E253" i="51"/>
  <c r="F253" i="51"/>
  <c r="G253" i="51"/>
  <c r="H253" i="51"/>
  <c r="I253" i="51"/>
  <c r="J253" i="51"/>
  <c r="K253" i="51"/>
  <c r="L253" i="51"/>
  <c r="M253" i="51"/>
  <c r="N253" i="51"/>
  <c r="O253" i="51"/>
  <c r="P253" i="51"/>
  <c r="Q253" i="51"/>
  <c r="C254" i="51"/>
  <c r="D254" i="51"/>
  <c r="E254" i="51"/>
  <c r="F254" i="51"/>
  <c r="G254" i="51"/>
  <c r="H254" i="51"/>
  <c r="I254" i="51"/>
  <c r="J254" i="51"/>
  <c r="K254" i="51"/>
  <c r="L254" i="51"/>
  <c r="M254" i="51"/>
  <c r="N254" i="51"/>
  <c r="O254" i="51"/>
  <c r="P254" i="51"/>
  <c r="Q254" i="51"/>
  <c r="C255" i="51"/>
  <c r="F255" i="51"/>
  <c r="H255" i="51"/>
  <c r="I255" i="51"/>
  <c r="J255" i="51"/>
  <c r="K255" i="51"/>
  <c r="L255" i="51"/>
  <c r="M255" i="51"/>
  <c r="N255" i="51"/>
  <c r="O255" i="51"/>
  <c r="P255" i="51"/>
  <c r="Q255" i="51"/>
  <c r="C256" i="51"/>
  <c r="D256" i="51"/>
  <c r="E256" i="51"/>
  <c r="F256" i="51"/>
  <c r="G256" i="51"/>
  <c r="H256" i="51"/>
  <c r="I256" i="51"/>
  <c r="J256" i="51"/>
  <c r="K256" i="51"/>
  <c r="L256" i="51"/>
  <c r="M256" i="51"/>
  <c r="N256" i="51"/>
  <c r="O256" i="51"/>
  <c r="P256" i="51"/>
  <c r="Q256" i="51"/>
  <c r="C257" i="51"/>
  <c r="D257" i="51"/>
  <c r="E257" i="51"/>
  <c r="F257" i="51"/>
  <c r="G257" i="51"/>
  <c r="H257" i="51"/>
  <c r="I257" i="51"/>
  <c r="J257" i="51"/>
  <c r="K257" i="51"/>
  <c r="L257" i="51"/>
  <c r="M257" i="51"/>
  <c r="N257" i="51"/>
  <c r="O257" i="51"/>
  <c r="P257" i="51"/>
  <c r="Q257" i="51"/>
  <c r="C258" i="51"/>
  <c r="D258" i="51"/>
  <c r="E258" i="51"/>
  <c r="F258" i="51"/>
  <c r="G258" i="51"/>
  <c r="H258" i="51"/>
  <c r="I258" i="51"/>
  <c r="J258" i="51"/>
  <c r="K258" i="51"/>
  <c r="L258" i="51"/>
  <c r="M258" i="51"/>
  <c r="N258" i="51"/>
  <c r="O258" i="51"/>
  <c r="P258" i="51"/>
  <c r="Q258" i="51"/>
  <c r="C259" i="51"/>
  <c r="H259" i="51"/>
  <c r="I259" i="51"/>
  <c r="J259" i="51"/>
  <c r="K259" i="51"/>
  <c r="L259" i="51"/>
  <c r="M259" i="51"/>
  <c r="N259" i="51"/>
  <c r="O259" i="51"/>
  <c r="P259" i="51"/>
  <c r="Q259" i="51"/>
  <c r="C260" i="51"/>
  <c r="D260" i="51"/>
  <c r="E260" i="51"/>
  <c r="F260" i="51"/>
  <c r="G260" i="51"/>
  <c r="H260" i="51"/>
  <c r="I260" i="51"/>
  <c r="J260" i="51"/>
  <c r="K260" i="51"/>
  <c r="L260" i="51"/>
  <c r="M260" i="51"/>
  <c r="N260" i="51"/>
  <c r="O260" i="51"/>
  <c r="P260" i="51"/>
  <c r="Q260" i="51"/>
  <c r="C261" i="51"/>
  <c r="D261" i="51"/>
  <c r="E261" i="51"/>
  <c r="F261" i="51"/>
  <c r="G261" i="51"/>
  <c r="H261" i="51"/>
  <c r="I261" i="51"/>
  <c r="J261" i="51"/>
  <c r="K261" i="51"/>
  <c r="L261" i="51"/>
  <c r="M261" i="51"/>
  <c r="N261" i="51"/>
  <c r="O261" i="51"/>
  <c r="P261" i="51"/>
  <c r="Q261" i="51"/>
  <c r="C262" i="51"/>
  <c r="D262" i="51"/>
  <c r="E262" i="51"/>
  <c r="F262" i="51"/>
  <c r="G262" i="51"/>
  <c r="H262" i="51"/>
  <c r="I262" i="51"/>
  <c r="J262" i="51"/>
  <c r="K262" i="51"/>
  <c r="L262" i="51"/>
  <c r="M262" i="51"/>
  <c r="N262" i="51"/>
  <c r="O262" i="51"/>
  <c r="P262" i="51"/>
  <c r="Q262" i="51"/>
  <c r="C263" i="51"/>
  <c r="H263" i="51"/>
  <c r="I263" i="51"/>
  <c r="J263" i="51"/>
  <c r="K263" i="51"/>
  <c r="L263" i="51"/>
  <c r="M263" i="51"/>
  <c r="N263" i="51"/>
  <c r="O263" i="51"/>
  <c r="P263" i="51"/>
  <c r="Q263" i="51"/>
  <c r="C264" i="51"/>
  <c r="D264" i="51"/>
  <c r="E264" i="51"/>
  <c r="F264" i="51"/>
  <c r="G264" i="51"/>
  <c r="H264" i="51"/>
  <c r="I264" i="51"/>
  <c r="J264" i="51"/>
  <c r="K264" i="51"/>
  <c r="L264" i="51"/>
  <c r="M264" i="51"/>
  <c r="N264" i="51"/>
  <c r="O264" i="51"/>
  <c r="P264" i="51"/>
  <c r="Q264" i="51"/>
  <c r="C265" i="51"/>
  <c r="D265" i="51"/>
  <c r="E265" i="51"/>
  <c r="F265" i="51"/>
  <c r="G265" i="51"/>
  <c r="H265" i="51"/>
  <c r="I265" i="51"/>
  <c r="J265" i="51"/>
  <c r="K265" i="51"/>
  <c r="L265" i="51"/>
  <c r="M265" i="51"/>
  <c r="N265" i="51"/>
  <c r="O265" i="51"/>
  <c r="P265" i="51"/>
  <c r="Q265" i="51"/>
  <c r="C266" i="51"/>
  <c r="D266" i="51"/>
  <c r="E266" i="51"/>
  <c r="F266" i="51"/>
  <c r="G266" i="51"/>
  <c r="H266" i="51"/>
  <c r="I266" i="51"/>
  <c r="J266" i="51"/>
  <c r="K266" i="51"/>
  <c r="L266" i="51"/>
  <c r="M266" i="51"/>
  <c r="N266" i="51"/>
  <c r="O266" i="51"/>
  <c r="P266" i="51"/>
  <c r="Q266" i="51"/>
  <c r="C267" i="51"/>
  <c r="H267" i="51"/>
  <c r="I267" i="51"/>
  <c r="J267" i="51"/>
  <c r="K267" i="51"/>
  <c r="L267" i="51"/>
  <c r="M267" i="51"/>
  <c r="N267" i="51"/>
  <c r="O267" i="51"/>
  <c r="P267" i="51"/>
  <c r="Q267" i="51"/>
  <c r="C268" i="51"/>
  <c r="D268" i="51"/>
  <c r="E268" i="51"/>
  <c r="F268" i="51"/>
  <c r="G268" i="51"/>
  <c r="H268" i="51"/>
  <c r="I268" i="51"/>
  <c r="J268" i="51"/>
  <c r="K268" i="51"/>
  <c r="L268" i="51"/>
  <c r="M268" i="51"/>
  <c r="N268" i="51"/>
  <c r="O268" i="51"/>
  <c r="P268" i="51"/>
  <c r="Q268" i="51"/>
  <c r="C269" i="51"/>
  <c r="D269" i="51"/>
  <c r="E269" i="51"/>
  <c r="F269" i="51"/>
  <c r="G269" i="51"/>
  <c r="H269" i="51"/>
  <c r="I269" i="51"/>
  <c r="J269" i="51"/>
  <c r="K269" i="51"/>
  <c r="L269" i="51"/>
  <c r="M269" i="51"/>
  <c r="N269" i="51"/>
  <c r="O269" i="51"/>
  <c r="P269" i="51"/>
  <c r="Q269" i="51"/>
  <c r="C270" i="51"/>
  <c r="D270" i="51"/>
  <c r="E270" i="51"/>
  <c r="F270" i="51"/>
  <c r="G270" i="51"/>
  <c r="H270" i="51"/>
  <c r="I270" i="51"/>
  <c r="J270" i="51"/>
  <c r="K270" i="51"/>
  <c r="L270" i="51"/>
  <c r="M270" i="51"/>
  <c r="N270" i="51"/>
  <c r="O270" i="51"/>
  <c r="P270" i="51"/>
  <c r="Q270" i="51"/>
  <c r="C271" i="51"/>
  <c r="F271" i="51"/>
  <c r="H271" i="51"/>
  <c r="I271" i="51"/>
  <c r="J271" i="51"/>
  <c r="K271" i="51"/>
  <c r="L271" i="51"/>
  <c r="M271" i="51"/>
  <c r="N271" i="51"/>
  <c r="O271" i="51"/>
  <c r="P271" i="51"/>
  <c r="Q271" i="51"/>
  <c r="C273" i="51"/>
  <c r="D273" i="51"/>
  <c r="E273" i="51"/>
  <c r="F273" i="51"/>
  <c r="G273" i="51"/>
  <c r="H273" i="51"/>
  <c r="I273" i="51"/>
  <c r="J273" i="51"/>
  <c r="K273" i="51"/>
  <c r="L273" i="51"/>
  <c r="M273" i="51"/>
  <c r="N273" i="51"/>
  <c r="O273" i="51"/>
  <c r="P273" i="51"/>
  <c r="Q273" i="51"/>
  <c r="C274" i="51"/>
  <c r="D274" i="51"/>
  <c r="E274" i="51"/>
  <c r="F274" i="51"/>
  <c r="G274" i="51"/>
  <c r="H274" i="51"/>
  <c r="I274" i="51"/>
  <c r="J274" i="51"/>
  <c r="K274" i="51"/>
  <c r="L274" i="51"/>
  <c r="M274" i="51"/>
  <c r="N274" i="51"/>
  <c r="O274" i="51"/>
  <c r="P274" i="51"/>
  <c r="Q274" i="51"/>
  <c r="C275" i="51"/>
  <c r="F275" i="51"/>
  <c r="H275" i="51"/>
  <c r="I275" i="51"/>
  <c r="J275" i="51"/>
  <c r="K275" i="51"/>
  <c r="L275" i="51"/>
  <c r="M275" i="51"/>
  <c r="N275" i="51"/>
  <c r="O275" i="51"/>
  <c r="P275" i="51"/>
  <c r="Q275" i="51"/>
  <c r="C285" i="51"/>
  <c r="D285" i="51"/>
  <c r="F285" i="51"/>
  <c r="G285" i="51"/>
  <c r="H285" i="51"/>
  <c r="I285" i="51"/>
  <c r="J285" i="51"/>
  <c r="K285" i="51"/>
  <c r="L285" i="51"/>
  <c r="M285" i="51"/>
  <c r="N285" i="51"/>
  <c r="O285" i="51"/>
  <c r="P285" i="51"/>
  <c r="Q285" i="51"/>
  <c r="C286" i="51"/>
  <c r="D286" i="51"/>
  <c r="E286" i="51"/>
  <c r="F286" i="51"/>
  <c r="G286" i="51"/>
  <c r="H286" i="51"/>
  <c r="I286" i="51"/>
  <c r="J286" i="51"/>
  <c r="K286" i="51"/>
  <c r="L286" i="51"/>
  <c r="M286" i="51"/>
  <c r="N286" i="51"/>
  <c r="O286" i="51"/>
  <c r="P286" i="51"/>
  <c r="Q286" i="51"/>
  <c r="C287" i="51"/>
  <c r="D287" i="51"/>
  <c r="E287" i="51"/>
  <c r="F287" i="51"/>
  <c r="G287" i="51"/>
  <c r="H287" i="51"/>
  <c r="I287" i="51"/>
  <c r="J287" i="51"/>
  <c r="K287" i="51"/>
  <c r="L287" i="51"/>
  <c r="M287" i="51"/>
  <c r="N287" i="51"/>
  <c r="O287" i="51"/>
  <c r="P287" i="51"/>
  <c r="Q287" i="51"/>
  <c r="C288" i="51"/>
  <c r="H288" i="51"/>
  <c r="I288" i="51"/>
  <c r="J288" i="51"/>
  <c r="K288" i="51"/>
  <c r="L288" i="51"/>
  <c r="M288" i="51"/>
  <c r="N288" i="51"/>
  <c r="O288" i="51"/>
  <c r="P288" i="51"/>
  <c r="Q288" i="51"/>
  <c r="C289" i="51"/>
  <c r="D289" i="51"/>
  <c r="F289" i="51"/>
  <c r="G289" i="51"/>
  <c r="H289" i="51"/>
  <c r="I289" i="51"/>
  <c r="J289" i="51"/>
  <c r="K289" i="51"/>
  <c r="L289" i="51"/>
  <c r="M289" i="51"/>
  <c r="N289" i="51"/>
  <c r="O289" i="51"/>
  <c r="P289" i="51"/>
  <c r="Q289" i="51"/>
  <c r="C290" i="51"/>
  <c r="D290" i="51"/>
  <c r="E290" i="51"/>
  <c r="F290" i="51"/>
  <c r="G290" i="51"/>
  <c r="H290" i="51"/>
  <c r="I290" i="51"/>
  <c r="J290" i="51"/>
  <c r="K290" i="51"/>
  <c r="L290" i="51"/>
  <c r="M290" i="51"/>
  <c r="N290" i="51"/>
  <c r="O290" i="51"/>
  <c r="P290" i="51"/>
  <c r="Q290" i="51"/>
  <c r="C291" i="51"/>
  <c r="D291" i="51"/>
  <c r="E291" i="51"/>
  <c r="F291" i="51"/>
  <c r="G291" i="51"/>
  <c r="H291" i="51"/>
  <c r="I291" i="51"/>
  <c r="J291" i="51"/>
  <c r="K291" i="51"/>
  <c r="L291" i="51"/>
  <c r="M291" i="51"/>
  <c r="N291" i="51"/>
  <c r="O291" i="51"/>
  <c r="P291" i="51"/>
  <c r="Q291" i="51"/>
  <c r="C292" i="51"/>
  <c r="H292" i="51"/>
  <c r="I292" i="51"/>
  <c r="J292" i="51"/>
  <c r="K292" i="51"/>
  <c r="L292" i="51"/>
  <c r="M292" i="51"/>
  <c r="N292" i="51"/>
  <c r="O292" i="51"/>
  <c r="P292" i="51"/>
  <c r="Q292" i="51"/>
  <c r="C293" i="51"/>
  <c r="D293" i="51"/>
  <c r="F293" i="51"/>
  <c r="G293" i="51"/>
  <c r="H293" i="51"/>
  <c r="I293" i="51"/>
  <c r="J293" i="51"/>
  <c r="K293" i="51"/>
  <c r="L293" i="51"/>
  <c r="M293" i="51"/>
  <c r="N293" i="51"/>
  <c r="O293" i="51"/>
  <c r="P293" i="51"/>
  <c r="Q293" i="51"/>
  <c r="C294" i="51"/>
  <c r="D294" i="51"/>
  <c r="E294" i="51"/>
  <c r="F294" i="51"/>
  <c r="G294" i="51"/>
  <c r="H294" i="51"/>
  <c r="I294" i="51"/>
  <c r="J294" i="51"/>
  <c r="K294" i="51"/>
  <c r="L294" i="51"/>
  <c r="M294" i="51"/>
  <c r="N294" i="51"/>
  <c r="O294" i="51"/>
  <c r="P294" i="51"/>
  <c r="Q294" i="51"/>
  <c r="C295" i="51"/>
  <c r="D295" i="51"/>
  <c r="E295" i="51"/>
  <c r="F295" i="51"/>
  <c r="G295" i="51"/>
  <c r="H295" i="51"/>
  <c r="I295" i="51"/>
  <c r="J295" i="51"/>
  <c r="K295" i="51"/>
  <c r="L295" i="51"/>
  <c r="M295" i="51"/>
  <c r="N295" i="51"/>
  <c r="O295" i="51"/>
  <c r="P295" i="51"/>
  <c r="Q295" i="51"/>
  <c r="C296" i="51"/>
  <c r="H296" i="51"/>
  <c r="I296" i="51"/>
  <c r="J296" i="51"/>
  <c r="K296" i="51"/>
  <c r="L296" i="51"/>
  <c r="M296" i="51"/>
  <c r="N296" i="51"/>
  <c r="O296" i="51"/>
  <c r="P296" i="51"/>
  <c r="Q296" i="51"/>
  <c r="C277" i="51"/>
  <c r="D277" i="51"/>
  <c r="F277" i="51"/>
  <c r="G277" i="51"/>
  <c r="H277" i="51"/>
  <c r="I277" i="51"/>
  <c r="J277" i="51"/>
  <c r="K277" i="51"/>
  <c r="L277" i="51"/>
  <c r="M277" i="51"/>
  <c r="N277" i="51"/>
  <c r="O277" i="51"/>
  <c r="P277" i="51"/>
  <c r="Q277" i="51"/>
  <c r="C282" i="51"/>
  <c r="D282" i="51"/>
  <c r="E282" i="51"/>
  <c r="F282" i="51"/>
  <c r="G282" i="51"/>
  <c r="H282" i="51"/>
  <c r="I282" i="51"/>
  <c r="J282" i="51"/>
  <c r="K282" i="51"/>
  <c r="L282" i="51"/>
  <c r="M282" i="51"/>
  <c r="N282" i="51"/>
  <c r="O282" i="51"/>
  <c r="P282" i="51"/>
  <c r="Q282" i="51"/>
  <c r="C283" i="51"/>
  <c r="D283" i="51"/>
  <c r="E283" i="51"/>
  <c r="F283" i="51"/>
  <c r="G283" i="51"/>
  <c r="H283" i="51"/>
  <c r="I283" i="51"/>
  <c r="J283" i="51"/>
  <c r="K283" i="51"/>
  <c r="L283" i="51"/>
  <c r="M283" i="51"/>
  <c r="N283" i="51"/>
  <c r="O283" i="51"/>
  <c r="P283" i="51"/>
  <c r="Q283" i="51"/>
  <c r="C284" i="51"/>
  <c r="F284" i="51"/>
  <c r="H284" i="51"/>
  <c r="I284" i="51"/>
  <c r="J284" i="51"/>
  <c r="K284" i="51"/>
  <c r="L284" i="51"/>
  <c r="M284" i="51"/>
  <c r="N284" i="51"/>
  <c r="O284" i="51"/>
  <c r="P284" i="51"/>
  <c r="Q284" i="51"/>
  <c r="C297" i="51"/>
  <c r="D297" i="51"/>
  <c r="E297" i="51"/>
  <c r="F297" i="51"/>
  <c r="G297" i="51"/>
  <c r="H297" i="51"/>
  <c r="I297" i="51"/>
  <c r="J297" i="51"/>
  <c r="K297" i="51"/>
  <c r="L297" i="51"/>
  <c r="M297" i="51"/>
  <c r="N297" i="51"/>
  <c r="O297" i="51"/>
  <c r="P297" i="51"/>
  <c r="Q297" i="51"/>
  <c r="C298" i="51"/>
  <c r="D298" i="51"/>
  <c r="E298" i="51"/>
  <c r="F298" i="51"/>
  <c r="G298" i="51"/>
  <c r="H298" i="51"/>
  <c r="I298" i="51"/>
  <c r="J298" i="51"/>
  <c r="K298" i="51"/>
  <c r="L298" i="51"/>
  <c r="M298" i="51"/>
  <c r="N298" i="51"/>
  <c r="O298" i="51"/>
  <c r="P298" i="51"/>
  <c r="Q298" i="51"/>
  <c r="C299" i="51"/>
  <c r="D299" i="51"/>
  <c r="E299" i="51"/>
  <c r="F299" i="51"/>
  <c r="G299" i="51"/>
  <c r="H299" i="51"/>
  <c r="I299" i="51"/>
  <c r="J299" i="51"/>
  <c r="K299" i="51"/>
  <c r="L299" i="51"/>
  <c r="M299" i="51"/>
  <c r="N299" i="51"/>
  <c r="O299" i="51"/>
  <c r="P299" i="51"/>
  <c r="Q299" i="51"/>
  <c r="C300" i="51"/>
  <c r="H300" i="51"/>
  <c r="I300" i="51"/>
  <c r="J300" i="51"/>
  <c r="K300" i="51"/>
  <c r="L300" i="51"/>
  <c r="M300" i="51"/>
  <c r="N300" i="51"/>
  <c r="O300" i="51"/>
  <c r="P300" i="51"/>
  <c r="Q300" i="51"/>
  <c r="C301" i="51"/>
  <c r="D301" i="51"/>
  <c r="E301" i="51"/>
  <c r="F301" i="51"/>
  <c r="G301" i="51"/>
  <c r="H301" i="51"/>
  <c r="I301" i="51"/>
  <c r="J301" i="51"/>
  <c r="K301" i="51"/>
  <c r="L301" i="51"/>
  <c r="M301" i="51"/>
  <c r="N301" i="51"/>
  <c r="O301" i="51"/>
  <c r="P301" i="51"/>
  <c r="Q301" i="51"/>
  <c r="C302" i="51"/>
  <c r="D302" i="51"/>
  <c r="E302" i="51"/>
  <c r="F302" i="51"/>
  <c r="G302" i="51"/>
  <c r="H302" i="51"/>
  <c r="I302" i="51"/>
  <c r="J302" i="51"/>
  <c r="K302" i="51"/>
  <c r="L302" i="51"/>
  <c r="M302" i="51"/>
  <c r="N302" i="51"/>
  <c r="O302" i="51"/>
  <c r="P302" i="51"/>
  <c r="Q302" i="51"/>
  <c r="C303" i="51"/>
  <c r="D303" i="51"/>
  <c r="E303" i="51"/>
  <c r="F303" i="51"/>
  <c r="G303" i="51"/>
  <c r="H303" i="51"/>
  <c r="I303" i="51"/>
  <c r="J303" i="51"/>
  <c r="K303" i="51"/>
  <c r="L303" i="51"/>
  <c r="M303" i="51"/>
  <c r="N303" i="51"/>
  <c r="O303" i="51"/>
  <c r="P303" i="51"/>
  <c r="Q303" i="51"/>
  <c r="C304" i="51"/>
  <c r="H304" i="51"/>
  <c r="I304" i="51"/>
  <c r="J304" i="51"/>
  <c r="K304" i="51"/>
  <c r="L304" i="51"/>
  <c r="M304" i="51"/>
  <c r="N304" i="51"/>
  <c r="O304" i="51"/>
  <c r="P304" i="51"/>
  <c r="Q304" i="51"/>
  <c r="C305" i="51"/>
  <c r="D305" i="51"/>
  <c r="E305" i="51"/>
  <c r="F305" i="51"/>
  <c r="G305" i="51"/>
  <c r="H305" i="51"/>
  <c r="I305" i="51"/>
  <c r="J305" i="51"/>
  <c r="K305" i="51"/>
  <c r="L305" i="51"/>
  <c r="M305" i="51"/>
  <c r="N305" i="51"/>
  <c r="O305" i="51"/>
  <c r="P305" i="51"/>
  <c r="Q305" i="51"/>
  <c r="C306" i="51"/>
  <c r="D306" i="51"/>
  <c r="E306" i="51"/>
  <c r="F306" i="51"/>
  <c r="G306" i="51"/>
  <c r="H306" i="51"/>
  <c r="I306" i="51"/>
  <c r="J306" i="51"/>
  <c r="K306" i="51"/>
  <c r="L306" i="51"/>
  <c r="M306" i="51"/>
  <c r="N306" i="51"/>
  <c r="O306" i="51"/>
  <c r="P306" i="51"/>
  <c r="Q306" i="51"/>
  <c r="C307" i="51"/>
  <c r="D307" i="51"/>
  <c r="E307" i="51"/>
  <c r="F307" i="51"/>
  <c r="G307" i="51"/>
  <c r="H307" i="51"/>
  <c r="I307" i="51"/>
  <c r="J307" i="51"/>
  <c r="K307" i="51"/>
  <c r="L307" i="51"/>
  <c r="M307" i="51"/>
  <c r="N307" i="51"/>
  <c r="O307" i="51"/>
  <c r="P307" i="51"/>
  <c r="Q307" i="51"/>
  <c r="C308" i="51"/>
  <c r="H308" i="51"/>
  <c r="I308" i="51"/>
  <c r="J308" i="51"/>
  <c r="K308" i="51"/>
  <c r="L308" i="51"/>
  <c r="M308" i="51"/>
  <c r="N308" i="51"/>
  <c r="O308" i="51"/>
  <c r="P308" i="51"/>
  <c r="Q308" i="51"/>
  <c r="C309" i="51"/>
  <c r="D309" i="51"/>
  <c r="E309" i="51"/>
  <c r="F309" i="51"/>
  <c r="G309" i="51"/>
  <c r="H309" i="51"/>
  <c r="I309" i="51"/>
  <c r="J309" i="51"/>
  <c r="K309" i="51"/>
  <c r="L309" i="51"/>
  <c r="M309" i="51"/>
  <c r="N309" i="51"/>
  <c r="O309" i="51"/>
  <c r="P309" i="51"/>
  <c r="Q309" i="51"/>
  <c r="C310" i="51"/>
  <c r="D310" i="51"/>
  <c r="E310" i="51"/>
  <c r="F310" i="51"/>
  <c r="G310" i="51"/>
  <c r="H310" i="51"/>
  <c r="I310" i="51"/>
  <c r="J310" i="51"/>
  <c r="K310" i="51"/>
  <c r="L310" i="51"/>
  <c r="M310" i="51"/>
  <c r="N310" i="51"/>
  <c r="O310" i="51"/>
  <c r="P310" i="51"/>
  <c r="Q310" i="51"/>
  <c r="C311" i="51"/>
  <c r="F311" i="51"/>
  <c r="H311" i="51"/>
  <c r="I311" i="51"/>
  <c r="J311" i="51"/>
  <c r="K311" i="51"/>
  <c r="L311" i="51"/>
  <c r="M311" i="51"/>
  <c r="N311" i="51"/>
  <c r="O311" i="51"/>
  <c r="P311" i="51"/>
  <c r="Q311" i="51"/>
  <c r="C315" i="51"/>
  <c r="H315" i="51"/>
  <c r="I315" i="51"/>
  <c r="J315" i="51"/>
  <c r="K315" i="51"/>
  <c r="L315" i="51"/>
  <c r="M315" i="51"/>
  <c r="N315" i="51"/>
  <c r="O315" i="51"/>
  <c r="P315" i="51"/>
  <c r="Q315" i="51"/>
  <c r="C313" i="51"/>
  <c r="D313" i="51"/>
  <c r="E313" i="51"/>
  <c r="F313" i="51"/>
  <c r="G313" i="51"/>
  <c r="H313" i="51"/>
  <c r="I313" i="51"/>
  <c r="J313" i="51"/>
  <c r="K313" i="51"/>
  <c r="L313" i="51"/>
  <c r="M313" i="51"/>
  <c r="N313" i="51"/>
  <c r="O313" i="51"/>
  <c r="P313" i="51"/>
  <c r="Q313" i="51"/>
  <c r="C314" i="51"/>
  <c r="D314" i="51"/>
  <c r="E314" i="51"/>
  <c r="F314" i="51"/>
  <c r="G314" i="51"/>
  <c r="H314" i="51"/>
  <c r="I314" i="51"/>
  <c r="J314" i="51"/>
  <c r="K314" i="51"/>
  <c r="L314" i="51"/>
  <c r="M314" i="51"/>
  <c r="N314" i="51"/>
  <c r="O314" i="51"/>
  <c r="P314" i="51"/>
  <c r="Q314" i="51"/>
  <c r="C312" i="51"/>
  <c r="D312" i="51"/>
  <c r="F312" i="51"/>
  <c r="G312" i="51"/>
  <c r="H312" i="51"/>
  <c r="I312" i="51"/>
  <c r="J312" i="51"/>
  <c r="K312" i="51"/>
  <c r="L312" i="51"/>
  <c r="M312" i="51"/>
  <c r="N312" i="51"/>
  <c r="O312" i="51"/>
  <c r="P312" i="51"/>
  <c r="Q312" i="51"/>
  <c r="C316" i="51"/>
  <c r="D316" i="51"/>
  <c r="F316" i="51"/>
  <c r="G316" i="51"/>
  <c r="H316" i="51"/>
  <c r="I316" i="51"/>
  <c r="J316" i="51"/>
  <c r="K316" i="51"/>
  <c r="L316" i="51"/>
  <c r="M316" i="51"/>
  <c r="N316" i="51"/>
  <c r="O316" i="51"/>
  <c r="P316" i="51"/>
  <c r="Q316" i="51"/>
  <c r="C317" i="51"/>
  <c r="D317" i="51"/>
  <c r="E317" i="51"/>
  <c r="F317" i="51"/>
  <c r="G317" i="51"/>
  <c r="H317" i="51"/>
  <c r="I317" i="51"/>
  <c r="J317" i="51"/>
  <c r="K317" i="51"/>
  <c r="L317" i="51"/>
  <c r="M317" i="51"/>
  <c r="N317" i="51"/>
  <c r="O317" i="51"/>
  <c r="P317" i="51"/>
  <c r="Q317" i="51"/>
  <c r="C318" i="51"/>
  <c r="D318" i="51"/>
  <c r="E318" i="51"/>
  <c r="F318" i="51"/>
  <c r="G318" i="51"/>
  <c r="H318" i="51"/>
  <c r="I318" i="51"/>
  <c r="J318" i="51"/>
  <c r="K318" i="51"/>
  <c r="L318" i="51"/>
  <c r="M318" i="51"/>
  <c r="N318" i="51"/>
  <c r="O318" i="51"/>
  <c r="P318" i="51"/>
  <c r="Q318" i="51"/>
  <c r="C319" i="51"/>
  <c r="H319" i="51"/>
  <c r="I319" i="51"/>
  <c r="J319" i="51"/>
  <c r="K319" i="51"/>
  <c r="L319" i="51"/>
  <c r="M319" i="51"/>
  <c r="N319" i="51"/>
  <c r="O319" i="51"/>
  <c r="P319" i="51"/>
  <c r="Q319" i="51"/>
  <c r="C320" i="51"/>
  <c r="D320" i="51"/>
  <c r="F320" i="51"/>
  <c r="G320" i="51"/>
  <c r="H320" i="51"/>
  <c r="I320" i="51"/>
  <c r="J320" i="51"/>
  <c r="K320" i="51"/>
  <c r="L320" i="51"/>
  <c r="M320" i="51"/>
  <c r="N320" i="51"/>
  <c r="O320" i="51"/>
  <c r="P320" i="51"/>
  <c r="Q320" i="51"/>
  <c r="C321" i="51"/>
  <c r="D321" i="51"/>
  <c r="E321" i="51"/>
  <c r="F321" i="51"/>
  <c r="G321" i="51"/>
  <c r="H321" i="51"/>
  <c r="I321" i="51"/>
  <c r="J321" i="51"/>
  <c r="K321" i="51"/>
  <c r="L321" i="51"/>
  <c r="M321" i="51"/>
  <c r="N321" i="51"/>
  <c r="O321" i="51"/>
  <c r="P321" i="51"/>
  <c r="Q321" i="51"/>
  <c r="C322" i="51"/>
  <c r="D322" i="51"/>
  <c r="E322" i="51"/>
  <c r="F322" i="51"/>
  <c r="G322" i="51"/>
  <c r="H322" i="51"/>
  <c r="I322" i="51"/>
  <c r="J322" i="51"/>
  <c r="K322" i="51"/>
  <c r="L322" i="51"/>
  <c r="M322" i="51"/>
  <c r="N322" i="51"/>
  <c r="O322" i="51"/>
  <c r="P322" i="51"/>
  <c r="Q322" i="51"/>
  <c r="C323" i="51"/>
  <c r="H323" i="51"/>
  <c r="I323" i="51"/>
  <c r="J323" i="51"/>
  <c r="K323" i="51"/>
  <c r="L323" i="51"/>
  <c r="M323" i="51"/>
  <c r="N323" i="51"/>
  <c r="O323" i="51"/>
  <c r="P323" i="51"/>
  <c r="Q323" i="51"/>
  <c r="C324" i="51"/>
  <c r="D324" i="51"/>
  <c r="F324" i="51"/>
  <c r="G324" i="51"/>
  <c r="H324" i="51"/>
  <c r="I324" i="51"/>
  <c r="J324" i="51"/>
  <c r="K324" i="51"/>
  <c r="L324" i="51"/>
  <c r="M324" i="51"/>
  <c r="N324" i="51"/>
  <c r="O324" i="51"/>
  <c r="P324" i="51"/>
  <c r="Q324" i="51"/>
  <c r="C400" i="51"/>
  <c r="H400" i="51"/>
  <c r="I400" i="51"/>
  <c r="J400" i="51"/>
  <c r="K400" i="51"/>
  <c r="L400" i="51"/>
  <c r="M400" i="51"/>
  <c r="N400" i="51"/>
  <c r="O400" i="51"/>
  <c r="P400" i="51"/>
  <c r="Q400" i="51"/>
  <c r="C325" i="51"/>
  <c r="D325" i="51"/>
  <c r="E325" i="51"/>
  <c r="F325" i="51"/>
  <c r="G325" i="51"/>
  <c r="H325" i="51"/>
  <c r="I325" i="51"/>
  <c r="J325" i="51"/>
  <c r="K325" i="51"/>
  <c r="L325" i="51"/>
  <c r="M325" i="51"/>
  <c r="N325" i="51"/>
  <c r="O325" i="51"/>
  <c r="P325" i="51"/>
  <c r="Q325" i="51"/>
  <c r="C326" i="51"/>
  <c r="D326" i="51"/>
  <c r="E326" i="51"/>
  <c r="F326" i="51"/>
  <c r="G326" i="51"/>
  <c r="H326" i="51"/>
  <c r="I326" i="51"/>
  <c r="J326" i="51"/>
  <c r="K326" i="51"/>
  <c r="L326" i="51"/>
  <c r="M326" i="51"/>
  <c r="N326" i="51"/>
  <c r="O326" i="51"/>
  <c r="P326" i="51"/>
  <c r="Q326" i="51"/>
  <c r="C327" i="51"/>
  <c r="H327" i="51"/>
  <c r="I327" i="51"/>
  <c r="J327" i="51"/>
  <c r="K327" i="51"/>
  <c r="L327" i="51"/>
  <c r="M327" i="51"/>
  <c r="N327" i="51"/>
  <c r="O327" i="51"/>
  <c r="P327" i="51"/>
  <c r="Q327" i="51"/>
  <c r="C328" i="51"/>
  <c r="D328" i="51"/>
  <c r="F328" i="51"/>
  <c r="G328" i="51"/>
  <c r="H328" i="51"/>
  <c r="I328" i="51"/>
  <c r="J328" i="51"/>
  <c r="K328" i="51"/>
  <c r="L328" i="51"/>
  <c r="M328" i="51"/>
  <c r="N328" i="51"/>
  <c r="O328" i="51"/>
  <c r="P328" i="51"/>
  <c r="Q328" i="51"/>
  <c r="C329" i="51"/>
  <c r="D329" i="51"/>
  <c r="E329" i="51"/>
  <c r="F329" i="51"/>
  <c r="G329" i="51"/>
  <c r="H329" i="51"/>
  <c r="I329" i="51"/>
  <c r="J329" i="51"/>
  <c r="K329" i="51"/>
  <c r="L329" i="51"/>
  <c r="M329" i="51"/>
  <c r="N329" i="51"/>
  <c r="O329" i="51"/>
  <c r="P329" i="51"/>
  <c r="Q329" i="51"/>
  <c r="C330" i="51"/>
  <c r="D330" i="51"/>
  <c r="E330" i="51"/>
  <c r="F330" i="51"/>
  <c r="G330" i="51"/>
  <c r="H330" i="51"/>
  <c r="I330" i="51"/>
  <c r="J330" i="51"/>
  <c r="K330" i="51"/>
  <c r="L330" i="51"/>
  <c r="M330" i="51"/>
  <c r="N330" i="51"/>
  <c r="O330" i="51"/>
  <c r="P330" i="51"/>
  <c r="Q330" i="51"/>
  <c r="C331" i="51"/>
  <c r="H331" i="51"/>
  <c r="I331" i="51"/>
  <c r="J331" i="51"/>
  <c r="K331" i="51"/>
  <c r="L331" i="51"/>
  <c r="M331" i="51"/>
  <c r="N331" i="51"/>
  <c r="O331" i="51"/>
  <c r="P331" i="51"/>
  <c r="Q331" i="51"/>
  <c r="C332" i="51"/>
  <c r="D332" i="51"/>
  <c r="F332" i="51"/>
  <c r="G332" i="51"/>
  <c r="H332" i="51"/>
  <c r="I332" i="51"/>
  <c r="J332" i="51"/>
  <c r="K332" i="51"/>
  <c r="L332" i="51"/>
  <c r="M332" i="51"/>
  <c r="N332" i="51"/>
  <c r="O332" i="51"/>
  <c r="P332" i="51"/>
  <c r="Q332" i="51"/>
  <c r="C401" i="51"/>
  <c r="D401" i="51"/>
  <c r="E401" i="51"/>
  <c r="F401" i="51"/>
  <c r="G401" i="51"/>
  <c r="H401" i="51"/>
  <c r="I401" i="51"/>
  <c r="J401" i="51"/>
  <c r="K401" i="51"/>
  <c r="L401" i="51"/>
  <c r="M401" i="51"/>
  <c r="N401" i="51"/>
  <c r="O401" i="51"/>
  <c r="P401" i="51"/>
  <c r="Q401" i="51"/>
  <c r="C402" i="51"/>
  <c r="D402" i="51"/>
  <c r="E402" i="51"/>
  <c r="F402" i="51"/>
  <c r="G402" i="51"/>
  <c r="H402" i="51"/>
  <c r="I402" i="51"/>
  <c r="J402" i="51"/>
  <c r="K402" i="51"/>
  <c r="L402" i="51"/>
  <c r="M402" i="51"/>
  <c r="N402" i="51"/>
  <c r="O402" i="51"/>
  <c r="P402" i="51"/>
  <c r="Q402" i="51"/>
  <c r="C405" i="51"/>
  <c r="F405" i="51"/>
  <c r="H405" i="51"/>
  <c r="I405" i="51"/>
  <c r="J405" i="51"/>
  <c r="K405" i="51"/>
  <c r="L405" i="51"/>
  <c r="M405" i="51"/>
  <c r="N405" i="51"/>
  <c r="O405" i="51"/>
  <c r="P405" i="51"/>
  <c r="Q405" i="51"/>
  <c r="C333" i="51"/>
  <c r="D333" i="51"/>
  <c r="E333" i="51"/>
  <c r="F333" i="51"/>
  <c r="G333" i="51"/>
  <c r="H333" i="51"/>
  <c r="I333" i="51"/>
  <c r="J333" i="51"/>
  <c r="K333" i="51"/>
  <c r="L333" i="51"/>
  <c r="M333" i="51"/>
  <c r="N333" i="51"/>
  <c r="O333" i="51"/>
  <c r="P333" i="51"/>
  <c r="Q333" i="51"/>
  <c r="C334" i="51"/>
  <c r="D334" i="51"/>
  <c r="E334" i="51"/>
  <c r="F334" i="51"/>
  <c r="G334" i="51"/>
  <c r="H334" i="51"/>
  <c r="I334" i="51"/>
  <c r="J334" i="51"/>
  <c r="K334" i="51"/>
  <c r="L334" i="51"/>
  <c r="M334" i="51"/>
  <c r="N334" i="51"/>
  <c r="O334" i="51"/>
  <c r="P334" i="51"/>
  <c r="Q334" i="51"/>
  <c r="C335" i="51"/>
  <c r="F335" i="51"/>
  <c r="H335" i="51"/>
  <c r="I335" i="51"/>
  <c r="J335" i="51"/>
  <c r="K335" i="51"/>
  <c r="L335" i="51"/>
  <c r="M335" i="51"/>
  <c r="N335" i="51"/>
  <c r="O335" i="51"/>
  <c r="P335" i="51"/>
  <c r="Q335" i="51"/>
  <c r="C336" i="51"/>
  <c r="D336" i="51"/>
  <c r="E336" i="51"/>
  <c r="F336" i="51"/>
  <c r="G336" i="51"/>
  <c r="H336" i="51"/>
  <c r="I336" i="51"/>
  <c r="J336" i="51"/>
  <c r="K336" i="51"/>
  <c r="L336" i="51"/>
  <c r="M336" i="51"/>
  <c r="N336" i="51"/>
  <c r="O336" i="51"/>
  <c r="P336" i="51"/>
  <c r="Q336" i="51"/>
  <c r="C337" i="51"/>
  <c r="D337" i="51"/>
  <c r="E337" i="51"/>
  <c r="F337" i="51"/>
  <c r="G337" i="51"/>
  <c r="H337" i="51"/>
  <c r="I337" i="51"/>
  <c r="J337" i="51"/>
  <c r="K337" i="51"/>
  <c r="L337" i="51"/>
  <c r="M337" i="51"/>
  <c r="N337" i="51"/>
  <c r="O337" i="51"/>
  <c r="P337" i="51"/>
  <c r="Q337" i="51"/>
  <c r="C338" i="51"/>
  <c r="D338" i="51"/>
  <c r="E338" i="51"/>
  <c r="F338" i="51"/>
  <c r="G338" i="51"/>
  <c r="H338" i="51"/>
  <c r="I338" i="51"/>
  <c r="J338" i="51"/>
  <c r="K338" i="51"/>
  <c r="L338" i="51"/>
  <c r="M338" i="51"/>
  <c r="N338" i="51"/>
  <c r="O338" i="51"/>
  <c r="P338" i="51"/>
  <c r="Q338" i="51"/>
  <c r="C339" i="51"/>
  <c r="H339" i="51"/>
  <c r="I339" i="51"/>
  <c r="J339" i="51"/>
  <c r="K339" i="51"/>
  <c r="L339" i="51"/>
  <c r="M339" i="51"/>
  <c r="N339" i="51"/>
  <c r="O339" i="51"/>
  <c r="P339" i="51"/>
  <c r="Q339" i="51"/>
  <c r="C340" i="51"/>
  <c r="D340" i="51"/>
  <c r="E340" i="51"/>
  <c r="F340" i="51"/>
  <c r="G340" i="51"/>
  <c r="H340" i="51"/>
  <c r="I340" i="51"/>
  <c r="J340" i="51"/>
  <c r="K340" i="51"/>
  <c r="L340" i="51"/>
  <c r="M340" i="51"/>
  <c r="N340" i="51"/>
  <c r="O340" i="51"/>
  <c r="P340" i="51"/>
  <c r="Q340" i="51"/>
  <c r="C341" i="51"/>
  <c r="D341" i="51"/>
  <c r="E341" i="51"/>
  <c r="F341" i="51"/>
  <c r="G341" i="51"/>
  <c r="H341" i="51"/>
  <c r="I341" i="51"/>
  <c r="J341" i="51"/>
  <c r="K341" i="51"/>
  <c r="L341" i="51"/>
  <c r="M341" i="51"/>
  <c r="N341" i="51"/>
  <c r="O341" i="51"/>
  <c r="P341" i="51"/>
  <c r="Q341" i="51"/>
  <c r="C342" i="51"/>
  <c r="D342" i="51"/>
  <c r="E342" i="51"/>
  <c r="F342" i="51"/>
  <c r="G342" i="51"/>
  <c r="H342" i="51"/>
  <c r="I342" i="51"/>
  <c r="J342" i="51"/>
  <c r="K342" i="51"/>
  <c r="L342" i="51"/>
  <c r="M342" i="51"/>
  <c r="N342" i="51"/>
  <c r="O342" i="51"/>
  <c r="P342" i="51"/>
  <c r="Q342" i="51"/>
  <c r="C343" i="51"/>
  <c r="H343" i="51"/>
  <c r="I343" i="51"/>
  <c r="J343" i="51"/>
  <c r="K343" i="51"/>
  <c r="L343" i="51"/>
  <c r="M343" i="51"/>
  <c r="N343" i="51"/>
  <c r="O343" i="51"/>
  <c r="P343" i="51"/>
  <c r="Q343" i="51"/>
  <c r="C346" i="51"/>
  <c r="D346" i="51"/>
  <c r="E346" i="51"/>
  <c r="F346" i="51"/>
  <c r="G346" i="51"/>
  <c r="H346" i="51"/>
  <c r="I346" i="51"/>
  <c r="J346" i="51"/>
  <c r="K346" i="51"/>
  <c r="L346" i="51"/>
  <c r="M346" i="51"/>
  <c r="N346" i="51"/>
  <c r="O346" i="51"/>
  <c r="P346" i="51"/>
  <c r="Q346" i="51"/>
  <c r="C347" i="51"/>
  <c r="D347" i="51"/>
  <c r="E347" i="51"/>
  <c r="F347" i="51"/>
  <c r="G347" i="51"/>
  <c r="H347" i="51"/>
  <c r="I347" i="51"/>
  <c r="J347" i="51"/>
  <c r="K347" i="51"/>
  <c r="L347" i="51"/>
  <c r="M347" i="51"/>
  <c r="N347" i="51"/>
  <c r="O347" i="51"/>
  <c r="P347" i="51"/>
  <c r="Q347" i="51"/>
  <c r="C348" i="51"/>
  <c r="H348" i="51"/>
  <c r="I348" i="51"/>
  <c r="J348" i="51"/>
  <c r="K348" i="51"/>
  <c r="L348" i="51"/>
  <c r="M348" i="51"/>
  <c r="N348" i="51"/>
  <c r="O348" i="51"/>
  <c r="P348" i="51"/>
  <c r="Q348" i="51"/>
  <c r="C349" i="51"/>
  <c r="D349" i="51"/>
  <c r="F349" i="51"/>
  <c r="G349" i="51"/>
  <c r="H349" i="51"/>
  <c r="I349" i="51"/>
  <c r="J349" i="51"/>
  <c r="K349" i="51"/>
  <c r="L349" i="51"/>
  <c r="M349" i="51"/>
  <c r="N349" i="51"/>
  <c r="O349" i="51"/>
  <c r="P349" i="51"/>
  <c r="Q349" i="51"/>
  <c r="C350" i="51"/>
  <c r="D350" i="51"/>
  <c r="E350" i="51"/>
  <c r="F350" i="51"/>
  <c r="G350" i="51"/>
  <c r="H350" i="51"/>
  <c r="I350" i="51"/>
  <c r="J350" i="51"/>
  <c r="K350" i="51"/>
  <c r="L350" i="51"/>
  <c r="M350" i="51"/>
  <c r="N350" i="51"/>
  <c r="O350" i="51"/>
  <c r="P350" i="51"/>
  <c r="Q350" i="51"/>
  <c r="C351" i="51"/>
  <c r="D351" i="51"/>
  <c r="E351" i="51"/>
  <c r="F351" i="51"/>
  <c r="G351" i="51"/>
  <c r="H351" i="51"/>
  <c r="I351" i="51"/>
  <c r="J351" i="51"/>
  <c r="K351" i="51"/>
  <c r="L351" i="51"/>
  <c r="M351" i="51"/>
  <c r="N351" i="51"/>
  <c r="O351" i="51"/>
  <c r="P351" i="51"/>
  <c r="Q351" i="51"/>
  <c r="C352" i="51"/>
  <c r="H352" i="51"/>
  <c r="I352" i="51"/>
  <c r="J352" i="51"/>
  <c r="K352" i="51"/>
  <c r="L352" i="51"/>
  <c r="M352" i="51"/>
  <c r="N352" i="51"/>
  <c r="O352" i="51"/>
  <c r="P352" i="51"/>
  <c r="Q352" i="51"/>
  <c r="C353" i="51"/>
  <c r="D353" i="51"/>
  <c r="F353" i="51"/>
  <c r="G353" i="51"/>
  <c r="H353" i="51"/>
  <c r="I353" i="51"/>
  <c r="J353" i="51"/>
  <c r="K353" i="51"/>
  <c r="L353" i="51"/>
  <c r="M353" i="51"/>
  <c r="N353" i="51"/>
  <c r="O353" i="51"/>
  <c r="P353" i="51"/>
  <c r="Q353" i="51"/>
  <c r="C354" i="51"/>
  <c r="D354" i="51"/>
  <c r="E354" i="51"/>
  <c r="F354" i="51"/>
  <c r="G354" i="51"/>
  <c r="H354" i="51"/>
  <c r="I354" i="51"/>
  <c r="J354" i="51"/>
  <c r="K354" i="51"/>
  <c r="L354" i="51"/>
  <c r="M354" i="51"/>
  <c r="N354" i="51"/>
  <c r="O354" i="51"/>
  <c r="P354" i="51"/>
  <c r="Q354" i="51"/>
  <c r="C355" i="51"/>
  <c r="D355" i="51"/>
  <c r="E355" i="51"/>
  <c r="F355" i="51"/>
  <c r="G355" i="51"/>
  <c r="H355" i="51"/>
  <c r="I355" i="51"/>
  <c r="J355" i="51"/>
  <c r="K355" i="51"/>
  <c r="L355" i="51"/>
  <c r="M355" i="51"/>
  <c r="N355" i="51"/>
  <c r="O355" i="51"/>
  <c r="P355" i="51"/>
  <c r="Q355" i="51"/>
  <c r="C356" i="51"/>
  <c r="F356" i="51"/>
  <c r="H356" i="51"/>
  <c r="I356" i="51"/>
  <c r="J356" i="51"/>
  <c r="K356" i="51"/>
  <c r="L356" i="51"/>
  <c r="M356" i="51"/>
  <c r="N356" i="51"/>
  <c r="O356" i="51"/>
  <c r="P356" i="51"/>
  <c r="Q356" i="51"/>
  <c r="C357" i="51"/>
  <c r="D357" i="51"/>
  <c r="F357" i="51"/>
  <c r="G357" i="51"/>
  <c r="H357" i="51"/>
  <c r="I357" i="51"/>
  <c r="J357" i="51"/>
  <c r="K357" i="51"/>
  <c r="L357" i="51"/>
  <c r="M357" i="51"/>
  <c r="N357" i="51"/>
  <c r="O357" i="51"/>
  <c r="P357" i="51"/>
  <c r="Q357" i="51"/>
  <c r="C358" i="51"/>
  <c r="D358" i="51"/>
  <c r="E358" i="51"/>
  <c r="F358" i="51"/>
  <c r="G358" i="51"/>
  <c r="H358" i="51"/>
  <c r="I358" i="51"/>
  <c r="J358" i="51"/>
  <c r="K358" i="51"/>
  <c r="L358" i="51"/>
  <c r="M358" i="51"/>
  <c r="N358" i="51"/>
  <c r="O358" i="51"/>
  <c r="P358" i="51"/>
  <c r="Q358" i="51"/>
  <c r="C359" i="51"/>
  <c r="D359" i="51"/>
  <c r="E359" i="51"/>
  <c r="F359" i="51"/>
  <c r="G359" i="51"/>
  <c r="H359" i="51"/>
  <c r="I359" i="51"/>
  <c r="J359" i="51"/>
  <c r="K359" i="51"/>
  <c r="L359" i="51"/>
  <c r="M359" i="51"/>
  <c r="N359" i="51"/>
  <c r="O359" i="51"/>
  <c r="P359" i="51"/>
  <c r="Q359" i="51"/>
  <c r="C360" i="51"/>
  <c r="H360" i="51"/>
  <c r="I360" i="51"/>
  <c r="J360" i="51"/>
  <c r="K360" i="51"/>
  <c r="L360" i="51"/>
  <c r="M360" i="51"/>
  <c r="N360" i="51"/>
  <c r="O360" i="51"/>
  <c r="P360" i="51"/>
  <c r="Q360" i="51"/>
  <c r="C361" i="51"/>
  <c r="D361" i="51"/>
  <c r="F361" i="51"/>
  <c r="G361" i="51"/>
  <c r="H361" i="51"/>
  <c r="I361" i="51"/>
  <c r="J361" i="51"/>
  <c r="K361" i="51"/>
  <c r="L361" i="51"/>
  <c r="M361" i="51"/>
  <c r="N361" i="51"/>
  <c r="O361" i="51"/>
  <c r="P361" i="51"/>
  <c r="Q361" i="51"/>
  <c r="C362" i="51"/>
  <c r="D362" i="51"/>
  <c r="E362" i="51"/>
  <c r="F362" i="51"/>
  <c r="G362" i="51"/>
  <c r="H362" i="51"/>
  <c r="I362" i="51"/>
  <c r="J362" i="51"/>
  <c r="K362" i="51"/>
  <c r="L362" i="51"/>
  <c r="M362" i="51"/>
  <c r="N362" i="51"/>
  <c r="O362" i="51"/>
  <c r="P362" i="51"/>
  <c r="Q362" i="51"/>
  <c r="C363" i="51"/>
  <c r="D363" i="51"/>
  <c r="E363" i="51"/>
  <c r="F363" i="51"/>
  <c r="G363" i="51"/>
  <c r="H363" i="51"/>
  <c r="I363" i="51"/>
  <c r="J363" i="51"/>
  <c r="K363" i="51"/>
  <c r="L363" i="51"/>
  <c r="M363" i="51"/>
  <c r="N363" i="51"/>
  <c r="O363" i="51"/>
  <c r="P363" i="51"/>
  <c r="Q363" i="51"/>
  <c r="C364" i="51"/>
  <c r="H364" i="51"/>
  <c r="I364" i="51"/>
  <c r="J364" i="51"/>
  <c r="K364" i="51"/>
  <c r="L364" i="51"/>
  <c r="M364" i="51"/>
  <c r="N364" i="51"/>
  <c r="O364" i="51"/>
  <c r="P364" i="51"/>
  <c r="Q364" i="51"/>
  <c r="C365" i="51"/>
  <c r="D365" i="51"/>
  <c r="F365" i="51"/>
  <c r="G365" i="51"/>
  <c r="H365" i="51"/>
  <c r="I365" i="51"/>
  <c r="J365" i="51"/>
  <c r="K365" i="51"/>
  <c r="L365" i="51"/>
  <c r="M365" i="51"/>
  <c r="N365" i="51"/>
  <c r="O365" i="51"/>
  <c r="P365" i="51"/>
  <c r="Q365" i="51"/>
  <c r="C366" i="51"/>
  <c r="D366" i="51"/>
  <c r="E366" i="51"/>
  <c r="F366" i="51"/>
  <c r="G366" i="51"/>
  <c r="H366" i="51"/>
  <c r="I366" i="51"/>
  <c r="J366" i="51"/>
  <c r="K366" i="51"/>
  <c r="L366" i="51"/>
  <c r="M366" i="51"/>
  <c r="N366" i="51"/>
  <c r="O366" i="51"/>
  <c r="P366" i="51"/>
  <c r="Q366" i="51"/>
  <c r="C367" i="51"/>
  <c r="D367" i="51"/>
  <c r="E367" i="51"/>
  <c r="F367" i="51"/>
  <c r="G367" i="51"/>
  <c r="H367" i="51"/>
  <c r="I367" i="51"/>
  <c r="J367" i="51"/>
  <c r="K367" i="51"/>
  <c r="L367" i="51"/>
  <c r="M367" i="51"/>
  <c r="N367" i="51"/>
  <c r="O367" i="51"/>
  <c r="P367" i="51"/>
  <c r="Q367" i="51"/>
  <c r="C368" i="51"/>
  <c r="H368" i="51"/>
  <c r="I368" i="51"/>
  <c r="J368" i="51"/>
  <c r="K368" i="51"/>
  <c r="L368" i="51"/>
  <c r="M368" i="51"/>
  <c r="N368" i="51"/>
  <c r="O368" i="51"/>
  <c r="P368" i="51"/>
  <c r="Q368" i="51"/>
  <c r="C369" i="51"/>
  <c r="D369" i="51"/>
  <c r="E369" i="51"/>
  <c r="F369" i="51"/>
  <c r="G369" i="51"/>
  <c r="H369" i="51"/>
  <c r="I369" i="51"/>
  <c r="J369" i="51"/>
  <c r="K369" i="51"/>
  <c r="L369" i="51"/>
  <c r="M369" i="51"/>
  <c r="N369" i="51"/>
  <c r="O369" i="51"/>
  <c r="P369" i="51"/>
  <c r="Q369" i="51"/>
  <c r="C370" i="51"/>
  <c r="D370" i="51"/>
  <c r="E370" i="51"/>
  <c r="F370" i="51"/>
  <c r="G370" i="51"/>
  <c r="H370" i="51"/>
  <c r="I370" i="51"/>
  <c r="J370" i="51"/>
  <c r="K370" i="51"/>
  <c r="L370" i="51"/>
  <c r="M370" i="51"/>
  <c r="N370" i="51"/>
  <c r="O370" i="51"/>
  <c r="P370" i="51"/>
  <c r="Q370" i="51"/>
  <c r="C371" i="51"/>
  <c r="D371" i="51"/>
  <c r="E371" i="51"/>
  <c r="F371" i="51"/>
  <c r="G371" i="51"/>
  <c r="H371" i="51"/>
  <c r="I371" i="51"/>
  <c r="J371" i="51"/>
  <c r="K371" i="51"/>
  <c r="L371" i="51"/>
  <c r="M371" i="51"/>
  <c r="N371" i="51"/>
  <c r="O371" i="51"/>
  <c r="P371" i="51"/>
  <c r="Q371" i="51"/>
  <c r="C372" i="51"/>
  <c r="F372" i="51"/>
  <c r="H372" i="51"/>
  <c r="I372" i="51"/>
  <c r="J372" i="51"/>
  <c r="K372" i="51"/>
  <c r="L372" i="51"/>
  <c r="M372" i="51"/>
  <c r="N372" i="51"/>
  <c r="O372" i="51"/>
  <c r="P372" i="51"/>
  <c r="Q372" i="51"/>
  <c r="C373" i="51"/>
  <c r="D373" i="51"/>
  <c r="F373" i="51"/>
  <c r="G373" i="51"/>
  <c r="H373" i="51"/>
  <c r="I373" i="51"/>
  <c r="J373" i="51"/>
  <c r="K373" i="51"/>
  <c r="L373" i="51"/>
  <c r="M373" i="51"/>
  <c r="N373" i="51"/>
  <c r="O373" i="51"/>
  <c r="P373" i="51"/>
  <c r="Q373" i="51"/>
  <c r="C374" i="51"/>
  <c r="D374" i="51"/>
  <c r="E374" i="51"/>
  <c r="F374" i="51"/>
  <c r="G374" i="51"/>
  <c r="H374" i="51"/>
  <c r="I374" i="51"/>
  <c r="J374" i="51"/>
  <c r="K374" i="51"/>
  <c r="L374" i="51"/>
  <c r="M374" i="51"/>
  <c r="N374" i="51"/>
  <c r="O374" i="51"/>
  <c r="P374" i="51"/>
  <c r="Q374" i="51"/>
  <c r="C375" i="51"/>
  <c r="D375" i="51"/>
  <c r="E375" i="51"/>
  <c r="F375" i="51"/>
  <c r="G375" i="51"/>
  <c r="H375" i="51"/>
  <c r="I375" i="51"/>
  <c r="J375" i="51"/>
  <c r="K375" i="51"/>
  <c r="L375" i="51"/>
  <c r="M375" i="51"/>
  <c r="N375" i="51"/>
  <c r="O375" i="51"/>
  <c r="P375" i="51"/>
  <c r="Q375" i="51"/>
  <c r="C376" i="51"/>
  <c r="H376" i="51"/>
  <c r="I376" i="51"/>
  <c r="J376" i="51"/>
  <c r="K376" i="51"/>
  <c r="L376" i="51"/>
  <c r="M376" i="51"/>
  <c r="N376" i="51"/>
  <c r="O376" i="51"/>
  <c r="P376" i="51"/>
  <c r="Q376" i="51"/>
  <c r="C377" i="51"/>
  <c r="D377" i="51"/>
  <c r="F377" i="51"/>
  <c r="G377" i="51"/>
  <c r="H377" i="51"/>
  <c r="I377" i="51"/>
  <c r="J377" i="51"/>
  <c r="K377" i="51"/>
  <c r="L377" i="51"/>
  <c r="M377" i="51"/>
  <c r="N377" i="51"/>
  <c r="O377" i="51"/>
  <c r="P377" i="51"/>
  <c r="Q377" i="51"/>
  <c r="C378" i="51"/>
  <c r="D378" i="51"/>
  <c r="E378" i="51"/>
  <c r="F378" i="51"/>
  <c r="G378" i="51"/>
  <c r="H378" i="51"/>
  <c r="I378" i="51"/>
  <c r="J378" i="51"/>
  <c r="K378" i="51"/>
  <c r="L378" i="51"/>
  <c r="M378" i="51"/>
  <c r="N378" i="51"/>
  <c r="O378" i="51"/>
  <c r="P378" i="51"/>
  <c r="Q378" i="51"/>
  <c r="C379" i="51"/>
  <c r="D379" i="51"/>
  <c r="E379" i="51"/>
  <c r="F379" i="51"/>
  <c r="G379" i="51"/>
  <c r="H379" i="51"/>
  <c r="I379" i="51"/>
  <c r="J379" i="51"/>
  <c r="K379" i="51"/>
  <c r="L379" i="51"/>
  <c r="M379" i="51"/>
  <c r="N379" i="51"/>
  <c r="O379" i="51"/>
  <c r="P379" i="51"/>
  <c r="Q379" i="51"/>
  <c r="C380" i="51"/>
  <c r="H380" i="51"/>
  <c r="I380" i="51"/>
  <c r="J380" i="51"/>
  <c r="K380" i="51"/>
  <c r="L380" i="51"/>
  <c r="M380" i="51"/>
  <c r="N380" i="51"/>
  <c r="O380" i="51"/>
  <c r="P380" i="51"/>
  <c r="Q380" i="51"/>
  <c r="C381" i="51"/>
  <c r="D381" i="51"/>
  <c r="F381" i="51"/>
  <c r="G381" i="51"/>
  <c r="H381" i="51"/>
  <c r="I381" i="51"/>
  <c r="J381" i="51"/>
  <c r="K381" i="51"/>
  <c r="L381" i="51"/>
  <c r="M381" i="51"/>
  <c r="N381" i="51"/>
  <c r="O381" i="51"/>
  <c r="P381" i="51"/>
  <c r="Q381" i="51"/>
  <c r="C382" i="51"/>
  <c r="D382" i="51"/>
  <c r="E382" i="51"/>
  <c r="F382" i="51"/>
  <c r="G382" i="51"/>
  <c r="H382" i="51"/>
  <c r="I382" i="51"/>
  <c r="J382" i="51"/>
  <c r="K382" i="51"/>
  <c r="L382" i="51"/>
  <c r="M382" i="51"/>
  <c r="N382" i="51"/>
  <c r="O382" i="51"/>
  <c r="P382" i="51"/>
  <c r="Q382" i="51"/>
  <c r="C383" i="51"/>
  <c r="D383" i="51"/>
  <c r="E383" i="51"/>
  <c r="F383" i="51"/>
  <c r="G383" i="51"/>
  <c r="H383" i="51"/>
  <c r="I383" i="51"/>
  <c r="J383" i="51"/>
  <c r="K383" i="51"/>
  <c r="L383" i="51"/>
  <c r="M383" i="51"/>
  <c r="N383" i="51"/>
  <c r="O383" i="51"/>
  <c r="P383" i="51"/>
  <c r="Q383" i="51"/>
  <c r="C384" i="51"/>
  <c r="H384" i="51"/>
  <c r="I384" i="51"/>
  <c r="J384" i="51"/>
  <c r="K384" i="51"/>
  <c r="L384" i="51"/>
  <c r="M384" i="51"/>
  <c r="N384" i="51"/>
  <c r="O384" i="51"/>
  <c r="P384" i="51"/>
  <c r="Q384" i="51"/>
  <c r="C385" i="51"/>
  <c r="D385" i="51"/>
  <c r="F385" i="51"/>
  <c r="G385" i="51"/>
  <c r="H385" i="51"/>
  <c r="I385" i="51"/>
  <c r="J385" i="51"/>
  <c r="K385" i="51"/>
  <c r="L385" i="51"/>
  <c r="M385" i="51"/>
  <c r="N385" i="51"/>
  <c r="O385" i="51"/>
  <c r="P385" i="51"/>
  <c r="Q385" i="51"/>
  <c r="C386" i="51"/>
  <c r="D386" i="51"/>
  <c r="E386" i="51"/>
  <c r="F386" i="51"/>
  <c r="G386" i="51"/>
  <c r="H386" i="51"/>
  <c r="I386" i="51"/>
  <c r="J386" i="51"/>
  <c r="K386" i="51"/>
  <c r="L386" i="51"/>
  <c r="M386" i="51"/>
  <c r="N386" i="51"/>
  <c r="O386" i="51"/>
  <c r="P386" i="51"/>
  <c r="Q386" i="51"/>
  <c r="C387" i="51"/>
  <c r="D387" i="51"/>
  <c r="E387" i="51"/>
  <c r="F387" i="51"/>
  <c r="G387" i="51"/>
  <c r="H387" i="51"/>
  <c r="I387" i="51"/>
  <c r="J387" i="51"/>
  <c r="K387" i="51"/>
  <c r="L387" i="51"/>
  <c r="M387" i="51"/>
  <c r="N387" i="51"/>
  <c r="O387" i="51"/>
  <c r="P387" i="51"/>
  <c r="Q387" i="51"/>
  <c r="C388" i="51"/>
  <c r="F388" i="51"/>
  <c r="H388" i="51"/>
  <c r="I388" i="51"/>
  <c r="J388" i="51"/>
  <c r="K388" i="51"/>
  <c r="L388" i="51"/>
  <c r="M388" i="51"/>
  <c r="N388" i="51"/>
  <c r="O388" i="51"/>
  <c r="P388" i="51"/>
  <c r="Q388" i="51"/>
  <c r="C389" i="51"/>
  <c r="D389" i="51"/>
  <c r="F389" i="51"/>
  <c r="G389" i="51"/>
  <c r="H389" i="51"/>
  <c r="I389" i="51"/>
  <c r="J389" i="51"/>
  <c r="K389" i="51"/>
  <c r="L389" i="51"/>
  <c r="M389" i="51"/>
  <c r="N389" i="51"/>
  <c r="O389" i="51"/>
  <c r="P389" i="51"/>
  <c r="Q389" i="51"/>
  <c r="C390" i="51"/>
  <c r="D390" i="51"/>
  <c r="E390" i="51"/>
  <c r="F390" i="51"/>
  <c r="G390" i="51"/>
  <c r="H390" i="51"/>
  <c r="I390" i="51"/>
  <c r="J390" i="51"/>
  <c r="K390" i="51"/>
  <c r="L390" i="51"/>
  <c r="M390" i="51"/>
  <c r="N390" i="51"/>
  <c r="O390" i="51"/>
  <c r="P390" i="51"/>
  <c r="Q390" i="51"/>
  <c r="C391" i="51"/>
  <c r="D391" i="51"/>
  <c r="E391" i="51"/>
  <c r="F391" i="51"/>
  <c r="G391" i="51"/>
  <c r="H391" i="51"/>
  <c r="I391" i="51"/>
  <c r="J391" i="51"/>
  <c r="K391" i="51"/>
  <c r="L391" i="51"/>
  <c r="M391" i="51"/>
  <c r="N391" i="51"/>
  <c r="O391" i="51"/>
  <c r="P391" i="51"/>
  <c r="Q391" i="51"/>
  <c r="C392" i="51"/>
  <c r="H392" i="51"/>
  <c r="I392" i="51"/>
  <c r="J392" i="51"/>
  <c r="K392" i="51"/>
  <c r="L392" i="51"/>
  <c r="M392" i="51"/>
  <c r="N392" i="51"/>
  <c r="O392" i="51"/>
  <c r="P392" i="51"/>
  <c r="Q392" i="51"/>
  <c r="C393" i="51"/>
  <c r="D393" i="51"/>
  <c r="F393" i="51"/>
  <c r="G393" i="51"/>
  <c r="H393" i="51"/>
  <c r="I393" i="51"/>
  <c r="J393" i="51"/>
  <c r="K393" i="51"/>
  <c r="L393" i="51"/>
  <c r="M393" i="51"/>
  <c r="N393" i="51"/>
  <c r="O393" i="51"/>
  <c r="P393" i="51"/>
  <c r="Q393" i="51"/>
  <c r="C394" i="51"/>
  <c r="D394" i="51"/>
  <c r="E394" i="51"/>
  <c r="F394" i="51"/>
  <c r="G394" i="51"/>
  <c r="H394" i="51"/>
  <c r="I394" i="51"/>
  <c r="J394" i="51"/>
  <c r="K394" i="51"/>
  <c r="L394" i="51"/>
  <c r="M394" i="51"/>
  <c r="N394" i="51"/>
  <c r="O394" i="51"/>
  <c r="P394" i="51"/>
  <c r="Q394" i="51"/>
  <c r="C395" i="51"/>
  <c r="D395" i="51"/>
  <c r="E395" i="51"/>
  <c r="F395" i="51"/>
  <c r="G395" i="51"/>
  <c r="H395" i="51"/>
  <c r="I395" i="51"/>
  <c r="J395" i="51"/>
  <c r="K395" i="51"/>
  <c r="L395" i="51"/>
  <c r="M395" i="51"/>
  <c r="N395" i="51"/>
  <c r="O395" i="51"/>
  <c r="P395" i="51"/>
  <c r="Q395" i="51"/>
  <c r="C396" i="51"/>
  <c r="H396" i="51"/>
  <c r="I396" i="51"/>
  <c r="J396" i="51"/>
  <c r="K396" i="51"/>
  <c r="L396" i="51"/>
  <c r="M396" i="51"/>
  <c r="N396" i="51"/>
  <c r="O396" i="51"/>
  <c r="P396" i="51"/>
  <c r="Q396" i="51"/>
  <c r="C397" i="51"/>
  <c r="D397" i="51"/>
  <c r="F397" i="51"/>
  <c r="G397" i="51"/>
  <c r="H397" i="51"/>
  <c r="I397" i="51"/>
  <c r="J397" i="51"/>
  <c r="K397" i="51"/>
  <c r="L397" i="51"/>
  <c r="M397" i="51"/>
  <c r="N397" i="51"/>
  <c r="O397" i="51"/>
  <c r="P397" i="51"/>
  <c r="Q397" i="51"/>
  <c r="C399" i="51"/>
  <c r="D399" i="51"/>
  <c r="E399" i="51"/>
  <c r="F399" i="51"/>
  <c r="G399" i="51"/>
  <c r="H399" i="51"/>
  <c r="I399" i="51"/>
  <c r="J399" i="51"/>
  <c r="K399" i="51"/>
  <c r="L399" i="51"/>
  <c r="M399" i="51"/>
  <c r="N399" i="51"/>
  <c r="O399" i="51"/>
  <c r="P399" i="51"/>
  <c r="Q399" i="51"/>
  <c r="C398" i="51"/>
  <c r="D398" i="51"/>
  <c r="E398" i="51"/>
  <c r="F398" i="51"/>
  <c r="G398" i="51"/>
  <c r="H398" i="51"/>
  <c r="I398" i="51"/>
  <c r="J398" i="51"/>
  <c r="K398" i="51"/>
  <c r="L398" i="51"/>
  <c r="M398" i="51"/>
  <c r="N398" i="51"/>
  <c r="O398" i="51"/>
  <c r="P398" i="51"/>
  <c r="Q398" i="51"/>
  <c r="C406" i="51"/>
  <c r="D406" i="51"/>
  <c r="F406" i="51"/>
  <c r="G406" i="51"/>
  <c r="H406" i="51"/>
  <c r="I406" i="51"/>
  <c r="J406" i="51"/>
  <c r="K406" i="51"/>
  <c r="L406" i="51"/>
  <c r="M406" i="51"/>
  <c r="N406" i="51"/>
  <c r="O406" i="51"/>
  <c r="P406" i="51"/>
  <c r="Q406" i="51"/>
  <c r="C407" i="51"/>
  <c r="D407" i="51"/>
  <c r="E407" i="51"/>
  <c r="F407" i="51"/>
  <c r="G407" i="51"/>
  <c r="H407" i="51"/>
  <c r="I407" i="51"/>
  <c r="J407" i="51"/>
  <c r="K407" i="51"/>
  <c r="L407" i="51"/>
  <c r="M407" i="51"/>
  <c r="N407" i="51"/>
  <c r="O407" i="51"/>
  <c r="P407" i="51"/>
  <c r="Q407" i="51"/>
  <c r="C408" i="51"/>
  <c r="D408" i="51"/>
  <c r="E408" i="51"/>
  <c r="F408" i="51"/>
  <c r="G408" i="51"/>
  <c r="H408" i="51"/>
  <c r="I408" i="51"/>
  <c r="J408" i="51"/>
  <c r="K408" i="51"/>
  <c r="L408" i="51"/>
  <c r="M408" i="51"/>
  <c r="N408" i="51"/>
  <c r="O408" i="51"/>
  <c r="P408" i="51"/>
  <c r="Q408" i="51"/>
  <c r="C409" i="51"/>
  <c r="H409" i="51"/>
  <c r="I409" i="51"/>
  <c r="J409" i="51"/>
  <c r="K409" i="51"/>
  <c r="L409" i="51"/>
  <c r="M409" i="51"/>
  <c r="N409" i="51"/>
  <c r="O409" i="51"/>
  <c r="P409" i="51"/>
  <c r="Q409" i="51"/>
  <c r="C410" i="51"/>
  <c r="D410" i="51"/>
  <c r="F410" i="51"/>
  <c r="G410" i="51"/>
  <c r="H410" i="51"/>
  <c r="I410" i="51"/>
  <c r="J410" i="51"/>
  <c r="K410" i="51"/>
  <c r="L410" i="51"/>
  <c r="M410" i="51"/>
  <c r="N410" i="51"/>
  <c r="O410" i="51"/>
  <c r="P410" i="51"/>
  <c r="Q410" i="51"/>
  <c r="C411" i="51"/>
  <c r="D411" i="51"/>
  <c r="E411" i="51"/>
  <c r="F411" i="51"/>
  <c r="G411" i="51"/>
  <c r="H411" i="51"/>
  <c r="I411" i="51"/>
  <c r="J411" i="51"/>
  <c r="K411" i="51"/>
  <c r="L411" i="51"/>
  <c r="M411" i="51"/>
  <c r="N411" i="51"/>
  <c r="O411" i="51"/>
  <c r="P411" i="51"/>
  <c r="Q411" i="51"/>
  <c r="C412" i="51"/>
  <c r="D412" i="51"/>
  <c r="E412" i="51"/>
  <c r="F412" i="51"/>
  <c r="G412" i="51"/>
  <c r="H412" i="51"/>
  <c r="I412" i="51"/>
  <c r="J412" i="51"/>
  <c r="K412" i="51"/>
  <c r="L412" i="51"/>
  <c r="M412" i="51"/>
  <c r="N412" i="51"/>
  <c r="O412" i="51"/>
  <c r="P412" i="51"/>
  <c r="Q412" i="51"/>
  <c r="C413" i="51"/>
  <c r="H413" i="51"/>
  <c r="I413" i="51"/>
  <c r="J413" i="51"/>
  <c r="K413" i="51"/>
  <c r="L413" i="51"/>
  <c r="M413" i="51"/>
  <c r="N413" i="51"/>
  <c r="O413" i="51"/>
  <c r="P413" i="51"/>
  <c r="Q413" i="51"/>
  <c r="C414" i="51"/>
  <c r="D414" i="51"/>
  <c r="E414" i="51"/>
  <c r="F414" i="51"/>
  <c r="G414" i="51"/>
  <c r="H414" i="51"/>
  <c r="I414" i="51"/>
  <c r="J414" i="51"/>
  <c r="K414" i="51"/>
  <c r="L414" i="51"/>
  <c r="M414" i="51"/>
  <c r="N414" i="51"/>
  <c r="O414" i="51"/>
  <c r="P414" i="51"/>
  <c r="Q414" i="51"/>
  <c r="C415" i="51"/>
  <c r="D415" i="51"/>
  <c r="E415" i="51"/>
  <c r="F415" i="51"/>
  <c r="G415" i="51"/>
  <c r="H415" i="51"/>
  <c r="I415" i="51"/>
  <c r="J415" i="51"/>
  <c r="K415" i="51"/>
  <c r="L415" i="51"/>
  <c r="M415" i="51"/>
  <c r="N415" i="51"/>
  <c r="O415" i="51"/>
  <c r="P415" i="51"/>
  <c r="Q415" i="51"/>
  <c r="C416" i="51"/>
  <c r="D416" i="51"/>
  <c r="E416" i="51"/>
  <c r="F416" i="51"/>
  <c r="G416" i="51"/>
  <c r="H416" i="51"/>
  <c r="I416" i="51"/>
  <c r="J416" i="51"/>
  <c r="K416" i="51"/>
  <c r="L416" i="51"/>
  <c r="M416" i="51"/>
  <c r="N416" i="51"/>
  <c r="O416" i="51"/>
  <c r="P416" i="51"/>
  <c r="Q416" i="51"/>
  <c r="C417" i="51"/>
  <c r="F417" i="51"/>
  <c r="H417" i="51"/>
  <c r="I417" i="51"/>
  <c r="J417" i="51"/>
  <c r="K417" i="51"/>
  <c r="L417" i="51"/>
  <c r="M417" i="51"/>
  <c r="N417" i="51"/>
  <c r="O417" i="51"/>
  <c r="P417" i="51"/>
  <c r="Q417" i="51"/>
  <c r="C418" i="51"/>
  <c r="D418" i="51"/>
  <c r="F418" i="51"/>
  <c r="G418" i="51"/>
  <c r="H418" i="51"/>
  <c r="I418" i="51"/>
  <c r="J418" i="51"/>
  <c r="K418" i="51"/>
  <c r="L418" i="51"/>
  <c r="M418" i="51"/>
  <c r="N418" i="51"/>
  <c r="O418" i="51"/>
  <c r="P418" i="51"/>
  <c r="Q418" i="51"/>
  <c r="C419" i="51"/>
  <c r="D419" i="51"/>
  <c r="E419" i="51"/>
  <c r="F419" i="51"/>
  <c r="G419" i="51"/>
  <c r="H419" i="51"/>
  <c r="I419" i="51"/>
  <c r="J419" i="51"/>
  <c r="K419" i="51"/>
  <c r="L419" i="51"/>
  <c r="M419" i="51"/>
  <c r="N419" i="51"/>
  <c r="O419" i="51"/>
  <c r="P419" i="51"/>
  <c r="Q419" i="51"/>
  <c r="C420" i="51"/>
  <c r="D420" i="51"/>
  <c r="E420" i="51"/>
  <c r="F420" i="51"/>
  <c r="G420" i="51"/>
  <c r="H420" i="51"/>
  <c r="I420" i="51"/>
  <c r="J420" i="51"/>
  <c r="K420" i="51"/>
  <c r="L420" i="51"/>
  <c r="M420" i="51"/>
  <c r="N420" i="51"/>
  <c r="O420" i="51"/>
  <c r="P420" i="51"/>
  <c r="Q420" i="51"/>
  <c r="C421" i="51"/>
  <c r="H421" i="51"/>
  <c r="I421" i="51"/>
  <c r="J421" i="51"/>
  <c r="K421" i="51"/>
  <c r="L421" i="51"/>
  <c r="M421" i="51"/>
  <c r="N421" i="51"/>
  <c r="O421" i="51"/>
  <c r="P421" i="51"/>
  <c r="Q421" i="51"/>
  <c r="C422" i="51"/>
  <c r="D422" i="51"/>
  <c r="F422" i="51"/>
  <c r="G422" i="51"/>
  <c r="H422" i="51"/>
  <c r="I422" i="51"/>
  <c r="J422" i="51"/>
  <c r="K422" i="51"/>
  <c r="L422" i="51"/>
  <c r="M422" i="51"/>
  <c r="N422" i="51"/>
  <c r="O422" i="51"/>
  <c r="P422" i="51"/>
  <c r="Q422" i="51"/>
  <c r="C423" i="51"/>
  <c r="D423" i="51"/>
  <c r="E423" i="51"/>
  <c r="F423" i="51"/>
  <c r="G423" i="51"/>
  <c r="H423" i="51"/>
  <c r="I423" i="51"/>
  <c r="J423" i="51"/>
  <c r="K423" i="51"/>
  <c r="L423" i="51"/>
  <c r="M423" i="51"/>
  <c r="N423" i="51"/>
  <c r="O423" i="51"/>
  <c r="P423" i="51"/>
  <c r="Q423" i="51"/>
  <c r="C424" i="51"/>
  <c r="D424" i="51"/>
  <c r="E424" i="51"/>
  <c r="F424" i="51"/>
  <c r="G424" i="51"/>
  <c r="H424" i="51"/>
  <c r="I424" i="51"/>
  <c r="J424" i="51"/>
  <c r="K424" i="51"/>
  <c r="L424" i="51"/>
  <c r="M424" i="51"/>
  <c r="N424" i="51"/>
  <c r="O424" i="51"/>
  <c r="P424" i="51"/>
  <c r="Q424" i="51"/>
  <c r="C425" i="51"/>
  <c r="H425" i="51"/>
  <c r="I425" i="51"/>
  <c r="J425" i="51"/>
  <c r="K425" i="51"/>
  <c r="L425" i="51"/>
  <c r="M425" i="51"/>
  <c r="N425" i="51"/>
  <c r="O425" i="51"/>
  <c r="P425" i="51"/>
  <c r="Q425" i="51"/>
  <c r="C426" i="51"/>
  <c r="D426" i="51"/>
  <c r="F426" i="51"/>
  <c r="G426" i="51"/>
  <c r="H426" i="51"/>
  <c r="I426" i="51"/>
  <c r="J426" i="51"/>
  <c r="K426" i="51"/>
  <c r="L426" i="51"/>
  <c r="M426" i="51"/>
  <c r="N426" i="51"/>
  <c r="O426" i="51"/>
  <c r="P426" i="51"/>
  <c r="Q426" i="51"/>
  <c r="C427" i="51"/>
  <c r="D427" i="51"/>
  <c r="E427" i="51"/>
  <c r="F427" i="51"/>
  <c r="G427" i="51"/>
  <c r="H427" i="51"/>
  <c r="I427" i="51"/>
  <c r="J427" i="51"/>
  <c r="K427" i="51"/>
  <c r="L427" i="51"/>
  <c r="M427" i="51"/>
  <c r="N427" i="51"/>
  <c r="O427" i="51"/>
  <c r="P427" i="51"/>
  <c r="Q427" i="51"/>
  <c r="C428" i="51"/>
  <c r="D428" i="51"/>
  <c r="E428" i="51"/>
  <c r="F428" i="51"/>
  <c r="G428" i="51"/>
  <c r="H428" i="51"/>
  <c r="I428" i="51"/>
  <c r="J428" i="51"/>
  <c r="K428" i="51"/>
  <c r="L428" i="51"/>
  <c r="M428" i="51"/>
  <c r="N428" i="51"/>
  <c r="O428" i="51"/>
  <c r="P428" i="51"/>
  <c r="Q428" i="51"/>
  <c r="C429" i="51"/>
  <c r="H429" i="51"/>
  <c r="I429" i="51"/>
  <c r="J429" i="51"/>
  <c r="K429" i="51"/>
  <c r="L429" i="51"/>
  <c r="M429" i="51"/>
  <c r="N429" i="51"/>
  <c r="O429" i="51"/>
  <c r="P429" i="51"/>
  <c r="Q429" i="51"/>
  <c r="C432" i="51"/>
  <c r="D432" i="51"/>
  <c r="E432" i="51"/>
  <c r="F432" i="51"/>
  <c r="G432" i="51"/>
  <c r="H432" i="51"/>
  <c r="I432" i="51"/>
  <c r="J432" i="51"/>
  <c r="K432" i="51"/>
  <c r="L432" i="51"/>
  <c r="M432" i="51"/>
  <c r="N432" i="51"/>
  <c r="O432" i="51"/>
  <c r="P432" i="51"/>
  <c r="Q432" i="51"/>
  <c r="C433" i="51"/>
  <c r="H433" i="51"/>
  <c r="I433" i="51"/>
  <c r="J433" i="51"/>
  <c r="K433" i="51"/>
  <c r="L433" i="51"/>
  <c r="M433" i="51"/>
  <c r="N433" i="51"/>
  <c r="O433" i="51"/>
  <c r="P433" i="51"/>
  <c r="Q433" i="51"/>
  <c r="C434" i="51"/>
  <c r="D434" i="51"/>
  <c r="F434" i="51"/>
  <c r="G434" i="51"/>
  <c r="H434" i="51"/>
  <c r="I434" i="51"/>
  <c r="J434" i="51"/>
  <c r="K434" i="51"/>
  <c r="L434" i="51"/>
  <c r="M434" i="51"/>
  <c r="N434" i="51"/>
  <c r="O434" i="51"/>
  <c r="P434" i="51"/>
  <c r="Q434" i="51"/>
  <c r="C435" i="51"/>
  <c r="D435" i="51"/>
  <c r="E435" i="51"/>
  <c r="F435" i="51"/>
  <c r="G435" i="51"/>
  <c r="H435" i="51"/>
  <c r="I435" i="51"/>
  <c r="J435" i="51"/>
  <c r="K435" i="51"/>
  <c r="L435" i="51"/>
  <c r="M435" i="51"/>
  <c r="N435" i="51"/>
  <c r="O435" i="51"/>
  <c r="P435" i="51"/>
  <c r="Q435" i="51"/>
  <c r="C436" i="51"/>
  <c r="D436" i="51"/>
  <c r="E436" i="51"/>
  <c r="F436" i="51"/>
  <c r="G436" i="51"/>
  <c r="H436" i="51"/>
  <c r="I436" i="51"/>
  <c r="J436" i="51"/>
  <c r="K436" i="51"/>
  <c r="L436" i="51"/>
  <c r="M436" i="51"/>
  <c r="N436" i="51"/>
  <c r="O436" i="51"/>
  <c r="P436" i="51"/>
  <c r="Q436" i="51"/>
  <c r="C437" i="51"/>
  <c r="H437" i="51"/>
  <c r="I437" i="51"/>
  <c r="J437" i="51"/>
  <c r="K437" i="51"/>
  <c r="L437" i="51"/>
  <c r="M437" i="51"/>
  <c r="N437" i="51"/>
  <c r="O437" i="51"/>
  <c r="P437" i="51"/>
  <c r="Q437" i="51"/>
  <c r="C438" i="51"/>
  <c r="D438" i="51"/>
  <c r="F438" i="51"/>
  <c r="G438" i="51"/>
  <c r="H438" i="51"/>
  <c r="I438" i="51"/>
  <c r="J438" i="51"/>
  <c r="K438" i="51"/>
  <c r="L438" i="51"/>
  <c r="M438" i="51"/>
  <c r="N438" i="51"/>
  <c r="O438" i="51"/>
  <c r="P438" i="51"/>
  <c r="Q438" i="51"/>
  <c r="C439" i="51"/>
  <c r="D439" i="51"/>
  <c r="E439" i="51"/>
  <c r="F439" i="51"/>
  <c r="G439" i="51"/>
  <c r="H439" i="51"/>
  <c r="I439" i="51"/>
  <c r="J439" i="51"/>
  <c r="K439" i="51"/>
  <c r="L439" i="51"/>
  <c r="M439" i="51"/>
  <c r="N439" i="51"/>
  <c r="O439" i="51"/>
  <c r="P439" i="51"/>
  <c r="Q439" i="51"/>
  <c r="C440" i="51"/>
  <c r="D440" i="51"/>
  <c r="E440" i="51"/>
  <c r="F440" i="51"/>
  <c r="G440" i="51"/>
  <c r="H440" i="51"/>
  <c r="I440" i="51"/>
  <c r="J440" i="51"/>
  <c r="K440" i="51"/>
  <c r="L440" i="51"/>
  <c r="M440" i="51"/>
  <c r="N440" i="51"/>
  <c r="O440" i="51"/>
  <c r="P440" i="51"/>
  <c r="Q440" i="51"/>
  <c r="C441" i="51"/>
  <c r="F441" i="51"/>
  <c r="H441" i="51"/>
  <c r="I441" i="51"/>
  <c r="J441" i="51"/>
  <c r="K441" i="51"/>
  <c r="L441" i="51"/>
  <c r="M441" i="51"/>
  <c r="N441" i="51"/>
  <c r="O441" i="51"/>
  <c r="P441" i="51"/>
  <c r="Q441" i="51"/>
  <c r="C445" i="51"/>
  <c r="D445" i="51"/>
  <c r="E445" i="51"/>
  <c r="F445" i="51"/>
  <c r="G445" i="51"/>
  <c r="H445" i="51"/>
  <c r="I445" i="51"/>
  <c r="J445" i="51"/>
  <c r="K445" i="51"/>
  <c r="L445" i="51"/>
  <c r="M445" i="51"/>
  <c r="N445" i="51"/>
  <c r="O445" i="51"/>
  <c r="P445" i="51"/>
  <c r="Q445" i="51"/>
  <c r="C443" i="51"/>
  <c r="D443" i="51"/>
  <c r="E443" i="51"/>
  <c r="F443" i="51"/>
  <c r="G443" i="51"/>
  <c r="H443" i="51"/>
  <c r="I443" i="51"/>
  <c r="J443" i="51"/>
  <c r="K443" i="51"/>
  <c r="L443" i="51"/>
  <c r="M443" i="51"/>
  <c r="N443" i="51"/>
  <c r="O443" i="51"/>
  <c r="P443" i="51"/>
  <c r="Q443" i="51"/>
  <c r="C446" i="51"/>
  <c r="D446" i="51"/>
  <c r="E446" i="51"/>
  <c r="F446" i="51"/>
  <c r="G446" i="51"/>
  <c r="H446" i="51"/>
  <c r="I446" i="51"/>
  <c r="J446" i="51"/>
  <c r="K446" i="51"/>
  <c r="L446" i="51"/>
  <c r="M446" i="51"/>
  <c r="N446" i="51"/>
  <c r="O446" i="51"/>
  <c r="P446" i="51"/>
  <c r="Q446" i="51"/>
  <c r="C448" i="51"/>
  <c r="H448" i="51"/>
  <c r="I448" i="51"/>
  <c r="J448" i="51"/>
  <c r="K448" i="51"/>
  <c r="L448" i="51"/>
  <c r="M448" i="51"/>
  <c r="N448" i="51"/>
  <c r="O448" i="51"/>
  <c r="P448" i="51"/>
  <c r="Q448" i="51"/>
  <c r="C449" i="51"/>
  <c r="D449" i="51"/>
  <c r="E449" i="51"/>
  <c r="F449" i="51"/>
  <c r="G449" i="51"/>
  <c r="H449" i="51"/>
  <c r="I449" i="51"/>
  <c r="J449" i="51"/>
  <c r="K449" i="51"/>
  <c r="L449" i="51"/>
  <c r="M449" i="51"/>
  <c r="N449" i="51"/>
  <c r="O449" i="51"/>
  <c r="P449" i="51"/>
  <c r="Q449" i="51"/>
  <c r="C450" i="51"/>
  <c r="D450" i="51"/>
  <c r="E450" i="51"/>
  <c r="F450" i="51"/>
  <c r="G450" i="51"/>
  <c r="H450" i="51"/>
  <c r="I450" i="51"/>
  <c r="J450" i="51"/>
  <c r="K450" i="51"/>
  <c r="L450" i="51"/>
  <c r="M450" i="51"/>
  <c r="N450" i="51"/>
  <c r="O450" i="51"/>
  <c r="P450" i="51"/>
  <c r="Q450" i="51"/>
  <c r="C451" i="51"/>
  <c r="D451" i="51"/>
  <c r="E451" i="51"/>
  <c r="F451" i="51"/>
  <c r="G451" i="51"/>
  <c r="H451" i="51"/>
  <c r="I451" i="51"/>
  <c r="J451" i="51"/>
  <c r="K451" i="51"/>
  <c r="L451" i="51"/>
  <c r="M451" i="51"/>
  <c r="N451" i="51"/>
  <c r="O451" i="51"/>
  <c r="P451" i="51"/>
  <c r="Q451" i="51"/>
  <c r="C452" i="51"/>
  <c r="H452" i="51"/>
  <c r="I452" i="51"/>
  <c r="J452" i="51"/>
  <c r="K452" i="51"/>
  <c r="L452" i="51"/>
  <c r="M452" i="51"/>
  <c r="N452" i="51"/>
  <c r="O452" i="51"/>
  <c r="P452" i="51"/>
  <c r="Q452" i="51"/>
  <c r="C453" i="51"/>
  <c r="D453" i="51"/>
  <c r="E453" i="51"/>
  <c r="F453" i="51"/>
  <c r="G453" i="51"/>
  <c r="H453" i="51"/>
  <c r="I453" i="51"/>
  <c r="J453" i="51"/>
  <c r="K453" i="51"/>
  <c r="L453" i="51"/>
  <c r="M453" i="51"/>
  <c r="N453" i="51"/>
  <c r="O453" i="51"/>
  <c r="P453" i="51"/>
  <c r="Q453" i="51"/>
  <c r="C459" i="51"/>
  <c r="D459" i="51"/>
  <c r="E459" i="51"/>
  <c r="F459" i="51"/>
  <c r="G459" i="51"/>
  <c r="H459" i="51"/>
  <c r="I459" i="51"/>
  <c r="J459" i="51"/>
  <c r="K459" i="51"/>
  <c r="L459" i="51"/>
  <c r="M459" i="51"/>
  <c r="N459" i="51"/>
  <c r="O459" i="51"/>
  <c r="P459" i="51"/>
  <c r="Q459" i="51"/>
  <c r="C460" i="51"/>
  <c r="H460" i="51"/>
  <c r="I460" i="51"/>
  <c r="J460" i="51"/>
  <c r="K460" i="51"/>
  <c r="L460" i="51"/>
  <c r="M460" i="51"/>
  <c r="N460" i="51"/>
  <c r="O460" i="51"/>
  <c r="P460" i="51"/>
  <c r="Q460" i="51"/>
  <c r="C461" i="51"/>
  <c r="D461" i="51"/>
  <c r="F461" i="51"/>
  <c r="G461" i="51"/>
  <c r="H461" i="51"/>
  <c r="I461" i="51"/>
  <c r="J461" i="51"/>
  <c r="K461" i="51"/>
  <c r="L461" i="51"/>
  <c r="M461" i="51"/>
  <c r="N461" i="51"/>
  <c r="O461" i="51"/>
  <c r="P461" i="51"/>
  <c r="Q461" i="51"/>
  <c r="C463" i="51"/>
  <c r="D463" i="51"/>
  <c r="E463" i="51"/>
  <c r="F463" i="51"/>
  <c r="G463" i="51"/>
  <c r="H463" i="51"/>
  <c r="I463" i="51"/>
  <c r="J463" i="51"/>
  <c r="K463" i="51"/>
  <c r="L463" i="51"/>
  <c r="M463" i="51"/>
  <c r="N463" i="51"/>
  <c r="O463" i="51"/>
  <c r="P463" i="51"/>
  <c r="Q463" i="51"/>
  <c r="C464" i="51"/>
  <c r="H464" i="51"/>
  <c r="I464" i="51"/>
  <c r="J464" i="51"/>
  <c r="K464" i="51"/>
  <c r="L464" i="51"/>
  <c r="M464" i="51"/>
  <c r="N464" i="51"/>
  <c r="O464" i="51"/>
  <c r="P464" i="51"/>
  <c r="Q464" i="51"/>
  <c r="C465" i="51"/>
  <c r="D465" i="51"/>
  <c r="F465" i="51"/>
  <c r="G465" i="51"/>
  <c r="H465" i="51"/>
  <c r="I465" i="51"/>
  <c r="J465" i="51"/>
  <c r="K465" i="51"/>
  <c r="L465" i="51"/>
  <c r="M465" i="51"/>
  <c r="N465" i="51"/>
  <c r="O465" i="51"/>
  <c r="P465" i="51"/>
  <c r="Q465" i="51"/>
  <c r="C466" i="51"/>
  <c r="D466" i="51"/>
  <c r="E466" i="51"/>
  <c r="F466" i="51"/>
  <c r="G466" i="51"/>
  <c r="H466" i="51"/>
  <c r="I466" i="51"/>
  <c r="J466" i="51"/>
  <c r="K466" i="51"/>
  <c r="L466" i="51"/>
  <c r="M466" i="51"/>
  <c r="N466" i="51"/>
  <c r="O466" i="51"/>
  <c r="P466" i="51"/>
  <c r="Q466" i="51"/>
  <c r="C467" i="51"/>
  <c r="D467" i="51"/>
  <c r="E467" i="51"/>
  <c r="F467" i="51"/>
  <c r="G467" i="51"/>
  <c r="H467" i="51"/>
  <c r="I467" i="51"/>
  <c r="J467" i="51"/>
  <c r="K467" i="51"/>
  <c r="L467" i="51"/>
  <c r="M467" i="51"/>
  <c r="N467" i="51"/>
  <c r="O467" i="51"/>
  <c r="P467" i="51"/>
  <c r="Q467" i="51"/>
  <c r="C468" i="51"/>
  <c r="H468" i="51"/>
  <c r="I468" i="51"/>
  <c r="J468" i="51"/>
  <c r="K468" i="51"/>
  <c r="L468" i="51"/>
  <c r="M468" i="51"/>
  <c r="N468" i="51"/>
  <c r="O468" i="51"/>
  <c r="P468" i="51"/>
  <c r="Q468" i="51"/>
  <c r="C469" i="51"/>
  <c r="D469" i="51"/>
  <c r="F469" i="51"/>
  <c r="G469" i="51"/>
  <c r="H469" i="51"/>
  <c r="I469" i="51"/>
  <c r="J469" i="51"/>
  <c r="K469" i="51"/>
  <c r="L469" i="51"/>
  <c r="M469" i="51"/>
  <c r="N469" i="51"/>
  <c r="O469" i="51"/>
  <c r="P469" i="51"/>
  <c r="Q469" i="51"/>
  <c r="C470" i="51"/>
  <c r="D470" i="51"/>
  <c r="E470" i="51"/>
  <c r="F470" i="51"/>
  <c r="G470" i="51"/>
  <c r="H470" i="51"/>
  <c r="I470" i="51"/>
  <c r="J470" i="51"/>
  <c r="K470" i="51"/>
  <c r="L470" i="51"/>
  <c r="M470" i="51"/>
  <c r="N470" i="51"/>
  <c r="O470" i="51"/>
  <c r="P470" i="51"/>
  <c r="Q470" i="51"/>
  <c r="C471" i="51"/>
  <c r="D471" i="51"/>
  <c r="E471" i="51"/>
  <c r="F471" i="51"/>
  <c r="G471" i="51"/>
  <c r="H471" i="51"/>
  <c r="I471" i="51"/>
  <c r="J471" i="51"/>
  <c r="K471" i="51"/>
  <c r="L471" i="51"/>
  <c r="M471" i="51"/>
  <c r="N471" i="51"/>
  <c r="O471" i="51"/>
  <c r="P471" i="51"/>
  <c r="Q471" i="51"/>
  <c r="C472" i="51"/>
  <c r="F472" i="51"/>
  <c r="H472" i="51"/>
  <c r="I472" i="51"/>
  <c r="J472" i="51"/>
  <c r="K472" i="51"/>
  <c r="L472" i="51"/>
  <c r="M472" i="51"/>
  <c r="N472" i="51"/>
  <c r="O472" i="51"/>
  <c r="P472" i="51"/>
  <c r="Q472" i="51"/>
  <c r="C473" i="51"/>
  <c r="D473" i="51"/>
  <c r="F473" i="51"/>
  <c r="G473" i="51"/>
  <c r="H473" i="51"/>
  <c r="I473" i="51"/>
  <c r="J473" i="51"/>
  <c r="K473" i="51"/>
  <c r="L473" i="51"/>
  <c r="M473" i="51"/>
  <c r="N473" i="51"/>
  <c r="O473" i="51"/>
  <c r="P473" i="51"/>
  <c r="Q473" i="51"/>
  <c r="C474" i="51"/>
  <c r="D474" i="51"/>
  <c r="E474" i="51"/>
  <c r="F474" i="51"/>
  <c r="G474" i="51"/>
  <c r="H474" i="51"/>
  <c r="I474" i="51"/>
  <c r="J474" i="51"/>
  <c r="K474" i="51"/>
  <c r="L474" i="51"/>
  <c r="M474" i="51"/>
  <c r="N474" i="51"/>
  <c r="O474" i="51"/>
  <c r="P474" i="51"/>
  <c r="Q474" i="51"/>
  <c r="C475" i="51"/>
  <c r="D475" i="51"/>
  <c r="E475" i="51"/>
  <c r="F475" i="51"/>
  <c r="G475" i="51"/>
  <c r="H475" i="51"/>
  <c r="I475" i="51"/>
  <c r="J475" i="51"/>
  <c r="K475" i="51"/>
  <c r="L475" i="51"/>
  <c r="M475" i="51"/>
  <c r="N475" i="51"/>
  <c r="O475" i="51"/>
  <c r="P475" i="51"/>
  <c r="Q475" i="51"/>
  <c r="C476" i="51"/>
  <c r="H476" i="51"/>
  <c r="I476" i="51"/>
  <c r="J476" i="51"/>
  <c r="K476" i="51"/>
  <c r="L476" i="51"/>
  <c r="M476" i="51"/>
  <c r="N476" i="51"/>
  <c r="O476" i="51"/>
  <c r="P476" i="51"/>
  <c r="Q476" i="51"/>
  <c r="C477" i="51"/>
  <c r="D477" i="51"/>
  <c r="F477" i="51"/>
  <c r="G477" i="51"/>
  <c r="H477" i="51"/>
  <c r="I477" i="51"/>
  <c r="J477" i="51"/>
  <c r="K477" i="51"/>
  <c r="L477" i="51"/>
  <c r="M477" i="51"/>
  <c r="N477" i="51"/>
  <c r="O477" i="51"/>
  <c r="P477" i="51"/>
  <c r="Q477" i="51"/>
  <c r="C478" i="51"/>
  <c r="D478" i="51"/>
  <c r="E478" i="51"/>
  <c r="F478" i="51"/>
  <c r="G478" i="51"/>
  <c r="H478" i="51"/>
  <c r="I478" i="51"/>
  <c r="J478" i="51"/>
  <c r="K478" i="51"/>
  <c r="L478" i="51"/>
  <c r="M478" i="51"/>
  <c r="N478" i="51"/>
  <c r="O478" i="51"/>
  <c r="P478" i="51"/>
  <c r="Q478" i="51"/>
  <c r="C479" i="51"/>
  <c r="D479" i="51"/>
  <c r="E479" i="51"/>
  <c r="F479" i="51"/>
  <c r="G479" i="51"/>
  <c r="H479" i="51"/>
  <c r="I479" i="51"/>
  <c r="J479" i="51"/>
  <c r="K479" i="51"/>
  <c r="L479" i="51"/>
  <c r="M479" i="51"/>
  <c r="N479" i="51"/>
  <c r="O479" i="51"/>
  <c r="P479" i="51"/>
  <c r="Q479" i="51"/>
  <c r="C480" i="51"/>
  <c r="H480" i="51"/>
  <c r="I480" i="51"/>
  <c r="J480" i="51"/>
  <c r="K480" i="51"/>
  <c r="L480" i="51"/>
  <c r="M480" i="51"/>
  <c r="N480" i="51"/>
  <c r="O480" i="51"/>
  <c r="P480" i="51"/>
  <c r="Q480" i="51"/>
  <c r="C481" i="51"/>
  <c r="D481" i="51"/>
  <c r="F481" i="51"/>
  <c r="G481" i="51"/>
  <c r="H481" i="51"/>
  <c r="I481" i="51"/>
  <c r="J481" i="51"/>
  <c r="K481" i="51"/>
  <c r="L481" i="51"/>
  <c r="M481" i="51"/>
  <c r="N481" i="51"/>
  <c r="O481" i="51"/>
  <c r="P481" i="51"/>
  <c r="Q481" i="51"/>
  <c r="C482" i="51"/>
  <c r="D482" i="51"/>
  <c r="E482" i="51"/>
  <c r="F482" i="51"/>
  <c r="G482" i="51"/>
  <c r="H482" i="51"/>
  <c r="I482" i="51"/>
  <c r="J482" i="51"/>
  <c r="K482" i="51"/>
  <c r="L482" i="51"/>
  <c r="M482" i="51"/>
  <c r="N482" i="51"/>
  <c r="O482" i="51"/>
  <c r="P482" i="51"/>
  <c r="Q482" i="51"/>
  <c r="C483" i="51"/>
  <c r="D483" i="51"/>
  <c r="E483" i="51"/>
  <c r="F483" i="51"/>
  <c r="G483" i="51"/>
  <c r="H483" i="51"/>
  <c r="I483" i="51"/>
  <c r="J483" i="51"/>
  <c r="K483" i="51"/>
  <c r="L483" i="51"/>
  <c r="M483" i="51"/>
  <c r="N483" i="51"/>
  <c r="O483" i="51"/>
  <c r="P483" i="51"/>
  <c r="Q483" i="51"/>
  <c r="C484" i="51"/>
  <c r="H484" i="51"/>
  <c r="I484" i="51"/>
  <c r="J484" i="51"/>
  <c r="K484" i="51"/>
  <c r="L484" i="51"/>
  <c r="M484" i="51"/>
  <c r="N484" i="51"/>
  <c r="O484" i="51"/>
  <c r="P484" i="51"/>
  <c r="Q484" i="51"/>
  <c r="C485" i="51"/>
  <c r="D485" i="51"/>
  <c r="E485" i="51"/>
  <c r="F485" i="51"/>
  <c r="G485" i="51"/>
  <c r="H485" i="51"/>
  <c r="I485" i="51"/>
  <c r="J485" i="51"/>
  <c r="K485" i="51"/>
  <c r="L485" i="51"/>
  <c r="M485" i="51"/>
  <c r="N485" i="51"/>
  <c r="O485" i="51"/>
  <c r="P485" i="51"/>
  <c r="Q485" i="51"/>
  <c r="C486" i="51"/>
  <c r="D486" i="51"/>
  <c r="E486" i="51"/>
  <c r="F486" i="51"/>
  <c r="G486" i="51"/>
  <c r="H486" i="51"/>
  <c r="I486" i="51"/>
  <c r="J486" i="51"/>
  <c r="K486" i="51"/>
  <c r="L486" i="51"/>
  <c r="M486" i="51"/>
  <c r="N486" i="51"/>
  <c r="O486" i="51"/>
  <c r="P486" i="51"/>
  <c r="Q486" i="51"/>
  <c r="C487" i="51"/>
  <c r="D487" i="51"/>
  <c r="E487" i="51"/>
  <c r="F487" i="51"/>
  <c r="G487" i="51"/>
  <c r="H487" i="51"/>
  <c r="I487" i="51"/>
  <c r="J487" i="51"/>
  <c r="K487" i="51"/>
  <c r="L487" i="51"/>
  <c r="M487" i="51"/>
  <c r="N487" i="51"/>
  <c r="O487" i="51"/>
  <c r="P487" i="51"/>
  <c r="Q487" i="51"/>
  <c r="C488" i="51"/>
  <c r="F488" i="51"/>
  <c r="H488" i="51"/>
  <c r="I488" i="51"/>
  <c r="J488" i="51"/>
  <c r="K488" i="51"/>
  <c r="L488" i="51"/>
  <c r="M488" i="51"/>
  <c r="N488" i="51"/>
  <c r="O488" i="51"/>
  <c r="P488" i="51"/>
  <c r="Q488" i="51"/>
  <c r="C492" i="51"/>
  <c r="H492" i="51"/>
  <c r="I492" i="51"/>
  <c r="J492" i="51"/>
  <c r="K492" i="51"/>
  <c r="L492" i="51"/>
  <c r="M492" i="51"/>
  <c r="N492" i="51"/>
  <c r="O492" i="51"/>
  <c r="P492" i="51"/>
  <c r="Q492" i="51"/>
  <c r="C493" i="51"/>
  <c r="D493" i="51"/>
  <c r="E493" i="51"/>
  <c r="F493" i="51"/>
  <c r="G493" i="51"/>
  <c r="H493" i="51"/>
  <c r="I493" i="51"/>
  <c r="J493" i="51"/>
  <c r="K493" i="51"/>
  <c r="L493" i="51"/>
  <c r="M493" i="51"/>
  <c r="N493" i="51"/>
  <c r="O493" i="51"/>
  <c r="P493" i="51"/>
  <c r="Q493" i="51"/>
  <c r="C494" i="51"/>
  <c r="D494" i="51"/>
  <c r="E494" i="51"/>
  <c r="F494" i="51"/>
  <c r="G494" i="51"/>
  <c r="H494" i="51"/>
  <c r="I494" i="51"/>
  <c r="J494" i="51"/>
  <c r="K494" i="51"/>
  <c r="L494" i="51"/>
  <c r="M494" i="51"/>
  <c r="N494" i="51"/>
  <c r="O494" i="51"/>
  <c r="P494" i="51"/>
  <c r="Q494" i="51"/>
  <c r="C495" i="51"/>
  <c r="D495" i="51"/>
  <c r="E495" i="51"/>
  <c r="F495" i="51"/>
  <c r="G495" i="51"/>
  <c r="H495" i="51"/>
  <c r="I495" i="51"/>
  <c r="J495" i="51"/>
  <c r="K495" i="51"/>
  <c r="L495" i="51"/>
  <c r="M495" i="51"/>
  <c r="N495" i="51"/>
  <c r="O495" i="51"/>
  <c r="P495" i="51"/>
  <c r="Q495" i="51"/>
  <c r="C496" i="51"/>
  <c r="H496" i="51"/>
  <c r="I496" i="51"/>
  <c r="J496" i="51"/>
  <c r="K496" i="51"/>
  <c r="L496" i="51"/>
  <c r="M496" i="51"/>
  <c r="N496" i="51"/>
  <c r="O496" i="51"/>
  <c r="P496" i="51"/>
  <c r="Q496" i="51"/>
  <c r="C497" i="51"/>
  <c r="D497" i="51"/>
  <c r="E497" i="51"/>
  <c r="F497" i="51"/>
  <c r="G497" i="51"/>
  <c r="H497" i="51"/>
  <c r="I497" i="51"/>
  <c r="J497" i="51"/>
  <c r="K497" i="51"/>
  <c r="L497" i="51"/>
  <c r="M497" i="51"/>
  <c r="N497" i="51"/>
  <c r="O497" i="51"/>
  <c r="P497" i="51"/>
  <c r="Q497" i="51"/>
  <c r="C498" i="51"/>
  <c r="D498" i="51"/>
  <c r="E498" i="51"/>
  <c r="F498" i="51"/>
  <c r="G498" i="51"/>
  <c r="H498" i="51"/>
  <c r="I498" i="51"/>
  <c r="J498" i="51"/>
  <c r="K498" i="51"/>
  <c r="L498" i="51"/>
  <c r="M498" i="51"/>
  <c r="N498" i="51"/>
  <c r="O498" i="51"/>
  <c r="P498" i="51"/>
  <c r="Q498" i="51"/>
  <c r="C499" i="51"/>
  <c r="D499" i="51"/>
  <c r="E499" i="51"/>
  <c r="F499" i="51"/>
  <c r="G499" i="51"/>
  <c r="H499" i="51"/>
  <c r="I499" i="51"/>
  <c r="J499" i="51"/>
  <c r="K499" i="51"/>
  <c r="L499" i="51"/>
  <c r="M499" i="51"/>
  <c r="N499" i="51"/>
  <c r="O499" i="51"/>
  <c r="P499" i="51"/>
  <c r="Q499" i="51"/>
  <c r="C500" i="51"/>
  <c r="E500" i="51"/>
  <c r="F500" i="51"/>
  <c r="H500" i="51"/>
  <c r="I500" i="51"/>
  <c r="J500" i="51"/>
  <c r="K500" i="51"/>
  <c r="L500" i="51"/>
  <c r="M500" i="51"/>
  <c r="N500" i="51"/>
  <c r="O500" i="51"/>
  <c r="P500" i="51"/>
  <c r="Q500" i="51"/>
  <c r="C501" i="51"/>
  <c r="D501" i="51"/>
  <c r="F501" i="51"/>
  <c r="G501" i="51"/>
  <c r="H501" i="51"/>
  <c r="I501" i="51"/>
  <c r="J501" i="51"/>
  <c r="K501" i="51"/>
  <c r="L501" i="51"/>
  <c r="M501" i="51"/>
  <c r="N501" i="51"/>
  <c r="O501" i="51"/>
  <c r="P501" i="51"/>
  <c r="Q501" i="51"/>
  <c r="C502" i="51"/>
  <c r="D502" i="51"/>
  <c r="E502" i="51"/>
  <c r="F502" i="51"/>
  <c r="G502" i="51"/>
  <c r="H502" i="51"/>
  <c r="I502" i="51"/>
  <c r="J502" i="51"/>
  <c r="K502" i="51"/>
  <c r="L502" i="51"/>
  <c r="M502" i="51"/>
  <c r="N502" i="51"/>
  <c r="O502" i="51"/>
  <c r="P502" i="51"/>
  <c r="Q502" i="51"/>
  <c r="C503" i="51"/>
  <c r="D503" i="51"/>
  <c r="E503" i="51"/>
  <c r="F503" i="51"/>
  <c r="G503" i="51"/>
  <c r="H503" i="51"/>
  <c r="I503" i="51"/>
  <c r="J503" i="51"/>
  <c r="K503" i="51"/>
  <c r="L503" i="51"/>
  <c r="M503" i="51"/>
  <c r="N503" i="51"/>
  <c r="O503" i="51"/>
  <c r="P503" i="51"/>
  <c r="Q503" i="51"/>
  <c r="C454" i="51"/>
  <c r="D454" i="51"/>
  <c r="E454" i="51"/>
  <c r="F454" i="51"/>
  <c r="G454" i="51"/>
  <c r="H454" i="51"/>
  <c r="I454" i="51"/>
  <c r="J454" i="51"/>
  <c r="K454" i="51"/>
  <c r="L454" i="51"/>
  <c r="M454" i="51"/>
  <c r="N454" i="51"/>
  <c r="O454" i="51"/>
  <c r="P454" i="51"/>
  <c r="Q454" i="51"/>
  <c r="C455" i="51"/>
  <c r="D455" i="51"/>
  <c r="E455" i="51"/>
  <c r="F455" i="51"/>
  <c r="G455" i="51"/>
  <c r="H455" i="51"/>
  <c r="I455" i="51"/>
  <c r="J455" i="51"/>
  <c r="K455" i="51"/>
  <c r="L455" i="51"/>
  <c r="M455" i="51"/>
  <c r="N455" i="51"/>
  <c r="O455" i="51"/>
  <c r="P455" i="51"/>
  <c r="Q455" i="51"/>
  <c r="C456" i="51"/>
  <c r="H456" i="51"/>
  <c r="I456" i="51"/>
  <c r="J456" i="51"/>
  <c r="K456" i="51"/>
  <c r="L456" i="51"/>
  <c r="M456" i="51"/>
  <c r="N456" i="51"/>
  <c r="O456" i="51"/>
  <c r="P456" i="51"/>
  <c r="Q456" i="51"/>
  <c r="C457" i="51"/>
  <c r="D457" i="51"/>
  <c r="E457" i="51"/>
  <c r="F457" i="51"/>
  <c r="G457" i="51"/>
  <c r="H457" i="51"/>
  <c r="I457" i="51"/>
  <c r="J457" i="51"/>
  <c r="K457" i="51"/>
  <c r="L457" i="51"/>
  <c r="M457" i="51"/>
  <c r="N457" i="51"/>
  <c r="O457" i="51"/>
  <c r="P457" i="51"/>
  <c r="Q457" i="51"/>
  <c r="C458" i="51"/>
  <c r="D458" i="51"/>
  <c r="E458" i="51"/>
  <c r="F458" i="51"/>
  <c r="G458" i="51"/>
  <c r="H458" i="51"/>
  <c r="I458" i="51"/>
  <c r="J458" i="51"/>
  <c r="K458" i="51"/>
  <c r="L458" i="51"/>
  <c r="M458" i="51"/>
  <c r="N458" i="51"/>
  <c r="O458" i="51"/>
  <c r="P458" i="51"/>
  <c r="Q458" i="51"/>
  <c r="C504" i="51"/>
  <c r="H504" i="51"/>
  <c r="I504" i="51"/>
  <c r="J504" i="51"/>
  <c r="K504" i="51"/>
  <c r="L504" i="51"/>
  <c r="M504" i="51"/>
  <c r="N504" i="51"/>
  <c r="O504" i="51"/>
  <c r="P504" i="51"/>
  <c r="Q504" i="51"/>
  <c r="C505" i="51"/>
  <c r="D505" i="51"/>
  <c r="F505" i="51"/>
  <c r="G505" i="51"/>
  <c r="H505" i="51"/>
  <c r="I505" i="51"/>
  <c r="J505" i="51"/>
  <c r="K505" i="51"/>
  <c r="L505" i="51"/>
  <c r="M505" i="51"/>
  <c r="N505" i="51"/>
  <c r="O505" i="51"/>
  <c r="P505" i="51"/>
  <c r="Q505" i="51"/>
  <c r="C506" i="51"/>
  <c r="D506" i="51"/>
  <c r="E506" i="51"/>
  <c r="F506" i="51"/>
  <c r="G506" i="51"/>
  <c r="H506" i="51"/>
  <c r="I506" i="51"/>
  <c r="J506" i="51"/>
  <c r="K506" i="51"/>
  <c r="L506" i="51"/>
  <c r="M506" i="51"/>
  <c r="N506" i="51"/>
  <c r="O506" i="51"/>
  <c r="P506" i="51"/>
  <c r="Q506" i="51"/>
  <c r="C507" i="51"/>
  <c r="D507" i="51"/>
  <c r="E507" i="51"/>
  <c r="F507" i="51"/>
  <c r="G507" i="51"/>
  <c r="H507" i="51"/>
  <c r="I507" i="51"/>
  <c r="J507" i="51"/>
  <c r="K507" i="51"/>
  <c r="L507" i="51"/>
  <c r="M507" i="51"/>
  <c r="N507" i="51"/>
  <c r="O507" i="51"/>
  <c r="P507" i="51"/>
  <c r="Q507" i="51"/>
  <c r="C508" i="51"/>
  <c r="F508" i="51"/>
  <c r="H508" i="51"/>
  <c r="I508" i="51"/>
  <c r="J508" i="51"/>
  <c r="K508" i="51"/>
  <c r="L508" i="51"/>
  <c r="M508" i="51"/>
  <c r="N508" i="51"/>
  <c r="O508" i="51"/>
  <c r="P508" i="51"/>
  <c r="Q508" i="51"/>
  <c r="C509" i="51"/>
  <c r="D509" i="51"/>
  <c r="F509" i="51"/>
  <c r="G509" i="51"/>
  <c r="H509" i="51"/>
  <c r="I509" i="51"/>
  <c r="J509" i="51"/>
  <c r="K509" i="51"/>
  <c r="L509" i="51"/>
  <c r="M509" i="51"/>
  <c r="N509" i="51"/>
  <c r="O509" i="51"/>
  <c r="P509" i="51"/>
  <c r="Q509" i="51"/>
  <c r="C510" i="51"/>
  <c r="D510" i="51"/>
  <c r="E510" i="51"/>
  <c r="F510" i="51"/>
  <c r="G510" i="51"/>
  <c r="H510" i="51"/>
  <c r="I510" i="51"/>
  <c r="J510" i="51"/>
  <c r="K510" i="51"/>
  <c r="L510" i="51"/>
  <c r="M510" i="51"/>
  <c r="N510" i="51"/>
  <c r="O510" i="51"/>
  <c r="P510" i="51"/>
  <c r="Q510" i="51"/>
  <c r="C511" i="51"/>
  <c r="D511" i="51"/>
  <c r="E511" i="51"/>
  <c r="F511" i="51"/>
  <c r="G511" i="51"/>
  <c r="H511" i="51"/>
  <c r="I511" i="51"/>
  <c r="J511" i="51"/>
  <c r="K511" i="51"/>
  <c r="L511" i="51"/>
  <c r="M511" i="51"/>
  <c r="N511" i="51"/>
  <c r="O511" i="51"/>
  <c r="P511" i="51"/>
  <c r="Q511" i="51"/>
  <c r="C512" i="51"/>
  <c r="H512" i="51"/>
  <c r="I512" i="51"/>
  <c r="J512" i="51"/>
  <c r="K512" i="51"/>
  <c r="L512" i="51"/>
  <c r="M512" i="51"/>
  <c r="N512" i="51"/>
  <c r="O512" i="51"/>
  <c r="P512" i="51"/>
  <c r="Q512" i="51"/>
  <c r="C513" i="51"/>
  <c r="D513" i="51"/>
  <c r="F513" i="51"/>
  <c r="G513" i="51"/>
  <c r="H513" i="51"/>
  <c r="I513" i="51"/>
  <c r="J513" i="51"/>
  <c r="K513" i="51"/>
  <c r="L513" i="51"/>
  <c r="M513" i="51"/>
  <c r="N513" i="51"/>
  <c r="O513" i="51"/>
  <c r="P513" i="51"/>
  <c r="Q513" i="51"/>
  <c r="C514" i="51"/>
  <c r="D514" i="51"/>
  <c r="E514" i="51"/>
  <c r="F514" i="51"/>
  <c r="G514" i="51"/>
  <c r="H514" i="51"/>
  <c r="I514" i="51"/>
  <c r="J514" i="51"/>
  <c r="K514" i="51"/>
  <c r="L514" i="51"/>
  <c r="M514" i="51"/>
  <c r="N514" i="51"/>
  <c r="O514" i="51"/>
  <c r="P514" i="51"/>
  <c r="Q514" i="51"/>
  <c r="C515" i="51"/>
  <c r="D515" i="51"/>
  <c r="E515" i="51"/>
  <c r="F515" i="51"/>
  <c r="G515" i="51"/>
  <c r="H515" i="51"/>
  <c r="I515" i="51"/>
  <c r="J515" i="51"/>
  <c r="K515" i="51"/>
  <c r="L515" i="51"/>
  <c r="M515" i="51"/>
  <c r="N515" i="51"/>
  <c r="O515" i="51"/>
  <c r="P515" i="51"/>
  <c r="Q515" i="51"/>
  <c r="C516" i="51"/>
  <c r="H516" i="51"/>
  <c r="I516" i="51"/>
  <c r="J516" i="51"/>
  <c r="K516" i="51"/>
  <c r="L516" i="51"/>
  <c r="M516" i="51"/>
  <c r="N516" i="51"/>
  <c r="O516" i="51"/>
  <c r="P516" i="51"/>
  <c r="Q516" i="51"/>
  <c r="C517" i="51"/>
  <c r="D517" i="51"/>
  <c r="F517" i="51"/>
  <c r="G517" i="51"/>
  <c r="H517" i="51"/>
  <c r="I517" i="51"/>
  <c r="J517" i="51"/>
  <c r="K517" i="51"/>
  <c r="L517" i="51"/>
  <c r="M517" i="51"/>
  <c r="N517" i="51"/>
  <c r="O517" i="51"/>
  <c r="P517" i="51"/>
  <c r="Q517" i="51"/>
  <c r="C518" i="51"/>
  <c r="D518" i="51"/>
  <c r="E518" i="51"/>
  <c r="F518" i="51"/>
  <c r="G518" i="51"/>
  <c r="H518" i="51"/>
  <c r="I518" i="51"/>
  <c r="J518" i="51"/>
  <c r="K518" i="51"/>
  <c r="L518" i="51"/>
  <c r="M518" i="51"/>
  <c r="N518" i="51"/>
  <c r="O518" i="51"/>
  <c r="P518" i="51"/>
  <c r="Q518" i="51"/>
  <c r="C519" i="51"/>
  <c r="D519" i="51"/>
  <c r="E519" i="51"/>
  <c r="F519" i="51"/>
  <c r="G519" i="51"/>
  <c r="H519" i="51"/>
  <c r="I519" i="51"/>
  <c r="J519" i="51"/>
  <c r="K519" i="51"/>
  <c r="L519" i="51"/>
  <c r="M519" i="51"/>
  <c r="N519" i="51"/>
  <c r="O519" i="51"/>
  <c r="P519" i="51"/>
  <c r="Q519" i="51"/>
  <c r="C521" i="51"/>
  <c r="D521" i="51"/>
  <c r="F521" i="51"/>
  <c r="G521" i="51"/>
  <c r="H521" i="51"/>
  <c r="I521" i="51"/>
  <c r="J521" i="51"/>
  <c r="K521" i="51"/>
  <c r="L521" i="51"/>
  <c r="M521" i="51"/>
  <c r="N521" i="51"/>
  <c r="O521" i="51"/>
  <c r="P521" i="51"/>
  <c r="Q521" i="51"/>
  <c r="C522" i="51"/>
  <c r="D522" i="51"/>
  <c r="E522" i="51"/>
  <c r="F522" i="51"/>
  <c r="G522" i="51"/>
  <c r="H522" i="51"/>
  <c r="I522" i="51"/>
  <c r="J522" i="51"/>
  <c r="K522" i="51"/>
  <c r="L522" i="51"/>
  <c r="M522" i="51"/>
  <c r="N522" i="51"/>
  <c r="O522" i="51"/>
  <c r="P522" i="51"/>
  <c r="Q522" i="51"/>
  <c r="C523" i="51"/>
  <c r="D523" i="51"/>
  <c r="E523" i="51"/>
  <c r="F523" i="51"/>
  <c r="G523" i="51"/>
  <c r="H523" i="51"/>
  <c r="I523" i="51"/>
  <c r="J523" i="51"/>
  <c r="K523" i="51"/>
  <c r="L523" i="51"/>
  <c r="M523" i="51"/>
  <c r="N523" i="51"/>
  <c r="O523" i="51"/>
  <c r="P523" i="51"/>
  <c r="Q523" i="51"/>
  <c r="C524" i="51"/>
  <c r="H524" i="51"/>
  <c r="I524" i="51"/>
  <c r="J524" i="51"/>
  <c r="K524" i="51"/>
  <c r="L524" i="51"/>
  <c r="M524" i="51"/>
  <c r="N524" i="51"/>
  <c r="O524" i="51"/>
  <c r="P524" i="51"/>
  <c r="Q524" i="51"/>
  <c r="C525" i="51"/>
  <c r="D525" i="51"/>
  <c r="F525" i="51"/>
  <c r="G525" i="51"/>
  <c r="H525" i="51"/>
  <c r="I525" i="51"/>
  <c r="J525" i="51"/>
  <c r="K525" i="51"/>
  <c r="L525" i="51"/>
  <c r="M525" i="51"/>
  <c r="N525" i="51"/>
  <c r="O525" i="51"/>
  <c r="P525" i="51"/>
  <c r="Q525" i="51"/>
  <c r="C526" i="51"/>
  <c r="D526" i="51"/>
  <c r="E526" i="51"/>
  <c r="F526" i="51"/>
  <c r="G526" i="51"/>
  <c r="H526" i="51"/>
  <c r="I526" i="51"/>
  <c r="J526" i="51"/>
  <c r="K526" i="51"/>
  <c r="L526" i="51"/>
  <c r="M526" i="51"/>
  <c r="N526" i="51"/>
  <c r="O526" i="51"/>
  <c r="P526" i="51"/>
  <c r="Q526" i="51"/>
  <c r="C527" i="51"/>
  <c r="D527" i="51"/>
  <c r="E527" i="51"/>
  <c r="F527" i="51"/>
  <c r="G527" i="51"/>
  <c r="H527" i="51"/>
  <c r="I527" i="51"/>
  <c r="J527" i="51"/>
  <c r="K527" i="51"/>
  <c r="L527" i="51"/>
  <c r="M527" i="51"/>
  <c r="N527" i="51"/>
  <c r="O527" i="51"/>
  <c r="P527" i="51"/>
  <c r="Q527" i="51"/>
  <c r="C528" i="51"/>
  <c r="H528" i="51"/>
  <c r="I528" i="51"/>
  <c r="J528" i="51"/>
  <c r="K528" i="51"/>
  <c r="L528" i="51"/>
  <c r="M528" i="51"/>
  <c r="N528" i="51"/>
  <c r="O528" i="51"/>
  <c r="P528" i="51"/>
  <c r="Q528" i="51"/>
  <c r="C529" i="51"/>
  <c r="D529" i="51"/>
  <c r="F529" i="51"/>
  <c r="G529" i="51"/>
  <c r="H529" i="51"/>
  <c r="I529" i="51"/>
  <c r="J529" i="51"/>
  <c r="K529" i="51"/>
  <c r="L529" i="51"/>
  <c r="M529" i="51"/>
  <c r="N529" i="51"/>
  <c r="O529" i="51"/>
  <c r="P529" i="51"/>
  <c r="Q529" i="51"/>
  <c r="C530" i="51"/>
  <c r="D530" i="51"/>
  <c r="E530" i="51"/>
  <c r="F530" i="51"/>
  <c r="G530" i="51"/>
  <c r="H530" i="51"/>
  <c r="I530" i="51"/>
  <c r="J530" i="51"/>
  <c r="K530" i="51"/>
  <c r="L530" i="51"/>
  <c r="M530" i="51"/>
  <c r="N530" i="51"/>
  <c r="O530" i="51"/>
  <c r="P530" i="51"/>
  <c r="Q530" i="51"/>
  <c r="C531" i="51"/>
  <c r="D531" i="51"/>
  <c r="E531" i="51"/>
  <c r="F531" i="51"/>
  <c r="G531" i="51"/>
  <c r="H531" i="51"/>
  <c r="I531" i="51"/>
  <c r="J531" i="51"/>
  <c r="K531" i="51"/>
  <c r="L531" i="51"/>
  <c r="M531" i="51"/>
  <c r="N531" i="51"/>
  <c r="O531" i="51"/>
  <c r="P531" i="51"/>
  <c r="Q531" i="51"/>
  <c r="C532" i="51"/>
  <c r="F532" i="51"/>
  <c r="G532" i="51"/>
  <c r="H532" i="51"/>
  <c r="I532" i="51"/>
  <c r="J532" i="51"/>
  <c r="K532" i="51"/>
  <c r="L532" i="51"/>
  <c r="M532" i="51"/>
  <c r="N532" i="51"/>
  <c r="O532" i="51"/>
  <c r="P532" i="51"/>
  <c r="Q532" i="51"/>
  <c r="C533" i="51"/>
  <c r="D533" i="51"/>
  <c r="F533" i="51"/>
  <c r="G533" i="51"/>
  <c r="H533" i="51"/>
  <c r="I533" i="51"/>
  <c r="J533" i="51"/>
  <c r="K533" i="51"/>
  <c r="L533" i="51"/>
  <c r="M533" i="51"/>
  <c r="N533" i="51"/>
  <c r="O533" i="51"/>
  <c r="P533" i="51"/>
  <c r="Q533" i="51"/>
  <c r="C534" i="51"/>
  <c r="D534" i="51"/>
  <c r="E534" i="51"/>
  <c r="F534" i="51"/>
  <c r="G534" i="51"/>
  <c r="H534" i="51"/>
  <c r="I534" i="51"/>
  <c r="J534" i="51"/>
  <c r="K534" i="51"/>
  <c r="L534" i="51"/>
  <c r="M534" i="51"/>
  <c r="N534" i="51"/>
  <c r="O534" i="51"/>
  <c r="P534" i="51"/>
  <c r="Q534" i="51"/>
  <c r="C535" i="51"/>
  <c r="D535" i="51"/>
  <c r="E535" i="51"/>
  <c r="F535" i="51"/>
  <c r="G535" i="51"/>
  <c r="H535" i="51"/>
  <c r="I535" i="51"/>
  <c r="J535" i="51"/>
  <c r="K535" i="51"/>
  <c r="L535" i="51"/>
  <c r="M535" i="51"/>
  <c r="N535" i="51"/>
  <c r="O535" i="51"/>
  <c r="P535" i="51"/>
  <c r="Q535" i="51"/>
  <c r="C536" i="51"/>
  <c r="H536" i="51"/>
  <c r="I536" i="51"/>
  <c r="J536" i="51"/>
  <c r="K536" i="51"/>
  <c r="L536" i="51"/>
  <c r="M536" i="51"/>
  <c r="N536" i="51"/>
  <c r="O536" i="51"/>
  <c r="P536" i="51"/>
  <c r="Q536" i="51"/>
  <c r="C537" i="51"/>
  <c r="D537" i="51"/>
  <c r="F537" i="51"/>
  <c r="G537" i="51"/>
  <c r="H537" i="51"/>
  <c r="I537" i="51"/>
  <c r="J537" i="51"/>
  <c r="K537" i="51"/>
  <c r="L537" i="51"/>
  <c r="M537" i="51"/>
  <c r="N537" i="51"/>
  <c r="O537" i="51"/>
  <c r="P537" i="51"/>
  <c r="Q537" i="51"/>
  <c r="C538" i="51"/>
  <c r="D538" i="51"/>
  <c r="E538" i="51"/>
  <c r="F538" i="51"/>
  <c r="G538" i="51"/>
  <c r="H538" i="51"/>
  <c r="I538" i="51"/>
  <c r="J538" i="51"/>
  <c r="K538" i="51"/>
  <c r="L538" i="51"/>
  <c r="M538" i="51"/>
  <c r="N538" i="51"/>
  <c r="O538" i="51"/>
  <c r="P538" i="51"/>
  <c r="Q538" i="51"/>
  <c r="C539" i="51"/>
  <c r="D539" i="51"/>
  <c r="E539" i="51"/>
  <c r="F539" i="51"/>
  <c r="G539" i="51"/>
  <c r="H539" i="51"/>
  <c r="I539" i="51"/>
  <c r="J539" i="51"/>
  <c r="K539" i="51"/>
  <c r="L539" i="51"/>
  <c r="M539" i="51"/>
  <c r="N539" i="51"/>
  <c r="O539" i="51"/>
  <c r="P539" i="51"/>
  <c r="Q539" i="51"/>
  <c r="C540" i="51"/>
  <c r="H540" i="51"/>
  <c r="I540" i="51"/>
  <c r="J540" i="51"/>
  <c r="K540" i="51"/>
  <c r="L540" i="51"/>
  <c r="M540" i="51"/>
  <c r="N540" i="51"/>
  <c r="O540" i="51"/>
  <c r="P540" i="51"/>
  <c r="Q540" i="51"/>
  <c r="C541" i="51"/>
  <c r="D541" i="51"/>
  <c r="F541" i="51"/>
  <c r="G541" i="51"/>
  <c r="H541" i="51"/>
  <c r="I541" i="51"/>
  <c r="J541" i="51"/>
  <c r="K541" i="51"/>
  <c r="L541" i="51"/>
  <c r="M541" i="51"/>
  <c r="N541" i="51"/>
  <c r="O541" i="51"/>
  <c r="P541" i="51"/>
  <c r="Q541" i="51"/>
  <c r="C542" i="51"/>
  <c r="D542" i="51"/>
  <c r="E542" i="51"/>
  <c r="F542" i="51"/>
  <c r="G542" i="51"/>
  <c r="H542" i="51"/>
  <c r="I542" i="51"/>
  <c r="J542" i="51"/>
  <c r="K542" i="51"/>
  <c r="L542" i="51"/>
  <c r="M542" i="51"/>
  <c r="N542" i="51"/>
  <c r="O542" i="51"/>
  <c r="P542" i="51"/>
  <c r="Q542" i="51"/>
  <c r="C543" i="51"/>
  <c r="D543" i="51"/>
  <c r="E543" i="51"/>
  <c r="F543" i="51"/>
  <c r="G543" i="51"/>
  <c r="H543" i="51"/>
  <c r="I543" i="51"/>
  <c r="J543" i="51"/>
  <c r="K543" i="51"/>
  <c r="L543" i="51"/>
  <c r="M543" i="51"/>
  <c r="N543" i="51"/>
  <c r="O543" i="51"/>
  <c r="P543" i="51"/>
  <c r="Q543" i="51"/>
  <c r="C544" i="51"/>
  <c r="H544" i="51"/>
  <c r="I544" i="51"/>
  <c r="J544" i="51"/>
  <c r="K544" i="51"/>
  <c r="L544" i="51"/>
  <c r="M544" i="51"/>
  <c r="N544" i="51"/>
  <c r="O544" i="51"/>
  <c r="P544" i="51"/>
  <c r="Q544" i="51"/>
  <c r="C545" i="51"/>
  <c r="D545" i="51"/>
  <c r="F545" i="51"/>
  <c r="G545" i="51"/>
  <c r="H545" i="51"/>
  <c r="I545" i="51"/>
  <c r="J545" i="51"/>
  <c r="K545" i="51"/>
  <c r="L545" i="51"/>
  <c r="M545" i="51"/>
  <c r="N545" i="51"/>
  <c r="O545" i="51"/>
  <c r="P545" i="51"/>
  <c r="Q545" i="51"/>
  <c r="C546" i="51"/>
  <c r="D546" i="51"/>
  <c r="E546" i="51"/>
  <c r="F546" i="51"/>
  <c r="G546" i="51"/>
  <c r="H546" i="51"/>
  <c r="I546" i="51"/>
  <c r="J546" i="51"/>
  <c r="K546" i="51"/>
  <c r="L546" i="51"/>
  <c r="M546" i="51"/>
  <c r="N546" i="51"/>
  <c r="O546" i="51"/>
  <c r="P546" i="51"/>
  <c r="Q546" i="51"/>
  <c r="C547" i="51"/>
  <c r="D547" i="51"/>
  <c r="E547" i="51"/>
  <c r="F547" i="51"/>
  <c r="G547" i="51"/>
  <c r="H547" i="51"/>
  <c r="I547" i="51"/>
  <c r="J547" i="51"/>
  <c r="K547" i="51"/>
  <c r="L547" i="51"/>
  <c r="M547" i="51"/>
  <c r="N547" i="51"/>
  <c r="O547" i="51"/>
  <c r="P547" i="51"/>
  <c r="Q547" i="51"/>
  <c r="C548" i="51"/>
  <c r="F548" i="51"/>
  <c r="H548" i="51"/>
  <c r="I548" i="51"/>
  <c r="J548" i="51"/>
  <c r="K548" i="51"/>
  <c r="L548" i="51"/>
  <c r="M548" i="51"/>
  <c r="N548" i="51"/>
  <c r="O548" i="51"/>
  <c r="P548" i="51"/>
  <c r="Q548" i="51"/>
  <c r="C549" i="51"/>
  <c r="D549" i="51"/>
  <c r="F549" i="51"/>
  <c r="G549" i="51"/>
  <c r="H549" i="51"/>
  <c r="I549" i="51"/>
  <c r="J549" i="51"/>
  <c r="K549" i="51"/>
  <c r="L549" i="51"/>
  <c r="M549" i="51"/>
  <c r="N549" i="51"/>
  <c r="O549" i="51"/>
  <c r="P549" i="51"/>
  <c r="Q549" i="51"/>
  <c r="C550" i="51"/>
  <c r="D550" i="51"/>
  <c r="E550" i="51"/>
  <c r="F550" i="51"/>
  <c r="G550" i="51"/>
  <c r="H550" i="51"/>
  <c r="I550" i="51"/>
  <c r="J550" i="51"/>
  <c r="K550" i="51"/>
  <c r="L550" i="51"/>
  <c r="M550" i="51"/>
  <c r="N550" i="51"/>
  <c r="O550" i="51"/>
  <c r="P550" i="51"/>
  <c r="Q550" i="51"/>
  <c r="C551" i="51"/>
  <c r="D551" i="51"/>
  <c r="E551" i="51"/>
  <c r="F551" i="51"/>
  <c r="G551" i="51"/>
  <c r="H551" i="51"/>
  <c r="I551" i="51"/>
  <c r="J551" i="51"/>
  <c r="K551" i="51"/>
  <c r="L551" i="51"/>
  <c r="M551" i="51"/>
  <c r="N551" i="51"/>
  <c r="O551" i="51"/>
  <c r="P551" i="51"/>
  <c r="Q551" i="51"/>
  <c r="C553" i="51"/>
  <c r="D553" i="51"/>
  <c r="F553" i="51"/>
  <c r="G553" i="51"/>
  <c r="H553" i="51"/>
  <c r="I553" i="51"/>
  <c r="J553" i="51"/>
  <c r="K553" i="51"/>
  <c r="L553" i="51"/>
  <c r="M553" i="51"/>
  <c r="N553" i="51"/>
  <c r="O553" i="51"/>
  <c r="P553" i="51"/>
  <c r="Q553" i="51"/>
  <c r="C554" i="51"/>
  <c r="D554" i="51"/>
  <c r="E554" i="51"/>
  <c r="F554" i="51"/>
  <c r="G554" i="51"/>
  <c r="H554" i="51"/>
  <c r="I554" i="51"/>
  <c r="J554" i="51"/>
  <c r="K554" i="51"/>
  <c r="L554" i="51"/>
  <c r="M554" i="51"/>
  <c r="N554" i="51"/>
  <c r="O554" i="51"/>
  <c r="P554" i="51"/>
  <c r="Q554" i="51"/>
  <c r="C555" i="51"/>
  <c r="D555" i="51"/>
  <c r="E555" i="51"/>
  <c r="F555" i="51"/>
  <c r="G555" i="51"/>
  <c r="H555" i="51"/>
  <c r="I555" i="51"/>
  <c r="J555" i="51"/>
  <c r="K555" i="51"/>
  <c r="L555" i="51"/>
  <c r="M555" i="51"/>
  <c r="N555" i="51"/>
  <c r="O555" i="51"/>
  <c r="P555" i="51"/>
  <c r="Q555" i="51"/>
  <c r="C556" i="51"/>
  <c r="F556" i="51"/>
  <c r="H556" i="51"/>
  <c r="I556" i="51"/>
  <c r="J556" i="51"/>
  <c r="K556" i="51"/>
  <c r="L556" i="51"/>
  <c r="M556" i="51"/>
  <c r="N556" i="51"/>
  <c r="O556" i="51"/>
  <c r="P556" i="51"/>
  <c r="Q556" i="51"/>
  <c r="C557" i="51"/>
  <c r="D557" i="51"/>
  <c r="E557" i="51"/>
  <c r="F557" i="51"/>
  <c r="G557" i="51"/>
  <c r="H557" i="51"/>
  <c r="I557" i="51"/>
  <c r="J557" i="51"/>
  <c r="K557" i="51"/>
  <c r="L557" i="51"/>
  <c r="M557" i="51"/>
  <c r="N557" i="51"/>
  <c r="O557" i="51"/>
  <c r="P557" i="51"/>
  <c r="Q557" i="51"/>
  <c r="C558" i="51"/>
  <c r="D558" i="51"/>
  <c r="E558" i="51"/>
  <c r="F558" i="51"/>
  <c r="G558" i="51"/>
  <c r="H558" i="51"/>
  <c r="I558" i="51"/>
  <c r="J558" i="51"/>
  <c r="K558" i="51"/>
  <c r="L558" i="51"/>
  <c r="M558" i="51"/>
  <c r="N558" i="51"/>
  <c r="O558" i="51"/>
  <c r="P558" i="51"/>
  <c r="Q558" i="51"/>
  <c r="C559" i="51"/>
  <c r="D559" i="51"/>
  <c r="E559" i="51"/>
  <c r="F559" i="51"/>
  <c r="G559" i="51"/>
  <c r="H559" i="51"/>
  <c r="I559" i="51"/>
  <c r="J559" i="51"/>
  <c r="K559" i="51"/>
  <c r="L559" i="51"/>
  <c r="M559" i="51"/>
  <c r="N559" i="51"/>
  <c r="O559" i="51"/>
  <c r="P559" i="51"/>
  <c r="Q559" i="51"/>
  <c r="C560" i="51"/>
  <c r="H560" i="51"/>
  <c r="I560" i="51"/>
  <c r="J560" i="51"/>
  <c r="K560" i="51"/>
  <c r="L560" i="51"/>
  <c r="M560" i="51"/>
  <c r="N560" i="51"/>
  <c r="O560" i="51"/>
  <c r="P560" i="51"/>
  <c r="Q560" i="51"/>
  <c r="C561" i="51"/>
  <c r="D561" i="51"/>
  <c r="E561" i="51"/>
  <c r="F561" i="51"/>
  <c r="G561" i="51"/>
  <c r="H561" i="51"/>
  <c r="I561" i="51"/>
  <c r="J561" i="51"/>
  <c r="K561" i="51"/>
  <c r="L561" i="51"/>
  <c r="M561" i="51"/>
  <c r="N561" i="51"/>
  <c r="O561" i="51"/>
  <c r="P561" i="51"/>
  <c r="Q561" i="51"/>
  <c r="C562" i="51"/>
  <c r="D562" i="51"/>
  <c r="E562" i="51"/>
  <c r="F562" i="51"/>
  <c r="G562" i="51"/>
  <c r="H562" i="51"/>
  <c r="I562" i="51"/>
  <c r="J562" i="51"/>
  <c r="K562" i="51"/>
  <c r="L562" i="51"/>
  <c r="M562" i="51"/>
  <c r="N562" i="51"/>
  <c r="O562" i="51"/>
  <c r="P562" i="51"/>
  <c r="Q562" i="51"/>
  <c r="C563" i="51"/>
  <c r="D563" i="51"/>
  <c r="E563" i="51"/>
  <c r="F563" i="51"/>
  <c r="G563" i="51"/>
  <c r="H563" i="51"/>
  <c r="I563" i="51"/>
  <c r="J563" i="51"/>
  <c r="K563" i="51"/>
  <c r="L563" i="51"/>
  <c r="M563" i="51"/>
  <c r="N563" i="51"/>
  <c r="O563" i="51"/>
  <c r="P563" i="51"/>
  <c r="Q563" i="51"/>
  <c r="C564" i="51"/>
  <c r="H564" i="51"/>
  <c r="I564" i="51"/>
  <c r="J564" i="51"/>
  <c r="K564" i="51"/>
  <c r="L564" i="51"/>
  <c r="M564" i="51"/>
  <c r="N564" i="51"/>
  <c r="O564" i="51"/>
  <c r="P564" i="51"/>
  <c r="Q564" i="51"/>
  <c r="C565" i="51"/>
  <c r="D565" i="51"/>
  <c r="E565" i="51"/>
  <c r="F565" i="51"/>
  <c r="G565" i="51"/>
  <c r="H565" i="51"/>
  <c r="I565" i="51"/>
  <c r="J565" i="51"/>
  <c r="K565" i="51"/>
  <c r="L565" i="51"/>
  <c r="M565" i="51"/>
  <c r="N565" i="51"/>
  <c r="O565" i="51"/>
  <c r="P565" i="51"/>
  <c r="Q565" i="51"/>
  <c r="C566" i="51"/>
  <c r="D566" i="51"/>
  <c r="E566" i="51"/>
  <c r="F566" i="51"/>
  <c r="G566" i="51"/>
  <c r="H566" i="51"/>
  <c r="I566" i="51"/>
  <c r="J566" i="51"/>
  <c r="K566" i="51"/>
  <c r="L566" i="51"/>
  <c r="M566" i="51"/>
  <c r="N566" i="51"/>
  <c r="O566" i="51"/>
  <c r="P566" i="51"/>
  <c r="Q566" i="51"/>
  <c r="C567" i="51"/>
  <c r="D567" i="51"/>
  <c r="E567" i="51"/>
  <c r="F567" i="51"/>
  <c r="G567" i="51"/>
  <c r="H567" i="51"/>
  <c r="I567" i="51"/>
  <c r="J567" i="51"/>
  <c r="K567" i="51"/>
  <c r="L567" i="51"/>
  <c r="M567" i="51"/>
  <c r="N567" i="51"/>
  <c r="O567" i="51"/>
  <c r="P567" i="51"/>
  <c r="Q567" i="51"/>
  <c r="C568" i="51"/>
  <c r="H568" i="51"/>
  <c r="I568" i="51"/>
  <c r="J568" i="51"/>
  <c r="K568" i="51"/>
  <c r="L568" i="51"/>
  <c r="M568" i="51"/>
  <c r="N568" i="51"/>
  <c r="O568" i="51"/>
  <c r="P568" i="51"/>
  <c r="Q568" i="51"/>
  <c r="C569" i="51"/>
  <c r="D569" i="51"/>
  <c r="E569" i="51"/>
  <c r="F569" i="51"/>
  <c r="G569" i="51"/>
  <c r="H569" i="51"/>
  <c r="I569" i="51"/>
  <c r="J569" i="51"/>
  <c r="K569" i="51"/>
  <c r="L569" i="51"/>
  <c r="M569" i="51"/>
  <c r="N569" i="51"/>
  <c r="O569" i="51"/>
  <c r="P569" i="51"/>
  <c r="Q569" i="51"/>
  <c r="C570" i="51"/>
  <c r="D570" i="51"/>
  <c r="E570" i="51"/>
  <c r="F570" i="51"/>
  <c r="G570" i="51"/>
  <c r="H570" i="51"/>
  <c r="I570" i="51"/>
  <c r="J570" i="51"/>
  <c r="K570" i="51"/>
  <c r="L570" i="51"/>
  <c r="M570" i="51"/>
  <c r="N570" i="51"/>
  <c r="O570" i="51"/>
  <c r="P570" i="51"/>
  <c r="Q570" i="51"/>
  <c r="C571" i="51"/>
  <c r="D571" i="51"/>
  <c r="E571" i="51"/>
  <c r="F571" i="51"/>
  <c r="G571" i="51"/>
  <c r="H571" i="51"/>
  <c r="I571" i="51"/>
  <c r="J571" i="51"/>
  <c r="K571" i="51"/>
  <c r="L571" i="51"/>
  <c r="M571" i="51"/>
  <c r="N571" i="51"/>
  <c r="O571" i="51"/>
  <c r="P571" i="51"/>
  <c r="Q571" i="51"/>
  <c r="A65" i="34" l="1"/>
  <c r="E65" i="34" s="1"/>
  <c r="A75" i="34"/>
  <c r="E75" i="34" s="1"/>
  <c r="A69" i="34"/>
  <c r="E69" i="34" s="1"/>
  <c r="B68" i="34"/>
  <c r="F68" i="34" s="1"/>
  <c r="A67" i="34"/>
  <c r="E67" i="34" s="1"/>
  <c r="B73" i="34"/>
  <c r="F73" i="34" s="1"/>
  <c r="A72" i="34"/>
  <c r="E72" i="34" s="1"/>
  <c r="A66" i="34"/>
  <c r="E66" i="34" s="1"/>
  <c r="A49" i="34"/>
  <c r="E49" i="34" s="1"/>
  <c r="B67" i="34"/>
  <c r="F67" i="34" s="1"/>
  <c r="E127" i="51"/>
  <c r="B115" i="34" s="1"/>
  <c r="F115" i="34" s="1"/>
  <c r="E368" i="51"/>
  <c r="B356" i="34" s="1"/>
  <c r="F356" i="34" s="1"/>
  <c r="B76" i="34"/>
  <c r="F76" i="34" s="1"/>
  <c r="A622" i="34"/>
  <c r="E622" i="34" s="1"/>
  <c r="B89" i="34"/>
  <c r="F89" i="34" s="1"/>
  <c r="A88" i="34"/>
  <c r="E88" i="34" s="1"/>
  <c r="E345" i="51"/>
  <c r="B333" i="34" s="1"/>
  <c r="F333" i="34" s="1"/>
  <c r="A73" i="34"/>
  <c r="E73" i="34" s="1"/>
  <c r="A89" i="34"/>
  <c r="E89" i="34" s="1"/>
  <c r="B84" i="34"/>
  <c r="F84" i="34" s="1"/>
  <c r="G804" i="51"/>
  <c r="B87" i="34"/>
  <c r="F87" i="34" s="1"/>
  <c r="E737" i="51"/>
  <c r="B722" i="34" s="1"/>
  <c r="F722" i="34" s="1"/>
  <c r="E733" i="51"/>
  <c r="E437" i="51"/>
  <c r="B437" i="34" s="1"/>
  <c r="F437" i="34" s="1"/>
  <c r="E247" i="51"/>
  <c r="B235" i="34" s="1"/>
  <c r="F235" i="34" s="1"/>
  <c r="A90" i="34"/>
  <c r="E90" i="34" s="1"/>
  <c r="E885" i="51"/>
  <c r="E686" i="51"/>
  <c r="B690" i="34" s="1"/>
  <c r="F690" i="34" s="1"/>
  <c r="E564" i="51"/>
  <c r="B551" i="34" s="1"/>
  <c r="F551" i="34" s="1"/>
  <c r="A80" i="34"/>
  <c r="E80" i="34" s="1"/>
  <c r="A52" i="34"/>
  <c r="E52" i="34" s="1"/>
  <c r="E528" i="51"/>
  <c r="B515" i="34" s="1"/>
  <c r="F515" i="34" s="1"/>
  <c r="E504" i="51"/>
  <c r="B491" i="34" s="1"/>
  <c r="F491" i="34" s="1"/>
  <c r="E476" i="51"/>
  <c r="B463" i="34" s="1"/>
  <c r="F463" i="34" s="1"/>
  <c r="E319" i="51"/>
  <c r="B320" i="34" s="1"/>
  <c r="F320" i="34" s="1"/>
  <c r="E215" i="51"/>
  <c r="B203" i="34" s="1"/>
  <c r="F203" i="34" s="1"/>
  <c r="E82" i="51"/>
  <c r="B59" i="34" s="1"/>
  <c r="F59" i="34" s="1"/>
  <c r="B56" i="34"/>
  <c r="F56" i="34" s="1"/>
  <c r="E74" i="51"/>
  <c r="B74" i="34" s="1"/>
  <c r="F74" i="34" s="1"/>
  <c r="E769" i="51"/>
  <c r="E653" i="51"/>
  <c r="B638" i="34" s="1"/>
  <c r="F638" i="34" s="1"/>
  <c r="E604" i="51"/>
  <c r="B591" i="34" s="1"/>
  <c r="F591" i="34" s="1"/>
  <c r="E280" i="51"/>
  <c r="B280" i="34" s="1"/>
  <c r="F280" i="34" s="1"/>
  <c r="E829" i="51"/>
  <c r="E484" i="51"/>
  <c r="B471" i="34" s="1"/>
  <c r="F471" i="34" s="1"/>
  <c r="E425" i="51"/>
  <c r="B411" i="34" s="1"/>
  <c r="F411" i="34" s="1"/>
  <c r="E396" i="51"/>
  <c r="B397" i="34" s="1"/>
  <c r="F397" i="34" s="1"/>
  <c r="E288" i="51"/>
  <c r="B275" i="34" s="1"/>
  <c r="F275" i="34" s="1"/>
  <c r="A76" i="34"/>
  <c r="E76" i="34" s="1"/>
  <c r="A74" i="34"/>
  <c r="E74" i="34" s="1"/>
  <c r="B71" i="34"/>
  <c r="F71" i="34" s="1"/>
  <c r="A70" i="34"/>
  <c r="E70" i="34" s="1"/>
  <c r="A68" i="34"/>
  <c r="E68" i="34" s="1"/>
  <c r="B64" i="34"/>
  <c r="F64" i="34" s="1"/>
  <c r="B57" i="34"/>
  <c r="F57" i="34" s="1"/>
  <c r="A56" i="34"/>
  <c r="E56" i="34" s="1"/>
  <c r="E697" i="51"/>
  <c r="B703" i="34" s="1"/>
  <c r="F703" i="34" s="1"/>
  <c r="E665" i="51"/>
  <c r="E612" i="51"/>
  <c r="B599" i="34" s="1"/>
  <c r="F599" i="34" s="1"/>
  <c r="E865" i="51"/>
  <c r="E857" i="51"/>
  <c r="E492" i="51"/>
  <c r="B479" i="34" s="1"/>
  <c r="F479" i="34" s="1"/>
  <c r="E360" i="51"/>
  <c r="B360" i="34" s="1"/>
  <c r="F360" i="34" s="1"/>
  <c r="E339" i="51"/>
  <c r="B339" i="34" s="1"/>
  <c r="F339" i="34" s="1"/>
  <c r="E296" i="51"/>
  <c r="B283" i="34" s="1"/>
  <c r="F283" i="34" s="1"/>
  <c r="E195" i="51"/>
  <c r="E102" i="51"/>
  <c r="B102" i="34" s="1"/>
  <c r="F102" i="34" s="1"/>
  <c r="B72" i="34"/>
  <c r="F72" i="34" s="1"/>
  <c r="A71" i="34"/>
  <c r="E71" i="34" s="1"/>
  <c r="E94" i="51"/>
  <c r="B85" i="34" s="1"/>
  <c r="F85" i="34" s="1"/>
  <c r="B66" i="34"/>
  <c r="F66" i="34" s="1"/>
  <c r="A64" i="34"/>
  <c r="E64" i="34" s="1"/>
  <c r="E22" i="51"/>
  <c r="B22" i="34" s="1"/>
  <c r="F22" i="34" s="1"/>
  <c r="E821" i="51"/>
  <c r="E800" i="51"/>
  <c r="E781" i="51"/>
  <c r="E725" i="51"/>
  <c r="B710" i="34" s="1"/>
  <c r="F710" i="34" s="1"/>
  <c r="E520" i="51"/>
  <c r="B507" i="34" s="1"/>
  <c r="F507" i="34" s="1"/>
  <c r="E540" i="51"/>
  <c r="B527" i="34" s="1"/>
  <c r="F527" i="34" s="1"/>
  <c r="E409" i="51"/>
  <c r="B395" i="34" s="1"/>
  <c r="F395" i="34" s="1"/>
  <c r="E380" i="51"/>
  <c r="E352" i="51"/>
  <c r="B353" i="34" s="1"/>
  <c r="F353" i="34" s="1"/>
  <c r="E331" i="51"/>
  <c r="B332" i="34" s="1"/>
  <c r="F332" i="34" s="1"/>
  <c r="E304" i="51"/>
  <c r="B304" i="34" s="1"/>
  <c r="F304" i="34" s="1"/>
  <c r="E267" i="51"/>
  <c r="B255" i="34" s="1"/>
  <c r="F255" i="34" s="1"/>
  <c r="E259" i="51"/>
  <c r="B259" i="34" s="1"/>
  <c r="F259" i="34" s="1"/>
  <c r="E227" i="51"/>
  <c r="B227" i="34" s="1"/>
  <c r="F227" i="34" s="1"/>
  <c r="E6" i="51"/>
  <c r="B6" i="34" s="1"/>
  <c r="F6" i="34" s="1"/>
  <c r="E896" i="51"/>
  <c r="E873" i="51"/>
  <c r="E841" i="51"/>
  <c r="E803" i="51"/>
  <c r="E792" i="51"/>
  <c r="E773" i="51"/>
  <c r="E717" i="51"/>
  <c r="B702" i="34" s="1"/>
  <c r="F702" i="34" s="1"/>
  <c r="E709" i="51"/>
  <c r="B694" i="34" s="1"/>
  <c r="F694" i="34" s="1"/>
  <c r="E681" i="51"/>
  <c r="E645" i="51"/>
  <c r="B630" i="34" s="1"/>
  <c r="F630" i="34" s="1"/>
  <c r="E624" i="51"/>
  <c r="B611" i="34" s="1"/>
  <c r="F611" i="34" s="1"/>
  <c r="E596" i="51"/>
  <c r="B583" i="34" s="1"/>
  <c r="F583" i="34" s="1"/>
  <c r="E580" i="51"/>
  <c r="B567" i="34" s="1"/>
  <c r="F567" i="34" s="1"/>
  <c r="E552" i="51"/>
  <c r="B539" i="34" s="1"/>
  <c r="F539" i="34" s="1"/>
  <c r="E673" i="51"/>
  <c r="E877" i="51"/>
  <c r="E163" i="51"/>
  <c r="E30" i="51"/>
  <c r="B30" i="34" s="1"/>
  <c r="F30" i="34" s="1"/>
  <c r="E833" i="51"/>
  <c r="E853" i="51"/>
  <c r="E175" i="51"/>
  <c r="E187" i="51"/>
  <c r="E106" i="51"/>
  <c r="B96" i="34" s="1"/>
  <c r="F96" i="34" s="1"/>
  <c r="E151" i="51"/>
  <c r="E167" i="51"/>
  <c r="B155" i="34" s="1"/>
  <c r="F155" i="34" s="1"/>
  <c r="E657" i="51"/>
  <c r="B642" i="34" s="1"/>
  <c r="F642" i="34" s="1"/>
  <c r="E516" i="51"/>
  <c r="B503" i="34" s="1"/>
  <c r="F503" i="34" s="1"/>
  <c r="E468" i="51"/>
  <c r="B455" i="34" s="1"/>
  <c r="F455" i="34" s="1"/>
  <c r="E452" i="51"/>
  <c r="B439" i="34" s="1"/>
  <c r="F439" i="34" s="1"/>
  <c r="E568" i="51"/>
  <c r="B555" i="34" s="1"/>
  <c r="F555" i="34" s="1"/>
  <c r="E560" i="51"/>
  <c r="B547" i="34" s="1"/>
  <c r="F547" i="34" s="1"/>
  <c r="E524" i="51"/>
  <c r="B511" i="34" s="1"/>
  <c r="F511" i="34" s="1"/>
  <c r="E496" i="51"/>
  <c r="B483" i="34" s="1"/>
  <c r="F483" i="34" s="1"/>
  <c r="E480" i="51"/>
  <c r="B467" i="34" s="1"/>
  <c r="F467" i="34" s="1"/>
  <c r="E460" i="51"/>
  <c r="B447" i="34" s="1"/>
  <c r="F447" i="34" s="1"/>
  <c r="E433" i="51"/>
  <c r="B417" i="34" s="1"/>
  <c r="F417" i="34" s="1"/>
  <c r="E429" i="51"/>
  <c r="B415" i="34" s="1"/>
  <c r="F415" i="34" s="1"/>
  <c r="E421" i="51"/>
  <c r="B407" i="34" s="1"/>
  <c r="F407" i="34" s="1"/>
  <c r="E392" i="51"/>
  <c r="B392" i="34" s="1"/>
  <c r="F392" i="34" s="1"/>
  <c r="E364" i="51"/>
  <c r="B365" i="34" s="1"/>
  <c r="F365" i="34" s="1"/>
  <c r="E343" i="51"/>
  <c r="B343" i="34" s="1"/>
  <c r="F343" i="34" s="1"/>
  <c r="E400" i="51"/>
  <c r="B388" i="34" s="1"/>
  <c r="F388" i="34" s="1"/>
  <c r="E323" i="51"/>
  <c r="B311" i="34" s="1"/>
  <c r="F311" i="34" s="1"/>
  <c r="E292" i="51"/>
  <c r="B292" i="34" s="1"/>
  <c r="F292" i="34" s="1"/>
  <c r="E251" i="51"/>
  <c r="B239" i="34" s="1"/>
  <c r="F239" i="34" s="1"/>
  <c r="E243" i="51"/>
  <c r="B243" i="34" s="1"/>
  <c r="F243" i="34" s="1"/>
  <c r="E211" i="51"/>
  <c r="E199" i="51"/>
  <c r="E126" i="51"/>
  <c r="B114" i="34" s="1"/>
  <c r="F114" i="34" s="1"/>
  <c r="B88" i="34"/>
  <c r="F88" i="34" s="1"/>
  <c r="A84" i="34"/>
  <c r="E84" i="34" s="1"/>
  <c r="E90" i="51"/>
  <c r="B90" i="34" s="1"/>
  <c r="F90" i="34" s="1"/>
  <c r="E86" i="51"/>
  <c r="B63" i="34" s="1"/>
  <c r="F63" i="34" s="1"/>
  <c r="B60" i="34"/>
  <c r="F60" i="34" s="1"/>
  <c r="A57" i="34"/>
  <c r="E57" i="34" s="1"/>
  <c r="B52" i="34"/>
  <c r="F52" i="34" s="1"/>
  <c r="E70" i="51"/>
  <c r="B70" i="34" s="1"/>
  <c r="F70" i="34" s="1"/>
  <c r="E26" i="51"/>
  <c r="B26" i="34" s="1"/>
  <c r="F26" i="34" s="1"/>
  <c r="E18" i="51"/>
  <c r="B18" i="34" s="1"/>
  <c r="F18" i="34" s="1"/>
  <c r="E796" i="51"/>
  <c r="E777" i="51"/>
  <c r="E765" i="51"/>
  <c r="E741" i="51"/>
  <c r="B726" i="34" s="1"/>
  <c r="F726" i="34" s="1"/>
  <c r="E729" i="51"/>
  <c r="B714" i="34" s="1"/>
  <c r="F714" i="34" s="1"/>
  <c r="E701" i="51"/>
  <c r="B707" i="34" s="1"/>
  <c r="F707" i="34" s="1"/>
  <c r="E689" i="51"/>
  <c r="B674" i="34" s="1"/>
  <c r="F674" i="34" s="1"/>
  <c r="E661" i="51"/>
  <c r="E632" i="51"/>
  <c r="B619" i="34" s="1"/>
  <c r="F619" i="34" s="1"/>
  <c r="E608" i="51"/>
  <c r="B595" i="34" s="1"/>
  <c r="F595" i="34" s="1"/>
  <c r="E207" i="51"/>
  <c r="E849" i="51"/>
  <c r="E139" i="51"/>
  <c r="E183" i="51"/>
  <c r="E544" i="51"/>
  <c r="B531" i="34" s="1"/>
  <c r="F531" i="34" s="1"/>
  <c r="E536" i="51"/>
  <c r="B523" i="34" s="1"/>
  <c r="F523" i="34" s="1"/>
  <c r="E512" i="51"/>
  <c r="B499" i="34" s="1"/>
  <c r="F499" i="34" s="1"/>
  <c r="E456" i="51"/>
  <c r="B443" i="34" s="1"/>
  <c r="F443" i="34" s="1"/>
  <c r="E464" i="51"/>
  <c r="B451" i="34" s="1"/>
  <c r="F451" i="34" s="1"/>
  <c r="E448" i="51"/>
  <c r="B435" i="34" s="1"/>
  <c r="F435" i="34" s="1"/>
  <c r="E413" i="51"/>
  <c r="B399" i="34" s="1"/>
  <c r="F399" i="34" s="1"/>
  <c r="E384" i="51"/>
  <c r="B372" i="34" s="1"/>
  <c r="F372" i="34" s="1"/>
  <c r="E376" i="51"/>
  <c r="B377" i="34" s="1"/>
  <c r="F377" i="34" s="1"/>
  <c r="E348" i="51"/>
  <c r="B336" i="34" s="1"/>
  <c r="F336" i="34" s="1"/>
  <c r="E327" i="51"/>
  <c r="B328" i="34" s="1"/>
  <c r="F328" i="34" s="1"/>
  <c r="E315" i="51"/>
  <c r="E308" i="51"/>
  <c r="B308" i="34" s="1"/>
  <c r="F308" i="34" s="1"/>
  <c r="E300" i="51"/>
  <c r="B300" i="34" s="1"/>
  <c r="F300" i="34" s="1"/>
  <c r="E263" i="51"/>
  <c r="E231" i="51"/>
  <c r="B219" i="34" s="1"/>
  <c r="F219" i="34" s="1"/>
  <c r="E223" i="51"/>
  <c r="E118" i="51"/>
  <c r="B83" i="34" s="1"/>
  <c r="F83" i="34" s="1"/>
  <c r="B80" i="34"/>
  <c r="F80" i="34" s="1"/>
  <c r="A60" i="34"/>
  <c r="E60" i="34" s="1"/>
  <c r="B55" i="34"/>
  <c r="F55" i="34" s="1"/>
  <c r="E54" i="51"/>
  <c r="B51" i="34" s="1"/>
  <c r="F51" i="34" s="1"/>
  <c r="E10" i="51"/>
  <c r="B10" i="34" s="1"/>
  <c r="F10" i="34" s="1"/>
  <c r="E892" i="51"/>
  <c r="E869" i="51"/>
  <c r="E789" i="51"/>
  <c r="E753" i="51"/>
  <c r="E713" i="51"/>
  <c r="B698" i="34" s="1"/>
  <c r="F698" i="34" s="1"/>
  <c r="E693" i="51"/>
  <c r="E641" i="51"/>
  <c r="B626" i="34" s="1"/>
  <c r="F626" i="34" s="1"/>
  <c r="E620" i="51"/>
  <c r="B607" i="34" s="1"/>
  <c r="F607" i="34" s="1"/>
  <c r="E592" i="51"/>
  <c r="B579" i="34" s="1"/>
  <c r="F579" i="34" s="1"/>
  <c r="E584" i="51"/>
  <c r="B588" i="34" s="1"/>
  <c r="F588" i="34" s="1"/>
  <c r="E576" i="51"/>
  <c r="B563" i="34" s="1"/>
  <c r="F563" i="34" s="1"/>
  <c r="E636" i="51"/>
  <c r="B623" i="34" s="1"/>
  <c r="F623" i="34" s="1"/>
  <c r="E837" i="51"/>
  <c r="E825" i="51"/>
  <c r="E159" i="51"/>
  <c r="E147" i="51"/>
  <c r="E171" i="51"/>
  <c r="E135" i="51"/>
  <c r="B123" i="34" s="1"/>
  <c r="F123" i="34" s="1"/>
  <c r="E749" i="51"/>
  <c r="E628" i="51"/>
  <c r="B615" i="34" s="1"/>
  <c r="F615" i="34" s="1"/>
  <c r="E677" i="51"/>
  <c r="A720" i="34"/>
  <c r="E720" i="34" s="1"/>
  <c r="A716" i="34"/>
  <c r="E716" i="34" s="1"/>
  <c r="A704" i="34"/>
  <c r="E704" i="34" s="1"/>
  <c r="A87" i="34"/>
  <c r="E87" i="34" s="1"/>
  <c r="A83" i="34"/>
  <c r="E83" i="34" s="1"/>
  <c r="A77" i="34"/>
  <c r="E77" i="34" s="1"/>
  <c r="A78" i="34"/>
  <c r="E78" i="34" s="1"/>
  <c r="B53" i="34"/>
  <c r="F53" i="34" s="1"/>
  <c r="B50" i="34"/>
  <c r="F50" i="34" s="1"/>
  <c r="B47" i="34"/>
  <c r="F47" i="34" s="1"/>
  <c r="A660" i="34"/>
  <c r="E660" i="34" s="1"/>
  <c r="B62" i="34"/>
  <c r="F62" i="34" s="1"/>
  <c r="A657" i="34"/>
  <c r="E657" i="34" s="1"/>
  <c r="A712" i="34"/>
  <c r="E712" i="34" s="1"/>
  <c r="A59" i="34"/>
  <c r="E59" i="34" s="1"/>
  <c r="A53" i="34"/>
  <c r="E53" i="34" s="1"/>
  <c r="A86" i="34"/>
  <c r="E86" i="34" s="1"/>
  <c r="B61" i="34"/>
  <c r="F61" i="34" s="1"/>
  <c r="B58" i="34"/>
  <c r="F58" i="34" s="1"/>
  <c r="A50" i="34"/>
  <c r="E50" i="34" s="1"/>
  <c r="B48" i="34"/>
  <c r="F48" i="34" s="1"/>
  <c r="A47" i="34"/>
  <c r="E47" i="34" s="1"/>
  <c r="A708" i="34"/>
  <c r="E708" i="34" s="1"/>
  <c r="A63" i="34"/>
  <c r="E63" i="34" s="1"/>
  <c r="B77" i="34"/>
  <c r="F77" i="34" s="1"/>
  <c r="A54" i="34"/>
  <c r="E54" i="34" s="1"/>
  <c r="A48" i="34"/>
  <c r="E48" i="34" s="1"/>
  <c r="B78" i="34"/>
  <c r="F78" i="34" s="1"/>
  <c r="A62" i="34"/>
  <c r="E62" i="34" s="1"/>
  <c r="B49" i="34"/>
  <c r="F49" i="34" s="1"/>
  <c r="B46" i="34"/>
  <c r="F46" i="34" s="1"/>
  <c r="A82" i="34"/>
  <c r="E82" i="34" s="1"/>
  <c r="A85" i="34"/>
  <c r="E85" i="34" s="1"/>
  <c r="A81" i="34"/>
  <c r="E81" i="34" s="1"/>
  <c r="A61" i="34"/>
  <c r="E61" i="34" s="1"/>
  <c r="B709" i="34"/>
  <c r="F709" i="34" s="1"/>
  <c r="A700" i="34"/>
  <c r="E700" i="34" s="1"/>
  <c r="A696" i="34"/>
  <c r="E696" i="34" s="1"/>
  <c r="A692" i="34"/>
  <c r="E692" i="34" s="1"/>
  <c r="A688" i="34"/>
  <c r="E688" i="34" s="1"/>
  <c r="A684" i="34"/>
  <c r="E684" i="34" s="1"/>
  <c r="A680" i="34"/>
  <c r="E680" i="34" s="1"/>
  <c r="A58" i="34"/>
  <c r="E58" i="34" s="1"/>
  <c r="A46" i="34"/>
  <c r="E46" i="34" s="1"/>
  <c r="A79" i="34"/>
  <c r="E79" i="34" s="1"/>
  <c r="A55" i="34"/>
  <c r="E55" i="34" s="1"/>
  <c r="A51" i="34"/>
  <c r="E51" i="34" s="1"/>
  <c r="B679" i="34"/>
  <c r="F679" i="34" s="1"/>
  <c r="A666" i="34"/>
  <c r="E666" i="34" s="1"/>
  <c r="A719" i="34"/>
  <c r="E719" i="34" s="1"/>
  <c r="A715" i="34"/>
  <c r="E715" i="34" s="1"/>
  <c r="A711" i="34"/>
  <c r="E711" i="34" s="1"/>
  <c r="B708" i="34"/>
  <c r="F708" i="34" s="1"/>
  <c r="A707" i="34"/>
  <c r="E707" i="34" s="1"/>
  <c r="A703" i="34"/>
  <c r="E703" i="34" s="1"/>
  <c r="A699" i="34"/>
  <c r="E699" i="34" s="1"/>
  <c r="A695" i="34"/>
  <c r="E695" i="34" s="1"/>
  <c r="A691" i="34"/>
  <c r="E691" i="34" s="1"/>
  <c r="A687" i="34"/>
  <c r="E687" i="34" s="1"/>
  <c r="A683" i="34"/>
  <c r="E683" i="34" s="1"/>
  <c r="B718" i="34"/>
  <c r="F718" i="34" s="1"/>
  <c r="A717" i="34"/>
  <c r="E717" i="34" s="1"/>
  <c r="B706" i="34"/>
  <c r="F706" i="34" s="1"/>
  <c r="A701" i="34"/>
  <c r="E701" i="34" s="1"/>
  <c r="A693" i="34"/>
  <c r="E693" i="34" s="1"/>
  <c r="A689" i="34"/>
  <c r="E689" i="34" s="1"/>
  <c r="A681" i="34"/>
  <c r="E681" i="34" s="1"/>
  <c r="A718" i="34"/>
  <c r="E718" i="34" s="1"/>
  <c r="A714" i="34"/>
  <c r="E714" i="34" s="1"/>
  <c r="B711" i="34"/>
  <c r="F711" i="34" s="1"/>
  <c r="A710" i="34"/>
  <c r="E710" i="34" s="1"/>
  <c r="A706" i="34"/>
  <c r="E706" i="34" s="1"/>
  <c r="A702" i="34"/>
  <c r="E702" i="34" s="1"/>
  <c r="A698" i="34"/>
  <c r="E698" i="34" s="1"/>
  <c r="A694" i="34"/>
  <c r="E694" i="34" s="1"/>
  <c r="B691" i="34"/>
  <c r="F691" i="34" s="1"/>
  <c r="A690" i="34"/>
  <c r="E690" i="34" s="1"/>
  <c r="B687" i="34"/>
  <c r="F687" i="34" s="1"/>
  <c r="A686" i="34"/>
  <c r="E686" i="34" s="1"/>
  <c r="B683" i="34"/>
  <c r="F683" i="34" s="1"/>
  <c r="A682" i="34"/>
  <c r="E682" i="34" s="1"/>
  <c r="A713" i="34"/>
  <c r="E713" i="34" s="1"/>
  <c r="A709" i="34"/>
  <c r="E709" i="34" s="1"/>
  <c r="A705" i="34"/>
  <c r="E705" i="34" s="1"/>
  <c r="A697" i="34"/>
  <c r="E697" i="34" s="1"/>
  <c r="A685" i="34"/>
  <c r="E685" i="34" s="1"/>
  <c r="A679" i="34"/>
  <c r="E679" i="34" s="1"/>
  <c r="A729" i="34"/>
  <c r="E729" i="34" s="1"/>
  <c r="A678" i="34"/>
  <c r="E678" i="34" s="1"/>
  <c r="A675" i="34"/>
  <c r="E675" i="34" s="1"/>
  <c r="A728" i="34"/>
  <c r="E728" i="34" s="1"/>
  <c r="B725" i="34"/>
  <c r="F725" i="34" s="1"/>
  <c r="A724" i="34"/>
  <c r="E724" i="34" s="1"/>
  <c r="A42" i="34"/>
  <c r="E42" i="34" s="1"/>
  <c r="B730" i="34"/>
  <c r="F730" i="34" s="1"/>
  <c r="A30" i="34"/>
  <c r="E30" i="34" s="1"/>
  <c r="B44" i="34"/>
  <c r="F44" i="34" s="1"/>
  <c r="A39" i="34"/>
  <c r="E39" i="34" s="1"/>
  <c r="B36" i="34"/>
  <c r="F36" i="34" s="1"/>
  <c r="A35" i="34"/>
  <c r="E35" i="34" s="1"/>
  <c r="A725" i="34"/>
  <c r="E725" i="34" s="1"/>
  <c r="A721" i="34"/>
  <c r="E721" i="34" s="1"/>
  <c r="B663" i="34"/>
  <c r="F663" i="34" s="1"/>
  <c r="A37" i="34"/>
  <c r="E37" i="34" s="1"/>
  <c r="B41" i="34"/>
  <c r="F41" i="34" s="1"/>
  <c r="A40" i="34"/>
  <c r="E40" i="34" s="1"/>
  <c r="A32" i="34"/>
  <c r="E32" i="34" s="1"/>
  <c r="A730" i="34"/>
  <c r="E730" i="34" s="1"/>
  <c r="B727" i="34"/>
  <c r="F727" i="34" s="1"/>
  <c r="A726" i="34"/>
  <c r="E726" i="34" s="1"/>
  <c r="A722" i="34"/>
  <c r="E722" i="34" s="1"/>
  <c r="A731" i="34"/>
  <c r="E731" i="34" s="1"/>
  <c r="A727" i="34"/>
  <c r="E727" i="34" s="1"/>
  <c r="B724" i="34"/>
  <c r="F724" i="34" s="1"/>
  <c r="A723" i="34"/>
  <c r="E723" i="34" s="1"/>
  <c r="B35" i="34"/>
  <c r="F35" i="34" s="1"/>
  <c r="B667" i="34"/>
  <c r="F667" i="34" s="1"/>
  <c r="B91" i="34"/>
  <c r="F91" i="34" s="1"/>
  <c r="B39" i="34"/>
  <c r="F39" i="34" s="1"/>
  <c r="A674" i="34"/>
  <c r="E674" i="34" s="1"/>
  <c r="B671" i="34"/>
  <c r="F671" i="34" s="1"/>
  <c r="A670" i="34"/>
  <c r="E670" i="34" s="1"/>
  <c r="A662" i="34"/>
  <c r="E662" i="34" s="1"/>
  <c r="A43" i="34"/>
  <c r="E43" i="34" s="1"/>
  <c r="B43" i="34"/>
  <c r="F43" i="34" s="1"/>
  <c r="A38" i="34"/>
  <c r="E38" i="34" s="1"/>
  <c r="A34" i="34"/>
  <c r="E34" i="34" s="1"/>
  <c r="B31" i="34"/>
  <c r="F31" i="34" s="1"/>
  <c r="B675" i="34"/>
  <c r="F675" i="34" s="1"/>
  <c r="A658" i="34"/>
  <c r="E658" i="34" s="1"/>
  <c r="B643" i="34"/>
  <c r="F643" i="34" s="1"/>
  <c r="A642" i="34"/>
  <c r="E642" i="34" s="1"/>
  <c r="B40" i="34"/>
  <c r="F40" i="34" s="1"/>
  <c r="A31" i="34"/>
  <c r="E31" i="34" s="1"/>
  <c r="A663" i="34"/>
  <c r="E663" i="34" s="1"/>
  <c r="B33" i="34"/>
  <c r="F33" i="34" s="1"/>
  <c r="A91" i="34"/>
  <c r="E91" i="34" s="1"/>
  <c r="B32" i="34"/>
  <c r="F32" i="34" s="1"/>
  <c r="A659" i="34"/>
  <c r="E659" i="34" s="1"/>
  <c r="A623" i="34"/>
  <c r="E623" i="34" s="1"/>
  <c r="B659" i="34"/>
  <c r="F659" i="34" s="1"/>
  <c r="A614" i="34"/>
  <c r="E614" i="34" s="1"/>
  <c r="A610" i="34"/>
  <c r="E610" i="34" s="1"/>
  <c r="A606" i="34"/>
  <c r="E606" i="34" s="1"/>
  <c r="B603" i="34"/>
  <c r="F603" i="34" s="1"/>
  <c r="A602" i="34"/>
  <c r="E602" i="34" s="1"/>
  <c r="A598" i="34"/>
  <c r="E598" i="34" s="1"/>
  <c r="A594" i="34"/>
  <c r="E594" i="34" s="1"/>
  <c r="A590" i="34"/>
  <c r="E590" i="34" s="1"/>
  <c r="B587" i="34"/>
  <c r="F587" i="34" s="1"/>
  <c r="A586" i="34"/>
  <c r="E586" i="34" s="1"/>
  <c r="A582" i="34"/>
  <c r="E582" i="34" s="1"/>
  <c r="A578" i="34"/>
  <c r="E578" i="34" s="1"/>
  <c r="A618" i="34"/>
  <c r="E618" i="34" s="1"/>
  <c r="A45" i="34"/>
  <c r="E45" i="34" s="1"/>
  <c r="B34" i="34"/>
  <c r="F34" i="34" s="1"/>
  <c r="A33" i="34"/>
  <c r="E33" i="34" s="1"/>
  <c r="A665" i="34"/>
  <c r="E665" i="34" s="1"/>
  <c r="A641" i="34"/>
  <c r="E641" i="34" s="1"/>
  <c r="A625" i="34"/>
  <c r="E625" i="34" s="1"/>
  <c r="B639" i="34"/>
  <c r="F639" i="34" s="1"/>
  <c r="A638" i="34"/>
  <c r="E638" i="34" s="1"/>
  <c r="B635" i="34"/>
  <c r="F635" i="34" s="1"/>
  <c r="A634" i="34"/>
  <c r="E634" i="34" s="1"/>
  <c r="B631" i="34"/>
  <c r="F631" i="34" s="1"/>
  <c r="A630" i="34"/>
  <c r="E630" i="34" s="1"/>
  <c r="B627" i="34"/>
  <c r="F627" i="34" s="1"/>
  <c r="A626" i="34"/>
  <c r="E626" i="34" s="1"/>
  <c r="B575" i="34"/>
  <c r="F575" i="34" s="1"/>
  <c r="A574" i="34"/>
  <c r="E574" i="34" s="1"/>
  <c r="B571" i="34"/>
  <c r="F571" i="34" s="1"/>
  <c r="A570" i="34"/>
  <c r="E570" i="34" s="1"/>
  <c r="A566" i="34"/>
  <c r="E566" i="34" s="1"/>
  <c r="A562" i="34"/>
  <c r="E562" i="34" s="1"/>
  <c r="B559" i="34"/>
  <c r="F559" i="34" s="1"/>
  <c r="B655" i="34"/>
  <c r="F655" i="34" s="1"/>
  <c r="A654" i="34"/>
  <c r="E654" i="34" s="1"/>
  <c r="B651" i="34"/>
  <c r="F651" i="34" s="1"/>
  <c r="A650" i="34"/>
  <c r="E650" i="34" s="1"/>
  <c r="B647" i="34"/>
  <c r="F647" i="34" s="1"/>
  <c r="A646" i="34"/>
  <c r="E646" i="34" s="1"/>
  <c r="B672" i="34"/>
  <c r="F672" i="34" s="1"/>
  <c r="A671" i="34"/>
  <c r="E671" i="34" s="1"/>
  <c r="A655" i="34"/>
  <c r="E655" i="34" s="1"/>
  <c r="B652" i="34"/>
  <c r="F652" i="34" s="1"/>
  <c r="A651" i="34"/>
  <c r="E651" i="34" s="1"/>
  <c r="A647" i="34"/>
  <c r="E647" i="34" s="1"/>
  <c r="A639" i="34"/>
  <c r="E639" i="34" s="1"/>
  <c r="A635" i="34"/>
  <c r="E635" i="34" s="1"/>
  <c r="A631" i="34"/>
  <c r="E631" i="34" s="1"/>
  <c r="A627" i="34"/>
  <c r="E627" i="34" s="1"/>
  <c r="B620" i="34"/>
  <c r="F620" i="34" s="1"/>
  <c r="A619" i="34"/>
  <c r="E619" i="34" s="1"/>
  <c r="B576" i="34"/>
  <c r="F576" i="34" s="1"/>
  <c r="A575" i="34"/>
  <c r="E575" i="34" s="1"/>
  <c r="A571" i="34"/>
  <c r="E571" i="34" s="1"/>
  <c r="A567" i="34"/>
  <c r="E567" i="34" s="1"/>
  <c r="A563" i="34"/>
  <c r="E563" i="34" s="1"/>
  <c r="B560" i="34"/>
  <c r="F560" i="34" s="1"/>
  <c r="A559" i="34"/>
  <c r="E559" i="34" s="1"/>
  <c r="A676" i="34"/>
  <c r="E676" i="34" s="1"/>
  <c r="A667" i="34"/>
  <c r="E667" i="34" s="1"/>
  <c r="A615" i="34"/>
  <c r="E615" i="34" s="1"/>
  <c r="A603" i="34"/>
  <c r="E603" i="34" s="1"/>
  <c r="A595" i="34"/>
  <c r="E595" i="34" s="1"/>
  <c r="A591" i="34"/>
  <c r="E591" i="34" s="1"/>
  <c r="A587" i="34"/>
  <c r="E587" i="34" s="1"/>
  <c r="A579" i="34"/>
  <c r="E579" i="34" s="1"/>
  <c r="B93" i="34"/>
  <c r="F93" i="34" s="1"/>
  <c r="A92" i="34"/>
  <c r="E92" i="34" s="1"/>
  <c r="B45" i="34"/>
  <c r="F45" i="34" s="1"/>
  <c r="A44" i="34"/>
  <c r="E44" i="34" s="1"/>
  <c r="B37" i="34"/>
  <c r="F37" i="34" s="1"/>
  <c r="A36" i="34"/>
  <c r="E36" i="34" s="1"/>
  <c r="B673" i="34"/>
  <c r="F673" i="34" s="1"/>
  <c r="A672" i="34"/>
  <c r="E672" i="34" s="1"/>
  <c r="A668" i="34"/>
  <c r="E668" i="34" s="1"/>
  <c r="A664" i="34"/>
  <c r="E664" i="34" s="1"/>
  <c r="B657" i="34"/>
  <c r="F657" i="34" s="1"/>
  <c r="A656" i="34"/>
  <c r="E656" i="34" s="1"/>
  <c r="B653" i="34"/>
  <c r="F653" i="34" s="1"/>
  <c r="A652" i="34"/>
  <c r="E652" i="34" s="1"/>
  <c r="A648" i="34"/>
  <c r="E648" i="34" s="1"/>
  <c r="A644" i="34"/>
  <c r="E644" i="34" s="1"/>
  <c r="A640" i="34"/>
  <c r="E640" i="34" s="1"/>
  <c r="A636" i="34"/>
  <c r="E636" i="34" s="1"/>
  <c r="A632" i="34"/>
  <c r="E632" i="34" s="1"/>
  <c r="A628" i="34"/>
  <c r="E628" i="34" s="1"/>
  <c r="A624" i="34"/>
  <c r="E624" i="34" s="1"/>
  <c r="B621" i="34"/>
  <c r="F621" i="34" s="1"/>
  <c r="A620" i="34"/>
  <c r="E620" i="34" s="1"/>
  <c r="A616" i="34"/>
  <c r="E616" i="34" s="1"/>
  <c r="A612" i="34"/>
  <c r="E612" i="34" s="1"/>
  <c r="A608" i="34"/>
  <c r="E608" i="34" s="1"/>
  <c r="B605" i="34"/>
  <c r="F605" i="34" s="1"/>
  <c r="A604" i="34"/>
  <c r="E604" i="34" s="1"/>
  <c r="A600" i="34"/>
  <c r="E600" i="34" s="1"/>
  <c r="A596" i="34"/>
  <c r="E596" i="34" s="1"/>
  <c r="B593" i="34"/>
  <c r="F593" i="34" s="1"/>
  <c r="A592" i="34"/>
  <c r="E592" i="34" s="1"/>
  <c r="A588" i="34"/>
  <c r="E588" i="34" s="1"/>
  <c r="A584" i="34"/>
  <c r="E584" i="34" s="1"/>
  <c r="A580" i="34"/>
  <c r="E580" i="34" s="1"/>
  <c r="B577" i="34"/>
  <c r="F577" i="34" s="1"/>
  <c r="A576" i="34"/>
  <c r="E576" i="34" s="1"/>
  <c r="A572" i="34"/>
  <c r="E572" i="34" s="1"/>
  <c r="A568" i="34"/>
  <c r="E568" i="34" s="1"/>
  <c r="A564" i="34"/>
  <c r="E564" i="34" s="1"/>
  <c r="B561" i="34"/>
  <c r="F561" i="34" s="1"/>
  <c r="A560" i="34"/>
  <c r="E560" i="34" s="1"/>
  <c r="A643" i="34"/>
  <c r="E643" i="34" s="1"/>
  <c r="A611" i="34"/>
  <c r="E611" i="34" s="1"/>
  <c r="A607" i="34"/>
  <c r="E607" i="34" s="1"/>
  <c r="B604" i="34"/>
  <c r="F604" i="34" s="1"/>
  <c r="A599" i="34"/>
  <c r="E599" i="34" s="1"/>
  <c r="B592" i="34"/>
  <c r="F592" i="34" s="1"/>
  <c r="A583" i="34"/>
  <c r="E583" i="34" s="1"/>
  <c r="A93" i="34"/>
  <c r="E93" i="34" s="1"/>
  <c r="B42" i="34"/>
  <c r="F42" i="34" s="1"/>
  <c r="A41" i="34"/>
  <c r="E41" i="34" s="1"/>
  <c r="B38" i="34"/>
  <c r="F38" i="34" s="1"/>
  <c r="A677" i="34"/>
  <c r="E677" i="34" s="1"/>
  <c r="A673" i="34"/>
  <c r="E673" i="34" s="1"/>
  <c r="A669" i="34"/>
  <c r="E669" i="34" s="1"/>
  <c r="A661" i="34"/>
  <c r="E661" i="34" s="1"/>
  <c r="B654" i="34"/>
  <c r="F654" i="34" s="1"/>
  <c r="A653" i="34"/>
  <c r="E653" i="34" s="1"/>
  <c r="A649" i="34"/>
  <c r="E649" i="34" s="1"/>
  <c r="A645" i="34"/>
  <c r="E645" i="34" s="1"/>
  <c r="A637" i="34"/>
  <c r="E637" i="34" s="1"/>
  <c r="B634" i="34"/>
  <c r="F634" i="34" s="1"/>
  <c r="A633" i="34"/>
  <c r="E633" i="34" s="1"/>
  <c r="A629" i="34"/>
  <c r="E629" i="34" s="1"/>
  <c r="B622" i="34"/>
  <c r="F622" i="34" s="1"/>
  <c r="A621" i="34"/>
  <c r="E621" i="34" s="1"/>
  <c r="B618" i="34"/>
  <c r="F618" i="34" s="1"/>
  <c r="A617" i="34"/>
  <c r="E617" i="34" s="1"/>
  <c r="B614" i="34"/>
  <c r="F614" i="34" s="1"/>
  <c r="A613" i="34"/>
  <c r="E613" i="34" s="1"/>
  <c r="B610" i="34"/>
  <c r="F610" i="34" s="1"/>
  <c r="A609" i="34"/>
  <c r="E609" i="34" s="1"/>
  <c r="B606" i="34"/>
  <c r="F606" i="34" s="1"/>
  <c r="A605" i="34"/>
  <c r="E605" i="34" s="1"/>
  <c r="B602" i="34"/>
  <c r="F602" i="34" s="1"/>
  <c r="A601" i="34"/>
  <c r="E601" i="34" s="1"/>
  <c r="B598" i="34"/>
  <c r="F598" i="34" s="1"/>
  <c r="A597" i="34"/>
  <c r="E597" i="34" s="1"/>
  <c r="B594" i="34"/>
  <c r="F594" i="34" s="1"/>
  <c r="A593" i="34"/>
  <c r="E593" i="34" s="1"/>
  <c r="B590" i="34"/>
  <c r="F590" i="34" s="1"/>
  <c r="A589" i="34"/>
  <c r="E589" i="34" s="1"/>
  <c r="B586" i="34"/>
  <c r="F586" i="34" s="1"/>
  <c r="A585" i="34"/>
  <c r="E585" i="34" s="1"/>
  <c r="B582" i="34"/>
  <c r="F582" i="34" s="1"/>
  <c r="A581" i="34"/>
  <c r="E581" i="34" s="1"/>
  <c r="B578" i="34"/>
  <c r="F578" i="34" s="1"/>
  <c r="A577" i="34"/>
  <c r="E577" i="34" s="1"/>
  <c r="B574" i="34"/>
  <c r="F574" i="34" s="1"/>
  <c r="A573" i="34"/>
  <c r="E573" i="34" s="1"/>
  <c r="B570" i="34"/>
  <c r="F570" i="34" s="1"/>
  <c r="A569" i="34"/>
  <c r="E569" i="34" s="1"/>
  <c r="B566" i="34"/>
  <c r="F566" i="34" s="1"/>
  <c r="A565" i="34"/>
  <c r="E565" i="34" s="1"/>
  <c r="B562" i="34"/>
  <c r="F562" i="34" s="1"/>
  <c r="A561" i="34"/>
  <c r="E561" i="34" s="1"/>
  <c r="A468" i="34"/>
  <c r="E468" i="34" s="1"/>
  <c r="A187" i="34"/>
  <c r="E187" i="34" s="1"/>
  <c r="A185" i="34"/>
  <c r="E185" i="34" s="1"/>
  <c r="A181" i="34"/>
  <c r="E181" i="34" s="1"/>
  <c r="B185" i="34"/>
  <c r="F185" i="34" s="1"/>
  <c r="B181" i="34"/>
  <c r="F181" i="34" s="1"/>
  <c r="A186" i="34"/>
  <c r="E186" i="34" s="1"/>
  <c r="B186" i="34"/>
  <c r="F186" i="34" s="1"/>
  <c r="A182" i="34"/>
  <c r="E182" i="34" s="1"/>
  <c r="B184" i="34"/>
  <c r="F184" i="34" s="1"/>
  <c r="A184" i="34"/>
  <c r="E184" i="34" s="1"/>
  <c r="B177" i="34"/>
  <c r="F177" i="34" s="1"/>
  <c r="B182" i="34"/>
  <c r="F182" i="34" s="1"/>
  <c r="A177" i="34"/>
  <c r="E177" i="34" s="1"/>
  <c r="B188" i="34"/>
  <c r="F188" i="34" s="1"/>
  <c r="A188" i="34"/>
  <c r="E188" i="34" s="1"/>
  <c r="A183" i="34"/>
  <c r="E183" i="34" s="1"/>
  <c r="B492" i="34"/>
  <c r="F492" i="34" s="1"/>
  <c r="A491" i="34"/>
  <c r="E491" i="34" s="1"/>
  <c r="A557" i="34"/>
  <c r="E557" i="34" s="1"/>
  <c r="A455" i="34"/>
  <c r="E455" i="34" s="1"/>
  <c r="A451" i="34"/>
  <c r="E451" i="34" s="1"/>
  <c r="B448" i="34"/>
  <c r="F448" i="34" s="1"/>
  <c r="A447" i="34"/>
  <c r="E447" i="34" s="1"/>
  <c r="A427" i="34"/>
  <c r="E427" i="34" s="1"/>
  <c r="B418" i="34"/>
  <c r="F418" i="34" s="1"/>
  <c r="A416" i="34"/>
  <c r="E416" i="34" s="1"/>
  <c r="B405" i="34"/>
  <c r="F405" i="34" s="1"/>
  <c r="A403" i="34"/>
  <c r="E403" i="34" s="1"/>
  <c r="B383" i="34"/>
  <c r="F383" i="34" s="1"/>
  <c r="A381" i="34"/>
  <c r="E381" i="34" s="1"/>
  <c r="A356" i="34"/>
  <c r="E356" i="34" s="1"/>
  <c r="A326" i="34"/>
  <c r="E326" i="34" s="1"/>
  <c r="A302" i="34"/>
  <c r="E302" i="34" s="1"/>
  <c r="A218" i="34"/>
  <c r="E218" i="34" s="1"/>
  <c r="B209" i="34"/>
  <c r="F209" i="34" s="1"/>
  <c r="A176" i="34"/>
  <c r="E176" i="34" s="1"/>
  <c r="A175" i="34"/>
  <c r="E175" i="34" s="1"/>
  <c r="A174" i="34"/>
  <c r="E174" i="34" s="1"/>
  <c r="A173" i="34"/>
  <c r="E173" i="34" s="1"/>
  <c r="B130" i="34"/>
  <c r="F130" i="34" s="1"/>
  <c r="A129" i="34"/>
  <c r="E129" i="34" s="1"/>
  <c r="B117" i="34"/>
  <c r="F117" i="34" s="1"/>
  <c r="A108" i="34"/>
  <c r="E108" i="34" s="1"/>
  <c r="B459" i="34"/>
  <c r="F459" i="34" s="1"/>
  <c r="A456" i="34"/>
  <c r="E456" i="34" s="1"/>
  <c r="A452" i="34"/>
  <c r="E452" i="34" s="1"/>
  <c r="B449" i="34"/>
  <c r="F449" i="34" s="1"/>
  <c r="A448" i="34"/>
  <c r="E448" i="34" s="1"/>
  <c r="A436" i="34"/>
  <c r="E436" i="34" s="1"/>
  <c r="A418" i="34"/>
  <c r="E418" i="34" s="1"/>
  <c r="B406" i="34"/>
  <c r="F406" i="34" s="1"/>
  <c r="A405" i="34"/>
  <c r="E405" i="34" s="1"/>
  <c r="B385" i="34"/>
  <c r="F385" i="34" s="1"/>
  <c r="A383" i="34"/>
  <c r="E383" i="34" s="1"/>
  <c r="B378" i="34"/>
  <c r="F378" i="34" s="1"/>
  <c r="A360" i="34"/>
  <c r="E360" i="34" s="1"/>
  <c r="B248" i="34"/>
  <c r="F248" i="34" s="1"/>
  <c r="A247" i="34"/>
  <c r="E247" i="34" s="1"/>
  <c r="B210" i="34"/>
  <c r="F210" i="34" s="1"/>
  <c r="A209" i="34"/>
  <c r="E209" i="34" s="1"/>
  <c r="A463" i="34"/>
  <c r="E463" i="34" s="1"/>
  <c r="A454" i="34"/>
  <c r="E454" i="34" s="1"/>
  <c r="A450" i="34"/>
  <c r="E450" i="34" s="1"/>
  <c r="A442" i="34"/>
  <c r="E442" i="34" s="1"/>
  <c r="B427" i="34"/>
  <c r="F427" i="34" s="1"/>
  <c r="A421" i="34"/>
  <c r="E421" i="34" s="1"/>
  <c r="B416" i="34"/>
  <c r="F416" i="34" s="1"/>
  <c r="A414" i="34"/>
  <c r="E414" i="34" s="1"/>
  <c r="B535" i="34"/>
  <c r="F535" i="34" s="1"/>
  <c r="A534" i="34"/>
  <c r="E534" i="34" s="1"/>
  <c r="B510" i="34"/>
  <c r="F510" i="34" s="1"/>
  <c r="A508" i="34"/>
  <c r="E508" i="34" s="1"/>
  <c r="B498" i="34"/>
  <c r="F498" i="34" s="1"/>
  <c r="A496" i="34"/>
  <c r="E496" i="34" s="1"/>
  <c r="A327" i="34"/>
  <c r="E327" i="34" s="1"/>
  <c r="B321" i="34"/>
  <c r="F321" i="34" s="1"/>
  <c r="A303" i="34"/>
  <c r="E303" i="34" s="1"/>
  <c r="B403" i="34"/>
  <c r="F403" i="34" s="1"/>
  <c r="A387" i="34"/>
  <c r="E387" i="34" s="1"/>
  <c r="B381" i="34"/>
  <c r="F381" i="34" s="1"/>
  <c r="A380" i="34"/>
  <c r="E380" i="34" s="1"/>
  <c r="A352" i="34"/>
  <c r="E352" i="34" s="1"/>
  <c r="B326" i="34"/>
  <c r="F326" i="34" s="1"/>
  <c r="A324" i="34"/>
  <c r="E324" i="34" s="1"/>
  <c r="B302" i="34"/>
  <c r="F302" i="34" s="1"/>
  <c r="A273" i="34"/>
  <c r="E273" i="34" s="1"/>
  <c r="B218" i="34"/>
  <c r="F218" i="34" s="1"/>
  <c r="A216" i="34"/>
  <c r="E216" i="34" s="1"/>
  <c r="B176" i="34"/>
  <c r="F176" i="34" s="1"/>
  <c r="B174" i="34"/>
  <c r="F174" i="34" s="1"/>
  <c r="B173" i="34"/>
  <c r="F173" i="34" s="1"/>
  <c r="A172" i="34"/>
  <c r="E172" i="34" s="1"/>
  <c r="B558" i="34"/>
  <c r="F558" i="34" s="1"/>
  <c r="B162" i="34"/>
  <c r="F162" i="34" s="1"/>
  <c r="A130" i="34"/>
  <c r="E130" i="34" s="1"/>
  <c r="A117" i="34"/>
  <c r="E117" i="34" s="1"/>
  <c r="A162" i="34"/>
  <c r="E162" i="34" s="1"/>
  <c r="B120" i="34"/>
  <c r="F120" i="34" s="1"/>
  <c r="A118" i="34"/>
  <c r="E118" i="34" s="1"/>
  <c r="B105" i="34"/>
  <c r="F105" i="34" s="1"/>
  <c r="A94" i="34"/>
  <c r="E94" i="34" s="1"/>
  <c r="A551" i="34"/>
  <c r="E551" i="34" s="1"/>
  <c r="A514" i="34"/>
  <c r="E514" i="34" s="1"/>
  <c r="B505" i="34"/>
  <c r="F505" i="34" s="1"/>
  <c r="A501" i="34"/>
  <c r="E501" i="34" s="1"/>
  <c r="B494" i="34"/>
  <c r="F494" i="34" s="1"/>
  <c r="A493" i="34"/>
  <c r="E493" i="34" s="1"/>
  <c r="B466" i="34"/>
  <c r="F466" i="34" s="1"/>
  <c r="A461" i="34"/>
  <c r="E461" i="34" s="1"/>
  <c r="A441" i="34"/>
  <c r="E441" i="34" s="1"/>
  <c r="A411" i="34"/>
  <c r="E411" i="34" s="1"/>
  <c r="A408" i="34"/>
  <c r="E408" i="34" s="1"/>
  <c r="A407" i="34"/>
  <c r="E407" i="34" s="1"/>
  <c r="B398" i="34"/>
  <c r="F398" i="34" s="1"/>
  <c r="A386" i="34"/>
  <c r="E386" i="34" s="1"/>
  <c r="A379" i="34"/>
  <c r="E379" i="34" s="1"/>
  <c r="A351" i="34"/>
  <c r="E351" i="34" s="1"/>
  <c r="A350" i="34"/>
  <c r="E350" i="34" s="1"/>
  <c r="A349" i="34"/>
  <c r="E349" i="34" s="1"/>
  <c r="A342" i="34"/>
  <c r="E342" i="34" s="1"/>
  <c r="A341" i="34"/>
  <c r="E341" i="34" s="1"/>
  <c r="A334" i="34"/>
  <c r="E334" i="34" s="1"/>
  <c r="A333" i="34"/>
  <c r="E333" i="34" s="1"/>
  <c r="A332" i="34"/>
  <c r="E332" i="34" s="1"/>
  <c r="A331" i="34"/>
  <c r="E331" i="34" s="1"/>
  <c r="A330" i="34"/>
  <c r="E330" i="34" s="1"/>
  <c r="A329" i="34"/>
  <c r="E329" i="34" s="1"/>
  <c r="B325" i="34"/>
  <c r="F325" i="34" s="1"/>
  <c r="B297" i="34"/>
  <c r="F297" i="34" s="1"/>
  <c r="B289" i="34"/>
  <c r="F289" i="34" s="1"/>
  <c r="A268" i="34"/>
  <c r="E268" i="34" s="1"/>
  <c r="A267" i="34"/>
  <c r="E267" i="34" s="1"/>
  <c r="A266" i="34"/>
  <c r="E266" i="34" s="1"/>
  <c r="A265" i="34"/>
  <c r="E265" i="34" s="1"/>
  <c r="A264" i="34"/>
  <c r="E264" i="34" s="1"/>
  <c r="A263" i="34"/>
  <c r="E263" i="34" s="1"/>
  <c r="A262" i="34"/>
  <c r="E262" i="34" s="1"/>
  <c r="A261" i="34"/>
  <c r="E261" i="34" s="1"/>
  <c r="A260" i="34"/>
  <c r="E260" i="34" s="1"/>
  <c r="A259" i="34"/>
  <c r="E259" i="34" s="1"/>
  <c r="A258" i="34"/>
  <c r="E258" i="34" s="1"/>
  <c r="A257" i="34"/>
  <c r="E257" i="34" s="1"/>
  <c r="A254" i="34"/>
  <c r="E254" i="34" s="1"/>
  <c r="A253" i="34"/>
  <c r="E253" i="34" s="1"/>
  <c r="A214" i="34"/>
  <c r="E214" i="34" s="1"/>
  <c r="A213" i="34"/>
  <c r="E213" i="34" s="1"/>
  <c r="A166" i="34"/>
  <c r="E166" i="34" s="1"/>
  <c r="A165" i="34"/>
  <c r="E165" i="34" s="1"/>
  <c r="A164" i="34"/>
  <c r="E164" i="34" s="1"/>
  <c r="A466" i="34"/>
  <c r="E466" i="34" s="1"/>
  <c r="B434" i="34"/>
  <c r="F434" i="34" s="1"/>
  <c r="B430" i="34"/>
  <c r="F430" i="34" s="1"/>
  <c r="A423" i="34"/>
  <c r="E423" i="34" s="1"/>
  <c r="A422" i="34"/>
  <c r="E422" i="34" s="1"/>
  <c r="A392" i="34"/>
  <c r="E392" i="34" s="1"/>
  <c r="A355" i="34"/>
  <c r="E355" i="34" s="1"/>
  <c r="A325" i="34"/>
  <c r="E325" i="34" s="1"/>
  <c r="A300" i="34"/>
  <c r="E300" i="34" s="1"/>
  <c r="A299" i="34"/>
  <c r="E299" i="34" s="1"/>
  <c r="A298" i="34"/>
  <c r="E298" i="34" s="1"/>
  <c r="A292" i="34"/>
  <c r="E292" i="34" s="1"/>
  <c r="A291" i="34"/>
  <c r="E291" i="34" s="1"/>
  <c r="A290" i="34"/>
  <c r="E290" i="34" s="1"/>
  <c r="A288" i="34"/>
  <c r="E288" i="34" s="1"/>
  <c r="A287" i="34"/>
  <c r="E287" i="34" s="1"/>
  <c r="A279" i="34"/>
  <c r="E279" i="34" s="1"/>
  <c r="A278" i="34"/>
  <c r="E278" i="34" s="1"/>
  <c r="A276" i="34"/>
  <c r="E276" i="34" s="1"/>
  <c r="B246" i="34"/>
  <c r="F246" i="34" s="1"/>
  <c r="B245" i="34"/>
  <c r="F245" i="34" s="1"/>
  <c r="B244" i="34"/>
  <c r="F244" i="34" s="1"/>
  <c r="B233" i="34"/>
  <c r="F233" i="34" s="1"/>
  <c r="B232" i="34"/>
  <c r="F232" i="34" s="1"/>
  <c r="B228" i="34"/>
  <c r="F228" i="34" s="1"/>
  <c r="B226" i="34"/>
  <c r="F226" i="34" s="1"/>
  <c r="B222" i="34"/>
  <c r="F222" i="34" s="1"/>
  <c r="A462" i="34"/>
  <c r="E462" i="34" s="1"/>
  <c r="A460" i="34"/>
  <c r="E460" i="34" s="1"/>
  <c r="A440" i="34"/>
  <c r="E440" i="34" s="1"/>
  <c r="B426" i="34"/>
  <c r="F426" i="34" s="1"/>
  <c r="B423" i="34"/>
  <c r="F423" i="34" s="1"/>
  <c r="A410" i="34"/>
  <c r="E410" i="34" s="1"/>
  <c r="A409" i="34"/>
  <c r="E409" i="34" s="1"/>
  <c r="B394" i="34"/>
  <c r="F394" i="34" s="1"/>
  <c r="B355" i="34"/>
  <c r="F355" i="34" s="1"/>
  <c r="A339" i="34"/>
  <c r="E339" i="34" s="1"/>
  <c r="A338" i="34"/>
  <c r="E338" i="34" s="1"/>
  <c r="A323" i="34"/>
  <c r="E323" i="34" s="1"/>
  <c r="A322" i="34"/>
  <c r="E322" i="34" s="1"/>
  <c r="B294" i="34"/>
  <c r="F294" i="34" s="1"/>
  <c r="B285" i="34"/>
  <c r="F285" i="34" s="1"/>
  <c r="B281" i="34"/>
  <c r="F281" i="34" s="1"/>
  <c r="B274" i="34"/>
  <c r="F274" i="34" s="1"/>
  <c r="A256" i="34"/>
  <c r="E256" i="34" s="1"/>
  <c r="A255" i="34"/>
  <c r="E255" i="34" s="1"/>
  <c r="A251" i="34"/>
  <c r="E251" i="34" s="1"/>
  <c r="A250" i="34"/>
  <c r="E250" i="34" s="1"/>
  <c r="A249" i="34"/>
  <c r="E249" i="34" s="1"/>
  <c r="A171" i="34"/>
  <c r="E171" i="34" s="1"/>
  <c r="A170" i="34"/>
  <c r="E170" i="34" s="1"/>
  <c r="A169" i="34"/>
  <c r="E169" i="34" s="1"/>
  <c r="A168" i="34"/>
  <c r="E168" i="34" s="1"/>
  <c r="A167" i="34"/>
  <c r="E167" i="34" s="1"/>
  <c r="A465" i="34"/>
  <c r="E465" i="34" s="1"/>
  <c r="A464" i="34"/>
  <c r="E464" i="34" s="1"/>
  <c r="A425" i="34"/>
  <c r="E425" i="34" s="1"/>
  <c r="A424" i="34"/>
  <c r="E424" i="34" s="1"/>
  <c r="B404" i="34"/>
  <c r="F404" i="34" s="1"/>
  <c r="A402" i="34"/>
  <c r="E402" i="34" s="1"/>
  <c r="A401" i="34"/>
  <c r="E401" i="34" s="1"/>
  <c r="A400" i="34"/>
  <c r="E400" i="34" s="1"/>
  <c r="A399" i="34"/>
  <c r="E399" i="34" s="1"/>
  <c r="A398" i="34"/>
  <c r="E398" i="34" s="1"/>
  <c r="A397" i="34"/>
  <c r="E397" i="34" s="1"/>
  <c r="A396" i="34"/>
  <c r="E396" i="34" s="1"/>
  <c r="A395" i="34"/>
  <c r="E395" i="34" s="1"/>
  <c r="A394" i="34"/>
  <c r="E394" i="34" s="1"/>
  <c r="A388" i="34"/>
  <c r="E388" i="34" s="1"/>
  <c r="B359" i="34"/>
  <c r="F359" i="34" s="1"/>
  <c r="B358" i="34"/>
  <c r="F358" i="34" s="1"/>
  <c r="A297" i="34"/>
  <c r="E297" i="34" s="1"/>
  <c r="A296" i="34"/>
  <c r="E296" i="34" s="1"/>
  <c r="A295" i="34"/>
  <c r="E295" i="34" s="1"/>
  <c r="A294" i="34"/>
  <c r="E294" i="34" s="1"/>
  <c r="A289" i="34"/>
  <c r="E289" i="34" s="1"/>
  <c r="A282" i="34"/>
  <c r="E282" i="34" s="1"/>
  <c r="A281" i="34"/>
  <c r="E281" i="34" s="1"/>
  <c r="B241" i="34"/>
  <c r="F241" i="34" s="1"/>
  <c r="B240" i="34"/>
  <c r="F240" i="34" s="1"/>
  <c r="B237" i="34"/>
  <c r="F237" i="34" s="1"/>
  <c r="B236" i="34"/>
  <c r="F236" i="34" s="1"/>
  <c r="B230" i="34"/>
  <c r="F230" i="34" s="1"/>
  <c r="B220" i="34"/>
  <c r="F220" i="34" s="1"/>
  <c r="B208" i="34"/>
  <c r="F208" i="34" s="1"/>
  <c r="B206" i="34"/>
  <c r="F206" i="34" s="1"/>
  <c r="B204" i="34"/>
  <c r="F204" i="34" s="1"/>
  <c r="B202" i="34"/>
  <c r="F202" i="34" s="1"/>
  <c r="B200" i="34"/>
  <c r="F200" i="34" s="1"/>
  <c r="B198" i="34"/>
  <c r="F198" i="34" s="1"/>
  <c r="B197" i="34"/>
  <c r="F197" i="34" s="1"/>
  <c r="B193" i="34"/>
  <c r="F193" i="34" s="1"/>
  <c r="B190" i="34"/>
  <c r="F190" i="34" s="1"/>
  <c r="B189" i="34"/>
  <c r="F189" i="34" s="1"/>
  <c r="B180" i="34"/>
  <c r="F180" i="34" s="1"/>
  <c r="B178" i="34"/>
  <c r="F178" i="34" s="1"/>
  <c r="A128" i="34"/>
  <c r="E128" i="34" s="1"/>
  <c r="A127" i="34"/>
  <c r="E127" i="34" s="1"/>
  <c r="A126" i="34"/>
  <c r="E126" i="34" s="1"/>
  <c r="A125" i="34"/>
  <c r="E125" i="34" s="1"/>
  <c r="A124" i="34"/>
  <c r="E124" i="34" s="1"/>
  <c r="A123" i="34"/>
  <c r="E123" i="34" s="1"/>
  <c r="A122" i="34"/>
  <c r="E122" i="34" s="1"/>
  <c r="A121" i="34"/>
  <c r="E121" i="34" s="1"/>
  <c r="B116" i="34"/>
  <c r="F116" i="34" s="1"/>
  <c r="B113" i="34"/>
  <c r="F113" i="34" s="1"/>
  <c r="B112" i="34"/>
  <c r="F112" i="34" s="1"/>
  <c r="B109" i="34"/>
  <c r="F109" i="34" s="1"/>
  <c r="A107" i="34"/>
  <c r="E107" i="34" s="1"/>
  <c r="B458" i="34"/>
  <c r="F458" i="34" s="1"/>
  <c r="B438" i="34"/>
  <c r="F438" i="34" s="1"/>
  <c r="A435" i="34"/>
  <c r="E435" i="34" s="1"/>
  <c r="A434" i="34"/>
  <c r="E434" i="34" s="1"/>
  <c r="A433" i="34"/>
  <c r="E433" i="34" s="1"/>
  <c r="A432" i="34"/>
  <c r="E432" i="34" s="1"/>
  <c r="A431" i="34"/>
  <c r="E431" i="34" s="1"/>
  <c r="A430" i="34"/>
  <c r="E430" i="34" s="1"/>
  <c r="A429" i="34"/>
  <c r="E429" i="34" s="1"/>
  <c r="A428" i="34"/>
  <c r="E428" i="34" s="1"/>
  <c r="B419" i="34"/>
  <c r="F419" i="34" s="1"/>
  <c r="A417" i="34"/>
  <c r="E417" i="34" s="1"/>
  <c r="A404" i="34"/>
  <c r="E404" i="34" s="1"/>
  <c r="A382" i="34"/>
  <c r="E382" i="34" s="1"/>
  <c r="B375" i="34"/>
  <c r="F375" i="34" s="1"/>
  <c r="B446" i="34"/>
  <c r="F446" i="34" s="1"/>
  <c r="B445" i="34"/>
  <c r="F445" i="34" s="1"/>
  <c r="B444" i="34"/>
  <c r="F444" i="34" s="1"/>
  <c r="B422" i="34"/>
  <c r="F422" i="34" s="1"/>
  <c r="A413" i="34"/>
  <c r="E413" i="34" s="1"/>
  <c r="A412" i="34"/>
  <c r="E412" i="34" s="1"/>
  <c r="B402" i="34"/>
  <c r="F402" i="34" s="1"/>
  <c r="B401" i="34"/>
  <c r="F401" i="34" s="1"/>
  <c r="B391" i="34"/>
  <c r="F391" i="34" s="1"/>
  <c r="B390" i="34"/>
  <c r="F390" i="34" s="1"/>
  <c r="B389" i="34"/>
  <c r="F389" i="34" s="1"/>
  <c r="B354" i="34"/>
  <c r="F354" i="34" s="1"/>
  <c r="A348" i="34"/>
  <c r="E348" i="34" s="1"/>
  <c r="A347" i="34"/>
  <c r="E347" i="34" s="1"/>
  <c r="A346" i="34"/>
  <c r="E346" i="34" s="1"/>
  <c r="A345" i="34"/>
  <c r="E345" i="34" s="1"/>
  <c r="A344" i="34"/>
  <c r="E344" i="34" s="1"/>
  <c r="A343" i="34"/>
  <c r="E343" i="34" s="1"/>
  <c r="A340" i="34"/>
  <c r="E340" i="34" s="1"/>
  <c r="A337" i="34"/>
  <c r="E337" i="34" s="1"/>
  <c r="A336" i="34"/>
  <c r="E336" i="34" s="1"/>
  <c r="A335" i="34"/>
  <c r="E335" i="34" s="1"/>
  <c r="B301" i="34"/>
  <c r="F301" i="34" s="1"/>
  <c r="B298" i="34"/>
  <c r="F298" i="34" s="1"/>
  <c r="B293" i="34"/>
  <c r="F293" i="34" s="1"/>
  <c r="B290" i="34"/>
  <c r="F290" i="34" s="1"/>
  <c r="B286" i="34"/>
  <c r="F286" i="34" s="1"/>
  <c r="B284" i="34"/>
  <c r="F284" i="34" s="1"/>
  <c r="B282" i="34"/>
  <c r="F282" i="34" s="1"/>
  <c r="B278" i="34"/>
  <c r="F278" i="34" s="1"/>
  <c r="B277" i="34"/>
  <c r="F277" i="34" s="1"/>
  <c r="B276" i="34"/>
  <c r="F276" i="34" s="1"/>
  <c r="A272" i="34"/>
  <c r="E272" i="34" s="1"/>
  <c r="A271" i="34"/>
  <c r="E271" i="34" s="1"/>
  <c r="A270" i="34"/>
  <c r="E270" i="34" s="1"/>
  <c r="A269" i="34"/>
  <c r="E269" i="34" s="1"/>
  <c r="A252" i="34"/>
  <c r="E252" i="34" s="1"/>
  <c r="B217" i="34"/>
  <c r="F217" i="34" s="1"/>
  <c r="A215" i="34"/>
  <c r="E215" i="34" s="1"/>
  <c r="A212" i="34"/>
  <c r="E212" i="34" s="1"/>
  <c r="A211" i="34"/>
  <c r="E211" i="34" s="1"/>
  <c r="A467" i="34"/>
  <c r="E467" i="34" s="1"/>
  <c r="A446" i="34"/>
  <c r="E446" i="34" s="1"/>
  <c r="A445" i="34"/>
  <c r="E445" i="34" s="1"/>
  <c r="A444" i="34"/>
  <c r="E444" i="34" s="1"/>
  <c r="A443" i="34"/>
  <c r="E443" i="34" s="1"/>
  <c r="B431" i="34"/>
  <c r="F431" i="34" s="1"/>
  <c r="A426" i="34"/>
  <c r="E426" i="34" s="1"/>
  <c r="A415" i="34"/>
  <c r="E415" i="34" s="1"/>
  <c r="A393" i="34"/>
  <c r="E393" i="34" s="1"/>
  <c r="A391" i="34"/>
  <c r="E391" i="34" s="1"/>
  <c r="A390" i="34"/>
  <c r="E390" i="34" s="1"/>
  <c r="A389" i="34"/>
  <c r="E389" i="34" s="1"/>
  <c r="B382" i="34"/>
  <c r="F382" i="34" s="1"/>
  <c r="B357" i="34"/>
  <c r="F357" i="34" s="1"/>
  <c r="A354" i="34"/>
  <c r="E354" i="34" s="1"/>
  <c r="A353" i="34"/>
  <c r="E353" i="34" s="1"/>
  <c r="A301" i="34"/>
  <c r="E301" i="34" s="1"/>
  <c r="A293" i="34"/>
  <c r="E293" i="34" s="1"/>
  <c r="A286" i="34"/>
  <c r="E286" i="34" s="1"/>
  <c r="A285" i="34"/>
  <c r="E285" i="34" s="1"/>
  <c r="A284" i="34"/>
  <c r="E284" i="34" s="1"/>
  <c r="A283" i="34"/>
  <c r="E283" i="34" s="1"/>
  <c r="A280" i="34"/>
  <c r="E280" i="34" s="1"/>
  <c r="A277" i="34"/>
  <c r="E277" i="34" s="1"/>
  <c r="A275" i="34"/>
  <c r="E275" i="34" s="1"/>
  <c r="A274" i="34"/>
  <c r="E274" i="34" s="1"/>
  <c r="B242" i="34"/>
  <c r="F242" i="34" s="1"/>
  <c r="B238" i="34"/>
  <c r="F238" i="34" s="1"/>
  <c r="B234" i="34"/>
  <c r="F234" i="34" s="1"/>
  <c r="B229" i="34"/>
  <c r="F229" i="34" s="1"/>
  <c r="B225" i="34"/>
  <c r="F225" i="34" s="1"/>
  <c r="B224" i="34"/>
  <c r="F224" i="34" s="1"/>
  <c r="B221" i="34"/>
  <c r="F221" i="34" s="1"/>
  <c r="A217" i="34"/>
  <c r="E217" i="34" s="1"/>
  <c r="B205" i="34"/>
  <c r="F205" i="34" s="1"/>
  <c r="B201" i="34"/>
  <c r="F201" i="34" s="1"/>
  <c r="B196" i="34"/>
  <c r="F196" i="34" s="1"/>
  <c r="B194" i="34"/>
  <c r="F194" i="34" s="1"/>
  <c r="B192" i="34"/>
  <c r="F192" i="34" s="1"/>
  <c r="B191" i="34"/>
  <c r="F191" i="34" s="1"/>
  <c r="B179" i="34"/>
  <c r="F179" i="34" s="1"/>
  <c r="B111" i="34"/>
  <c r="F111" i="34" s="1"/>
  <c r="B110" i="34"/>
  <c r="F110" i="34" s="1"/>
  <c r="A106" i="34"/>
  <c r="E106" i="34" s="1"/>
  <c r="A533" i="34"/>
  <c r="E533" i="34" s="1"/>
  <c r="A532" i="34"/>
  <c r="E532" i="34" s="1"/>
  <c r="A531" i="34"/>
  <c r="E531" i="34" s="1"/>
  <c r="A530" i="34"/>
  <c r="E530" i="34" s="1"/>
  <c r="A529" i="34"/>
  <c r="E529" i="34" s="1"/>
  <c r="A528" i="34"/>
  <c r="E528" i="34" s="1"/>
  <c r="A527" i="34"/>
  <c r="E527" i="34" s="1"/>
  <c r="A526" i="34"/>
  <c r="E526" i="34" s="1"/>
  <c r="A525" i="34"/>
  <c r="E525" i="34" s="1"/>
  <c r="A524" i="34"/>
  <c r="E524" i="34" s="1"/>
  <c r="A523" i="34"/>
  <c r="E523" i="34" s="1"/>
  <c r="A522" i="34"/>
  <c r="E522" i="34" s="1"/>
  <c r="A521" i="34"/>
  <c r="E521" i="34" s="1"/>
  <c r="A520" i="34"/>
  <c r="E520" i="34" s="1"/>
  <c r="A519" i="34"/>
  <c r="E519" i="34" s="1"/>
  <c r="A518" i="34"/>
  <c r="E518" i="34" s="1"/>
  <c r="A517" i="34"/>
  <c r="E517" i="34" s="1"/>
  <c r="A507" i="34"/>
  <c r="E507" i="34" s="1"/>
  <c r="B374" i="34"/>
  <c r="F374" i="34" s="1"/>
  <c r="B373" i="34"/>
  <c r="F373" i="34" s="1"/>
  <c r="B371" i="34"/>
  <c r="F371" i="34" s="1"/>
  <c r="B370" i="34"/>
  <c r="F370" i="34" s="1"/>
  <c r="B367" i="34"/>
  <c r="F367" i="34" s="1"/>
  <c r="B366" i="34"/>
  <c r="F366" i="34" s="1"/>
  <c r="B363" i="34"/>
  <c r="F363" i="34" s="1"/>
  <c r="B362" i="34"/>
  <c r="F362" i="34" s="1"/>
  <c r="A359" i="34"/>
  <c r="E359" i="34" s="1"/>
  <c r="A358" i="34"/>
  <c r="E358" i="34" s="1"/>
  <c r="A357" i="34"/>
  <c r="E357" i="34" s="1"/>
  <c r="B318" i="34"/>
  <c r="F318" i="34" s="1"/>
  <c r="B317" i="34"/>
  <c r="F317" i="34" s="1"/>
  <c r="B316" i="34"/>
  <c r="F316" i="34" s="1"/>
  <c r="B314" i="34"/>
  <c r="F314" i="34" s="1"/>
  <c r="B313" i="34"/>
  <c r="F313" i="34" s="1"/>
  <c r="B312" i="34"/>
  <c r="F312" i="34" s="1"/>
  <c r="B310" i="34"/>
  <c r="F310" i="34" s="1"/>
  <c r="B309" i="34"/>
  <c r="F309" i="34" s="1"/>
  <c r="B306" i="34"/>
  <c r="F306" i="34" s="1"/>
  <c r="B305" i="34"/>
  <c r="F305" i="34" s="1"/>
  <c r="A246" i="34"/>
  <c r="E246" i="34" s="1"/>
  <c r="A245" i="34"/>
  <c r="E245" i="34" s="1"/>
  <c r="A244" i="34"/>
  <c r="E244" i="34" s="1"/>
  <c r="A243" i="34"/>
  <c r="E243" i="34" s="1"/>
  <c r="A242" i="34"/>
  <c r="E242" i="34" s="1"/>
  <c r="A241" i="34"/>
  <c r="E241" i="34" s="1"/>
  <c r="A240" i="34"/>
  <c r="E240" i="34" s="1"/>
  <c r="A239" i="34"/>
  <c r="E239" i="34" s="1"/>
  <c r="A238" i="34"/>
  <c r="E238" i="34" s="1"/>
  <c r="A237" i="34"/>
  <c r="E237" i="34" s="1"/>
  <c r="A236" i="34"/>
  <c r="E236" i="34" s="1"/>
  <c r="A235" i="34"/>
  <c r="E235" i="34" s="1"/>
  <c r="A234" i="34"/>
  <c r="E234" i="34" s="1"/>
  <c r="A233" i="34"/>
  <c r="E233" i="34" s="1"/>
  <c r="A232" i="34"/>
  <c r="E232" i="34" s="1"/>
  <c r="A231" i="34"/>
  <c r="E231" i="34" s="1"/>
  <c r="A230" i="34"/>
  <c r="E230" i="34" s="1"/>
  <c r="A229" i="34"/>
  <c r="E229" i="34" s="1"/>
  <c r="A228" i="34"/>
  <c r="E228" i="34" s="1"/>
  <c r="A227" i="34"/>
  <c r="E227" i="34" s="1"/>
  <c r="A226" i="34"/>
  <c r="E226" i="34" s="1"/>
  <c r="A225" i="34"/>
  <c r="E225" i="34" s="1"/>
  <c r="A224" i="34"/>
  <c r="E224" i="34" s="1"/>
  <c r="A223" i="34"/>
  <c r="E223" i="34" s="1"/>
  <c r="A222" i="34"/>
  <c r="E222" i="34" s="1"/>
  <c r="A221" i="34"/>
  <c r="E221" i="34" s="1"/>
  <c r="A220" i="34"/>
  <c r="E220" i="34" s="1"/>
  <c r="A219" i="34"/>
  <c r="E219" i="34" s="1"/>
  <c r="A208" i="34"/>
  <c r="E208" i="34" s="1"/>
  <c r="A207" i="34"/>
  <c r="E207" i="34" s="1"/>
  <c r="A206" i="34"/>
  <c r="E206" i="34" s="1"/>
  <c r="A205" i="34"/>
  <c r="E205" i="34" s="1"/>
  <c r="A204" i="34"/>
  <c r="E204" i="34" s="1"/>
  <c r="A203" i="34"/>
  <c r="E203" i="34" s="1"/>
  <c r="A202" i="34"/>
  <c r="E202" i="34" s="1"/>
  <c r="A201" i="34"/>
  <c r="E201" i="34" s="1"/>
  <c r="A200" i="34"/>
  <c r="E200" i="34" s="1"/>
  <c r="A199" i="34"/>
  <c r="E199" i="34" s="1"/>
  <c r="A198" i="34"/>
  <c r="E198" i="34" s="1"/>
  <c r="A197" i="34"/>
  <c r="E197" i="34" s="1"/>
  <c r="A196" i="34"/>
  <c r="E196" i="34" s="1"/>
  <c r="A195" i="34"/>
  <c r="E195" i="34" s="1"/>
  <c r="A194" i="34"/>
  <c r="E194" i="34" s="1"/>
  <c r="A193" i="34"/>
  <c r="E193" i="34" s="1"/>
  <c r="A192" i="34"/>
  <c r="E192" i="34" s="1"/>
  <c r="A191" i="34"/>
  <c r="E191" i="34" s="1"/>
  <c r="A190" i="34"/>
  <c r="E190" i="34" s="1"/>
  <c r="A189" i="34"/>
  <c r="E189" i="34" s="1"/>
  <c r="A180" i="34"/>
  <c r="E180" i="34" s="1"/>
  <c r="A179" i="34"/>
  <c r="E179" i="34" s="1"/>
  <c r="A178" i="34"/>
  <c r="E178" i="34" s="1"/>
  <c r="B462" i="34"/>
  <c r="F462" i="34" s="1"/>
  <c r="A459" i="34"/>
  <c r="E459" i="34" s="1"/>
  <c r="A458" i="34"/>
  <c r="E458" i="34" s="1"/>
  <c r="A457" i="34"/>
  <c r="E457" i="34" s="1"/>
  <c r="B454" i="34"/>
  <c r="F454" i="34" s="1"/>
  <c r="A453" i="34"/>
  <c r="E453" i="34" s="1"/>
  <c r="B450" i="34"/>
  <c r="F450" i="34" s="1"/>
  <c r="A449" i="34"/>
  <c r="E449" i="34" s="1"/>
  <c r="B442" i="34"/>
  <c r="F442" i="34" s="1"/>
  <c r="B441" i="34"/>
  <c r="F441" i="34" s="1"/>
  <c r="B440" i="34"/>
  <c r="F440" i="34" s="1"/>
  <c r="A439" i="34"/>
  <c r="E439" i="34" s="1"/>
  <c r="A438" i="34"/>
  <c r="E438" i="34" s="1"/>
  <c r="A437" i="34"/>
  <c r="E437" i="34" s="1"/>
  <c r="A420" i="34"/>
  <c r="E420" i="34" s="1"/>
  <c r="A419" i="34"/>
  <c r="E419" i="34" s="1"/>
  <c r="B414" i="34"/>
  <c r="F414" i="34" s="1"/>
  <c r="B410" i="34"/>
  <c r="F410" i="34" s="1"/>
  <c r="A406" i="34"/>
  <c r="E406" i="34" s="1"/>
  <c r="B387" i="34"/>
  <c r="F387" i="34" s="1"/>
  <c r="B386" i="34"/>
  <c r="F386" i="34" s="1"/>
  <c r="A385" i="34"/>
  <c r="E385" i="34" s="1"/>
  <c r="A384" i="34"/>
  <c r="E384" i="34" s="1"/>
  <c r="B379" i="34"/>
  <c r="F379" i="34" s="1"/>
  <c r="A378" i="34"/>
  <c r="E378" i="34" s="1"/>
  <c r="A377" i="34"/>
  <c r="E377" i="34" s="1"/>
  <c r="A376" i="34"/>
  <c r="E376" i="34" s="1"/>
  <c r="A375" i="34"/>
  <c r="E375" i="34" s="1"/>
  <c r="A374" i="34"/>
  <c r="E374" i="34" s="1"/>
  <c r="A373" i="34"/>
  <c r="E373" i="34" s="1"/>
  <c r="A372" i="34"/>
  <c r="E372" i="34" s="1"/>
  <c r="A371" i="34"/>
  <c r="E371" i="34" s="1"/>
  <c r="A370" i="34"/>
  <c r="E370" i="34" s="1"/>
  <c r="A369" i="34"/>
  <c r="E369" i="34" s="1"/>
  <c r="A368" i="34"/>
  <c r="E368" i="34" s="1"/>
  <c r="A367" i="34"/>
  <c r="E367" i="34" s="1"/>
  <c r="A366" i="34"/>
  <c r="E366" i="34" s="1"/>
  <c r="A365" i="34"/>
  <c r="E365" i="34" s="1"/>
  <c r="A364" i="34"/>
  <c r="E364" i="34" s="1"/>
  <c r="A363" i="34"/>
  <c r="E363" i="34" s="1"/>
  <c r="A362" i="34"/>
  <c r="E362" i="34" s="1"/>
  <c r="A361" i="34"/>
  <c r="E361" i="34" s="1"/>
  <c r="B351" i="34"/>
  <c r="F351" i="34" s="1"/>
  <c r="B350" i="34"/>
  <c r="F350" i="34" s="1"/>
  <c r="B347" i="34"/>
  <c r="F347" i="34" s="1"/>
  <c r="B342" i="34"/>
  <c r="F342" i="34" s="1"/>
  <c r="B341" i="34"/>
  <c r="F341" i="34" s="1"/>
  <c r="B338" i="34"/>
  <c r="F338" i="34" s="1"/>
  <c r="B337" i="34"/>
  <c r="F337" i="34" s="1"/>
  <c r="B335" i="34"/>
  <c r="F335" i="34" s="1"/>
  <c r="B334" i="34"/>
  <c r="F334" i="34" s="1"/>
  <c r="B330" i="34"/>
  <c r="F330" i="34" s="1"/>
  <c r="B329" i="34"/>
  <c r="F329" i="34" s="1"/>
  <c r="A328" i="34"/>
  <c r="E328" i="34" s="1"/>
  <c r="B322" i="34"/>
  <c r="F322" i="34" s="1"/>
  <c r="A321" i="34"/>
  <c r="E321" i="34" s="1"/>
  <c r="A320" i="34"/>
  <c r="E320" i="34" s="1"/>
  <c r="A319" i="34"/>
  <c r="E319" i="34" s="1"/>
  <c r="A318" i="34"/>
  <c r="E318" i="34" s="1"/>
  <c r="A317" i="34"/>
  <c r="E317" i="34" s="1"/>
  <c r="A316" i="34"/>
  <c r="E316" i="34" s="1"/>
  <c r="A315" i="34"/>
  <c r="E315" i="34" s="1"/>
  <c r="A314" i="34"/>
  <c r="E314" i="34" s="1"/>
  <c r="A506" i="34"/>
  <c r="E506" i="34" s="1"/>
  <c r="A495" i="34"/>
  <c r="E495" i="34" s="1"/>
  <c r="A490" i="34"/>
  <c r="E490" i="34" s="1"/>
  <c r="A489" i="34"/>
  <c r="E489" i="34" s="1"/>
  <c r="A488" i="34"/>
  <c r="E488" i="34" s="1"/>
  <c r="A487" i="34"/>
  <c r="E487" i="34" s="1"/>
  <c r="A486" i="34"/>
  <c r="E486" i="34" s="1"/>
  <c r="A485" i="34"/>
  <c r="E485" i="34" s="1"/>
  <c r="A484" i="34"/>
  <c r="E484" i="34" s="1"/>
  <c r="A483" i="34"/>
  <c r="E483" i="34" s="1"/>
  <c r="A482" i="34"/>
  <c r="E482" i="34" s="1"/>
  <c r="A481" i="34"/>
  <c r="E481" i="34" s="1"/>
  <c r="A480" i="34"/>
  <c r="E480" i="34" s="1"/>
  <c r="A479" i="34"/>
  <c r="E479" i="34" s="1"/>
  <c r="A478" i="34"/>
  <c r="E478" i="34" s="1"/>
  <c r="A477" i="34"/>
  <c r="E477" i="34" s="1"/>
  <c r="A476" i="34"/>
  <c r="E476" i="34" s="1"/>
  <c r="A475" i="34"/>
  <c r="E475" i="34" s="1"/>
  <c r="A474" i="34"/>
  <c r="E474" i="34" s="1"/>
  <c r="A473" i="34"/>
  <c r="E473" i="34" s="1"/>
  <c r="A472" i="34"/>
  <c r="E472" i="34" s="1"/>
  <c r="A471" i="34"/>
  <c r="E471" i="34" s="1"/>
  <c r="A470" i="34"/>
  <c r="E470" i="34" s="1"/>
  <c r="A469" i="34"/>
  <c r="E469" i="34" s="1"/>
  <c r="B161" i="34"/>
  <c r="F161" i="34" s="1"/>
  <c r="B160" i="34"/>
  <c r="F160" i="34" s="1"/>
  <c r="B158" i="34"/>
  <c r="F158" i="34" s="1"/>
  <c r="B157" i="34"/>
  <c r="F157" i="34" s="1"/>
  <c r="B156" i="34"/>
  <c r="F156" i="34" s="1"/>
  <c r="B154" i="34"/>
  <c r="F154" i="34" s="1"/>
  <c r="B153" i="34"/>
  <c r="F153" i="34" s="1"/>
  <c r="B152" i="34"/>
  <c r="F152" i="34" s="1"/>
  <c r="B150" i="34"/>
  <c r="F150" i="34" s="1"/>
  <c r="B149" i="34"/>
  <c r="F149" i="34" s="1"/>
  <c r="B148" i="34"/>
  <c r="F148" i="34" s="1"/>
  <c r="B146" i="34"/>
  <c r="F146" i="34" s="1"/>
  <c r="B145" i="34"/>
  <c r="F145" i="34" s="1"/>
  <c r="B144" i="34"/>
  <c r="F144" i="34" s="1"/>
  <c r="B143" i="34"/>
  <c r="F143" i="34" s="1"/>
  <c r="B142" i="34"/>
  <c r="F142" i="34" s="1"/>
  <c r="B141" i="34"/>
  <c r="F141" i="34" s="1"/>
  <c r="B140" i="34"/>
  <c r="F140" i="34" s="1"/>
  <c r="B138" i="34"/>
  <c r="F138" i="34" s="1"/>
  <c r="B137" i="34"/>
  <c r="F137" i="34" s="1"/>
  <c r="B136" i="34"/>
  <c r="F136" i="34" s="1"/>
  <c r="B134" i="34"/>
  <c r="F134" i="34" s="1"/>
  <c r="B133" i="34"/>
  <c r="F133" i="34" s="1"/>
  <c r="B132" i="34"/>
  <c r="F132" i="34" s="1"/>
  <c r="B131" i="34"/>
  <c r="F131" i="34" s="1"/>
  <c r="A116" i="34"/>
  <c r="E116" i="34" s="1"/>
  <c r="A115" i="34"/>
  <c r="E115" i="34" s="1"/>
  <c r="A114" i="34"/>
  <c r="E114" i="34" s="1"/>
  <c r="A113" i="34"/>
  <c r="E113" i="34" s="1"/>
  <c r="A112" i="34"/>
  <c r="E112" i="34" s="1"/>
  <c r="A111" i="34"/>
  <c r="E111" i="34" s="1"/>
  <c r="A110" i="34"/>
  <c r="E110" i="34" s="1"/>
  <c r="A109" i="34"/>
  <c r="E109" i="34" s="1"/>
  <c r="A313" i="34"/>
  <c r="E313" i="34" s="1"/>
  <c r="A312" i="34"/>
  <c r="E312" i="34" s="1"/>
  <c r="A311" i="34"/>
  <c r="E311" i="34" s="1"/>
  <c r="A310" i="34"/>
  <c r="E310" i="34" s="1"/>
  <c r="A309" i="34"/>
  <c r="E309" i="34" s="1"/>
  <c r="A308" i="34"/>
  <c r="E308" i="34" s="1"/>
  <c r="A307" i="34"/>
  <c r="E307" i="34" s="1"/>
  <c r="A306" i="34"/>
  <c r="E306" i="34" s="1"/>
  <c r="A305" i="34"/>
  <c r="E305" i="34" s="1"/>
  <c r="A304" i="34"/>
  <c r="E304" i="34" s="1"/>
  <c r="B273" i="34"/>
  <c r="F273" i="34" s="1"/>
  <c r="B272" i="34"/>
  <c r="F272" i="34" s="1"/>
  <c r="B271" i="34"/>
  <c r="F271" i="34" s="1"/>
  <c r="B270" i="34"/>
  <c r="F270" i="34" s="1"/>
  <c r="B269" i="34"/>
  <c r="F269" i="34" s="1"/>
  <c r="B268" i="34"/>
  <c r="F268" i="34" s="1"/>
  <c r="B266" i="34"/>
  <c r="F266" i="34" s="1"/>
  <c r="B265" i="34"/>
  <c r="F265" i="34" s="1"/>
  <c r="B264" i="34"/>
  <c r="F264" i="34" s="1"/>
  <c r="B262" i="34"/>
  <c r="F262" i="34" s="1"/>
  <c r="B261" i="34"/>
  <c r="F261" i="34" s="1"/>
  <c r="B260" i="34"/>
  <c r="F260" i="34" s="1"/>
  <c r="B258" i="34"/>
  <c r="F258" i="34" s="1"/>
  <c r="B257" i="34"/>
  <c r="F257" i="34" s="1"/>
  <c r="B256" i="34"/>
  <c r="F256" i="34" s="1"/>
  <c r="B254" i="34"/>
  <c r="F254" i="34" s="1"/>
  <c r="B253" i="34"/>
  <c r="F253" i="34" s="1"/>
  <c r="B252" i="34"/>
  <c r="F252" i="34" s="1"/>
  <c r="B250" i="34"/>
  <c r="F250" i="34" s="1"/>
  <c r="B249" i="34"/>
  <c r="F249" i="34" s="1"/>
  <c r="A248" i="34"/>
  <c r="E248" i="34" s="1"/>
  <c r="B216" i="34"/>
  <c r="F216" i="34" s="1"/>
  <c r="B214" i="34"/>
  <c r="F214" i="34" s="1"/>
  <c r="B213" i="34"/>
  <c r="F213" i="34" s="1"/>
  <c r="B212" i="34"/>
  <c r="F212" i="34" s="1"/>
  <c r="A210" i="34"/>
  <c r="E210" i="34" s="1"/>
  <c r="B172" i="34"/>
  <c r="F172" i="34" s="1"/>
  <c r="B170" i="34"/>
  <c r="F170" i="34" s="1"/>
  <c r="B169" i="34"/>
  <c r="F169" i="34" s="1"/>
  <c r="B168" i="34"/>
  <c r="F168" i="34" s="1"/>
  <c r="B166" i="34"/>
  <c r="F166" i="34" s="1"/>
  <c r="B165" i="34"/>
  <c r="F165" i="34" s="1"/>
  <c r="B164" i="34"/>
  <c r="F164" i="34" s="1"/>
  <c r="A161" i="34"/>
  <c r="E161" i="34" s="1"/>
  <c r="A160" i="34"/>
  <c r="E160" i="34" s="1"/>
  <c r="A159" i="34"/>
  <c r="E159" i="34" s="1"/>
  <c r="A158" i="34"/>
  <c r="E158" i="34" s="1"/>
  <c r="A157" i="34"/>
  <c r="E157" i="34" s="1"/>
  <c r="A156" i="34"/>
  <c r="E156" i="34" s="1"/>
  <c r="A155" i="34"/>
  <c r="E155" i="34" s="1"/>
  <c r="A154" i="34"/>
  <c r="E154" i="34" s="1"/>
  <c r="A153" i="34"/>
  <c r="E153" i="34" s="1"/>
  <c r="A152" i="34"/>
  <c r="E152" i="34" s="1"/>
  <c r="A151" i="34"/>
  <c r="E151" i="34" s="1"/>
  <c r="A150" i="34"/>
  <c r="E150" i="34" s="1"/>
  <c r="A149" i="34"/>
  <c r="E149" i="34" s="1"/>
  <c r="A148" i="34"/>
  <c r="E148" i="34" s="1"/>
  <c r="A147" i="34"/>
  <c r="E147" i="34" s="1"/>
  <c r="A146" i="34"/>
  <c r="E146" i="34" s="1"/>
  <c r="A145" i="34"/>
  <c r="E145" i="34" s="1"/>
  <c r="A144" i="34"/>
  <c r="E144" i="34" s="1"/>
  <c r="A143" i="34"/>
  <c r="E143" i="34" s="1"/>
  <c r="A142" i="34"/>
  <c r="E142" i="34" s="1"/>
  <c r="A141" i="34"/>
  <c r="E141" i="34" s="1"/>
  <c r="A140" i="34"/>
  <c r="E140" i="34" s="1"/>
  <c r="A139" i="34"/>
  <c r="E139" i="34" s="1"/>
  <c r="A138" i="34"/>
  <c r="E138" i="34" s="1"/>
  <c r="A137" i="34"/>
  <c r="E137" i="34" s="1"/>
  <c r="A136" i="34"/>
  <c r="E136" i="34" s="1"/>
  <c r="A135" i="34"/>
  <c r="E135" i="34" s="1"/>
  <c r="A134" i="34"/>
  <c r="E134" i="34" s="1"/>
  <c r="A133" i="34"/>
  <c r="E133" i="34" s="1"/>
  <c r="A132" i="34"/>
  <c r="E132" i="34" s="1"/>
  <c r="A131" i="34"/>
  <c r="E131" i="34" s="1"/>
  <c r="B119" i="34"/>
  <c r="F119" i="34" s="1"/>
  <c r="A163" i="34"/>
  <c r="E163" i="34" s="1"/>
  <c r="B129" i="34"/>
  <c r="F129" i="34" s="1"/>
  <c r="B128" i="34"/>
  <c r="F128" i="34" s="1"/>
  <c r="B125" i="34"/>
  <c r="F125" i="34" s="1"/>
  <c r="B124" i="34"/>
  <c r="F124" i="34" s="1"/>
  <c r="B122" i="34"/>
  <c r="F122" i="34" s="1"/>
  <c r="B121" i="34"/>
  <c r="F121" i="34" s="1"/>
  <c r="A120" i="34"/>
  <c r="E120" i="34" s="1"/>
  <c r="A119" i="34"/>
  <c r="E119" i="34" s="1"/>
  <c r="B108" i="34"/>
  <c r="F108" i="34" s="1"/>
  <c r="B107" i="34"/>
  <c r="F107" i="34" s="1"/>
  <c r="A105" i="34"/>
  <c r="E105" i="34" s="1"/>
  <c r="A104" i="34"/>
  <c r="E104" i="34" s="1"/>
  <c r="A103" i="34"/>
  <c r="E103" i="34" s="1"/>
  <c r="A102" i="34"/>
  <c r="E102" i="34" s="1"/>
  <c r="A101" i="34"/>
  <c r="E101" i="34" s="1"/>
  <c r="A100" i="34"/>
  <c r="E100" i="34" s="1"/>
  <c r="A99" i="34"/>
  <c r="E99" i="34" s="1"/>
  <c r="A98" i="34"/>
  <c r="E98" i="34" s="1"/>
  <c r="A97" i="34"/>
  <c r="E97" i="34" s="1"/>
  <c r="A96" i="34"/>
  <c r="E96" i="34" s="1"/>
  <c r="A95" i="34"/>
  <c r="E95" i="34" s="1"/>
  <c r="A556" i="34"/>
  <c r="E556" i="34" s="1"/>
  <c r="A555" i="34"/>
  <c r="E555" i="34" s="1"/>
  <c r="A554" i="34"/>
  <c r="E554" i="34" s="1"/>
  <c r="A553" i="34"/>
  <c r="E553" i="34" s="1"/>
  <c r="A552" i="34"/>
  <c r="E552" i="34" s="1"/>
  <c r="B534" i="34"/>
  <c r="F534" i="34" s="1"/>
  <c r="B530" i="34"/>
  <c r="F530" i="34" s="1"/>
  <c r="B526" i="34"/>
  <c r="F526" i="34" s="1"/>
  <c r="B522" i="34"/>
  <c r="F522" i="34" s="1"/>
  <c r="B519" i="34"/>
  <c r="F519" i="34" s="1"/>
  <c r="B518" i="34"/>
  <c r="F518" i="34" s="1"/>
  <c r="A516" i="34"/>
  <c r="E516" i="34" s="1"/>
  <c r="A515" i="34"/>
  <c r="E515" i="34" s="1"/>
  <c r="B508" i="34"/>
  <c r="F508" i="34" s="1"/>
  <c r="B506" i="34"/>
  <c r="F506" i="34" s="1"/>
  <c r="A505" i="34"/>
  <c r="E505" i="34" s="1"/>
  <c r="A504" i="34"/>
  <c r="E504" i="34" s="1"/>
  <c r="A503" i="34"/>
  <c r="E503" i="34" s="1"/>
  <c r="A502" i="34"/>
  <c r="E502" i="34" s="1"/>
  <c r="B495" i="34"/>
  <c r="F495" i="34" s="1"/>
  <c r="A494" i="34"/>
  <c r="E494" i="34" s="1"/>
  <c r="B490" i="34"/>
  <c r="F490" i="34" s="1"/>
  <c r="B487" i="34"/>
  <c r="F487" i="34" s="1"/>
  <c r="B486" i="34"/>
  <c r="F486" i="34" s="1"/>
  <c r="B482" i="34"/>
  <c r="F482" i="34" s="1"/>
  <c r="B481" i="34"/>
  <c r="F481" i="34" s="1"/>
  <c r="B478" i="34"/>
  <c r="F478" i="34" s="1"/>
  <c r="B477" i="34"/>
  <c r="F477" i="34" s="1"/>
  <c r="B476" i="34"/>
  <c r="F476" i="34" s="1"/>
  <c r="B475" i="34"/>
  <c r="F475" i="34" s="1"/>
  <c r="B474" i="34"/>
  <c r="F474" i="34" s="1"/>
  <c r="B470" i="34"/>
  <c r="F470" i="34" s="1"/>
  <c r="A558" i="34"/>
  <c r="E558" i="34" s="1"/>
  <c r="B550" i="34"/>
  <c r="F550" i="34" s="1"/>
  <c r="B546" i="34"/>
  <c r="F546" i="34" s="1"/>
  <c r="B543" i="34"/>
  <c r="F543" i="34" s="1"/>
  <c r="B542" i="34"/>
  <c r="F542" i="34" s="1"/>
  <c r="B538" i="34"/>
  <c r="F538" i="34" s="1"/>
  <c r="B537" i="34"/>
  <c r="F537" i="34" s="1"/>
  <c r="B536" i="34"/>
  <c r="F536" i="34" s="1"/>
  <c r="A535" i="34"/>
  <c r="E535" i="34" s="1"/>
  <c r="B514" i="34"/>
  <c r="F514" i="34" s="1"/>
  <c r="B513" i="34"/>
  <c r="F513" i="34" s="1"/>
  <c r="B512" i="34"/>
  <c r="F512" i="34" s="1"/>
  <c r="A510" i="34"/>
  <c r="E510" i="34" s="1"/>
  <c r="A509" i="34"/>
  <c r="E509" i="34" s="1"/>
  <c r="A498" i="34"/>
  <c r="E498" i="34" s="1"/>
  <c r="A497" i="34"/>
  <c r="E497" i="34" s="1"/>
  <c r="B493" i="34"/>
  <c r="F493" i="34" s="1"/>
  <c r="A492" i="34"/>
  <c r="E492" i="34" s="1"/>
  <c r="B104" i="34"/>
  <c r="F104" i="34" s="1"/>
  <c r="B103" i="34"/>
  <c r="F103" i="34" s="1"/>
  <c r="B101" i="34"/>
  <c r="F101" i="34" s="1"/>
  <c r="B100" i="34"/>
  <c r="F100" i="34" s="1"/>
  <c r="B99" i="34"/>
  <c r="F99" i="34" s="1"/>
  <c r="B98" i="34"/>
  <c r="F98" i="34" s="1"/>
  <c r="B97" i="34"/>
  <c r="F97" i="34" s="1"/>
  <c r="B95" i="34"/>
  <c r="F95" i="34" s="1"/>
  <c r="B554" i="34"/>
  <c r="F554" i="34" s="1"/>
  <c r="B553" i="34"/>
  <c r="F553" i="34" s="1"/>
  <c r="B552" i="34"/>
  <c r="F552" i="34" s="1"/>
  <c r="A550" i="34"/>
  <c r="E550" i="34" s="1"/>
  <c r="A549" i="34"/>
  <c r="E549" i="34" s="1"/>
  <c r="A548" i="34"/>
  <c r="E548" i="34" s="1"/>
  <c r="A547" i="34"/>
  <c r="E547" i="34" s="1"/>
  <c r="A546" i="34"/>
  <c r="E546" i="34" s="1"/>
  <c r="A545" i="34"/>
  <c r="E545" i="34" s="1"/>
  <c r="A544" i="34"/>
  <c r="E544" i="34" s="1"/>
  <c r="A543" i="34"/>
  <c r="E543" i="34" s="1"/>
  <c r="A542" i="34"/>
  <c r="E542" i="34" s="1"/>
  <c r="A541" i="34"/>
  <c r="E541" i="34" s="1"/>
  <c r="A540" i="34"/>
  <c r="E540" i="34" s="1"/>
  <c r="A539" i="34"/>
  <c r="E539" i="34" s="1"/>
  <c r="A538" i="34"/>
  <c r="E538" i="34" s="1"/>
  <c r="A537" i="34"/>
  <c r="E537" i="34" s="1"/>
  <c r="A536" i="34"/>
  <c r="E536" i="34" s="1"/>
  <c r="A513" i="34"/>
  <c r="E513" i="34" s="1"/>
  <c r="A512" i="34"/>
  <c r="E512" i="34" s="1"/>
  <c r="A511" i="34"/>
  <c r="E511" i="34" s="1"/>
  <c r="B504" i="34"/>
  <c r="F504" i="34" s="1"/>
  <c r="B502" i="34"/>
  <c r="F502" i="34" s="1"/>
  <c r="A500" i="34"/>
  <c r="E500" i="34" s="1"/>
  <c r="A499" i="34"/>
  <c r="E499" i="34" s="1"/>
  <c r="B429" i="34" l="1"/>
  <c r="F429" i="34" s="1"/>
  <c r="B501" i="34"/>
  <c r="F501" i="34" s="1"/>
  <c r="B324" i="34"/>
  <c r="F324" i="34" s="1"/>
  <c r="B413" i="34"/>
  <c r="F413" i="34" s="1"/>
  <c r="B545" i="34"/>
  <c r="F545" i="34" s="1"/>
  <c r="B485" i="34"/>
  <c r="F485" i="34" s="1"/>
  <c r="B369" i="34"/>
  <c r="F369" i="34" s="1"/>
  <c r="B497" i="34"/>
  <c r="F497" i="34" s="1"/>
  <c r="B517" i="34"/>
  <c r="F517" i="34" s="1"/>
  <c r="B509" i="34"/>
  <c r="F509" i="34" s="1"/>
  <c r="B344" i="34"/>
  <c r="F344" i="34" s="1"/>
  <c r="B569" i="34"/>
  <c r="F569" i="34" s="1"/>
  <c r="B521" i="34"/>
  <c r="F521" i="34" s="1"/>
  <c r="B489" i="34"/>
  <c r="F489" i="34" s="1"/>
  <c r="B296" i="34"/>
  <c r="F296" i="34" s="1"/>
  <c r="B678" i="34"/>
  <c r="F678" i="34" s="1"/>
  <c r="B361" i="34"/>
  <c r="F361" i="34" s="1"/>
  <c r="B723" i="34"/>
  <c r="F723" i="34" s="1"/>
  <c r="B658" i="34"/>
  <c r="F658" i="34" s="1"/>
  <c r="B662" i="34"/>
  <c r="F662" i="34" s="1"/>
  <c r="B719" i="34"/>
  <c r="F719" i="34" s="1"/>
  <c r="B686" i="34"/>
  <c r="F686" i="34" s="1"/>
  <c r="B731" i="34"/>
  <c r="F731" i="34" s="1"/>
  <c r="B433" i="34"/>
  <c r="F433" i="34" s="1"/>
  <c r="B617" i="34"/>
  <c r="F617" i="34" s="1"/>
  <c r="B695" i="34"/>
  <c r="F695" i="34" s="1"/>
  <c r="B699" i="34"/>
  <c r="F699" i="34" s="1"/>
  <c r="B715" i="34"/>
  <c r="F715" i="34" s="1"/>
  <c r="B646" i="34"/>
  <c r="F646" i="34" s="1"/>
  <c r="B670" i="34"/>
  <c r="F670" i="34" s="1"/>
  <c r="B650" i="34"/>
  <c r="F650" i="34" s="1"/>
  <c r="B666" i="34"/>
  <c r="F666" i="34" s="1"/>
  <c r="B682" i="34"/>
  <c r="F682" i="34" s="1"/>
  <c r="B409" i="34"/>
  <c r="F409" i="34" s="1"/>
  <c r="B340" i="34"/>
  <c r="F340" i="34" s="1"/>
  <c r="B533" i="34"/>
  <c r="F533" i="34" s="1"/>
  <c r="B349" i="34"/>
  <c r="F349" i="34" s="1"/>
  <c r="B541" i="34"/>
  <c r="F541" i="34" s="1"/>
  <c r="B529" i="34"/>
  <c r="F529" i="34" s="1"/>
  <c r="B585" i="34"/>
  <c r="F585" i="34" s="1"/>
  <c r="B629" i="34"/>
  <c r="F629" i="34" s="1"/>
  <c r="B425" i="34"/>
  <c r="F425" i="34" s="1"/>
  <c r="B565" i="34"/>
  <c r="F565" i="34" s="1"/>
  <c r="B465" i="34"/>
  <c r="F465" i="34" s="1"/>
  <c r="B549" i="34"/>
  <c r="F549" i="34" s="1"/>
  <c r="B717" i="34"/>
  <c r="F717" i="34" s="1"/>
  <c r="B721" i="34"/>
  <c r="F721" i="34" s="1"/>
  <c r="B589" i="34"/>
  <c r="F589" i="34" s="1"/>
  <c r="B677" i="34"/>
  <c r="F677" i="34" s="1"/>
  <c r="B473" i="34"/>
  <c r="F473" i="34" s="1"/>
  <c r="B461" i="34"/>
  <c r="F461" i="34" s="1"/>
  <c r="B633" i="34"/>
  <c r="F633" i="34" s="1"/>
  <c r="B689" i="34"/>
  <c r="F689" i="34" s="1"/>
  <c r="B557" i="34"/>
  <c r="F557" i="34" s="1"/>
  <c r="B525" i="34"/>
  <c r="F525" i="34" s="1"/>
  <c r="B613" i="34"/>
  <c r="F613" i="34" s="1"/>
  <c r="B573" i="34"/>
  <c r="F573" i="34" s="1"/>
  <c r="B288" i="34"/>
  <c r="F288" i="34" s="1"/>
  <c r="B649" i="34"/>
  <c r="F649" i="34" s="1"/>
  <c r="B609" i="34"/>
  <c r="F609" i="34" s="1"/>
  <c r="B457" i="34"/>
  <c r="F457" i="34" s="1"/>
  <c r="B346" i="34"/>
  <c r="F346" i="34" s="1"/>
  <c r="B393" i="34"/>
  <c r="F393" i="34" s="1"/>
  <c r="B713" i="34"/>
  <c r="F713" i="34" s="1"/>
  <c r="B469" i="34"/>
  <c r="F469" i="34" s="1"/>
  <c r="B637" i="34"/>
  <c r="F637" i="34" s="1"/>
  <c r="B665" i="34"/>
  <c r="F665" i="34" s="1"/>
  <c r="B581" i="34"/>
  <c r="F581" i="34" s="1"/>
  <c r="B693" i="34"/>
  <c r="F693" i="34" s="1"/>
  <c r="B421" i="34"/>
  <c r="F421" i="34" s="1"/>
  <c r="B681" i="34"/>
  <c r="F681" i="34" s="1"/>
  <c r="B601" i="34"/>
  <c r="F601" i="34" s="1"/>
  <c r="B661" i="34"/>
  <c r="F661" i="34" s="1"/>
  <c r="B697" i="34"/>
  <c r="F697" i="34" s="1"/>
  <c r="B597" i="34"/>
  <c r="F597" i="34" s="1"/>
  <c r="B701" i="34"/>
  <c r="F701" i="34" s="1"/>
  <c r="B641" i="34"/>
  <c r="F641" i="34" s="1"/>
  <c r="B729" i="34"/>
  <c r="F729" i="34" s="1"/>
  <c r="B685" i="34"/>
  <c r="F685" i="34" s="1"/>
  <c r="B625" i="34"/>
  <c r="F625" i="34" s="1"/>
  <c r="B645" i="34"/>
  <c r="F645" i="34" s="1"/>
  <c r="B669" i="34"/>
  <c r="F669" i="34" s="1"/>
  <c r="B705" i="34"/>
  <c r="F705" i="34" s="1"/>
  <c r="B453" i="34"/>
  <c r="F453" i="34" s="1"/>
  <c r="B251" i="34"/>
  <c r="F251" i="34" s="1"/>
  <c r="B488" i="34"/>
  <c r="F488" i="34" s="1"/>
  <c r="B400" i="34"/>
  <c r="F400" i="34" s="1"/>
  <c r="B94" i="34"/>
  <c r="F94" i="34" s="1"/>
  <c r="B484" i="34"/>
  <c r="F484" i="34" s="1"/>
  <c r="B480" i="34"/>
  <c r="F480" i="34" s="1"/>
  <c r="B496" i="34"/>
  <c r="F496" i="34" s="1"/>
  <c r="B660" i="34"/>
  <c r="F660" i="34" s="1"/>
  <c r="B556" i="34"/>
  <c r="F556" i="34" s="1"/>
  <c r="B608" i="34"/>
  <c r="F608" i="34" s="1"/>
  <c r="B572" i="34"/>
  <c r="F572" i="34" s="1"/>
  <c r="B648" i="34"/>
  <c r="F648" i="34" s="1"/>
  <c r="B524" i="34"/>
  <c r="F524" i="34" s="1"/>
  <c r="B684" i="34"/>
  <c r="F684" i="34" s="1"/>
  <c r="B319" i="34"/>
  <c r="F319" i="34" s="1"/>
  <c r="B287" i="34"/>
  <c r="F287" i="34" s="1"/>
  <c r="B596" i="34"/>
  <c r="F596" i="34" s="1"/>
  <c r="B704" i="34"/>
  <c r="F704" i="34" s="1"/>
  <c r="B211" i="34"/>
  <c r="F211" i="34" s="1"/>
  <c r="B163" i="34"/>
  <c r="F163" i="34" s="1"/>
  <c r="B460" i="34"/>
  <c r="F460" i="34" s="1"/>
  <c r="B424" i="34"/>
  <c r="F424" i="34" s="1"/>
  <c r="B420" i="34"/>
  <c r="F420" i="34" s="1"/>
  <c r="B126" i="34"/>
  <c r="F126" i="34" s="1"/>
  <c r="B456" i="34"/>
  <c r="F456" i="34" s="1"/>
  <c r="B195" i="34"/>
  <c r="F195" i="34" s="1"/>
  <c r="B640" i="34"/>
  <c r="F640" i="34" s="1"/>
  <c r="B632" i="34"/>
  <c r="F632" i="34" s="1"/>
  <c r="B263" i="34"/>
  <c r="F263" i="34" s="1"/>
  <c r="B412" i="34"/>
  <c r="F412" i="34" s="1"/>
  <c r="B584" i="34"/>
  <c r="F584" i="34" s="1"/>
  <c r="B700" i="34"/>
  <c r="F700" i="34" s="1"/>
  <c r="B86" i="34"/>
  <c r="F86" i="34" s="1"/>
  <c r="B500" i="34"/>
  <c r="F500" i="34" s="1"/>
  <c r="B167" i="34"/>
  <c r="F167" i="34" s="1"/>
  <c r="B428" i="34"/>
  <c r="F428" i="34" s="1"/>
  <c r="B516" i="34"/>
  <c r="F516" i="34" s="1"/>
  <c r="B636" i="34"/>
  <c r="F636" i="34" s="1"/>
  <c r="B728" i="34"/>
  <c r="F728" i="34" s="1"/>
  <c r="B82" i="34"/>
  <c r="F82" i="34" s="1"/>
  <c r="B624" i="34"/>
  <c r="F624" i="34" s="1"/>
  <c r="B568" i="34"/>
  <c r="F568" i="34" s="1"/>
  <c r="B656" i="34"/>
  <c r="F656" i="34" s="1"/>
  <c r="B247" i="34"/>
  <c r="F247" i="34" s="1"/>
  <c r="B295" i="34"/>
  <c r="F295" i="34" s="1"/>
  <c r="B544" i="34"/>
  <c r="F544" i="34" s="1"/>
  <c r="B223" i="34"/>
  <c r="F223" i="34" s="1"/>
  <c r="B187" i="34"/>
  <c r="F187" i="34" s="1"/>
  <c r="B352" i="34"/>
  <c r="F352" i="34" s="1"/>
  <c r="B612" i="34"/>
  <c r="F612" i="34" s="1"/>
  <c r="B668" i="34"/>
  <c r="F668" i="34" s="1"/>
  <c r="B520" i="34"/>
  <c r="F520" i="34" s="1"/>
  <c r="B147" i="34"/>
  <c r="F147" i="34" s="1"/>
  <c r="B408" i="34"/>
  <c r="F408" i="34" s="1"/>
  <c r="B680" i="34"/>
  <c r="F680" i="34" s="1"/>
  <c r="B380" i="34"/>
  <c r="F380" i="34" s="1"/>
  <c r="B436" i="34"/>
  <c r="F436" i="34" s="1"/>
  <c r="B452" i="34"/>
  <c r="F452" i="34" s="1"/>
  <c r="B712" i="34"/>
  <c r="F712" i="34" s="1"/>
  <c r="B540" i="34"/>
  <c r="F540" i="34" s="1"/>
  <c r="B472" i="34"/>
  <c r="F472" i="34" s="1"/>
  <c r="B532" i="34"/>
  <c r="F532" i="34" s="1"/>
  <c r="B345" i="34"/>
  <c r="F345" i="34" s="1"/>
  <c r="B432" i="34"/>
  <c r="F432" i="34" s="1"/>
  <c r="B299" i="34"/>
  <c r="F299" i="34" s="1"/>
  <c r="B175" i="34"/>
  <c r="F175" i="34" s="1"/>
  <c r="B528" i="34"/>
  <c r="F528" i="34" s="1"/>
  <c r="B118" i="34"/>
  <c r="F118" i="34" s="1"/>
  <c r="B644" i="34"/>
  <c r="F644" i="34" s="1"/>
  <c r="B368" i="34"/>
  <c r="F368" i="34" s="1"/>
  <c r="B364" i="34"/>
  <c r="F364" i="34" s="1"/>
  <c r="B199" i="34"/>
  <c r="F199" i="34" s="1"/>
  <c r="B215" i="34"/>
  <c r="F215" i="34" s="1"/>
  <c r="B348" i="34"/>
  <c r="F348" i="34" s="1"/>
  <c r="B384" i="34"/>
  <c r="F384" i="34" s="1"/>
  <c r="B267" i="34"/>
  <c r="F267" i="34" s="1"/>
  <c r="B580" i="34"/>
  <c r="F580" i="34" s="1"/>
  <c r="B664" i="34"/>
  <c r="F664" i="34" s="1"/>
  <c r="B688" i="34"/>
  <c r="F688" i="34" s="1"/>
  <c r="B54" i="34"/>
  <c r="F54" i="34" s="1"/>
  <c r="B159" i="34"/>
  <c r="F159" i="34" s="1"/>
  <c r="B303" i="34"/>
  <c r="F303" i="34" s="1"/>
  <c r="B600" i="34"/>
  <c r="F600" i="34" s="1"/>
  <c r="B151" i="34"/>
  <c r="F151" i="34" s="1"/>
  <c r="B207" i="34"/>
  <c r="F207" i="34" s="1"/>
  <c r="B464" i="34"/>
  <c r="F464" i="34" s="1"/>
  <c r="B676" i="34"/>
  <c r="F676" i="34" s="1"/>
  <c r="B696" i="34"/>
  <c r="F696" i="34" s="1"/>
  <c r="B720" i="34"/>
  <c r="F720" i="34" s="1"/>
  <c r="B171" i="34"/>
  <c r="F171" i="34" s="1"/>
  <c r="B231" i="34"/>
  <c r="F231" i="34" s="1"/>
  <c r="B183" i="34"/>
  <c r="F183" i="34" s="1"/>
  <c r="B323" i="34"/>
  <c r="F323" i="34" s="1"/>
  <c r="B616" i="34"/>
  <c r="F616" i="34" s="1"/>
  <c r="B628" i="34"/>
  <c r="F628" i="34" s="1"/>
  <c r="B135" i="34"/>
  <c r="F135" i="34" s="1"/>
  <c r="B315" i="34"/>
  <c r="F315" i="34" s="1"/>
  <c r="B127" i="34"/>
  <c r="F127" i="34" s="1"/>
  <c r="B331" i="34"/>
  <c r="F331" i="34" s="1"/>
  <c r="B307" i="34"/>
  <c r="F307" i="34" s="1"/>
  <c r="B548" i="34"/>
  <c r="F548" i="34" s="1"/>
  <c r="B376" i="34"/>
  <c r="F376" i="34" s="1"/>
  <c r="B396" i="34"/>
  <c r="F396" i="34" s="1"/>
  <c r="B468" i="34"/>
  <c r="F468" i="34" s="1"/>
  <c r="B564" i="34"/>
  <c r="F564" i="34" s="1"/>
  <c r="B692" i="34"/>
  <c r="F692" i="34" s="1"/>
  <c r="B716" i="34"/>
  <c r="F716" i="34" s="1"/>
  <c r="B279" i="34"/>
  <c r="F279" i="34" s="1"/>
  <c r="B139" i="34"/>
  <c r="F139" i="34" s="1"/>
  <c r="B291" i="34"/>
  <c r="F291" i="34" s="1"/>
  <c r="B327" i="34"/>
  <c r="F327" i="34" s="1"/>
  <c r="B75" i="34"/>
  <c r="F75" i="34" s="1"/>
  <c r="B69" i="34"/>
  <c r="F69" i="34" s="1"/>
  <c r="B65" i="34"/>
  <c r="F65" i="34" s="1"/>
  <c r="B92" i="34"/>
  <c r="F92" i="34" s="1"/>
  <c r="B79" i="34"/>
  <c r="F79" i="34" s="1"/>
  <c r="B106" i="34"/>
  <c r="F106" i="34" s="1"/>
  <c r="B81" i="34"/>
  <c r="F81" i="34" s="1"/>
  <c r="I3" i="51"/>
  <c r="Q3" i="51"/>
  <c r="P3" i="51"/>
  <c r="O3" i="51"/>
  <c r="N3" i="51"/>
  <c r="M3" i="51"/>
  <c r="L3" i="51"/>
  <c r="K3" i="51"/>
  <c r="J3" i="51"/>
  <c r="H3" i="51"/>
  <c r="G3" i="51"/>
  <c r="F3" i="51"/>
  <c r="G370" i="34" l="1"/>
  <c r="G371" i="34"/>
  <c r="G372" i="34"/>
  <c r="G375" i="34"/>
  <c r="G380" i="34"/>
  <c r="G381" i="34"/>
  <c r="G382" i="34"/>
  <c r="G385" i="34"/>
  <c r="G390" i="34"/>
  <c r="G391" i="34"/>
  <c r="G392" i="34"/>
  <c r="G395" i="34"/>
  <c r="G400" i="34"/>
  <c r="G401" i="34"/>
  <c r="G402" i="34"/>
  <c r="G405" i="34"/>
  <c r="G410" i="34"/>
  <c r="G411" i="34"/>
  <c r="G412" i="34"/>
  <c r="G415" i="34"/>
  <c r="G732" i="34"/>
  <c r="G733" i="34"/>
  <c r="G734" i="34"/>
  <c r="G735" i="34"/>
  <c r="G736" i="34"/>
  <c r="G737" i="34"/>
  <c r="G738" i="34"/>
  <c r="G739" i="34"/>
  <c r="G740" i="34"/>
  <c r="G741" i="34"/>
  <c r="G742" i="34"/>
  <c r="G743" i="34"/>
  <c r="G744" i="34"/>
  <c r="G745" i="34"/>
  <c r="G746" i="34"/>
  <c r="G747" i="34"/>
  <c r="G748" i="34"/>
  <c r="G749" i="34"/>
  <c r="G750" i="34"/>
  <c r="G751" i="34"/>
  <c r="H369" i="34"/>
  <c r="H370" i="34"/>
  <c r="H371" i="34"/>
  <c r="H372" i="34"/>
  <c r="H374" i="34"/>
  <c r="H379" i="34"/>
  <c r="H380" i="34"/>
  <c r="H381" i="34"/>
  <c r="H382" i="34"/>
  <c r="H384" i="34"/>
  <c r="H389" i="34"/>
  <c r="H390" i="34"/>
  <c r="H391" i="34"/>
  <c r="H392" i="34"/>
  <c r="H394" i="34"/>
  <c r="H399" i="34"/>
  <c r="H400" i="34"/>
  <c r="H401" i="34"/>
  <c r="H402" i="34"/>
  <c r="H404" i="34"/>
  <c r="H409" i="34"/>
  <c r="H410" i="34"/>
  <c r="H411" i="34"/>
  <c r="H412" i="34"/>
  <c r="H414" i="34"/>
  <c r="H732" i="34"/>
  <c r="H733" i="34"/>
  <c r="H734" i="34"/>
  <c r="H735" i="34"/>
  <c r="H736" i="34"/>
  <c r="H737" i="34"/>
  <c r="H738" i="34"/>
  <c r="H739" i="34"/>
  <c r="H740" i="34"/>
  <c r="H741" i="34"/>
  <c r="H742" i="34"/>
  <c r="H743" i="34"/>
  <c r="H744" i="34"/>
  <c r="H745" i="34"/>
  <c r="H746" i="34"/>
  <c r="H747" i="34"/>
  <c r="H748" i="34"/>
  <c r="H749" i="34"/>
  <c r="H750" i="34"/>
  <c r="H751" i="34"/>
  <c r="G366" i="34"/>
  <c r="H366" i="34"/>
  <c r="G367" i="34"/>
  <c r="H367" i="34"/>
  <c r="G368" i="34"/>
  <c r="H368" i="34"/>
  <c r="G369" i="34"/>
  <c r="G373" i="34"/>
  <c r="H373" i="34"/>
  <c r="G374" i="34"/>
  <c r="H375" i="34"/>
  <c r="G376" i="34"/>
  <c r="H376" i="34"/>
  <c r="G377" i="34"/>
  <c r="H377" i="34"/>
  <c r="G378" i="34"/>
  <c r="H378" i="34"/>
  <c r="G379" i="34"/>
  <c r="G383" i="34"/>
  <c r="H383" i="34"/>
  <c r="G384" i="34"/>
  <c r="H385" i="34"/>
  <c r="G386" i="34"/>
  <c r="H386" i="34"/>
  <c r="G387" i="34"/>
  <c r="H387" i="34"/>
  <c r="G388" i="34"/>
  <c r="H388" i="34"/>
  <c r="G389" i="34"/>
  <c r="G393" i="34"/>
  <c r="H393" i="34"/>
  <c r="G394" i="34"/>
  <c r="H395" i="34"/>
  <c r="G396" i="34"/>
  <c r="H396" i="34"/>
  <c r="G397" i="34"/>
  <c r="H397" i="34"/>
  <c r="G398" i="34"/>
  <c r="H398" i="34"/>
  <c r="G399" i="34"/>
  <c r="G403" i="34"/>
  <c r="H403" i="34"/>
  <c r="G404" i="34"/>
  <c r="H405" i="34"/>
  <c r="G406" i="34"/>
  <c r="H406" i="34"/>
  <c r="G407" i="34"/>
  <c r="H407" i="34"/>
  <c r="G408" i="34"/>
  <c r="H408" i="34"/>
  <c r="G409" i="34"/>
  <c r="G413" i="34"/>
  <c r="H413" i="34"/>
  <c r="G414" i="34"/>
  <c r="H415" i="34"/>
  <c r="H355" i="34"/>
  <c r="H357" i="34"/>
  <c r="H361" i="34"/>
  <c r="H363" i="34"/>
  <c r="G355" i="34"/>
  <c r="G356" i="34"/>
  <c r="H356" i="34"/>
  <c r="G357" i="34"/>
  <c r="G358" i="34"/>
  <c r="H358" i="34"/>
  <c r="G359" i="34"/>
  <c r="H359" i="34"/>
  <c r="G360" i="34"/>
  <c r="H360" i="34"/>
  <c r="G361" i="34"/>
  <c r="G362" i="34"/>
  <c r="H362" i="34"/>
  <c r="G363" i="34"/>
  <c r="G364" i="34"/>
  <c r="H364" i="34"/>
  <c r="G365" i="34"/>
  <c r="H365" i="34"/>
  <c r="H350" i="34"/>
  <c r="G348" i="34"/>
  <c r="H348" i="34"/>
  <c r="G349" i="34"/>
  <c r="H349" i="34"/>
  <c r="G350" i="34"/>
  <c r="G351" i="34"/>
  <c r="H351" i="34"/>
  <c r="G352" i="34"/>
  <c r="H352" i="34"/>
  <c r="G353" i="34"/>
  <c r="H353" i="34"/>
  <c r="G354" i="34"/>
  <c r="H354" i="34"/>
  <c r="C753" i="34" l="1"/>
  <c r="D753" i="34"/>
  <c r="C754" i="34"/>
  <c r="D754" i="34"/>
  <c r="C755" i="34"/>
  <c r="D755" i="34"/>
  <c r="C756" i="34"/>
  <c r="D756" i="34"/>
  <c r="C757" i="34"/>
  <c r="D757" i="34"/>
  <c r="C758" i="34"/>
  <c r="D758" i="34"/>
  <c r="C759" i="34"/>
  <c r="D759" i="34"/>
  <c r="C760" i="34"/>
  <c r="D760" i="34"/>
  <c r="C761" i="34"/>
  <c r="D761" i="34"/>
  <c r="C762" i="34"/>
  <c r="D762" i="34"/>
  <c r="C763" i="34"/>
  <c r="D763" i="34"/>
  <c r="C764" i="34"/>
  <c r="D764" i="34"/>
  <c r="C765" i="34"/>
  <c r="D765" i="34"/>
  <c r="C766" i="34"/>
  <c r="D766" i="34"/>
  <c r="C767" i="34"/>
  <c r="D767" i="34"/>
  <c r="C768" i="34"/>
  <c r="D768" i="34"/>
  <c r="C769" i="34"/>
  <c r="D769" i="34"/>
  <c r="C770" i="34"/>
  <c r="D770" i="34"/>
  <c r="C771" i="34"/>
  <c r="D771" i="34"/>
  <c r="C772" i="34"/>
  <c r="D772" i="34"/>
  <c r="C773" i="34"/>
  <c r="D773" i="34"/>
  <c r="C774" i="34"/>
  <c r="D774" i="34"/>
  <c r="C775" i="34"/>
  <c r="D775" i="34"/>
  <c r="C776" i="34"/>
  <c r="D776" i="34"/>
  <c r="C777" i="34"/>
  <c r="D777" i="34"/>
  <c r="C778" i="34"/>
  <c r="D778" i="34"/>
  <c r="C779" i="34"/>
  <c r="D779" i="34"/>
  <c r="C780" i="34"/>
  <c r="D780" i="34"/>
  <c r="C781" i="34"/>
  <c r="D781" i="34"/>
  <c r="C782" i="34"/>
  <c r="D782" i="34"/>
  <c r="C783" i="34"/>
  <c r="D783" i="34"/>
  <c r="C784" i="34"/>
  <c r="D784" i="34"/>
  <c r="C785" i="34"/>
  <c r="D785" i="34"/>
  <c r="C786" i="34"/>
  <c r="D786" i="34"/>
  <c r="C787" i="34"/>
  <c r="D787" i="34"/>
  <c r="C788" i="34"/>
  <c r="D788" i="34"/>
  <c r="C789" i="34"/>
  <c r="D789" i="34"/>
  <c r="C790" i="34"/>
  <c r="D790" i="34"/>
  <c r="C791" i="34"/>
  <c r="D791" i="34"/>
  <c r="C792" i="34"/>
  <c r="D792" i="34"/>
  <c r="C793" i="34"/>
  <c r="D793" i="34"/>
  <c r="C794" i="34"/>
  <c r="D794" i="34"/>
  <c r="C795" i="34"/>
  <c r="D795" i="34"/>
  <c r="C796" i="34"/>
  <c r="D796" i="34"/>
  <c r="C797" i="34"/>
  <c r="D797" i="34"/>
  <c r="C798" i="34"/>
  <c r="D798" i="34"/>
  <c r="C799" i="34"/>
  <c r="D799" i="34"/>
  <c r="C800" i="34"/>
  <c r="D800" i="34"/>
  <c r="C801" i="34"/>
  <c r="D801" i="34"/>
  <c r="C802" i="34"/>
  <c r="D802" i="34"/>
  <c r="C803" i="34"/>
  <c r="D803" i="34"/>
  <c r="C804" i="34"/>
  <c r="D804" i="34"/>
  <c r="C805" i="34"/>
  <c r="D805" i="34"/>
  <c r="C806" i="34"/>
  <c r="D806" i="34"/>
  <c r="C807" i="34"/>
  <c r="D807" i="34"/>
  <c r="C808" i="34"/>
  <c r="D808" i="34"/>
  <c r="C809" i="34"/>
  <c r="D809" i="34"/>
  <c r="C810" i="34"/>
  <c r="D810" i="34"/>
  <c r="C811" i="34"/>
  <c r="D811" i="34"/>
  <c r="C812" i="34"/>
  <c r="D812" i="34"/>
  <c r="C813" i="34"/>
  <c r="D813" i="34"/>
  <c r="C814" i="34"/>
  <c r="D814" i="34"/>
  <c r="C815" i="34"/>
  <c r="D815" i="34"/>
  <c r="C816" i="34"/>
  <c r="D816" i="34"/>
  <c r="C817" i="34"/>
  <c r="D817" i="34"/>
  <c r="C818" i="34"/>
  <c r="D818" i="34"/>
  <c r="C819" i="34"/>
  <c r="D819" i="34"/>
  <c r="C820" i="34"/>
  <c r="D820" i="34"/>
  <c r="C821" i="34"/>
  <c r="D821" i="34"/>
  <c r="C822" i="34"/>
  <c r="D822" i="34"/>
  <c r="C823" i="34"/>
  <c r="D823" i="34"/>
  <c r="C824" i="34"/>
  <c r="D824" i="34"/>
  <c r="C825" i="34"/>
  <c r="D825" i="34"/>
  <c r="C826" i="34"/>
  <c r="D826" i="34"/>
  <c r="C827" i="34"/>
  <c r="D827" i="34"/>
  <c r="C828" i="34"/>
  <c r="D828" i="34"/>
  <c r="C829" i="34"/>
  <c r="D829" i="34"/>
  <c r="C830" i="34"/>
  <c r="D830" i="34"/>
  <c r="C831" i="34"/>
  <c r="D831" i="34"/>
  <c r="C832" i="34"/>
  <c r="D832" i="34"/>
  <c r="C833" i="34"/>
  <c r="D833" i="34"/>
  <c r="C834" i="34"/>
  <c r="D834" i="34"/>
  <c r="C835" i="34"/>
  <c r="D835" i="34"/>
  <c r="C836" i="34"/>
  <c r="D836" i="34"/>
  <c r="C837" i="34"/>
  <c r="D837" i="34"/>
  <c r="C838" i="34"/>
  <c r="D838" i="34"/>
  <c r="C839" i="34"/>
  <c r="D839" i="34"/>
  <c r="C840" i="34"/>
  <c r="D840" i="34"/>
  <c r="C841" i="34"/>
  <c r="D841" i="34"/>
  <c r="C842" i="34"/>
  <c r="D842" i="34"/>
  <c r="C843" i="34"/>
  <c r="D843" i="34"/>
  <c r="C844" i="34"/>
  <c r="D844" i="34"/>
  <c r="C845" i="34"/>
  <c r="D845" i="34"/>
  <c r="C846" i="34"/>
  <c r="D846" i="34"/>
  <c r="C847" i="34"/>
  <c r="D847" i="34"/>
  <c r="C848" i="34"/>
  <c r="D848" i="34"/>
  <c r="C849" i="34"/>
  <c r="D849" i="34"/>
  <c r="C850" i="34"/>
  <c r="D850" i="34"/>
  <c r="C851" i="34"/>
  <c r="D851" i="34"/>
  <c r="C852" i="34"/>
  <c r="D852" i="34"/>
  <c r="C853" i="34"/>
  <c r="D853" i="34"/>
  <c r="C854" i="34"/>
  <c r="D854" i="34"/>
  <c r="C855" i="34"/>
  <c r="D855" i="34"/>
  <c r="C856" i="34"/>
  <c r="D856" i="34"/>
  <c r="C857" i="34"/>
  <c r="D857" i="34"/>
  <c r="C858" i="34"/>
  <c r="D858" i="34"/>
  <c r="C859" i="34"/>
  <c r="D859" i="34"/>
  <c r="C860" i="34"/>
  <c r="D860" i="34"/>
  <c r="C861" i="34"/>
  <c r="D861" i="34"/>
  <c r="C862" i="34"/>
  <c r="D862" i="34"/>
  <c r="C863" i="34"/>
  <c r="D863" i="34"/>
  <c r="C864" i="34"/>
  <c r="D864" i="34"/>
  <c r="C865" i="34"/>
  <c r="D865" i="34"/>
  <c r="C866" i="34"/>
  <c r="D866" i="34"/>
  <c r="C867" i="34"/>
  <c r="D867" i="34"/>
  <c r="C868" i="34"/>
  <c r="D868" i="34"/>
  <c r="C869" i="34"/>
  <c r="D869" i="34"/>
  <c r="C870" i="34"/>
  <c r="D870" i="34"/>
  <c r="C871" i="34"/>
  <c r="D871" i="34"/>
  <c r="C872" i="34"/>
  <c r="D872" i="34"/>
  <c r="C873" i="34"/>
  <c r="D873" i="34"/>
  <c r="C874" i="34"/>
  <c r="D874" i="34"/>
  <c r="C875" i="34"/>
  <c r="D875" i="34"/>
  <c r="C876" i="34"/>
  <c r="D876" i="34"/>
  <c r="C877" i="34"/>
  <c r="D877" i="34"/>
  <c r="C878" i="34"/>
  <c r="D878" i="34"/>
  <c r="C879" i="34"/>
  <c r="D879" i="34"/>
  <c r="C880" i="34"/>
  <c r="D880" i="34"/>
  <c r="C881" i="34"/>
  <c r="D881" i="34"/>
  <c r="C882" i="34"/>
  <c r="D882" i="34"/>
  <c r="C883" i="34"/>
  <c r="D883" i="34"/>
  <c r="C884" i="34"/>
  <c r="D884" i="34"/>
  <c r="C885" i="34"/>
  <c r="D885" i="34"/>
  <c r="C886" i="34"/>
  <c r="D886" i="34"/>
  <c r="C887" i="34"/>
  <c r="D887" i="34"/>
  <c r="C888" i="34"/>
  <c r="D888" i="34"/>
  <c r="C889" i="34"/>
  <c r="D889" i="34"/>
  <c r="C890" i="34"/>
  <c r="D890" i="34"/>
  <c r="C891" i="34"/>
  <c r="D891" i="34"/>
  <c r="C892" i="34"/>
  <c r="D892" i="34"/>
  <c r="C893" i="34"/>
  <c r="D893" i="34"/>
  <c r="C894" i="34"/>
  <c r="D894" i="34"/>
  <c r="C895" i="34"/>
  <c r="D895" i="34"/>
  <c r="C896" i="34"/>
  <c r="D896" i="34"/>
  <c r="C897" i="34"/>
  <c r="D897" i="34"/>
  <c r="C898" i="34"/>
  <c r="D898" i="34"/>
  <c r="C899" i="34"/>
  <c r="D899" i="34"/>
  <c r="C900" i="34"/>
  <c r="D900" i="34"/>
  <c r="C901" i="34"/>
  <c r="D901" i="34"/>
  <c r="C902" i="34"/>
  <c r="D902" i="34"/>
  <c r="C903" i="34"/>
  <c r="D903" i="34"/>
  <c r="C904" i="34"/>
  <c r="D904" i="34"/>
  <c r="C905" i="34"/>
  <c r="D905" i="34"/>
  <c r="C906" i="34"/>
  <c r="D906" i="34"/>
  <c r="D3" i="51"/>
  <c r="A3" i="34" s="1"/>
  <c r="C3" i="51"/>
  <c r="D752" i="34" l="1"/>
  <c r="H259" i="34" l="1"/>
  <c r="H260" i="34"/>
  <c r="H261" i="34"/>
  <c r="H262" i="34"/>
  <c r="H263" i="34"/>
  <c r="H264" i="34"/>
  <c r="H265" i="34"/>
  <c r="H266" i="34"/>
  <c r="H267" i="34"/>
  <c r="H268" i="34"/>
  <c r="H269" i="34"/>
  <c r="H270" i="34"/>
  <c r="H271" i="34"/>
  <c r="H272" i="34"/>
  <c r="H273" i="34"/>
  <c r="H274" i="34"/>
  <c r="H275" i="34"/>
  <c r="H276" i="34"/>
  <c r="H277" i="34"/>
  <c r="H278" i="34"/>
  <c r="H279" i="34"/>
  <c r="H280" i="34"/>
  <c r="H281" i="34"/>
  <c r="H282" i="34"/>
  <c r="H283" i="34"/>
  <c r="H284" i="34"/>
  <c r="H285" i="34"/>
  <c r="H286" i="34"/>
  <c r="H287" i="34"/>
  <c r="H288" i="34"/>
  <c r="H289" i="34"/>
  <c r="H290" i="34"/>
  <c r="H291" i="34"/>
  <c r="H292" i="34"/>
  <c r="H293" i="34"/>
  <c r="H294" i="34"/>
  <c r="H295" i="34"/>
  <c r="H296" i="34"/>
  <c r="H297" i="34"/>
  <c r="H298" i="34"/>
  <c r="H299" i="34"/>
  <c r="H300" i="34"/>
  <c r="H301" i="34"/>
  <c r="H302" i="34"/>
  <c r="H303" i="34"/>
  <c r="H304" i="34"/>
  <c r="H305" i="34"/>
  <c r="H306" i="34"/>
  <c r="H307" i="34"/>
  <c r="H308" i="34"/>
  <c r="H309" i="34"/>
  <c r="H310" i="34"/>
  <c r="H311" i="34"/>
  <c r="H312" i="34"/>
  <c r="H313" i="34"/>
  <c r="H314" i="34"/>
  <c r="H315" i="34"/>
  <c r="H316" i="34"/>
  <c r="H317" i="34"/>
  <c r="H318" i="34"/>
  <c r="H319" i="34"/>
  <c r="H320" i="34"/>
  <c r="H321" i="34"/>
  <c r="H322" i="34"/>
  <c r="H323" i="34"/>
  <c r="H324" i="34"/>
  <c r="H325" i="34"/>
  <c r="H326" i="34"/>
  <c r="H327" i="34"/>
  <c r="H328" i="34"/>
  <c r="H329" i="34"/>
  <c r="H330" i="34"/>
  <c r="H331" i="34"/>
  <c r="H332" i="34"/>
  <c r="H333" i="34"/>
  <c r="H334" i="34"/>
  <c r="H335" i="34"/>
  <c r="H336" i="34"/>
  <c r="H337" i="34"/>
  <c r="H338" i="34"/>
  <c r="H339" i="34"/>
  <c r="H340" i="34"/>
  <c r="H341" i="34"/>
  <c r="H342" i="34"/>
  <c r="H343" i="34"/>
  <c r="H344" i="34"/>
  <c r="H345" i="34"/>
  <c r="H346" i="34"/>
  <c r="H347" i="34"/>
  <c r="H752" i="34"/>
  <c r="H753" i="34"/>
  <c r="H754" i="34"/>
  <c r="H755" i="34"/>
  <c r="H756" i="34"/>
  <c r="H757" i="34"/>
  <c r="H758" i="34"/>
  <c r="H759" i="34"/>
  <c r="H760" i="34"/>
  <c r="H761" i="34"/>
  <c r="H762" i="34"/>
  <c r="H763" i="34"/>
  <c r="H764" i="34"/>
  <c r="H765" i="34"/>
  <c r="H766" i="34"/>
  <c r="H767" i="34"/>
  <c r="H768" i="34"/>
  <c r="H769" i="34"/>
  <c r="H770" i="34"/>
  <c r="H771" i="34"/>
  <c r="H772" i="34"/>
  <c r="H773" i="34"/>
  <c r="H774" i="34"/>
  <c r="H775" i="34"/>
  <c r="H776" i="34"/>
  <c r="H777" i="34"/>
  <c r="H778" i="34"/>
  <c r="H779" i="34"/>
  <c r="H780" i="34"/>
  <c r="H781" i="34"/>
  <c r="H782" i="34"/>
  <c r="H783" i="34"/>
  <c r="H784" i="34"/>
  <c r="H785" i="34"/>
  <c r="H786" i="34"/>
  <c r="H787" i="34"/>
  <c r="H788" i="34"/>
  <c r="H789" i="34"/>
  <c r="H790" i="34"/>
  <c r="H791" i="34"/>
  <c r="H792" i="34"/>
  <c r="H793" i="34"/>
  <c r="H794" i="34"/>
  <c r="H795" i="34"/>
  <c r="H796" i="34"/>
  <c r="H797" i="34"/>
  <c r="H798" i="34"/>
  <c r="H799" i="34"/>
  <c r="H800" i="34"/>
  <c r="H801" i="34"/>
  <c r="H802" i="34"/>
  <c r="H803" i="34"/>
  <c r="H804" i="34"/>
  <c r="H805" i="34"/>
  <c r="H806" i="34"/>
  <c r="H807" i="34"/>
  <c r="H808" i="34"/>
  <c r="H809" i="34"/>
  <c r="H810" i="34"/>
  <c r="H811" i="34"/>
  <c r="H812" i="34"/>
  <c r="H813" i="34"/>
  <c r="H814" i="34"/>
  <c r="H815" i="34"/>
  <c r="H816" i="34"/>
  <c r="H817" i="34"/>
  <c r="H818" i="34"/>
  <c r="H819" i="34"/>
  <c r="H820" i="34"/>
  <c r="H821" i="34"/>
  <c r="H822" i="34"/>
  <c r="H823" i="34"/>
  <c r="H824" i="34"/>
  <c r="H825" i="34"/>
  <c r="H826" i="34"/>
  <c r="H827" i="34"/>
  <c r="H828" i="34"/>
  <c r="H829" i="34"/>
  <c r="H830" i="34"/>
  <c r="H831" i="34"/>
  <c r="H832" i="34"/>
  <c r="H833" i="34"/>
  <c r="H834" i="34"/>
  <c r="H835" i="34"/>
  <c r="H836" i="34"/>
  <c r="H837" i="34"/>
  <c r="H838" i="34"/>
  <c r="H839" i="34"/>
  <c r="H840" i="34"/>
  <c r="H841" i="34"/>
  <c r="H842" i="34"/>
  <c r="H843" i="34"/>
  <c r="H844" i="34"/>
  <c r="H845" i="34"/>
  <c r="H846" i="34"/>
  <c r="H847" i="34"/>
  <c r="H848" i="34"/>
  <c r="H849" i="34"/>
  <c r="H850" i="34"/>
  <c r="H851" i="34"/>
  <c r="H852" i="34"/>
  <c r="H853" i="34"/>
  <c r="H854" i="34"/>
  <c r="H855" i="34"/>
  <c r="H856" i="34"/>
  <c r="H857" i="34"/>
  <c r="H858" i="34"/>
  <c r="H859" i="34"/>
  <c r="H860" i="34"/>
  <c r="H861" i="34"/>
  <c r="H862" i="34"/>
  <c r="H863" i="34"/>
  <c r="H864" i="34"/>
  <c r="H865" i="34"/>
  <c r="H866" i="34"/>
  <c r="H867" i="34"/>
  <c r="H868" i="34"/>
  <c r="H869" i="34"/>
  <c r="H870" i="34"/>
  <c r="H871" i="34"/>
  <c r="H872" i="34"/>
  <c r="H873" i="34"/>
  <c r="H874" i="34"/>
  <c r="H875" i="34"/>
  <c r="H876" i="34"/>
  <c r="H877" i="34"/>
  <c r="H878" i="34"/>
  <c r="H879" i="34"/>
  <c r="H880" i="34"/>
  <c r="H881" i="34"/>
  <c r="H882" i="34"/>
  <c r="H883" i="34"/>
  <c r="H884" i="34"/>
  <c r="H885" i="34"/>
  <c r="H886" i="34"/>
  <c r="H887" i="34"/>
  <c r="H888" i="34"/>
  <c r="H889" i="34"/>
  <c r="H890" i="34"/>
  <c r="H891" i="34"/>
  <c r="H892" i="34"/>
  <c r="H893" i="34"/>
  <c r="H894" i="34"/>
  <c r="H895" i="34"/>
  <c r="H896" i="34"/>
  <c r="H897" i="34"/>
  <c r="H898" i="34"/>
  <c r="H899" i="34"/>
  <c r="H900" i="34"/>
  <c r="H901" i="34"/>
  <c r="H902" i="34"/>
  <c r="H903" i="34"/>
  <c r="H904" i="34"/>
  <c r="H905" i="34"/>
  <c r="H906" i="34"/>
  <c r="G259" i="34"/>
  <c r="G260" i="34"/>
  <c r="G261" i="34"/>
  <c r="G262" i="34"/>
  <c r="G263" i="34"/>
  <c r="G264" i="34"/>
  <c r="G265" i="34"/>
  <c r="G266" i="34"/>
  <c r="G267" i="34"/>
  <c r="G268" i="34"/>
  <c r="G269" i="34"/>
  <c r="G270" i="34"/>
  <c r="G271" i="34"/>
  <c r="G272" i="34"/>
  <c r="G273" i="34"/>
  <c r="G274" i="34"/>
  <c r="G275" i="34"/>
  <c r="G276" i="34"/>
  <c r="G277" i="34"/>
  <c r="G278" i="34"/>
  <c r="G279" i="34"/>
  <c r="G280" i="34"/>
  <c r="G281" i="34"/>
  <c r="G282" i="34"/>
  <c r="G283" i="34"/>
  <c r="G284" i="34"/>
  <c r="G285" i="34"/>
  <c r="G286" i="34"/>
  <c r="G287" i="34"/>
  <c r="G288" i="34"/>
  <c r="G289" i="34"/>
  <c r="G290" i="34"/>
  <c r="G291" i="34"/>
  <c r="G292" i="34"/>
  <c r="G293" i="34"/>
  <c r="G294" i="34"/>
  <c r="G295" i="34"/>
  <c r="G296" i="34"/>
  <c r="G297" i="34"/>
  <c r="G298" i="34"/>
  <c r="G299" i="34"/>
  <c r="G300" i="34"/>
  <c r="G301" i="34"/>
  <c r="G302" i="34"/>
  <c r="G303" i="34"/>
  <c r="G304" i="34"/>
  <c r="G305" i="34"/>
  <c r="G306" i="34"/>
  <c r="G307" i="34"/>
  <c r="G308" i="34"/>
  <c r="G309" i="34"/>
  <c r="G310" i="34"/>
  <c r="G311" i="34"/>
  <c r="G312" i="34"/>
  <c r="G313" i="34"/>
  <c r="G314" i="34"/>
  <c r="G315" i="34"/>
  <c r="G316" i="34"/>
  <c r="G317" i="34"/>
  <c r="G318" i="34"/>
  <c r="G319" i="34"/>
  <c r="G320" i="34"/>
  <c r="G321" i="34"/>
  <c r="G322" i="34"/>
  <c r="G323" i="34"/>
  <c r="G324" i="34"/>
  <c r="G325" i="34"/>
  <c r="G326" i="34"/>
  <c r="G327" i="34"/>
  <c r="G328" i="34"/>
  <c r="G329" i="34"/>
  <c r="G330" i="34"/>
  <c r="G331" i="34"/>
  <c r="G332" i="34"/>
  <c r="G333" i="34"/>
  <c r="G334" i="34"/>
  <c r="G335" i="34"/>
  <c r="G336" i="34"/>
  <c r="G337" i="34"/>
  <c r="G338" i="34"/>
  <c r="G339" i="34"/>
  <c r="G340" i="34"/>
  <c r="G341" i="34"/>
  <c r="G342" i="34"/>
  <c r="G343" i="34"/>
  <c r="G344" i="34"/>
  <c r="G345" i="34"/>
  <c r="G346" i="34"/>
  <c r="G347" i="34"/>
  <c r="C752" i="34"/>
  <c r="G752" i="34" s="1"/>
  <c r="G753" i="34"/>
  <c r="G754" i="34"/>
  <c r="G755" i="34"/>
  <c r="G756" i="34"/>
  <c r="G757" i="34"/>
  <c r="G758" i="34"/>
  <c r="G759" i="34"/>
  <c r="G760" i="34"/>
  <c r="G761" i="34"/>
  <c r="G762" i="34"/>
  <c r="G763" i="34"/>
  <c r="G764" i="34"/>
  <c r="G765" i="34"/>
  <c r="G766" i="34"/>
  <c r="G767" i="34"/>
  <c r="G768" i="34"/>
  <c r="G769" i="34"/>
  <c r="G770" i="34"/>
  <c r="G771" i="34"/>
  <c r="G772" i="34"/>
  <c r="G773" i="34"/>
  <c r="G774" i="34"/>
  <c r="G775" i="34"/>
  <c r="G776" i="34"/>
  <c r="G777" i="34"/>
  <c r="G778" i="34"/>
  <c r="G779" i="34"/>
  <c r="G780" i="34"/>
  <c r="G781" i="34"/>
  <c r="G782" i="34"/>
  <c r="G783" i="34"/>
  <c r="G784" i="34"/>
  <c r="G785" i="34"/>
  <c r="G786" i="34"/>
  <c r="G787" i="34"/>
  <c r="G788" i="34"/>
  <c r="G789" i="34"/>
  <c r="G790" i="34"/>
  <c r="G791" i="34"/>
  <c r="G792" i="34"/>
  <c r="G793" i="34"/>
  <c r="G794" i="34"/>
  <c r="G795" i="34"/>
  <c r="G796" i="34"/>
  <c r="G797" i="34"/>
  <c r="G798" i="34"/>
  <c r="G799" i="34"/>
  <c r="G800" i="34"/>
  <c r="G801" i="34"/>
  <c r="G802" i="34"/>
  <c r="G803" i="34"/>
  <c r="G804" i="34"/>
  <c r="G805" i="34"/>
  <c r="G806" i="34"/>
  <c r="G807" i="34"/>
  <c r="G808" i="34"/>
  <c r="G809" i="34"/>
  <c r="G810" i="34"/>
  <c r="G811" i="34"/>
  <c r="G812" i="34"/>
  <c r="G813" i="34"/>
  <c r="G814" i="34"/>
  <c r="G815" i="34"/>
  <c r="G816" i="34"/>
  <c r="G817" i="34"/>
  <c r="G818" i="34"/>
  <c r="G819" i="34"/>
  <c r="G820" i="34"/>
  <c r="G821" i="34"/>
  <c r="G822" i="34"/>
  <c r="G823" i="34"/>
  <c r="G824" i="34"/>
  <c r="G825" i="34"/>
  <c r="G826" i="34"/>
  <c r="G827" i="34"/>
  <c r="G828" i="34"/>
  <c r="G829" i="34"/>
  <c r="G830" i="34"/>
  <c r="G831" i="34"/>
  <c r="G832" i="34"/>
  <c r="G833" i="34"/>
  <c r="G834" i="34"/>
  <c r="G835" i="34"/>
  <c r="G836" i="34"/>
  <c r="G837" i="34"/>
  <c r="G838" i="34"/>
  <c r="G839" i="34"/>
  <c r="G840" i="34"/>
  <c r="G841" i="34"/>
  <c r="G842" i="34"/>
  <c r="G843" i="34"/>
  <c r="G844" i="34"/>
  <c r="G845" i="34"/>
  <c r="G846" i="34"/>
  <c r="G847" i="34"/>
  <c r="G848" i="34"/>
  <c r="G849" i="34"/>
  <c r="G850" i="34"/>
  <c r="G851" i="34"/>
  <c r="G852" i="34"/>
  <c r="G853" i="34"/>
  <c r="G854" i="34"/>
  <c r="G855" i="34"/>
  <c r="G856" i="34"/>
  <c r="G857" i="34"/>
  <c r="G858" i="34"/>
  <c r="G859" i="34"/>
  <c r="G860" i="34"/>
  <c r="G861" i="34"/>
  <c r="G862" i="34"/>
  <c r="G863" i="34"/>
  <c r="G864" i="34"/>
  <c r="G865" i="34"/>
  <c r="G866" i="34"/>
  <c r="G867" i="34"/>
  <c r="G868" i="34"/>
  <c r="G869" i="34"/>
  <c r="G870" i="34"/>
  <c r="G871" i="34"/>
  <c r="G872" i="34"/>
  <c r="G873" i="34"/>
  <c r="G874" i="34"/>
  <c r="G875" i="34"/>
  <c r="G876" i="34"/>
  <c r="G877" i="34"/>
  <c r="G878" i="34"/>
  <c r="G879" i="34"/>
  <c r="G880" i="34"/>
  <c r="G881" i="34"/>
  <c r="G882" i="34"/>
  <c r="G883" i="34"/>
  <c r="G884" i="34"/>
  <c r="G885" i="34"/>
  <c r="G886" i="34"/>
  <c r="G887" i="34"/>
  <c r="G888" i="34"/>
  <c r="G889" i="34"/>
  <c r="G890" i="34"/>
  <c r="G891" i="34"/>
  <c r="G892" i="34"/>
  <c r="G893" i="34"/>
  <c r="G894" i="34"/>
  <c r="G895" i="34"/>
  <c r="G896" i="34"/>
  <c r="G897" i="34"/>
  <c r="G898" i="34"/>
  <c r="G899" i="34"/>
  <c r="G900" i="34"/>
  <c r="G901" i="34"/>
  <c r="G902" i="34"/>
  <c r="G903" i="34"/>
  <c r="G904" i="34"/>
  <c r="G905" i="34"/>
  <c r="G906" i="34"/>
  <c r="G4" i="34"/>
  <c r="H4" i="34"/>
  <c r="G5" i="34"/>
  <c r="H5" i="34"/>
  <c r="G6" i="34"/>
  <c r="H6" i="34"/>
  <c r="G7" i="34"/>
  <c r="H7" i="34"/>
  <c r="G8" i="34"/>
  <c r="H8" i="34"/>
  <c r="G9" i="34"/>
  <c r="H9" i="34"/>
  <c r="G10" i="34"/>
  <c r="H10" i="34"/>
  <c r="G11" i="34"/>
  <c r="H11" i="34"/>
  <c r="G12" i="34"/>
  <c r="H12" i="34"/>
  <c r="G13" i="34"/>
  <c r="H13" i="34"/>
  <c r="G14" i="34"/>
  <c r="H14" i="34"/>
  <c r="G15" i="34"/>
  <c r="H15" i="34"/>
  <c r="G16" i="34"/>
  <c r="H16" i="34"/>
  <c r="G17" i="34"/>
  <c r="H17" i="34"/>
  <c r="G18" i="34"/>
  <c r="H18" i="34"/>
  <c r="G19" i="34"/>
  <c r="H19" i="34"/>
  <c r="G20" i="34"/>
  <c r="H20" i="34"/>
  <c r="G21" i="34"/>
  <c r="H21" i="34"/>
  <c r="G22" i="34"/>
  <c r="H22" i="34"/>
  <c r="G23" i="34"/>
  <c r="H23" i="34"/>
  <c r="G24" i="34"/>
  <c r="H24" i="34"/>
  <c r="G25" i="34"/>
  <c r="H25" i="34"/>
  <c r="G26" i="34"/>
  <c r="H26" i="34"/>
  <c r="G27" i="34"/>
  <c r="H27" i="34"/>
  <c r="G28" i="34"/>
  <c r="H28" i="34"/>
  <c r="G29" i="34"/>
  <c r="H29" i="34"/>
  <c r="G30" i="34"/>
  <c r="H30" i="34"/>
  <c r="G31" i="34"/>
  <c r="H31" i="34"/>
  <c r="G32" i="34"/>
  <c r="H32" i="34"/>
  <c r="G33" i="34"/>
  <c r="H33" i="34"/>
  <c r="G34" i="34"/>
  <c r="H34" i="34"/>
  <c r="G35" i="34"/>
  <c r="H35" i="34"/>
  <c r="G36" i="34"/>
  <c r="H36" i="34"/>
  <c r="G37" i="34"/>
  <c r="H37" i="34"/>
  <c r="G38" i="34"/>
  <c r="H38" i="34"/>
  <c r="G39" i="34"/>
  <c r="H39" i="34"/>
  <c r="G40" i="34"/>
  <c r="H40" i="34"/>
  <c r="G41" i="34"/>
  <c r="H41" i="34"/>
  <c r="G42" i="34"/>
  <c r="H42" i="34"/>
  <c r="G43" i="34"/>
  <c r="H43" i="34"/>
  <c r="G44" i="34"/>
  <c r="H44" i="34"/>
  <c r="G45" i="34"/>
  <c r="H45" i="34"/>
  <c r="G46" i="34"/>
  <c r="H46" i="34"/>
  <c r="G47" i="34"/>
  <c r="H47" i="34"/>
  <c r="G48" i="34"/>
  <c r="H48" i="34"/>
  <c r="G49" i="34"/>
  <c r="H49" i="34"/>
  <c r="G50" i="34"/>
  <c r="H50" i="34"/>
  <c r="G51" i="34"/>
  <c r="H51" i="34"/>
  <c r="G52" i="34"/>
  <c r="H52" i="34"/>
  <c r="G53" i="34"/>
  <c r="H53" i="34"/>
  <c r="G54" i="34"/>
  <c r="H54" i="34"/>
  <c r="G55" i="34"/>
  <c r="H55" i="34"/>
  <c r="G56" i="34"/>
  <c r="H56" i="34"/>
  <c r="G57" i="34"/>
  <c r="H57" i="34"/>
  <c r="G58" i="34"/>
  <c r="H58" i="34"/>
  <c r="G59" i="34"/>
  <c r="H59" i="34"/>
  <c r="G60" i="34"/>
  <c r="H60" i="34"/>
  <c r="G61" i="34"/>
  <c r="H61" i="34"/>
  <c r="G62" i="34"/>
  <c r="H62" i="34"/>
  <c r="G63" i="34"/>
  <c r="H63" i="34"/>
  <c r="G64" i="34"/>
  <c r="H64" i="34"/>
  <c r="G65" i="34"/>
  <c r="H65" i="34"/>
  <c r="G66" i="34"/>
  <c r="H66" i="34"/>
  <c r="G67" i="34"/>
  <c r="H67" i="34"/>
  <c r="G68" i="34"/>
  <c r="H68" i="34"/>
  <c r="G69" i="34"/>
  <c r="H69" i="34"/>
  <c r="G70" i="34"/>
  <c r="H70" i="34"/>
  <c r="G71" i="34"/>
  <c r="H71" i="34"/>
  <c r="G72" i="34"/>
  <c r="H72" i="34"/>
  <c r="G73" i="34"/>
  <c r="H73" i="34"/>
  <c r="G74" i="34"/>
  <c r="H74" i="34"/>
  <c r="G75" i="34"/>
  <c r="H75" i="34"/>
  <c r="G76" i="34"/>
  <c r="H76" i="34"/>
  <c r="G77" i="34"/>
  <c r="H77" i="34"/>
  <c r="G78" i="34"/>
  <c r="H78" i="34"/>
  <c r="G79" i="34"/>
  <c r="H79" i="34"/>
  <c r="G80" i="34"/>
  <c r="H80" i="34"/>
  <c r="G81" i="34"/>
  <c r="H81" i="34"/>
  <c r="G82" i="34"/>
  <c r="H82" i="34"/>
  <c r="G83" i="34"/>
  <c r="H83" i="34"/>
  <c r="G84" i="34"/>
  <c r="H84" i="34"/>
  <c r="G85" i="34"/>
  <c r="H85" i="34"/>
  <c r="G86" i="34"/>
  <c r="H86" i="34"/>
  <c r="G87" i="34"/>
  <c r="H87" i="34"/>
  <c r="G88" i="34"/>
  <c r="H88" i="34"/>
  <c r="G89" i="34"/>
  <c r="H89" i="34"/>
  <c r="G90" i="34"/>
  <c r="H90" i="34"/>
  <c r="G91" i="34"/>
  <c r="H91" i="34"/>
  <c r="G92" i="34"/>
  <c r="H92" i="34"/>
  <c r="G93" i="34"/>
  <c r="H93" i="34"/>
  <c r="G94" i="34"/>
  <c r="H94" i="34"/>
  <c r="G95" i="34"/>
  <c r="H95" i="34"/>
  <c r="G96" i="34"/>
  <c r="H96" i="34"/>
  <c r="G97" i="34"/>
  <c r="H97" i="34"/>
  <c r="G98" i="34"/>
  <c r="H98" i="34"/>
  <c r="G99" i="34"/>
  <c r="H99" i="34"/>
  <c r="G100" i="34"/>
  <c r="H100" i="34"/>
  <c r="G101" i="34"/>
  <c r="H101" i="34"/>
  <c r="G102" i="34"/>
  <c r="H102" i="34"/>
  <c r="G103" i="34"/>
  <c r="H103" i="34"/>
  <c r="G104" i="34"/>
  <c r="H104" i="34"/>
  <c r="G105" i="34"/>
  <c r="H105" i="34"/>
  <c r="G106" i="34"/>
  <c r="H106" i="34"/>
  <c r="G107" i="34"/>
  <c r="H107" i="34"/>
  <c r="G108" i="34"/>
  <c r="H108" i="34"/>
  <c r="G109" i="34"/>
  <c r="H109" i="34"/>
  <c r="G110" i="34"/>
  <c r="H110" i="34"/>
  <c r="G111" i="34"/>
  <c r="H111" i="34"/>
  <c r="G112" i="34"/>
  <c r="H112" i="34"/>
  <c r="G113" i="34"/>
  <c r="H113" i="34"/>
  <c r="G114" i="34"/>
  <c r="H114" i="34"/>
  <c r="G115" i="34"/>
  <c r="H115" i="34"/>
  <c r="G116" i="34"/>
  <c r="H116" i="34"/>
  <c r="G117" i="34"/>
  <c r="H117" i="34"/>
  <c r="G118" i="34"/>
  <c r="H118" i="34"/>
  <c r="G119" i="34"/>
  <c r="H119" i="34"/>
  <c r="G120" i="34"/>
  <c r="H120" i="34"/>
  <c r="G121" i="34"/>
  <c r="H121" i="34"/>
  <c r="G122" i="34"/>
  <c r="H122" i="34"/>
  <c r="G123" i="34"/>
  <c r="H123" i="34"/>
  <c r="G124" i="34"/>
  <c r="H124" i="34"/>
  <c r="G125" i="34"/>
  <c r="H125" i="34"/>
  <c r="G126" i="34"/>
  <c r="H126" i="34"/>
  <c r="G127" i="34"/>
  <c r="H127" i="34"/>
  <c r="G128" i="34"/>
  <c r="H128" i="34"/>
  <c r="G129" i="34"/>
  <c r="H129" i="34"/>
  <c r="G130" i="34"/>
  <c r="H130" i="34"/>
  <c r="G131" i="34"/>
  <c r="H131" i="34"/>
  <c r="G132" i="34"/>
  <c r="H132" i="34"/>
  <c r="G133" i="34"/>
  <c r="H133" i="34"/>
  <c r="G134" i="34"/>
  <c r="H134" i="34"/>
  <c r="G135" i="34"/>
  <c r="H135" i="34"/>
  <c r="G136" i="34"/>
  <c r="H136" i="34"/>
  <c r="G137" i="34"/>
  <c r="H137" i="34"/>
  <c r="G138" i="34"/>
  <c r="H138" i="34"/>
  <c r="G139" i="34"/>
  <c r="H139" i="34"/>
  <c r="G140" i="34"/>
  <c r="H140" i="34"/>
  <c r="G141" i="34"/>
  <c r="H141" i="34"/>
  <c r="G142" i="34"/>
  <c r="H142" i="34"/>
  <c r="G143" i="34"/>
  <c r="H143" i="34"/>
  <c r="G144" i="34"/>
  <c r="H144" i="34"/>
  <c r="G145" i="34"/>
  <c r="H145" i="34"/>
  <c r="G146" i="34"/>
  <c r="H146" i="34"/>
  <c r="G147" i="34"/>
  <c r="H147" i="34"/>
  <c r="G148" i="34"/>
  <c r="H148" i="34"/>
  <c r="G149" i="34"/>
  <c r="H149" i="34"/>
  <c r="G150" i="34"/>
  <c r="H150" i="34"/>
  <c r="G151" i="34"/>
  <c r="H151" i="34"/>
  <c r="G152" i="34"/>
  <c r="H152" i="34"/>
  <c r="G153" i="34"/>
  <c r="H153" i="34"/>
  <c r="G154" i="34"/>
  <c r="H154" i="34"/>
  <c r="G155" i="34"/>
  <c r="H155" i="34"/>
  <c r="G156" i="34"/>
  <c r="H156" i="34"/>
  <c r="G157" i="34"/>
  <c r="H157" i="34"/>
  <c r="G158" i="34"/>
  <c r="H158" i="34"/>
  <c r="G159" i="34"/>
  <c r="H159" i="34"/>
  <c r="G160" i="34"/>
  <c r="H160" i="34"/>
  <c r="G161" i="34"/>
  <c r="H161" i="34"/>
  <c r="G162" i="34"/>
  <c r="H162" i="34"/>
  <c r="G163" i="34"/>
  <c r="H163" i="34"/>
  <c r="G164" i="34"/>
  <c r="H164" i="34"/>
  <c r="G165" i="34"/>
  <c r="H165" i="34"/>
  <c r="G166" i="34"/>
  <c r="H166" i="34"/>
  <c r="G167" i="34"/>
  <c r="H167" i="34"/>
  <c r="G168" i="34"/>
  <c r="H168" i="34"/>
  <c r="G169" i="34"/>
  <c r="H169" i="34"/>
  <c r="G170" i="34"/>
  <c r="H170" i="34"/>
  <c r="G171" i="34"/>
  <c r="H171" i="34"/>
  <c r="G172" i="34"/>
  <c r="H172" i="34"/>
  <c r="G173" i="34"/>
  <c r="H173" i="34"/>
  <c r="G174" i="34"/>
  <c r="H174" i="34"/>
  <c r="G175" i="34"/>
  <c r="H175" i="34"/>
  <c r="G176" i="34"/>
  <c r="H176" i="34"/>
  <c r="G177" i="34"/>
  <c r="H177" i="34"/>
  <c r="G178" i="34"/>
  <c r="H178" i="34"/>
  <c r="G179" i="34"/>
  <c r="H179" i="34"/>
  <c r="G180" i="34"/>
  <c r="H180" i="34"/>
  <c r="G181" i="34"/>
  <c r="H181" i="34"/>
  <c r="G182" i="34"/>
  <c r="H182" i="34"/>
  <c r="G183" i="34"/>
  <c r="H183" i="34"/>
  <c r="G184" i="34"/>
  <c r="H184" i="34"/>
  <c r="G185" i="34"/>
  <c r="H185" i="34"/>
  <c r="G186" i="34"/>
  <c r="H186" i="34"/>
  <c r="G187" i="34"/>
  <c r="H187" i="34"/>
  <c r="G188" i="34"/>
  <c r="H188" i="34"/>
  <c r="G189" i="34"/>
  <c r="H189" i="34"/>
  <c r="G190" i="34"/>
  <c r="H190" i="34"/>
  <c r="G191" i="34"/>
  <c r="H191" i="34"/>
  <c r="G192" i="34"/>
  <c r="H192" i="34"/>
  <c r="G193" i="34"/>
  <c r="H193" i="34"/>
  <c r="G194" i="34"/>
  <c r="H194" i="34"/>
  <c r="G195" i="34"/>
  <c r="H195" i="34"/>
  <c r="G196" i="34"/>
  <c r="H196" i="34"/>
  <c r="G197" i="34"/>
  <c r="H197" i="34"/>
  <c r="G198" i="34"/>
  <c r="H198" i="34"/>
  <c r="G199" i="34"/>
  <c r="H199" i="34"/>
  <c r="G200" i="34"/>
  <c r="H200" i="34"/>
  <c r="G201" i="34"/>
  <c r="H201" i="34"/>
  <c r="G202" i="34"/>
  <c r="H202" i="34"/>
  <c r="G203" i="34"/>
  <c r="H203" i="34"/>
  <c r="G204" i="34"/>
  <c r="H204" i="34"/>
  <c r="G205" i="34"/>
  <c r="H205" i="34"/>
  <c r="G206" i="34"/>
  <c r="H206" i="34"/>
  <c r="G207" i="34"/>
  <c r="H207" i="34"/>
  <c r="G208" i="34"/>
  <c r="H208" i="34"/>
  <c r="G209" i="34"/>
  <c r="H209" i="34"/>
  <c r="G210" i="34"/>
  <c r="H210" i="34"/>
  <c r="G211" i="34"/>
  <c r="H211" i="34"/>
  <c r="G212" i="34"/>
  <c r="H212" i="34"/>
  <c r="G213" i="34"/>
  <c r="H213" i="34"/>
  <c r="G214" i="34"/>
  <c r="H214" i="34"/>
  <c r="G215" i="34"/>
  <c r="H215" i="34"/>
  <c r="G216" i="34"/>
  <c r="H216" i="34"/>
  <c r="G217" i="34"/>
  <c r="H217" i="34"/>
  <c r="G218" i="34"/>
  <c r="H218" i="34"/>
  <c r="G219" i="34"/>
  <c r="H219" i="34"/>
  <c r="G220" i="34"/>
  <c r="H220" i="34"/>
  <c r="G221" i="34"/>
  <c r="H221" i="34"/>
  <c r="G222" i="34"/>
  <c r="H222" i="34"/>
  <c r="G223" i="34"/>
  <c r="H223" i="34"/>
  <c r="G224" i="34"/>
  <c r="H224" i="34"/>
  <c r="G225" i="34"/>
  <c r="H225" i="34"/>
  <c r="G226" i="34"/>
  <c r="H226" i="34"/>
  <c r="G227" i="34"/>
  <c r="H227" i="34"/>
  <c r="G228" i="34"/>
  <c r="H228" i="34"/>
  <c r="G229" i="34"/>
  <c r="H229" i="34"/>
  <c r="G230" i="34"/>
  <c r="H230" i="34"/>
  <c r="G231" i="34"/>
  <c r="H231" i="34"/>
  <c r="G232" i="34"/>
  <c r="H232" i="34"/>
  <c r="G233" i="34"/>
  <c r="H233" i="34"/>
  <c r="G234" i="34"/>
  <c r="H234" i="34"/>
  <c r="G235" i="34"/>
  <c r="H235" i="34"/>
  <c r="G236" i="34"/>
  <c r="H236" i="34"/>
  <c r="G237" i="34"/>
  <c r="H237" i="34"/>
  <c r="G238" i="34"/>
  <c r="H238" i="34"/>
  <c r="G239" i="34"/>
  <c r="H239" i="34"/>
  <c r="G240" i="34"/>
  <c r="H240" i="34"/>
  <c r="G241" i="34"/>
  <c r="H241" i="34"/>
  <c r="G242" i="34"/>
  <c r="H242" i="34"/>
  <c r="G243" i="34"/>
  <c r="H243" i="34"/>
  <c r="G244" i="34"/>
  <c r="H244" i="34"/>
  <c r="G245" i="34"/>
  <c r="H245" i="34"/>
  <c r="G246" i="34"/>
  <c r="H246" i="34"/>
  <c r="G247" i="34"/>
  <c r="H247" i="34"/>
  <c r="G248" i="34"/>
  <c r="H248" i="34"/>
  <c r="G249" i="34"/>
  <c r="H249" i="34"/>
  <c r="G250" i="34"/>
  <c r="H250" i="34"/>
  <c r="G251" i="34"/>
  <c r="H251" i="34"/>
  <c r="G252" i="34"/>
  <c r="H252" i="34"/>
  <c r="G253" i="34"/>
  <c r="H253" i="34"/>
  <c r="G254" i="34"/>
  <c r="H254" i="34"/>
  <c r="G255" i="34"/>
  <c r="H255" i="34"/>
  <c r="G256" i="34"/>
  <c r="H256" i="34"/>
  <c r="G257" i="34"/>
  <c r="H257" i="34"/>
  <c r="G258" i="34"/>
  <c r="H258" i="34"/>
  <c r="D3" i="34"/>
  <c r="H3" i="34" s="1"/>
  <c r="C3" i="34"/>
  <c r="G3" i="34" s="1"/>
  <c r="E3" i="34"/>
  <c r="E3" i="51" l="1"/>
  <c r="B3" i="34" s="1"/>
  <c r="F3" i="3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PORCHER-GUINET Bruno</author>
  </authors>
  <commentList>
    <comment ref="K354" authorId="0" shapeId="0" xr:uid="{E8B1BA1B-EC70-4379-99A8-4D540233B43B}">
      <text>
        <r>
          <rPr>
            <b/>
            <sz val="9"/>
            <color indexed="81"/>
            <rFont val="Tahoma"/>
            <family val="2"/>
          </rPr>
          <t>PORCHER-GUINET Bruno:</t>
        </r>
        <r>
          <rPr>
            <sz val="9"/>
            <color indexed="81"/>
            <rFont val="Tahoma"/>
            <family val="2"/>
          </rPr>
          <t xml:space="preserve">
Réponse SMINCA - Privative, Test, Bancaire
ProcessorCardData car ca reste une donnée "privative" JV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B8CF3F-DA8C-40AF-9C07-55BF05EBC19B}" keepAlive="1" name="Requête - Table164 (Page 70)" description="Connexion à la requête « Table164 (Page 70) » dans le classeur." type="5" refreshedVersion="8" background="1" saveData="1">
    <dbPr connection="Provider=Microsoft.Mashup.OleDb.1;Data Source=$Workbook$;Location=&quot;Table164 (Page 70)&quot;;Extended Properties=&quot;&quot;" command="SELECT * FROM [Table164 (Page 70)]"/>
  </connection>
</connections>
</file>

<file path=xl/sharedStrings.xml><?xml version="1.0" encoding="utf-8"?>
<sst xmlns="http://schemas.openxmlformats.org/spreadsheetml/2006/main" count="14938" uniqueCount="5835">
  <si>
    <t>HISTORIQUE DES MODIFICATIONS</t>
  </si>
  <si>
    <t>Version</t>
  </si>
  <si>
    <t>Auteur</t>
  </si>
  <si>
    <t>Date</t>
  </si>
  <si>
    <t>Origine</t>
  </si>
  <si>
    <t>Description</t>
  </si>
  <si>
    <t>25.13</t>
  </si>
  <si>
    <t>A.Vounki</t>
  </si>
  <si>
    <t>Gestion</t>
  </si>
  <si>
    <t>remplacement de CodeSet par Codeset</t>
  </si>
  <si>
    <t>A.MAVIOGHA</t>
  </si>
  <si>
    <t>CAPTURE</t>
  </si>
  <si>
    <t>Remplacement de l'attribut temp_stampingReference pour les objets fileData,remittanceData et transactionIdentification, par l'attribut stampingReference</t>
  </si>
  <si>
    <t>TLP</t>
  </si>
  <si>
    <t>Modification du libellé de l'attribut ContryCode: Country à Acceptance System Contry Code</t>
  </si>
  <si>
    <t>O.Addoum</t>
  </si>
  <si>
    <t>Emission</t>
  </si>
  <si>
    <r>
      <rPr>
        <b/>
        <u/>
        <sz val="10"/>
        <color rgb="FF000000"/>
        <rFont val="Century Gothic"/>
        <family val="2"/>
      </rPr>
      <t xml:space="preserve">Renommage attribut:
</t>
    </r>
    <r>
      <rPr>
        <sz val="10"/>
        <color rgb="FF000000"/>
        <rFont val="Century Gothic"/>
        <family val="2"/>
      </rPr>
      <t xml:space="preserve">cardContractDeferredCalendarCode  --&gt;	 cardAgreementDeferredCalendarCode
cardContractCardAccountId                --&gt;	 cardAgreementAccountId
cardContractEntityId                             --&gt;	 cardAgreementEntityId
cardContractEntityName                      --&gt;	 cardAgreementEntityName
cardContractId                                      --&gt;	 cardAgreementId	
internalRef                                               --&gt;  internalReference                                    
</t>
    </r>
    <r>
      <rPr>
        <b/>
        <u/>
        <sz val="10"/>
        <color rgb="FF000000"/>
        <rFont val="Century Gothic"/>
        <family val="2"/>
      </rPr>
      <t xml:space="preserve">Renommage codeset:  
</t>
    </r>
    <r>
      <rPr>
        <sz val="10"/>
        <color rgb="FF000000"/>
        <rFont val="Century Gothic"/>
        <family val="2"/>
      </rPr>
      <t xml:space="preserve">cardContractCardDesignCode                 --&gt; CardDesignCode 
CardContractDeferredCalendarCodeSet  --&gt; CardAgreementDeferredCalendarCodeSet
</t>
    </r>
    <r>
      <rPr>
        <b/>
        <u/>
        <sz val="10"/>
        <color rgb="FF000000"/>
        <rFont val="Century Gothic"/>
        <family val="2"/>
      </rPr>
      <t xml:space="preserve">Création de l'attribut : 
</t>
    </r>
    <r>
      <rPr>
        <sz val="10"/>
        <color rgb="FF000000"/>
        <rFont val="Century Gothic"/>
        <family val="2"/>
      </rPr>
      <t>Environment.cardAgreement.requestId</t>
    </r>
  </si>
  <si>
    <t>Suppression du schemeMerchantId</t>
  </si>
  <si>
    <t>Création de l'attribut stampingReference</t>
  </si>
  <si>
    <t>Création du Type temp_dialogTelerametrageFunctionCodeCodeset</t>
  </si>
  <si>
    <t>Correction du type de temp_versionCBCOM: Exact2NumericText en Exact2AlphaNumericText</t>
  </si>
  <si>
    <t>Création de l'attribut temp_dialogTelerametrageFunctionCode</t>
  </si>
  <si>
    <t>B.Porcher</t>
  </si>
  <si>
    <t>merchantparameters.authorisedDuplicatedTransactions est de type Max4NumericText et pas Max999NumericText</t>
  </si>
  <si>
    <t>Remplacement des 'é' par des 'e'</t>
  </si>
  <si>
    <t>S.Lambert</t>
  </si>
  <si>
    <t>Contestation</t>
  </si>
  <si>
    <t>Revue des CodeSets :
DisputeQualificationCodeset
RefundDecisionCodeset
RefundNatureCodeset
StatusCodeCodeset</t>
  </si>
  <si>
    <t>Tarification</t>
  </si>
  <si>
    <t>Ajout de GrossCashFlowEvent dans MessagefunctionCodeset</t>
  </si>
  <si>
    <t>Precomp</t>
  </si>
  <si>
    <t>Suppression des attributs de merchant : temp_billingInternationalBankAccountNumber, temp_defaultInternationalBankAccountNumber, temp_dynamicPlaqueLineIndicator, temp_installmentProviderId</t>
  </si>
  <si>
    <t>L'attribut merchantProcessingId est obsolète</t>
  </si>
  <si>
    <t>29/04/205</t>
  </si>
  <si>
    <t>L'attribut uniqueTransactionReference est obsolète</t>
  </si>
  <si>
    <t>25.12</t>
  </si>
  <si>
    <t>Création de l'attribut numberOfNonCompletedRemittanceTransactions</t>
  </si>
  <si>
    <t>Création du Type ElectronicCommercelAuthentificationNatureCodeset</t>
  </si>
  <si>
    <t>Création du Type TypeOfAdditionalDataCodeset</t>
  </si>
  <si>
    <t>Création du Type AcceptanceSystemCurrentConnectingModeCodeset</t>
  </si>
  <si>
    <t>Création du Type Exact10NumericText</t>
  </si>
  <si>
    <t>Création de l'attribut debitwithTipNumber</t>
  </si>
  <si>
    <t>Création de l'attribut debitwithTipAmount</t>
  </si>
  <si>
    <t>Création de l'attribut totalTipAmount</t>
  </si>
  <si>
    <t>Création de l'attribut debitwithDonationNumber</t>
  </si>
  <si>
    <t>Création de l'attribut debitwithDonationAmount</t>
  </si>
  <si>
    <t>Création de l'attribut totalDonationAmount</t>
  </si>
  <si>
    <t>M.MARGHAD</t>
  </si>
  <si>
    <t>Référentiel commerçant</t>
  </si>
  <si>
    <t>Correction du type de authorisedDuplicatedTransactions : TrueFalseIndicator en Max999NumericText</t>
  </si>
  <si>
    <t>Renommage de AcquisitionChannelCodeSet en AcquiringChannelCodeSet</t>
  </si>
  <si>
    <t>Renommage de acquisitionChannel en acquiringChannel</t>
  </si>
  <si>
    <t>1)Creation de l'objet : Environment.cardAgreement
2) reattribution des champs : contractId, contractCardAccountId, cardContractDeferredCalendarCode, contractEntityId à l'objet : Environment.cardAgreement
3) creation de l'attribut Environment.cardAgreement.contractEntityName</t>
  </si>
  <si>
    <t>Création de l'attribut acceptorMessageNumber</t>
  </si>
  <si>
    <t>Création de l'attribut marketPlaceForeignRetailIndicator</t>
  </si>
  <si>
    <t>Création de l'attribut acceptanceSystemTransactionNumber</t>
  </si>
  <si>
    <t>Création de l'attribut preauthorisedAmount</t>
  </si>
  <si>
    <t>Création de l'attribut amount Anticipated</t>
  </si>
  <si>
    <t>Création de l'attribut cardholderVerificationMethodlist</t>
  </si>
  <si>
    <t>Création de l'attribut issuerScript</t>
  </si>
  <si>
    <t>Création de l'attribut electronicCommercelAuthentificationNature</t>
  </si>
  <si>
    <t>Création de l'attribut uniqueTransactionReference</t>
  </si>
  <si>
    <t>Création de l'attribut numberOfMessagesReceivedByCollectorSystem</t>
  </si>
  <si>
    <t>Création de l'attribut numberOfcancelledTransactionsWithDeferredCleaning</t>
  </si>
  <si>
    <t>Création de l'attribut amountOfcancelledTransactionsWithDeferredCleaning</t>
  </si>
  <si>
    <t>Création de l'attribut merchantProcessingId</t>
  </si>
  <si>
    <t>Création de l'attribut messageId</t>
  </si>
  <si>
    <t>Création de l'attribut localDateTime</t>
  </si>
  <si>
    <t>Création de l'attribut lengthOfAcquiringInstitutionIdCode</t>
  </si>
  <si>
    <t>Création de l'attribut institutionIdCode</t>
  </si>
  <si>
    <t>interne</t>
  </si>
  <si>
    <t>Remplacement du terme authorized par authorised dans l'ensemble du dico</t>
  </si>
  <si>
    <t>Acquirer</t>
  </si>
  <si>
    <t>Creation de acquirer.currencyCode</t>
  </si>
  <si>
    <t>Creation de acquirer.postalAddress</t>
  </si>
  <si>
    <t>Suppression de CountryCode, prendre dans la structure address</t>
  </si>
  <si>
    <t>Création de l'attribut merchant.midManagementIndicator</t>
  </si>
  <si>
    <t>Création de l'attribut merchant.genericMidIndicator</t>
  </si>
  <si>
    <t>Création de l'attribut merchant.genericMidControlIndicator</t>
  </si>
  <si>
    <t>Création de l'attribut merchant.genericMid</t>
  </si>
  <si>
    <t>Création de l'attribut merchant.pointOfSale</t>
  </si>
  <si>
    <t>Création de l'attribut merchantParameters.authorizationForcingIndicator</t>
  </si>
  <si>
    <t>Création de l'attribut merchantParameters.defferedClearingIndicator</t>
  </si>
  <si>
    <t>Création de l'attribut merchantParameters.panTruncationIndicator</t>
  </si>
  <si>
    <t>Création de l'attribut merchantParameters.partialAuthorizationIndicator</t>
  </si>
  <si>
    <t>Création de l'attribut merchantParameters.additionalInvoiceIndicator</t>
  </si>
  <si>
    <t>Création de l'attribut merchantParameters.informationRequestIndicator</t>
  </si>
  <si>
    <t>Création de l'attribut merchantParameters.whiteListeDistributionIndicator</t>
  </si>
  <si>
    <t>Création de l'attribut merchantParameters.contactlessCreditIndicator</t>
  </si>
  <si>
    <t>Création de l'attribut merchantParameters.singleTapIndicator</t>
  </si>
  <si>
    <t>Création de l'attribut merchantParameters.authorizationFloorLimit</t>
  </si>
  <si>
    <t>Création de l'attribut merchantParameters.maximumAuthorizedAmount</t>
  </si>
  <si>
    <t>Création de l'attribut merchantParameters.ticketPrintedMessage</t>
  </si>
  <si>
    <t>Création de l'attribut merchant.readingMode</t>
  </si>
  <si>
    <t>Création de l'attribut merchant.paymentUseCase</t>
  </si>
  <si>
    <t>Création du type structuré PointOfSaleType</t>
  </si>
  <si>
    <t>Création du type structuré MerchantIdType pour l'encapsulation des attributs : merchantXId et merchantXName (avec X : Processing, CB, Visa, MC, Internal, External)</t>
  </si>
  <si>
    <t>Suppression des attributs : merchantXId et merchantXName (avec X : Processing, CB, Visa, MC, Internal, External) et remplacement par l'attribut merchantIdentification</t>
  </si>
  <si>
    <t>Création du CodeSet : MerchantIdUsageCodeset pour la définition du type Id du Merchant (Processing, CB, Visa, MC, Internal, External)</t>
  </si>
  <si>
    <t>Suppression de quelques valeurs dans le CodeSet AcceptanceChannelCodeSet. Valeurs finales : Face To Face, Remote Payment, Unattended Payment</t>
  </si>
  <si>
    <t>Renommage du CodeSet PaymentCategoryCodeSet par : ReadingModeCodeSet</t>
  </si>
  <si>
    <t>Renommage de l'Attribut paymentCategory par : readingMode</t>
  </si>
  <si>
    <t>Alimentation du CodeSet PaymentUseCaseCodeSet par : Quasi cash et Funds transfer,</t>
  </si>
  <si>
    <t>Création de l'attribut temp_alphabeticCodeOfCurrency1</t>
  </si>
  <si>
    <t>Création de l'attribut temp_conversionRate</t>
  </si>
  <si>
    <t>Création de l'attribut temp_languageAbbreviation</t>
  </si>
  <si>
    <t xml:space="preserve">Création de l'attribut temp_targetPercentageForRandomSelection </t>
  </si>
  <si>
    <t>Création de l'attribut temp_earlierGMTPeriod</t>
  </si>
  <si>
    <t>Création de l'attribut temp_laterGMTPeriod</t>
  </si>
  <si>
    <t>Création de l'attribut temp_gMTDifference</t>
  </si>
  <si>
    <t>Création de l'attribut temp_signOfTimeDifference</t>
  </si>
  <si>
    <t>Création de l'attribut temp_terminalApplicationVersionNumber</t>
  </si>
  <si>
    <t>Création de l'attribut temp_defaultEMVDolsForAnEMVCardApplication</t>
  </si>
  <si>
    <t>Création de l'attribut temp_listOfDataElements</t>
  </si>
  <si>
    <t>Création de l'attribut temp_numericCurrencyCode</t>
  </si>
  <si>
    <t>Création de l'attribut temp_coefficientAssociatedWithTheRandomSelectionAlgorithm</t>
  </si>
  <si>
    <t>Création de l'attribut temp_callFloorLimitForRandomSelection</t>
  </si>
  <si>
    <t>Création de l'attribut temp_maximumCoefficientAssociatedWithTheRandomSelection</t>
  </si>
  <si>
    <t>Création de l'attribut temp_temp_cardholderAcceptanceLevel</t>
  </si>
  <si>
    <t>Création de l'attribut temp_pANLengthInExceptionFile</t>
  </si>
  <si>
    <t>Création de l'attribut temp_pANInExceptionFile</t>
  </si>
  <si>
    <t>Création de l'attribut temp_lengthOfDataElementStartOfBINRange</t>
  </si>
  <si>
    <t>Création de l'attribut temp_startOfBINRange</t>
  </si>
  <si>
    <t>Création de l'attribut temp_lengthOfDataElementEndOf BINRange</t>
  </si>
  <si>
    <t>Création de l'attribut temp_endOfBINRange</t>
  </si>
  <si>
    <t xml:space="preserve">Création de l'attribut temp_acceptanceLevelCodeAssociatedWithaRange </t>
  </si>
  <si>
    <t xml:space="preserve">Création de l'attribut temp_specialProcessingCodes </t>
  </si>
  <si>
    <t>Création de l'attribut temp_listOfAdditionalTagsCalledParty0CallingParty</t>
  </si>
  <si>
    <t>Création de l'attribut temp_telecomBillingMode</t>
  </si>
  <si>
    <t>Création de l'attribut temp_calledModeActivationCode</t>
  </si>
  <si>
    <t>Création de l'attribut temp_callApprovalMode</t>
  </si>
  <si>
    <t>Création de l'attribut temp_callLocalTimeStart</t>
  </si>
  <si>
    <t xml:space="preserve">Création de l'attribut temp_localTimeEnd </t>
  </si>
  <si>
    <t>Création de l'attribut temp_acquiringInstitutionIdentificationCode</t>
  </si>
  <si>
    <t>Création de l'attribut temp_minimumAcceptedAmount</t>
  </si>
  <si>
    <t>Création de l'attribut temp_limitsForContactlessPayment</t>
  </si>
  <si>
    <t xml:space="preserve">Création de l'attribut temp_evelope1DownloadReferenceOfSoftwareToDownload </t>
  </si>
  <si>
    <t>Création de l'attribut temp_listEMVPublicAuthenticationKEYSRSAKeyModulus</t>
  </si>
  <si>
    <t>Création de l'attribut temp_maximumAcceptedAmountForForeignCard</t>
  </si>
  <si>
    <t>Création de l'attribut temp_priorityAccessToAnAcquirerSystem</t>
  </si>
  <si>
    <t>Création de l'attribut temp_networkAddressingType</t>
  </si>
  <si>
    <t>Création de l'attribut temp_networkaddressOf theAcquirerSystemOrDns</t>
  </si>
  <si>
    <t>Création de l'attribut temp_ domainName</t>
  </si>
  <si>
    <t>Création de l'attribut temp_telephoneNumberForNetworkAccess</t>
  </si>
  <si>
    <t>Création de l'attribut temp_pADType</t>
  </si>
  <si>
    <t>Création de l'attribut temp_accessIdentifier</t>
  </si>
  <si>
    <t>Création de l'attribut temp_password</t>
  </si>
  <si>
    <t>Création de l'attribut temp_pOSActivity</t>
  </si>
  <si>
    <t>Création de l'attribut temp_switchoverModeToBackupLink</t>
  </si>
  <si>
    <t>Création de l'attribut temp_numberOfSimultaneousConnections</t>
  </si>
  <si>
    <t>Création de l'attribut temp_maximumNumberOfMessagesPerMinute</t>
  </si>
  <si>
    <t>Création de l'attribut temp_maximumNumberOfCallTests</t>
  </si>
  <si>
    <t>Création de l'attribut temp_waitTimeBetweenTwoCalls</t>
  </si>
  <si>
    <t>Création de l'attribut temp_callFrequency</t>
  </si>
  <si>
    <t>Création de l'attribut temp_localTimeAutomaticCall</t>
  </si>
  <si>
    <t>Création de l'attribut temp_localDateAutomaticCall</t>
  </si>
  <si>
    <t>Création de l'attribut temp_maximumNumberOfRetries</t>
  </si>
  <si>
    <t>Création de l'attribut temp_recurrentCallIndicator</t>
  </si>
  <si>
    <t>Création de l'attribut temp_recurrentCallEndDate</t>
  </si>
  <si>
    <t>Création de l'attribut temp_technicalActivations</t>
  </si>
  <si>
    <t>Création de l'attribut temp_cardProductLength</t>
  </si>
  <si>
    <t>Création de l'attribut temp_cardProductValue</t>
  </si>
  <si>
    <t>Création de l'attribut temp_serviceName</t>
  </si>
  <si>
    <t>Création de l'attribut temp_aslternateServiceName</t>
  </si>
  <si>
    <t>Création de l'attribut temp_typeOfKernelTransaction</t>
  </si>
  <si>
    <t>Création de l'attribut temp_applicationAIDLength</t>
  </si>
  <si>
    <t>Création de l'attribut temp_terminalFloorLimit</t>
  </si>
  <si>
    <t>Création de l'attribut temp_readerContactlessFloorLimit</t>
  </si>
  <si>
    <t>Création de l'attribut temp_readerCvmRequiredLimit</t>
  </si>
  <si>
    <t>Création de l'attribut temp_readerContactlessTransactionLimit</t>
  </si>
  <si>
    <t>Création de l'attribut temp_noOnDeviceCvm</t>
  </si>
  <si>
    <t>Création de l'attribut temp_onDeviceCvm</t>
  </si>
  <si>
    <t>Création de l'attribut temp_cVMSupported</t>
  </si>
  <si>
    <t>Création de l'attribut temp_statusCheckSupportFlag</t>
  </si>
  <si>
    <t>Création de l'attribut temp_zeroAmountAllowedSupportFlag</t>
  </si>
  <si>
    <t>Création de l'attribut temp_processingIndicator</t>
  </si>
  <si>
    <t>Création de l'attribut temp_aID</t>
  </si>
  <si>
    <t>Création de l'attribut temp_maximumAcceptedCardLifeDuration</t>
  </si>
  <si>
    <t>Création de l'attribut temp_functionActivationCodes</t>
  </si>
  <si>
    <t>Création de l'attribut temp_systemCountryCode</t>
  </si>
  <si>
    <t>Création de l'attribut temp_floorLimitForReversal</t>
  </si>
  <si>
    <t>Création de l'attribut temp_extendedSelectionSupportFlag</t>
  </si>
  <si>
    <t xml:space="preserve">Création de l'attribut temp_cVMSupportedNoCvmRequired </t>
  </si>
  <si>
    <t>Création de l'attribut temp_zeroAmountForOfflineAllowedFlag</t>
  </si>
  <si>
    <t>Création de l'attribut temp_identifierLength</t>
  </si>
  <si>
    <t>Création de l'attribut temp_identifier</t>
  </si>
  <si>
    <t>Création de l'attribut temp_version</t>
  </si>
  <si>
    <t>Création de l'attribut temp_operatingMode</t>
  </si>
  <si>
    <t>Création de l'attribut temp_durationOfAcceptorOffer</t>
  </si>
  <si>
    <t>Création de l'attribut temp_maximumCumulativeAmount</t>
  </si>
  <si>
    <t>Création de l'attribut temp_maximumOfferAmount</t>
  </si>
  <si>
    <t>Création de l'attribut temp_maximumAmountForGuaranteeRequesForFrenchCards</t>
  </si>
  <si>
    <t>Création de l'attribut temp_maximumAmountForGuaranteeRequestForForeignCards</t>
  </si>
  <si>
    <t>Création de l'attribut temp_debtRecoveryType</t>
  </si>
  <si>
    <t>Création de l'attribut temp_superTapActivation</t>
  </si>
  <si>
    <t>Création de l'attribut temp_debtRecoveryPeriod</t>
  </si>
  <si>
    <t>Création de l'attribut temp_regionIndicator</t>
  </si>
  <si>
    <t>Création de l'attribut temp_receiptCategory</t>
  </si>
  <si>
    <t>Création de l'attribut temp_receiptPrintingMode</t>
  </si>
  <si>
    <t>Création de l'attribut temp_dataLengh</t>
  </si>
  <si>
    <t>Création de l'attribut temp_dataCategory</t>
  </si>
  <si>
    <t>Création de l'attribut temp_lengthOfDataElementToFollow</t>
  </si>
  <si>
    <t>Création de l'attribut temp_bitmapOfThePOIEntryCapability</t>
  </si>
  <si>
    <t>Création de l'attribut temp_appliedRestriction</t>
  </si>
  <si>
    <t>Création de l'attribut temp_bitmapOfTheCardAcceptorConnectionCapabilites</t>
  </si>
  <si>
    <t>Création de l'attribut temp_bitmapOfTheCardacceptorEntryCapabilites</t>
  </si>
  <si>
    <t>Création de l'attribut temp_applicationSoftwarePublisherCode</t>
  </si>
  <si>
    <t>Création de l'attribut temp_applicationsManagerSoftwareVersionNumber</t>
  </si>
  <si>
    <t>Création de l'attribut temp_applicationsManagerPublisherCode</t>
  </si>
  <si>
    <t>Création de l'attribut temp_kernelSoftwareVersionReference</t>
  </si>
  <si>
    <t>Création de l'attribut temp_softwareVersionNumberOfTheResident</t>
  </si>
  <si>
    <t>Création de l'attribut temp_pOISerialNumber</t>
  </si>
  <si>
    <t>Création de l'attribut temp_memoryCardReaderNumber</t>
  </si>
  <si>
    <t>Création de l'attribut temp_magstripeReaderNumber</t>
  </si>
  <si>
    <t xml:space="preserve">Création de l'attribut temp_pOIFlashMemoryCapacity </t>
  </si>
  <si>
    <t>Création de l'attribut temp_cardAcceptorRemaining FlshStorageCapacity</t>
  </si>
  <si>
    <t>Création de l'attribut temp_cardAcceptor RAM memory capacity</t>
  </si>
  <si>
    <t>Création de l'attribut temp_cardAcceptorRemainingRAMStorageCapacity</t>
  </si>
  <si>
    <t>Création de l'attribut temp_kernelEditorCode</t>
  </si>
  <si>
    <t>Création de l'attribut temp_hardwareCouplerVersionNumber</t>
  </si>
  <si>
    <t>Création de l'attribut temp_softwareCouplerVersionNumber</t>
  </si>
  <si>
    <t>Création de l'attribut temp_couplerSpecificationsVersionNumber</t>
  </si>
  <si>
    <t>Création de l'attribut temp_parametersPANEntryModeForDualApplication</t>
  </si>
  <si>
    <t>Création de l'attribut temp_supportedprotocolFunctions</t>
  </si>
  <si>
    <t>Création de l'attribut temp_tableIdentifier</t>
  </si>
  <si>
    <t>Création de l'attribut temp_tableVersionNumber</t>
  </si>
  <si>
    <t>Création de l'attribut temp_tableStatusCode</t>
  </si>
  <si>
    <t>Création de l'attribut temp_lastCaptureDate</t>
  </si>
  <si>
    <t>Création de l'attribut temp_lastParameterDownloadingDate</t>
  </si>
  <si>
    <t>Création de l'attribut temp_lastSoftwareUpdateDate</t>
  </si>
  <si>
    <t>Création de l'attribut temp_versionCBCOM</t>
  </si>
  <si>
    <t>Création du type: AcceptanceSystemCurrentConnectingModeCodeset</t>
  </si>
  <si>
    <t>Création du type:Exact19AlphaNumericText</t>
  </si>
  <si>
    <t>Création de l'attribut counterpartyPan</t>
  </si>
  <si>
    <t>Création de l'attribut fileIdentification</t>
  </si>
  <si>
    <t>Création de l'attribut fileNumberOfMessages</t>
  </si>
  <si>
    <t>Création de l'attribut fileAcknowledgementWindow</t>
  </si>
  <si>
    <t>Création de l'attribut creditsNumber</t>
  </si>
  <si>
    <t>Création de l'attribut debitsNumber</t>
  </si>
  <si>
    <t>Création de l'attribut debitsReversalNumber</t>
  </si>
  <si>
    <t>Création de l'attribut creditsAmount</t>
  </si>
  <si>
    <t>Création de l'attribut DebitsAmount</t>
  </si>
  <si>
    <t>Création de l'attribut DebitsReversalAmount</t>
  </si>
  <si>
    <t>Création de l'attribut acceptanceSystemCurrentConnectingMode</t>
  </si>
  <si>
    <t>Création de l'attribut numberOfNonCompletedTransactions</t>
  </si>
  <si>
    <t>Création de l'attribut merchantVerificationValue</t>
  </si>
  <si>
    <t>Création de l'attribut appliedCardholderIDMethod</t>
  </si>
  <si>
    <t>Création de l'attribut acceptorURLAddress</t>
  </si>
  <si>
    <t xml:space="preserve">Création de l'attribut acceptorPhoneNumber </t>
  </si>
  <si>
    <t>Création de l'attribut serviceLocation Address</t>
  </si>
  <si>
    <t>B. Porcher</t>
  </si>
  <si>
    <t>Creation de l'attribut temp_ClearingDate (transactonDetails) de type ISODate</t>
  </si>
  <si>
    <t>TLC et Auto</t>
  </si>
  <si>
    <t>kernelIdUsed passe de Exact1HexBinaryTest à Max8HexBinaryText pour compatibilité entre CBAE et CB2AF</t>
  </si>
  <si>
    <t>Service Cryptographie
(G. Veillard)</t>
  </si>
  <si>
    <t>Changement de type pour les champs dataSource (Transaction, security) quie passe à max8000Text au lieu de Max4KHexBinaryText et dataUsedForSign (Transaction, security) qui passe de  max8000Text au lieu de Max4KHexBinaryText</t>
  </si>
  <si>
    <t>Remplacement de disputeData.refundNature par transactionDetails.refundNature
Création de transactionDetails.settlementTotalAmount</t>
  </si>
  <si>
    <t>PRECOMP</t>
  </si>
  <si>
    <t xml:space="preserve">Attributs "temp_PayPass Enabled Indicator" et "temp_Product Category" contiennent des espaces à la place du caractère '_'. </t>
  </si>
  <si>
    <t>L'attribut temp_postalAddress de Acquirer était mal orthographié (1 seul d)</t>
  </si>
  <si>
    <t>TLC</t>
  </si>
  <si>
    <r>
      <t>Les champs suivants sont renommés en "batch" : 
fileData/</t>
    </r>
    <r>
      <rPr>
        <b/>
        <sz val="10"/>
        <color theme="1"/>
        <rFont val="Century Gothic"/>
        <family val="2"/>
      </rPr>
      <t>batch</t>
    </r>
    <r>
      <rPr>
        <sz val="10"/>
        <color theme="1"/>
        <rFont val="Century Gothic"/>
        <family val="2"/>
      </rPr>
      <t>AmountOfCancelledTransactionsWithDeferredCleaning/AmountType
fileData/batchFileIdentification/Exact6NumericText
fileData/batchNumberOfcancelledTransactionsWithDeferredCleaning/Exact10NumericText
fileData/batchNumberOfMessagesInTheFile/Exact6NumericText
fileData/batchNumberOfMessagesReceiveddByCollectorSystem/Exact6NumericText</t>
    </r>
  </si>
  <si>
    <t>25.11</t>
  </si>
  <si>
    <t>Abandon du Base64BinaryText au profit de HexBinaryText</t>
  </si>
  <si>
    <t>Suppression de scriptBuffer, scriptIndex, scriptNumber et scriptValue car déjà gérés par issuerScriptTemplate1 et issuerScriptTemplate2</t>
  </si>
  <si>
    <t>Création du type: Min1Max255HexBinaryText</t>
  </si>
  <si>
    <t>Création du type: Min1Max252HexBinaryText</t>
  </si>
  <si>
    <t>Création du type: Exact12AlphaNumericText</t>
  </si>
  <si>
    <t>Création du type: Exact5HexBinairyText</t>
  </si>
  <si>
    <t>Création du type: Exact2HexBinairyText</t>
  </si>
  <si>
    <t>Création du type: Exact3HexBinairyText</t>
  </si>
  <si>
    <t>Création du type: Min5Max16HexBinaryText</t>
  </si>
  <si>
    <t>Création du type: Exact1HexBinairyText</t>
  </si>
  <si>
    <t>Création du type: forcedAuthorisationIndicatorCodeset</t>
  </si>
  <si>
    <t>Création de l'attribut temp_minimumAmountAuthorisable</t>
  </si>
  <si>
    <t>Création de l'attribut temp_amountUsedForTwoFactorCardholderAuthentication</t>
  </si>
  <si>
    <t>Création de l'attribut temp_minimumValueOfCommercialService</t>
  </si>
  <si>
    <t>Création de l'attribut temp_maximumAmountForA ForeignCardInAnUnattededTerminal</t>
  </si>
  <si>
    <t>Création de l'attribut temp_eMVApplicationRID</t>
  </si>
  <si>
    <t>Création de l'attribut temp_indexOf TheAuthenticationkey</t>
  </si>
  <si>
    <t>Création de l'attribut temp_exponentOfTheRSAPublickey</t>
  </si>
  <si>
    <t>Création de l'attribut temp_lengthOfTheRSAPublickeyModulus</t>
  </si>
  <si>
    <t>Création de l'attribut temp_aIDLength</t>
  </si>
  <si>
    <t>Création de l'attribut temp_eMVApplicationAID</t>
  </si>
  <si>
    <t>Création de l'attribut temp_priorityLevel</t>
  </si>
  <si>
    <t>Création de l'attribut temp_forcedAuthorisationIndicator</t>
  </si>
  <si>
    <t>Création de l'attribut temp_tACDenial</t>
  </si>
  <si>
    <t>Création de l'attribut temp_tACOnline</t>
  </si>
  <si>
    <t>Création de l'attribut temp_tACDefault</t>
  </si>
  <si>
    <t>Création de l'attribut temp_dataEnvelope</t>
  </si>
  <si>
    <t>Création de l'attribut temp_tag</t>
  </si>
  <si>
    <t>Création de l'attribut temp_tagDataLength</t>
  </si>
  <si>
    <t xml:space="preserve">Création des codeset: TypeOfMediaCodeset, </t>
  </si>
  <si>
    <t xml:space="preserve">Création du type: Exact7NumericText, Min1Max8HexBinaryText, </t>
  </si>
  <si>
    <t>Création de l'attribut terminalActionCodeDefault</t>
  </si>
  <si>
    <t>Création de l'attribut terminalActionCodeDenial</t>
  </si>
  <si>
    <t>Création de l'attribut terminalActionCodeOnline</t>
  </si>
  <si>
    <t>Création de l'attribut NumberOfPositions TheDecimalPointWillBeMovedFromTheRight</t>
  </si>
  <si>
    <t>Création de l'attribut totalNumberOfDebitTransactionsWithDeferredClearing</t>
  </si>
  <si>
    <t>Création de l'attribut typeOfMedia</t>
  </si>
  <si>
    <t>Création de l'attribut additionalManagmentOfTransfers</t>
  </si>
  <si>
    <t>Création de l'attribut numberOfMessagesInTheFile</t>
  </si>
  <si>
    <t>Création de l'attribut batchIdAssignedByCollectorSystem</t>
  </si>
  <si>
    <t>Création de l'attribut NumberOfMessagesReceiveddByCollectorSystem</t>
  </si>
  <si>
    <t>Création de l'attribut NumberOfcancelledTransactionsWithDeferredCleaning</t>
  </si>
  <si>
    <t>Création de l'attribut AmountOfcancelledTransactionsWithDeferredCleaning</t>
  </si>
  <si>
    <t>Création de l'attribut FinalMerchantAdress</t>
  </si>
  <si>
    <t>Création de l'attribut purchaseCode</t>
  </si>
  <si>
    <t>Création de l'attribut purchaseId</t>
  </si>
  <si>
    <t>Création de l'attribut paymentNumber</t>
  </si>
  <si>
    <t>Création de l'attribut totalNumberOfPayments</t>
  </si>
  <si>
    <t>Création de l'attribut preAuthorisationDuration</t>
  </si>
  <si>
    <t>Création de l'attribut  Environment.card.ownerId</t>
  </si>
  <si>
    <t>Création de l'attribut  Environment.card.embossedZone</t>
  </si>
  <si>
    <t>Création de l'attribut  Environment.card.embossedComplementaryData</t>
  </si>
  <si>
    <t>Création de l'attribut  Environment.card.cardContractDeferredCalendarCode</t>
  </si>
  <si>
    <t>Création de l'attribut  Environment.card.additionalInformationZone</t>
  </si>
  <si>
    <t xml:space="preserve">Création de l'attribut  Environment.card.supplementZone1 </t>
  </si>
  <si>
    <t>Création de l'attribut  Environment.card.supplementZone2</t>
  </si>
  <si>
    <t>Création de l'attribut  Environment.card.chainingSecretCodeId</t>
  </si>
  <si>
    <t>Création de l'attribut  Environment.card.personalAccountNumberExternalInformation</t>
  </si>
  <si>
    <t>Création de l'attribut  Environment.card.cardContractCardDesignCode</t>
  </si>
  <si>
    <t>Création de l'attribut  Environment.card.cardholderPictureId</t>
  </si>
  <si>
    <t>Création de l'attribut  Environment.card.subscribeShippingConditions</t>
  </si>
  <si>
    <t>Création de l'attribut  Environment.card.cardLimit</t>
  </si>
  <si>
    <t>Création de l'attribut  Environment.card.subscribeServicesCode</t>
  </si>
  <si>
    <t>Création de l'attribut  Environment.card.subscribeContextSettlementsConditionCode</t>
  </si>
  <si>
    <t>Création de l'attribut  Environment.card.subscribeCurrencySettlementsCurrencyCode</t>
  </si>
  <si>
    <t>Création de l'attribut  Environment.card.priorityRank</t>
  </si>
  <si>
    <t>Création de l'attribut  Environment.card.maskedPAN</t>
  </si>
  <si>
    <t>Création de l'attribut  Environment.card.lostOrStolenDateTime</t>
  </si>
  <si>
    <t>Création des codeSet : LimitTypeIDCodeSet, SubscribeServicesCodeSet, LockingReasonCodeSet, ContactlessActivationChoiceCodeSet, CardContractDeferredCalendarCodeSet, CardContractCardDesignCodeSet, SubscribeShippingConditionsCodeSet, SubscribeContextSettlementsConditionCodeSet, BlockingReasonCodeSet, BlockingRegulatoryReasonCode. 
Création du type : LimitType</t>
  </si>
  <si>
    <t>Changement de l'attribut  Environment.card.contractCardAccountId Max36NumericText --&gt; Max36AlphaNumericTex</t>
  </si>
  <si>
    <t>Gestion interne</t>
  </si>
  <si>
    <t>DICO_COMPLET : La colonne B ne doit pas être utilisée pour produire les JSON Schéma, il faut utiliser la colonne B de l'onglet DICO_EXPORT</t>
  </si>
  <si>
    <t>Creation provisoire des codeset suivants pour PRECOMP : temp_genericMerchandIdCheckCodeset / temp_treatmentContextCodeset / temp_authorizationCharacteristicsIndicatorCodeset / temp_merchantCommunicationMediaCodeset / temp_merchantMailCodeCodeset / temp_linkedTransactionNatureCodeset / temp_rejectionNatureCodeset</t>
  </si>
  <si>
    <t>Création de Context/merchantParameters/temp_genericMerchandIdCheckCode/temp_genericMerchandIdCheckCodeset pour PRECOMP-PC21</t>
  </si>
  <si>
    <t>Création de Context/transactionContext/temp_treatmentContext/treatmentContextCodeset pour PRECOMP-PC11</t>
  </si>
  <si>
    <t>Création de Context/transactionContext /temp_authorizationCharacteristicsIndicator/authorizationCharacteristicsIndicatorCodeset pour PRECOMP-PC21</t>
  </si>
  <si>
    <t>Création de Context/transactionContext /temp_responseCodeISO/Exact2Text pour PRECOMP-PC21</t>
  </si>
  <si>
    <t>Création de Context/transactionContext /temp_securityTransactionMode /Exact2Text pour PRECOMP-PC21</t>
  </si>
  <si>
    <t>Création de Context/transactionContext /temp_transactionConditions /Exact2Text pour PRECOMP-PC21</t>
  </si>
  <si>
    <t>Création de environment/acquirer/temp_acquirerCountryCode/ISO3NumericCountryCode pour PRECOMP-PC21</t>
  </si>
  <si>
    <t>Création de environment/acquirer/temp_acquirerCurrencyCode/ISO3NumericCurrencyCode pour PRECOMP-PC21</t>
  </si>
  <si>
    <t>Création de environment/acquirer/temp_bankGroup/Exact5NumericText pour PRECOMP-PC03R</t>
  </si>
  <si>
    <t>Création de environment/acquirer/temp_BOFax/PhoneNumberType pour PRECOMP-PC03R</t>
  </si>
  <si>
    <t>Création de environment/acquirer/temp_BOPhoneNumber/PhoneNumberType pour PRECOMP-PC03R</t>
  </si>
  <si>
    <t>Création de environment/acquirer/temp_postalAdress/PostalAddressType pour PRECOMP-PC03R</t>
  </si>
  <si>
    <t>Création de environment/card/temp_AcceptanceLevelCode/temp_Type_apreciser pour PRECOMP-PC22</t>
  </si>
  <si>
    <t>Création de environment/card/temp_AccountFundingSource/temp_Type_apreciser pour PRECOMP-PC22</t>
  </si>
  <si>
    <t>Création de environment/card/temp_acquirerrCountryCode/Exact3AlphaNumericText pour PRECOMP-PC21</t>
  </si>
  <si>
    <t>Création de environment/card/temp_affectationInstitutionId/temp_Type_apreciser pour PRECOMP-PC22</t>
  </si>
  <si>
    <t>Création de environment/card/temp_CardIssuerCountryCode/temp_Type_apreciser pour PRECOMP-PC22</t>
  </si>
  <si>
    <t>Création de environment/card/temp_CardRangeStatus/temp_Type_apreciser pour PRECOMP-PC22</t>
  </si>
  <si>
    <t>Création de environment/card/temp_CashWithdrawalProcessAvailableIndicator/temp_Type_apreciser pour PRECOMP-PC22</t>
  </si>
  <si>
    <t>Création de environment/card/temp_CbAccountType/temp_Type_apreciser pour PRECOMP-PC22</t>
  </si>
  <si>
    <t>Création de environment/card/temp_CbProductNature/temp_Type_apreciser pour PRECOMP-PC22</t>
  </si>
  <si>
    <t>Création de environment/card/temp_ElectronicPaymentlProcessAvailableIndicator/temp_Type_apreciser pour PRECOMP-PC22</t>
  </si>
  <si>
    <t>Création de environment/card/temp_ElectronicPaymentServiceAvalaibleIndicator/temp_Type_apreciser pour PRECOMP-PC22</t>
  </si>
  <si>
    <t>Création de environment/card/temp_IssuerCardCountryCode/temp_Type_apreciser pour PRECOMP-PC22</t>
  </si>
  <si>
    <t>Création de environment/card/temp_IssuerRegionNumber/temp_Type_apreciser</t>
  </si>
  <si>
    <t>Création de environment/card/temp_LuhnKeyCheckIndicator/temp_Type_apreciser pour PRECOMP-PC22</t>
  </si>
  <si>
    <t>Création de environment/card/temp_mainMemberaffectationInstitutionId/temp_Type_apreciser pour PRECOMP-PC22</t>
  </si>
  <si>
    <t>Création de environment/card/temp_ManagerInstitutionId/temp_Type_apreciser pour PRECOMP-PC22</t>
  </si>
  <si>
    <t>Création de environment/card/temp_maskedPrimaryAccountNumber/Max19Text pour PRECOMP-PC03T</t>
  </si>
  <si>
    <t>Création de environment/card/temp_MastercardCashWithDrawServiceAvalaibleIndicator/temp_Type_apreciser pour PRECOMP-PC22</t>
  </si>
  <si>
    <t>Création de environment/card/temp_MastercardElectronicPaymentServiceAvalaibleIndicator/temp_Type_apreciser pour PRECOMP-PC22</t>
  </si>
  <si>
    <t>Création de environment/card/temp_MastercardEuropeSubregionIndicator/temp_Type_apreciser pour PRECOMP-PC22</t>
  </si>
  <si>
    <t>Création de environment/card/temp_MastercardInterchangeFeeRegionNumber/temp_Type_apreciser pour PRECOMP-PC22</t>
  </si>
  <si>
    <t>Création de environment/card/temp_MastercardProductId/temp_Type_apreciser pour PRECOMP-PC22</t>
  </si>
  <si>
    <t>Création de environment/card/temp_MastercardProductType/temp_Type_apreciser pour PRECOMP-PC22</t>
  </si>
  <si>
    <t>Création de environment/card/temp_MastercardProgramCard/temp_Type_apreciser pour PRECOMP-PC22</t>
  </si>
  <si>
    <t>Création de environment/card/temp_MastercardTradeMark/temp_Type_apreciser pour PRECOMP-PC22</t>
  </si>
  <si>
    <t>Création de environment/card/temp_PanLength/temp_Type_apreciser pour PRECOMP-PC22</t>
  </si>
  <si>
    <t>Création de environment/card/temp_PayPass Enabled Indicator/temp_Type_apreciser pour PRECOMP-PC22</t>
  </si>
  <si>
    <t>Création de environment/card/temp_Product Category/temp_Type_apreciser pour PRECOMP-PC22</t>
  </si>
  <si>
    <t>Création de environment/card/temp_RangeUsage/temp_Type_apreciser pour PRECOMP-PC22</t>
  </si>
  <si>
    <t>Création de environment/card/temp_RecipientBankId/temp_Type_apreciser pour PRECOMP-PC22</t>
  </si>
  <si>
    <t>Création de environment/card/temp_VisaCardSubNetwork/temp_Type_apreciser pour PRECOMP-PC22</t>
  </si>
  <si>
    <t>Création de environment/card/temp_VisaMarketingRegionCode/temp_Type_apreciser pour PRECOMP-PC22</t>
  </si>
  <si>
    <t>Création de environment/card/temp_VisaProductCode/temp_Type_apreciser pour PRECOMP-PC22</t>
  </si>
  <si>
    <t>Création de Environment/merchant/temp_anonymousDynamicPlaque/TrueFalseIndicator pour PRECOMP-PC21</t>
  </si>
  <si>
    <t>Création de Environment/merchant/temp_billingInternationalBankAccountNumber/IBANIdentifier pour PRECOMP-PC21</t>
  </si>
  <si>
    <t>Création de Environment/merchant/temp_defaultInternationalBankAccountNumber/IBANIdentifier pour PRECOMP-PC21</t>
  </si>
  <si>
    <t>Création de Environment/merchant/temp_dynamicPlaqueLineIndicator/TrueFalseIndicator pour PRECOMP-PC21</t>
  </si>
  <si>
    <t>Création de Environment/merchant/temp_installmentProviderId/Max6Text pour PRECOMP-PC21</t>
  </si>
  <si>
    <t>Création de environment/merchant/temp_merchantCommunicationMedia/merchantCommunicationMediaCodeset pour PRECOMP-PC03R</t>
  </si>
  <si>
    <t>Création de Environment/merchant/temp_paymentCurrency/ISO3AlphaNumericCurrencyCode pour PRECOMP-PC21</t>
  </si>
  <si>
    <t>Création de Environment/merchant/temp_productIdMasterRepository/Max6Text pour PRECOMP-PC21</t>
  </si>
  <si>
    <t>Création de Environment/merchant/temp_visaMarketPlaceId/Max8Text pour PRECOMP-PC21</t>
  </si>
  <si>
    <t>Création de transaction/eventProcessingData/temp_inputData/Max50Text pour PRECOMP-PC11</t>
  </si>
  <si>
    <t>Création de transaction/eventProcessingData/temp_limitData/Max50Text pour PRECOMP-PC11</t>
  </si>
  <si>
    <t>Création de transaction/eventProcessingData/temp_processingStage/Max50Text pour PRECOMP-PC11</t>
  </si>
  <si>
    <t>Création de transaction/eventProcessingData/temp_referenceData/Max50Text pour PRECOMP-PC11</t>
  </si>
  <si>
    <t>Création de transaction/remittanceData/localDateTime/ISODateTime pour PRECOMP-PC03R</t>
  </si>
  <si>
    <t>Création de transaction/remittanceData/temp_grossAmount/amountType pour PRECOMP-PC03R</t>
  </si>
  <si>
    <t>Création de transaction/remittanceData/temp_merchantRemittanceNumber/Exact6NumericText pour PRECOMP-PC03R</t>
  </si>
  <si>
    <t>Création de transaction/remittanceData/temp_sequentialNumber/Max9NumericText pour PRECOMP-PC03R</t>
  </si>
  <si>
    <t>Création de transaction/remittanceData/temp_stampingReference/Exact16AlphaNumericText pour PRECOMP-PC03R</t>
  </si>
  <si>
    <t>Création de transaction/remittanceData/temp_transactionsCount/Max19NumericText pour PRECOMP-PC03R</t>
  </si>
  <si>
    <t>Création de transaction/temp_transactionDetails /companyRegistrationNumber/Max14AlphaNumericText pour PRECOMP-PC21</t>
  </si>
  <si>
    <t>Création de transaction/temp_transactionDetails /merchantCategoryCode/ISO18245MerchantCategoryCode pour PRECOMP-PC21</t>
  </si>
  <si>
    <t>Création de Transaction/transactionDetails/temp_clearingAmount/AmountType pour PRECOMP-PC22</t>
  </si>
  <si>
    <t>Création de transaction/transactionDetails/temp_editionCode/temp_merchantMailCodeCodeset pour PRECOMP-PC03R</t>
  </si>
  <si>
    <t>Création de Transaction/transactionDetails/temp_interchangeCorrelationId/UUIDtype pour PRECOMP-PC22</t>
  </si>
  <si>
    <t>Création de transaction/transactionDetails/temp_linkedTransactionNature/linkedTransactionNatureCodeset pour PRECOMP-PC11</t>
  </si>
  <si>
    <t>Création de transaction/transactionDetails/temp_merchantMailCode/Exact2Text pour PRECOMP-PC03R</t>
  </si>
  <si>
    <t>Création de transaction/transactionDetails/temp_merchantMailLabel/Max50Text pour PRECOMP-PC03R</t>
  </si>
  <si>
    <t>Création de transaction/transactionDetails/temp_reissuedTransactionIndicator/TrueFalseIndicator pour PRECOMP-PC11</t>
  </si>
  <si>
    <t>Création de transaction/transactionDetails/temp_rejectionDateTime/ISODateTime pour PRECOMP-PC03R</t>
  </si>
  <si>
    <t>Création de transaction/transactionDetails/temp_rejectionNature/rejectionNatureCodeset pour PRECOMP-PC03R</t>
  </si>
  <si>
    <t>Création de transaction/transactionDetails/temp_rejectionReasonCode/Exact3Text pour PRECOMP-PC03R</t>
  </si>
  <si>
    <t>Création de transaction/transactionDetails/temp_rejectionReasonLabel/Max50Text pour PRECOMP-PC03R</t>
  </si>
  <si>
    <t>Création de transaction/transactionDetails/temp_remittanceNumber/Exact6NumericText pour PRECOMP-PC11</t>
  </si>
  <si>
    <t>Création de transaction/transactionDetails/temp_responseTimeBeforeAbandonment/Max3NumericText pour PRECOMP-PC03R</t>
  </si>
  <si>
    <t>Création de Transaction/transactionDetails/temp_schemeFeesCorrelationId/UUIDtype pour PRECOMP-PC22</t>
  </si>
  <si>
    <t>Création de transaction/transactionDetails/temp_sequentialNumber/Max9NumericText pour PRECOMP-PC03R</t>
  </si>
  <si>
    <t>Création de transaction/transactionDetails/temp_statusCode/statusCodeCodeset pour PRECOMP-PC03R</t>
  </si>
  <si>
    <t>Création de transaction/transactionIdentification/temp_linkedTransactionStampingReference/Exact16AlphaNumericText pour PRECOMP-PC11</t>
  </si>
  <si>
    <t>Création de transaction/transactionIdentification/temp_stampingReference/Exact16AlphaNumericText pour PRECOMP-PC03R</t>
  </si>
  <si>
    <t>Création de transaction/transactionIdentification/temp_transactionStampingReference/Exact16AlphaNumericText pour PRECOMP-PC21</t>
  </si>
  <si>
    <t>Modification du nom de l'attribut authenticationDate qui devient authenticationDateTime dans Context/transactionContext/authenticationDateTime/ISODateTime</t>
  </si>
  <si>
    <t>Ajout de 2 colonnes à droite dans l'onglet "Dico_Complet" pour identifier les champs temporaires et l'origine de la demande</t>
  </si>
  <si>
    <t>Contestation et Prepay</t>
  </si>
  <si>
    <t>Le Codeset EventNatureCodeset est abandonné.</t>
  </si>
  <si>
    <t>L'attribut eventNature de EventData et renommé eventProcessingNature et abandonne le type Codeset et devient Max50Text</t>
  </si>
  <si>
    <t>eCommerceIndicator est déplacé de TransactionDetail vers TransactionContext
ExtendedEcommerceIndicator est déplacé de PointOfServiceContext vers TransactionContext</t>
  </si>
  <si>
    <t>Gestion Interne iso 20022</t>
  </si>
  <si>
    <t>Remplacement de transactionDetails.refundNature par disputeData.refundNature
Remplacement de eventData par eventProcessingData
Correction des noms des types : 
Exact7AlphanumericText
Max13AlphanumericText
Max14AlphanumericText
Max19AlphanumericText
Max2AlphanumericText
Max32AlphanumericText
Max50AlphanumericText
Max5AlphanumericText
en MaxXXAlphaNumericText</t>
  </si>
  <si>
    <t>25.10</t>
  </si>
  <si>
    <t>SMINCA</t>
  </si>
  <si>
    <t>modification de nominalRoute, dualRoute, extensionNominalRoute et extensionDualRoute par nominalRouteId, dualRouteId, nominalRouteService et dualRouteService
modification des types de nominalRouteService et dualRouteService par Max100Text</t>
  </si>
  <si>
    <t>HISTAA</t>
  </si>
  <si>
    <t>création de terminal.acceptanceSystemApplicationId
changement du type de headerFunctionalInfo.protocolVersion de Max50Text à AdditionalDataType
rajout de complement au type structuré AdditionalDataType
création de merchantParameters.paymentGatewayId</t>
  </si>
  <si>
    <t>Création de l'attribut MerchantParameters.acquiringAllowedServices</t>
  </si>
  <si>
    <t>Création de l'attribut MerchantParameters.blacklistDistributionIndicator</t>
  </si>
  <si>
    <t>Création de l'attribut MerchantParameters.blacklistDistributionRegions</t>
  </si>
  <si>
    <t>Création de l'attribut MerchantParameters.cardBlockingListDistributionIndicator</t>
  </si>
  <si>
    <t>Création de l'attribut MerchantParameters.telecomIndicator</t>
  </si>
  <si>
    <t>Création de l'attribut MerchantParameters.ibanUse</t>
  </si>
  <si>
    <t>Création de l'attribut MerchantParameters.dynamicLineIndicator</t>
  </si>
  <si>
    <t>Création de l'attribut merchantParameters.visaVerificationIndicator</t>
  </si>
  <si>
    <t>Création de l'attribut MerchantParameters.merchantFeesAccounting</t>
  </si>
  <si>
    <t>Création de l'attribut MerchantParameters.genericMIDControl</t>
  </si>
  <si>
    <t>Création de l'attribut MerchantParameters.creditIndicator</t>
  </si>
  <si>
    <t>Création de l'attribut MerchantParameters.forbiddenCardProduct</t>
  </si>
  <si>
    <t>Création de l'attribut MerchantParameters.paymentRiskProfile</t>
  </si>
  <si>
    <t>Création de l'attribut MerchantParameters.ticketPrintIndicator</t>
  </si>
  <si>
    <t>Création de l'attribut merchantParameters.merchantSchemeChoice</t>
  </si>
  <si>
    <t>Création de l'attribut MerchantParameters.recurringFeesDebit</t>
  </si>
  <si>
    <t>Création de l'attribut MerchantParameters.feesDebitPeriod</t>
  </si>
  <si>
    <t>Création de l'attribut MerchantParameters.feesCumulLevel</t>
  </si>
  <si>
    <t>Création de l'attribut MerchantParameters.addressUse</t>
  </si>
  <si>
    <t>Création de l'attribut MerchantParameters.merchantCreditCalculationDate</t>
  </si>
  <si>
    <t>Création de l'attribut MerchantParameters.postingCalendar</t>
  </si>
  <si>
    <t>Création de l'attribut MerchantParameters.remittanceReceptionCutOff</t>
  </si>
  <si>
    <t>Création de l'attribut merchantParameters.acquirerBankIdentifierNumber</t>
  </si>
  <si>
    <t>Création du CodeSet PostingCalendarCodeSet</t>
  </si>
  <si>
    <t>Création du CodeSet MerchantCreditCalculationDateCodeSet</t>
  </si>
  <si>
    <t>Création des CodeSet FeesCumulLevelCodeSet</t>
  </si>
  <si>
    <t>Création des CodeSet IbanUseCodeSet</t>
  </si>
  <si>
    <t>Création du type simple Max6NumericText</t>
  </si>
  <si>
    <t>Création du type simple Min6Max8NumericText</t>
  </si>
  <si>
    <t>Création de l'attribut accountBalance</t>
  </si>
  <si>
    <t>Création de l'attribut additionalTransactioFee 1</t>
  </si>
  <si>
    <t>Création de l'attribut additionalTransactionFee 2</t>
  </si>
  <si>
    <t>Création de l'attribut cardholderAvailableBalance</t>
  </si>
  <si>
    <t>Création de l'attribut cashAmount</t>
  </si>
  <si>
    <t>Création de l'attribut transferService</t>
  </si>
  <si>
    <t>Création du type simple Max32AlphanumericText</t>
  </si>
  <si>
    <t>Création du type simple Max9Text</t>
  </si>
  <si>
    <t>Création du type threeDsMerchantRequestAuthenticationCodeset</t>
  </si>
  <si>
    <t>Création du type digitalWalletNameCodeset</t>
  </si>
  <si>
    <t>Création du type additionalAuthenticationReasonCodeCodeset</t>
  </si>
  <si>
    <t>Création du type additionalAuthenticationMethodCodeset</t>
  </si>
  <si>
    <t>Création du type additionalElectronicCommerceDataElementsCodeset</t>
  </si>
  <si>
    <t>Création du type CardDataEntryModeCodeset</t>
  </si>
  <si>
    <t>Création du type CardholderPresenceCodeset</t>
  </si>
  <si>
    <t>Création du type FundsTransferTypeNomenclatureCodeset</t>
  </si>
  <si>
    <t>Création du type AuthorisationForcingCodeCodeset</t>
  </si>
  <si>
    <t>Création du type CardholderAuthenticationMethodCodeset</t>
  </si>
  <si>
    <t>Création du type EntryModeEnvironmentCodeset</t>
  </si>
  <si>
    <t>Création de l'attribut Context.Remittance.remitterGroupingIdentifier</t>
  </si>
  <si>
    <t>Création de l'attribut Context.transactionContext.airlineTicketDestination</t>
  </si>
  <si>
    <t>Création de l'attribut Context.transactionContext.airlineTicketNumber</t>
  </si>
  <si>
    <t>Création de l'attribut Context.transactionContext.cardholderAuthenticationMethod</t>
  </si>
  <si>
    <t>Création de l'attribut Context.transactionContext.Entry mode Environnement</t>
  </si>
  <si>
    <t>Création de l'attribut Context.transactionContext.fundsTransferTypeIdentifier</t>
  </si>
  <si>
    <t>Création de l'attribut Context.transactionContext.fundsTransferTypeNomenclature</t>
  </si>
  <si>
    <t>Création de l'attribut Environment.card.applicationUsageControl</t>
  </si>
  <si>
    <t>Création de l'attribut Environment.terminal.pciPedApprovalLevel</t>
  </si>
  <si>
    <t>Création de l'attribut Transaction.eMV.appEffectiveDate</t>
  </si>
  <si>
    <t>Création de l'attribut Transaction.eMV.issuerActionCodeDefault</t>
  </si>
  <si>
    <t>Création de l'attribut Transaction.eMV.issuerActionCodeDenial</t>
  </si>
  <si>
    <t>Création de l'attribut Transaction.eMV.issuerActionCodeOnLine</t>
  </si>
  <si>
    <t>Création de l'attribut Transaction.threeDs.threeDsAuthenticationCategory</t>
  </si>
  <si>
    <t>Modification du type de l'attribut Transaction.threeDs.threeDsMerchantRequestAuthentication</t>
  </si>
  <si>
    <t>Création de l'attribut Transaction.transactionDetails.authorisationForcingCode</t>
  </si>
  <si>
    <t>Création de l'attribut Transaction.transactionDetails.authorizedLocalDateTime</t>
  </si>
  <si>
    <t>Création de l'attribut Transaction.transactionDetails.counterValueAmount</t>
  </si>
  <si>
    <t>Création de l'attribut Transaction.transactionDetails.donationAmount</t>
  </si>
  <si>
    <t>Création de l'attribut Transaction.transactionDetails.estimatedAmount</t>
  </si>
  <si>
    <t>Création de l'attribut Transaction.transactionDetails.informationForCardholder1</t>
  </si>
  <si>
    <t>Création de l'attribut Transaction.transactionDetails.informationForCardholder2</t>
  </si>
  <si>
    <t>Création de l'attribut Transaction.transactionDetails.partialAuthorizedAmount</t>
  </si>
  <si>
    <t>Création de l'attribut Transaction.transactionDetails.partialAuthorizedOriginalAmount</t>
  </si>
  <si>
    <t>Création de l'attribut Transaction.transactionDetails.poiAmount</t>
  </si>
  <si>
    <t>Création de l'attribut Transaction.transactionDetails.tipAmount</t>
  </si>
  <si>
    <t>Création de l'attribut Transaction.additionalResponseData.additionalAuthenticationMethod</t>
  </si>
  <si>
    <t>Création de l'attribut Transaction.additionalResponseData.additionalAuthenticationReasonCode</t>
  </si>
  <si>
    <t>Création de l'attribut Transaction.additionalResponseData.additionalElectronicCommerceDataElementsNomenclature</t>
  </si>
  <si>
    <t>Création de l'attribut digitalWalletName</t>
  </si>
  <si>
    <t>Création de l'attribut Context.transactionContext.cardholderPresence</t>
  </si>
  <si>
    <t>Création de l'attribut Context.transactionContext.cardDataEntryMode</t>
  </si>
  <si>
    <t>Transaction</t>
  </si>
  <si>
    <t>Erreur sur le type de ecommerceIndicator défini à Max3AlphaNumericText au lieu de Exact2AlphaNumericText.</t>
  </si>
  <si>
    <t>Le type de l'attribut threeDSAuthenticationCategory devient un codeset.
Création du codeset Le codeset threeDSAuthenticationCategoryCodeset.</t>
  </si>
  <si>
    <t>Création de localDateTime pour disputeData, remplacement de reasonStatusCode par subStatusLabel</t>
  </si>
  <si>
    <t>L'attribut Context.transactionContext.cardDataEntryMode devient Context.transactionContext.PanEntryMode (CB2A Auto et CBAE 22.p1)
Adaptation nécessaire pour distinguer ce champ du CardEntryMode porté par les protocoles CB2ATel et CB2AF dans leur champ 22. 
Les champs 22 des protocoles d'autorisation et les champs 22 des protocoles de capture sont différents et la tentative de mutualisation de CardEntryMode et PanEntryMode est une erreur.
Le codeset CardDataEntryModeCodeset est rebaptisé PanEntryModeCodeset.</t>
  </si>
  <si>
    <t>le type de regulatoryAndTechnicalEnvironment passe à Exact2AlphaNumericText pour rester cohérent entre le CBAE et CB2AF</t>
  </si>
  <si>
    <t>Modification du type de l'attribut "ServiceAttribute" qui passe de exact2NumericText à ServiceAttributeCodeset.
Création de ServiceAttributecodeset.</t>
  </si>
  <si>
    <t>Le champ messageReasonCode est dépacé de additionalResponsedata à TransactionContext. Ce n'est pas une donnée de réponse, c'est une donnée facultative de context présente dans la demande</t>
  </si>
  <si>
    <t>Ajout des champs/correspondants CBAE</t>
  </si>
  <si>
    <t>Service Cryptographie</t>
  </si>
  <si>
    <t>Création des attributs jsonWebKeyIdentifier et jsonWebSignature
Création du type simple Max758Text</t>
  </si>
  <si>
    <t>25.09</t>
  </si>
  <si>
    <t>Création des types : Max6Text, ContactType</t>
  </si>
  <si>
    <t>Création du CodeSet ContractCategoryCodeset</t>
  </si>
  <si>
    <t>Création de l'attribut internationalBankAccountNumber</t>
  </si>
  <si>
    <t>Création de l'attribut merchantProcessingName</t>
  </si>
  <si>
    <t>Création de l'attribut merchantExternalId</t>
  </si>
  <si>
    <t>Création de l'attribut merchantInternalId</t>
  </si>
  <si>
    <t>Création de l'attribut contractCategory</t>
  </si>
  <si>
    <t>Création de l'attribut mainGroupingIdentifier</t>
  </si>
  <si>
    <t>Création de l'attribut secundaryGroupingIdentifier</t>
  </si>
  <si>
    <t>Création de l'attribut businessGroupingIdentifier</t>
  </si>
  <si>
    <t>Création de l'attribut contact</t>
  </si>
  <si>
    <t>Création de l'attribut chainingCode</t>
  </si>
  <si>
    <t>Création de l'attribut contractProductCode</t>
  </si>
  <si>
    <t>Création de l'attribut grossAmountIndicator</t>
  </si>
  <si>
    <t>Création de l'attribut feesDeferredDebitIndicator</t>
  </si>
  <si>
    <t>Création de l'attribut statementIndicator</t>
  </si>
  <si>
    <t>Création de l'attribut bigAmountControlIndicator</t>
  </si>
  <si>
    <t>Histaa</t>
  </si>
  <si>
    <t>transactionContext.kernelId passe à transactionContext.usedKernelId
création de terminal.kernelId
l'attribut reversalReason existe pour les objets response et transactionDetails et ont désormais un type Max5AlphaNumericText
ajout de la valeur RetitutionEvent au MessageFunctionCodeset
création de security.baseDerivationKeyName
ajout de valeurs pour le codeset pinBlockEncryptionFormatCodeset
création de transactionDetails.repleacementAmount
création de transactionDetails.cumulativeTotalAuthorisedAmount
le type du responseCode devient un Max6AlphaNumericText
création de storedResponseCode de type structuré storedResponseCodeType</t>
  </si>
  <si>
    <t>Création de originalAmount sous le type structuré AmountType</t>
  </si>
  <si>
    <t>Suppression des 2 attributs devenus obsolètes
transactionContext.mandatoryNetwork d’ID 241227113800 et de type TrueFalseIndicator
terminal.cardReadingCapabilitiesStatus d’ID 241112000135 et de type CardReadingCapabilitiesCodeset</t>
  </si>
  <si>
    <t>Suppression du type KeyC2PDescriptionType devenu obsolète</t>
  </si>
  <si>
    <t>Suppression des 2 attributs devenus obsolètes
transactionDetails.bdkKeyEncryption d’ID 250108150302 et de type KeyC2PDescriptionType
transactionDetails.ktKeyEncryption d’ID 250108150303 et de type KeyC2PDescriptionType</t>
  </si>
  <si>
    <t xml:space="preserve">    signatureKeyIdentifier garde le même nom mais passe sur un format Max50Text
    kscKeyIdentifier devient macKeyIdentifier et passe sur un format Max50Text
    dynKeyIdentifier garde le même nom mais passe sur un format Max50Text
    kbpkKeyIdentifier devient connexionKeyIdentifier et passe sur un format Max50Text
    kdkKeyIdentifier devient storageKeyIdentifier et passe sur un format Max50Text
    ktKeyIdentifier devient securePinBlockKeyIdentifier et passe sur un format Max50Text
    bdkKeyIdentifier devient baseDerivationKeyIdentifier et passe sur un format Max50Text</t>
  </si>
  <si>
    <t>Ajout de libellé sur 5 champs ou il était absent.</t>
  </si>
  <si>
    <t>Ajout de la colonne Libellé dans l'onglet Export</t>
  </si>
  <si>
    <t>Création de l'attribut cardContext.secretCodeKnownIndicator</t>
  </si>
  <si>
    <t>Création de l'attribut cardContext.lockingActionCode</t>
  </si>
  <si>
    <t>Création de l'attribut cardContext.semanticCheckIndicator</t>
  </si>
  <si>
    <t>Création de l'attribut cardContext.acquisitionChannel</t>
  </si>
  <si>
    <t>Création de l'attribut cardContext.contactlessActionCode</t>
  </si>
  <si>
    <r>
      <rPr>
        <sz val="10"/>
        <color rgb="FF000000"/>
        <rFont val="Century Gothic"/>
        <family val="2"/>
      </rPr>
      <t>Modification taille cardholder.cardholderId de Max</t>
    </r>
    <r>
      <rPr>
        <b/>
        <sz val="10"/>
        <color rgb="FF000000"/>
        <rFont val="Century Gothic"/>
        <family val="2"/>
      </rPr>
      <t>36</t>
    </r>
    <r>
      <rPr>
        <sz val="10"/>
        <color rgb="FF000000"/>
        <rFont val="Century Gothic"/>
        <family val="2"/>
      </rPr>
      <t>NumericText ----&gt; Max</t>
    </r>
    <r>
      <rPr>
        <b/>
        <sz val="10"/>
        <color rgb="FF000000"/>
        <rFont val="Century Gothic"/>
        <family val="2"/>
      </rPr>
      <t>40</t>
    </r>
    <r>
      <rPr>
        <sz val="10"/>
        <color rgb="FF000000"/>
        <rFont val="Century Gothic"/>
        <family val="2"/>
      </rPr>
      <t>NumericText</t>
    </r>
  </si>
  <si>
    <t>Création de l'attribut httpStatus.requestId</t>
  </si>
  <si>
    <t>Création de l'attribut card.designSubscriptionIndicator</t>
  </si>
  <si>
    <t>Création de l'attribut card.contractCardAccountId</t>
  </si>
  <si>
    <t>Création de l'attribut card.contractEntityId</t>
  </si>
  <si>
    <t>Création de l'attribut card.internalRef</t>
  </si>
  <si>
    <t>Création de l'attribut card.productCode</t>
  </si>
  <si>
    <t>Création de l'attribut card.contractId</t>
  </si>
  <si>
    <t>Mapping ISO20022 des champs obligatoires des APIs : PSDC101, PSDC109, PSDC114, PSDC112, PSDC107</t>
  </si>
  <si>
    <r>
      <t>L'attribut Transaction.transactionDetails.</t>
    </r>
    <r>
      <rPr>
        <sz val="10"/>
        <color rgb="FFFF0000"/>
        <rFont val="Century Gothic"/>
        <family val="2"/>
      </rPr>
      <t>Scheme</t>
    </r>
    <r>
      <rPr>
        <sz val="10"/>
        <color theme="1"/>
        <rFont val="Century Gothic"/>
        <family val="2"/>
      </rPr>
      <t>FeesAmount de type FeesType devient Transaction.transactionDetails.FeesAmount de type FeesType 
(La réfrence à Scheme est retirée, cela créait une confusion)</t>
    </r>
  </si>
  <si>
    <t>25.08</t>
  </si>
  <si>
    <t>M.Marghad</t>
  </si>
  <si>
    <t>Création des codeSet : acceptanceChannelCodeset, paymentCategoryCodeset, paymentProtocolCategoryCodeset, paymentProtocolVersionCodeset</t>
  </si>
  <si>
    <t>Création de l'attribut merchant.acceptanceChannel</t>
  </si>
  <si>
    <t>Création de l'attribut merchant.paymentCategory</t>
  </si>
  <si>
    <t>Création de l'attribut merchantParameters.paymentFacilitatorIndicator</t>
  </si>
  <si>
    <t>Création de l'attribut acquirer.acquirerName</t>
  </si>
  <si>
    <t>Création de l'attribut merchantParameters.paymentProtocolCategory</t>
  </si>
  <si>
    <t>Création de l'attribut merchantParameters.paymentProtocolVersion</t>
  </si>
  <si>
    <t>Création de l'attribut merchantParameters.noShowIndicator</t>
  </si>
  <si>
    <t>Création de l'attribut merchantParameters.duplicatedTransactionControlIndicator</t>
  </si>
  <si>
    <t>Création de l'attribut merchantParameters.authorizedDuplicatedTransactions</t>
  </si>
  <si>
    <t>Création de l'attribut merchantParameters.maximumAutorizedDebit</t>
  </si>
  <si>
    <t>Création de l'attribut merchantParameters.maximumAutorizedCredit</t>
  </si>
  <si>
    <t>Création de l'attribut merchantParameters.creditGroupingIndicator</t>
  </si>
  <si>
    <t>Création de l'attribut merchant.signName</t>
  </si>
  <si>
    <t>Création de l'attribut merchantParameters.transactionPaperStatementIndicator</t>
  </si>
  <si>
    <t>Création de l'attribut merchantParameters.transactionNumericStatementIndicator</t>
  </si>
  <si>
    <t>Création de l'attribut merchantParameters.governmentControlIndicator</t>
  </si>
  <si>
    <t>Création de l'attribut merchantParameters.governmentControlCountryCode</t>
  </si>
  <si>
    <t>Création de l'attribut merchantParameters.fraudReportingIndicator</t>
  </si>
  <si>
    <t>A,MAVIOGHA</t>
  </si>
  <si>
    <t>Modification du SIRET du Max14NumericText en MAX14AlphanuméricText</t>
  </si>
  <si>
    <t>Création du type structuré PostalAddressType</t>
  </si>
  <si>
    <t>Modification du PanEntryModeCodeset en cardDataEntryModeCodeset</t>
  </si>
  <si>
    <t>Création du type Max14AlphanumericText</t>
  </si>
  <si>
    <t>Création du type CardholderAuthenticationCapabilitiesCodeset</t>
  </si>
  <si>
    <t>Création du type CardhholderPickUpCapabilitiesCodeset</t>
  </si>
  <si>
    <t>Création du type CardWriteCapabilitiesCodeset</t>
  </si>
  <si>
    <t>Création du type MessageDisplayPrintCapabilitiesCodeset</t>
  </si>
  <si>
    <t>Création du type PinReadingCapabilitiesCodeset</t>
  </si>
  <si>
    <t>Création du type SystemAuthenticatingTheCardholderCodeset</t>
  </si>
  <si>
    <t>Création du type StatusOfMessageDisplayPrintCapabilityCodeset</t>
  </si>
  <si>
    <t>Création du type AcknowledgementRequestIndicatorCodeset</t>
  </si>
  <si>
    <t>Création du type ImmediateActionCodset</t>
  </si>
  <si>
    <t>Création du type NextActionCodeset</t>
  </si>
  <si>
    <t>Création du type AdditionnalInformationForImmediateActionCodeset</t>
  </si>
  <si>
    <t>Création du type CardAcceptorArchitectureTypeCodeset</t>
  </si>
  <si>
    <t>Création de l'attribut terminal.cardholderAuthenticationCapabilities</t>
  </si>
  <si>
    <t>Création de l'attribut terminal.cardholderPickUpCapabilities</t>
  </si>
  <si>
    <t>Création de l'attribut terminal.cardWriteCapabilities</t>
  </si>
  <si>
    <t>Création de l'attribut terminal.messageDisplayPrintCapabilities</t>
  </si>
  <si>
    <t>Création de l'attribut terminal.pinReadingCapabilities</t>
  </si>
  <si>
    <t>Création de l'attribut transactionContext.cardDataEntryMode</t>
  </si>
  <si>
    <t>Création de l'attribut transactionContext.systemAuthenticatingTheCardholder</t>
  </si>
  <si>
    <t>Création de l'attribut transactionContext.statusOfMessageDisplayPrintCapability</t>
  </si>
  <si>
    <t>Création de l'attribut verification.acknowledgementRequestIndicator</t>
  </si>
  <si>
    <t>Création de l'attribut transactionDetails.immediateAction</t>
  </si>
  <si>
    <t>Création de l'attribut transactionDetails.nextAction</t>
  </si>
  <si>
    <t>Création de l'attribut transactionDetails.additionnalInformationForImmediateAction</t>
  </si>
  <si>
    <t>Création de l'attribut appTerminal.acceptanceSystemComponentsIdentifier</t>
  </si>
  <si>
    <t>Création de l'attribut terminal.cardAcceptorLogicalNumber</t>
  </si>
  <si>
    <t>Création de l'attribut terminal.cardAcceptorArchitectureType</t>
  </si>
  <si>
    <t>Création de l'attribut terminal.pointOfInteractionLogicalNumber</t>
  </si>
  <si>
    <t>Création de l'attribut terminal.pointOfInteractionIdentifierAssignedByAnAcquirer</t>
  </si>
  <si>
    <t>Création de l'attribut merchant.compagnyRegistrationNumber</t>
  </si>
  <si>
    <t>Création de l'attribut terminal.acceptanceSystemIdentifierAssignedByAnAcquirer</t>
  </si>
  <si>
    <t>Création de l'attribut terminal.pointOfInteractionInformation</t>
  </si>
  <si>
    <t>Création du type Max40AlphanumericText</t>
  </si>
  <si>
    <t>Création du type Max50AlphanumericText</t>
  </si>
  <si>
    <t>Création du type Max2AlphanumericText</t>
  </si>
  <si>
    <t>Création de l'attribut merchantAcceptorMessage.numberOfTheMessageDisplayedOrPrinted</t>
  </si>
  <si>
    <t>Création de l'attribut merchantAcceptorMessage.nameOfTheMessageDisplayedOrPrinted</t>
  </si>
  <si>
    <t>Création de l'objet pointOfServiceContext</t>
  </si>
  <si>
    <t>Création de l'objet CardContext</t>
  </si>
  <si>
    <t xml:space="preserve">Création des données et des types de eventNature statusCode localDateTime chargbackId reasonCode reasonLabel representmentReasonCode unboundEventIndicator unboundEventReason incompatibilityEventIndicator incompatibilityEventReason manualIndicator amount cardHolderId </t>
  </si>
  <si>
    <t>Création de 3 nouveaux attributs transactionDetails.cardBrandForcingIndicator, transactionDetails.preclearingTransactionNature, transactionDetails.duplicateProcessedIndicator
et du codeset preclearingTransactionNatureCodeset</t>
  </si>
  <si>
    <t>A MAVIOGHA</t>
  </si>
  <si>
    <t>Création du champ Context, pointOfServiceContext et suppression du codeset CCAA dans CardReadingCapabilitiesCodeset et suppression du champ cardReadingCapabilitiesStatus,</t>
  </si>
  <si>
    <t>Création de card.issuerId pour le MFO11</t>
  </si>
  <si>
    <t xml:space="preserve">HISTAA
</t>
  </si>
  <si>
    <t>Modification du type de reversalReason à Max5AlphaNumericText pour prendre en compte le an2 côté CIFO et protocoles</t>
  </si>
  <si>
    <t>gestion interne
 Iso20021</t>
  </si>
  <si>
    <t>Homogéneisation du type de tous les montants pour AmountType</t>
  </si>
  <si>
    <t>gestion interne
 Iso20022</t>
  </si>
  <si>
    <t>Création de AmountNatureCodeset</t>
  </si>
  <si>
    <t xml:space="preserve">Création des couples objets/Attributs suivant :
sponsoredMerchant.independantSalesOrganisationId
originalTransactionData.authorisationCode
originalTransactionData.technicalInfoTransactionUuid
originalTransactionData.technicalInfoTransmissionDateTime
originalTransactionData.technicalInfoTransmittingServerId
transactionDetails.preAuthorizationTimeLimit
security.pinVerificationResult
transactionContext.fundsTransferApplicationNature
</t>
  </si>
  <si>
    <t>25.07</t>
  </si>
  <si>
    <t>Création des objets/Attributs suivant :
payer.financialInstitutionId
payer.internationalBankAccountNumber
payee.primaryAccountNumber
payee.accountNumber
payer.accountNumber
transactionContext.fundTransferReason
security.pinBlockEncryptionFormat
originalTransactionData.transactionReference
originalTransactionData.transmissionGmtDateTime
pointOfServiceContext.inputCapabilities
pointOfServiceContext.printCapabilities
transactionContext.cardholderVerificationMethod
emv.contactlessTrack2</t>
  </si>
  <si>
    <t>SMSAA</t>
  </si>
  <si>
    <t>cardholderVerificationMethod représentant le RSB55_9F34 devient cardholderVerificationMethodResult</t>
  </si>
  <si>
    <t>changement de la nomenclature de receivingInstitutionIdentificationCode (MFO17) pour receivingId et  forwadingInstitutionIdentification pour forwardingId pour rester cohérent avec le sens porté par la représentation du champ 32 dans le dictionnaire</t>
  </si>
  <si>
    <t>acquirerInstitutionId n'étant pas le code banque mais l'identifiant acquéreur, devient acquirerId</t>
  </si>
  <si>
    <t>Création des données et des types de additionnalData decisionDateTime reasonStatusCode reclamationIndicator refundDecisionCode statusChangeReason statusCode statusLabel statusUpdateDateTime updateDateTime refundNature statusCode statusLabel nonrefundReason recoveryMode refundIndicator</t>
  </si>
  <si>
    <t>Changement de nom de l'attibut transactionsCount</t>
  </si>
  <si>
    <t>Création de l'attribut merchnat.merchantProcessingEndDate</t>
  </si>
  <si>
    <t>Création de l'attribut merchant.merchantProcessingStartDate</t>
  </si>
  <si>
    <t>Création de l'attribut merchant.allowedSchemeCode</t>
  </si>
  <si>
    <t>Création du type simple ISO3AlphaNumericCurrencyCode</t>
  </si>
  <si>
    <t>Création du type simple ISO2AlphaNumericCountryCode</t>
  </si>
  <si>
    <t>Création de l'attribut merchant.allowedCountry</t>
  </si>
  <si>
    <t>Création de l'attribut merchant.allowedCurrency</t>
  </si>
  <si>
    <t>Mise-à-jour du codeset MerchantCategoryCodeset : rajout de deux valeurs STND et SBMT</t>
  </si>
  <si>
    <t>Mise-à-jour du CodeSet CompanyRegistrationNumberCategoryCodeset : rajout de la valeur OTHR</t>
  </si>
  <si>
    <r>
      <t>transaction.orginalTransactionData.</t>
    </r>
    <r>
      <rPr>
        <sz val="10"/>
        <color theme="5"/>
        <rFont val="Century Gothic"/>
        <family val="2"/>
      </rPr>
      <t>authenticateDate</t>
    </r>
    <r>
      <rPr>
        <sz val="10"/>
        <color theme="1"/>
        <rFont val="Century Gothic"/>
        <family val="2"/>
      </rPr>
      <t xml:space="preserve"> devient transaction.orginalTransactionData.</t>
    </r>
    <r>
      <rPr>
        <sz val="10"/>
        <color theme="5"/>
        <rFont val="Century Gothic"/>
        <family val="2"/>
      </rPr>
      <t>authenticateDateTime</t>
    </r>
  </si>
  <si>
    <t>Réhabilitation de Transaction.security.pinBlockFormat et suppression de Context.transactionContext.pinblockFormat</t>
  </si>
  <si>
    <t>SMHSM</t>
  </si>
  <si>
    <t>Les 2 attirbuts suivants sont OBSOLETES Transaction.transactionDetails.bdkKeyEncryption 
Transaction.transactionDetails.ktKeyEncryption (Richard Benmoussa le 21/03/25)</t>
  </si>
  <si>
    <t>correction doublon de valeur dans le TransactionNatureCodeset</t>
  </si>
  <si>
    <t>Suppression du doublon Transaction.security.pinBlockFormat</t>
  </si>
  <si>
    <t>Suppression de l'onglet Header Technique : sous la responsabilité de Framework</t>
  </si>
  <si>
    <t>Le premier caractère de tous les types et codeset sont en majuscules</t>
  </si>
  <si>
    <t>Abandon de YesNoIndicator au profit de TrueFalseIndicator, les deux étant de même type : boolean</t>
  </si>
  <si>
    <t>Création de l'attribut marketPlaceId</t>
  </si>
  <si>
    <t>25.06</t>
  </si>
  <si>
    <t>Changement de type de ecommerceIndicator</t>
  </si>
  <si>
    <t>Création des données et des types de manualIndicator schemeNature securizationNature vrolTransactionReference authorisationCode disputeTechnicalInternalId disputeAuditTrailTransactionEligibilityIndicator disputeDataId disputeInternalIdentification creationDateTime disputeCondition disputeQualification totalAmount  transactionsNumber auditTrailFolderEligibilityIndicator et enrichissement de NetworkCodeset avec la valeur intra</t>
  </si>
  <si>
    <t>Création des attributs storedDataCategory, storedData, foreignCurrencyIndicator</t>
  </si>
  <si>
    <t>Rajout de AuthorisationEvent et ReversalEvent dans MessageFunctionCodeset</t>
  </si>
  <si>
    <t>protocolVersion passe de Max8Text à Max50Text pour plus de flexibilité</t>
  </si>
  <si>
    <t>Annonce Tréso</t>
  </si>
  <si>
    <t>Création du type UUIDType à usage universel</t>
  </si>
  <si>
    <t>Création des attributs : TransactionContext.jurisdiction, TransactionContext.tracabilityEventID, TransactionContext.traceabilityService</t>
  </si>
  <si>
    <t>Création des attributs : Acquirer.acquirerLeaderInstitutionId,</t>
  </si>
  <si>
    <t>Création des attributs : HeaderFunctionalInfo.datetime, HeaderFunctionalInfo.messageDescription, HeaderFunctionalInfo.vacationNumber</t>
  </si>
  <si>
    <t>Création des attributs : Interchange.additionalCode, Interchange.amount,
Interchange.ICScode, Interchange.rate</t>
  </si>
  <si>
    <t>Création des attributs : SchemeFees.schemeFeesDetails, SchemeFees.totalAmount</t>
  </si>
  <si>
    <t>Création des codeset schemeFeesNatureCodeset, schemeFeesCategoryCodeset, schemeFeesModeCodeset, schemeFeesAmountNatureCodeset, MastercardRegionCodeset, accountTypeCodeset et TraceabitilyServiceCodeset</t>
  </si>
  <si>
    <t>Création des types structurés keyValueType et schemeFeesType</t>
  </si>
  <si>
    <t>Trans</t>
  </si>
  <si>
    <t>Hétérogénéité détectée, Tous les Codeset Credit sont alignés sur "CRDT" et les codeset Debit sur "DEBT"</t>
  </si>
  <si>
    <t>l'objet sponsoredMerchant et ces attributs dans le segment Environment</t>
  </si>
  <si>
    <t>correction coquille sur le PinBlockFormatCodeset. Valeurs en double dans la précédente version du dico</t>
  </si>
  <si>
    <t>Modification des libellés de macAlgorithm : MAC sealing algorithm et macLength : length of the MAC, car initialement en double et incorrect</t>
  </si>
  <si>
    <t>Les des attributs partialHash" et "partialHashLength" placés dans Transaction.security</t>
  </si>
  <si>
    <t>Renommage de Transaction.security.signatureData par Transaction.security.signature</t>
  </si>
  <si>
    <t>25.05</t>
  </si>
  <si>
    <t>Suppression de Max1Text qui n'a pas lieu d'exister (égale à Exact 1Text)</t>
  </si>
  <si>
    <t xml:space="preserve">Correction sur la définition des patterns de Max..Text. Au lieu de {x}, précision de {1,x} </t>
  </si>
  <si>
    <t>Correction du type de cardholderAuthenticationValueProcessingInfo, threeDsResultsCardHolderAuthentication, mastercardMagstripeErrorCategory par Exact1Text à la place de Max1Text</t>
  </si>
  <si>
    <t>Modification complète du codeset signatureAlgorithm</t>
  </si>
  <si>
    <t>Création des attributs partialHash" et "partialHashLength"</t>
  </si>
  <si>
    <t>Retrait du segment TransactionResponse pour ne garder que Transaction</t>
  </si>
  <si>
    <t>25.04</t>
  </si>
  <si>
    <t>l'onglet Typologie devient TypesSimples; Typologie indiquant l'ensembles des types du dico</t>
  </si>
  <si>
    <t>Suite au passage à ESTREEM, nous retirons le terme "JV" du dictionnaire</t>
  </si>
  <si>
    <t>SMCB</t>
  </si>
  <si>
    <t xml:space="preserve">Création des données et des types de digitalCommerceDomainId, digitalCommerceProgram, digitalCommerceCheckinEntity, digitalCommerceCheckinMethod, accountFundingSource, appliedAuthorizationCharacteristicsIndicator, appliedMarketSpecificDataIndicator, programDowngradeReasonCode, taxCountryCode, taxRegistrationIdentication, taxRegistrationReasonCode </t>
  </si>
  <si>
    <t>Correction coquille</t>
  </si>
  <si>
    <t>Les champs transactionContext/serviceIndicator, additionalResponseData/fastFundIndicator, additionalResponseData/geoRestrictionIndicator, additionalResponseData/octBlocking, additionalResponseData/onlineGameBlockingIndicator passent du type formel Boolean au type YesNoIndicator qui est aussi Boolean.</t>
  </si>
  <si>
    <t>WERO</t>
  </si>
  <si>
    <t>Création des champs  security/signatureKeyIdentifier, security/signatureAlgorithm, security/signatureDigestAlgorithm, security/maskGeneratorAlgorithm, security/saltLength, security/signatureData, security/dataUsedForSign</t>
  </si>
  <si>
    <t>25.03</t>
  </si>
  <si>
    <t>Réintroduction du Header et ces objets dans le dictionnaire à cause du nouveau format JSON Schéma et pour faciliter son usage par les équipes</t>
  </si>
  <si>
    <t>Le type de locationCategoryCode devient Max8Text. Suppression de locationCategoryCodeCodeset</t>
  </si>
  <si>
    <t xml:space="preserve">Précision sur la description du Base64BinaryText en y rajoutant le type de donnée avant conversion </t>
  </si>
  <si>
    <t>pour INFOPAN</t>
  </si>
  <si>
    <t>Création du CountryZoneCodeset</t>
  </si>
  <si>
    <t>Pour SMCB</t>
  </si>
  <si>
    <t xml:space="preserve">Ajout du Codeset CardTypeCodeset </t>
  </si>
  <si>
    <t>Création du champ issuerInstitutionCountryCode de type Exact3AlphaNumericText</t>
  </si>
  <si>
    <t>Création du champ destinationCurrencyUnits de type Exact1AlphaNumericText</t>
  </si>
  <si>
    <t>Création du champ destinationCurrencyCode de type ISO3NumericCurrencyCode</t>
  </si>
  <si>
    <t>Création du champ geoRestrictionIndicator de type Boolean</t>
  </si>
  <si>
    <t>Création du champ onlineGameBlockingIndicator de type Boolean</t>
  </si>
  <si>
    <t>Création du champ octBlocking de type Boolean</t>
  </si>
  <si>
    <t>Création du champ fastFundIndicator de type Boolean</t>
  </si>
  <si>
    <t>Création du champ issuerFunctionalIdentifier de type Exact8AlphaNumericText</t>
  </si>
  <si>
    <t>Création du champ cardholderBillingCurrencyUnits de type Exact1Text</t>
  </si>
  <si>
    <t>Création du champ cardholderBillingCurrencyCode de type ISO3NumericCurrencyCode</t>
  </si>
  <si>
    <t>Création du champ cardTypeCode de type CardTypeCodeset</t>
  </si>
  <si>
    <t>Création du champ agreementId de type Exact4Text</t>
  </si>
  <si>
    <t>Création du cardIssuerCountryZone correspondant au MFO6</t>
  </si>
  <si>
    <t>Création du visaB2BProgramId correspondant à l'ARDEF1</t>
  </si>
  <si>
    <t>Pour SMHSM</t>
  </si>
  <si>
    <t>Création des champs Security/kscKeyIdentifier, Security/dataSource, Security/paddingMethod, Security/diversificationValue, Security/macLength, Security/macAlgorithm</t>
  </si>
  <si>
    <t>Création de receivingInstitutionIdentificationCode pour le MFO17</t>
  </si>
  <si>
    <t>Creation des champs Security/dynKeyIdentifier, Security/keyLength, Security/tr31KeyFunction, Security/tr31KeyVersion, Security/tr31AdditionnalData, Security/kbpkKeyIdentifier, Security/kdkKeyidentifier, Security/tr31KeyBlock, Security/pinBlockFormat, Security/keySerialNumber, Security/encryptionAlgorithm, Security/bdkKeyIdentifier, Security/ktKeyIdentifier</t>
  </si>
  <si>
    <t xml:space="preserve">Création des codeset PinBlockFormatCodeset et EncryptionAlgorythmeCodeset </t>
  </si>
  <si>
    <t>Suprression de l'objet customer et de ces attributs créés à tort pour click2pay</t>
  </si>
  <si>
    <t>Modification de l'attribut cardIssuerInstitutionId de card pour issuerInstitutionId</t>
  </si>
  <si>
    <t>Création de l'attribut issuerLeaderInstitutionId pour l'objet card</t>
  </si>
  <si>
    <t>Création des codeset BasicVerificationResultCodeset, ExtendedMessageNaturecodeset</t>
  </si>
  <si>
    <t>Création des champs additionalResponseData/accountNameRequestResult, additionalResponseData/phoneNumberVerificationResult, additionalResponseData/emailAddressVerificationResult, 
additionalResponseData/extendedMessageToInitatorNature, additionalResponseData/extendedMessageToInitatorInformation</t>
  </si>
  <si>
    <t>Création des codeset ThreeDSIndicatorCodeset, networkServiceCodeset, networkSubServiceCodeset, accountNameVerificationNatureCodeset</t>
  </si>
  <si>
    <t>Création des champ riskContext/traScore, threeDs/threeDsIndicator, transactionContext/serviceIndicator, merchant/schemeMerchantId, transactionDetails/schemeFeesAmount, transactionDetails/internal pricing, transactionContext/networkService, transactionContext/networkSubService, transactionContext/accountNameVerificationNature</t>
  </si>
  <si>
    <t>Modification des types des attributs keyOwner et additionalKeyIdentifier de la structure KeyC2PDescriptionType</t>
  </si>
  <si>
    <t>Le champ encryptedData est remplacé par le champ encryptedPinBlock</t>
  </si>
  <si>
    <t>Type des champs IssuerScriptTemplate1 et IssuerScriptTemplate2 modifié pour tenir compte du nombre de caratères en B64. Max171Bas64BinaryText à la place de Max128Base64Binary Text  (128 octets donnenet 171 caractères en Base64)</t>
  </si>
  <si>
    <t>Le champ threeProtocolVersion n'avait pas le même type dans la partie transaction et dans la partie original transaction.</t>
  </si>
  <si>
    <t>Corrections de traduction malheureuse ou de fautes de frappe : Tokenization (Tokenisation) Unbundling (Unbunding) extension(extention), reasonsForNotHounoringExemptions (reasonsforNothonoringExemptions), Language (Langage), protocol (protocole), cardholderVerificationMethod (cardholderVerficationMethod), tokenAuthenticationVerificationValue (tokenAuthentificationVerificationValue), forwardingInstitutionId (forwardindInstitutionId)</t>
  </si>
  <si>
    <t>Définition des regex pour IsoDateTime, IsoDate et IsoYearMonth</t>
  </si>
  <si>
    <t>Création des champs transactionContext.serviceIndicator, merchant.schemeMerchantId, transactionDetails.schemeFeesAmount, transactionDetails.internal pricing, Security.macValue, riskcontext.traScore</t>
  </si>
  <si>
    <t>Création du type structuré FeesType</t>
  </si>
  <si>
    <t>Modification du type structuré AmountType (ajout d'attributs)</t>
  </si>
  <si>
    <t>pinLengthCapabilities change de type et devient 4Or6NumericText, pattern modifié.</t>
  </si>
  <si>
    <t>transactionContext.electroniccommerceAuthentication change de type et devient un codeset. (ref 241112000041)</t>
  </si>
  <si>
    <t>Corrections de tous les pattern de l'onglet typologie.  Pas de pattern pour les string max car pas possible de définir un max. Utiliser les attributs minlength et maxlength</t>
  </si>
  <si>
    <t>M. Marghad</t>
  </si>
  <si>
    <t>Modification du type cardholder.phoneNumber et additionalresponsedata.phoneNumber</t>
  </si>
  <si>
    <t>Ajout du type PhoneNumberText</t>
  </si>
  <si>
    <t>Suppression de AdressLine1 et AddressLine2 du type structuré PostalAddressType</t>
  </si>
  <si>
    <t>Suppression des valeurs en trop (doublons) sur le codeset UUIDContainerCategoryCodeset</t>
  </si>
  <si>
    <t>Codeset TransactionNatureCodeset : Ajout de FIMA pour File Managment</t>
  </si>
  <si>
    <t>Précision sur le commentaire de l'attribut companyRegistrationNumberCategory qui indique le type et suppression du champ CIFO auquel il ne correspond pas, pour éviter les confusions avec l'attribut companyRegistrationNumber qui lui véhicule la valeur</t>
  </si>
  <si>
    <t>Création du champ additionalResponseData.issuerScriptTemplate2 de type Max128Base64BinaryText</t>
  </si>
  <si>
    <t>Création du champ additionalResponseData.issuerScriptTemplate1 de type Max128Base64BinaryText</t>
  </si>
  <si>
    <t>Ajout de type Max128Base64BinaryText</t>
  </si>
  <si>
    <t>Création du champ additionalResponseData.securityErrorNature de type SecurityErrorCodeset</t>
  </si>
  <si>
    <t>Ajout du codeset SecurityErrorCodeset</t>
  </si>
  <si>
    <t>Création du champ additionalResponseData.securityErrorField de type Exact3NumericText</t>
  </si>
  <si>
    <t>Création du champ additionalResponseData.phoneNumber de type PhoneNumberType</t>
  </si>
  <si>
    <t>Ajout du type structuré PhoneNumberType</t>
  </si>
  <si>
    <t>Création du champ additionalResponseData.addServiceReportData de type AddServiceReportDataCodeset</t>
  </si>
  <si>
    <t>Ajout du codeset AddServiceReportDataCodeset</t>
  </si>
  <si>
    <t>Création du champ additionalResponseData.addServiceReportId de type AddServiceReportIDCodeset</t>
  </si>
  <si>
    <t>Ajout du codeset AddServiceReportIDCodeset</t>
  </si>
  <si>
    <t>Création du champ additionalResponseData.networkEquipmentIdentifier de type Exact2Text</t>
  </si>
  <si>
    <t>Création du champ additionalResponseData.keyingMaterialSecurityData de type Exact1Text</t>
  </si>
  <si>
    <t>Création du champ transactionSecurity.keyingMaterialSecurityData de type Max255Base64BinaryText</t>
  </si>
  <si>
    <t>Ajout de type Max255Base64BinaryText</t>
  </si>
  <si>
    <t>Création du champ additionalResponseData.cardAuthenticationResultsCode de type VFNCodeset</t>
  </si>
  <si>
    <t>Création du champ additionalResponseData.expenseThreshold de type VFNCodeset</t>
  </si>
  <si>
    <t>Ajout du codeset VFNCodeset (VERI, FAIL, NOTP)</t>
  </si>
  <si>
    <t>Création du champ additionalResponseData.validationCode de type Exact4Text</t>
  </si>
  <si>
    <t>Ligne réf. 241112000081 : changement du nom de l'objet cardIssuerCountryCode en countryCode suite à l'analyse du champ CBAE 59_807</t>
  </si>
  <si>
    <t>Correction du champ mastercardmagstripeErrorCategory pour mettre le M à Magstripe =&gt; mastercardMagstripeErrorCategory</t>
  </si>
  <si>
    <t xml:space="preserve">Correction coquille suite à la création du AmountType : Ajout dans la colonne CIFO de l'ISO 4 pour transactionDetails.totalAmount </t>
  </si>
  <si>
    <t>Refs 241112000044 (firstNameMatchDecision), 241112000046 (fulltNameMatchDecision), 241112000049 (LastNameMatchDecision), 
241112000051 (MiddleNameMatchDecision), passent de l'objet Context / TransactionContext à l'objet TransactionResponse / AdditionalResponsedata</t>
  </si>
  <si>
    <t>Ref 241112000117 : Modification de type. Passe à Max8Text. Il semble que la définition CBAE 5.6 avec Codeset ne soit pas respectée et sans conséquence coté STET.</t>
  </si>
  <si>
    <t>Modification de la structure des onglets DICO_JV_export et DICO_JV_Complet</t>
  </si>
  <si>
    <t>25.02</t>
  </si>
  <si>
    <t>Enrichissement du codeset TransactionNature avec les valeurs du CB2A 1.6.5</t>
  </si>
  <si>
    <t>Ajout du type Max256Text</t>
  </si>
  <si>
    <t>Ajout du type Max45Text pour le embossedName</t>
  </si>
  <si>
    <t>Ajout du type Min12Max16Base64BinaryText pour le keySerialNumber</t>
  </si>
  <si>
    <t>kernelId (241112000007) Exact2Base64BinaryText au lieu de Exact7Base64BinaryText car b1</t>
  </si>
  <si>
    <t>applicationId (241112000074) La données CB2A correspondante (55-9F06) est b 5...16, ce qui correspond à min7max 22 en base 64</t>
  </si>
  <si>
    <t>Le champ mandatoryNetwork est obsolète et c'est le champ transactionContext.domainIndicator qui doit être utilisé.</t>
  </si>
  <si>
    <t>Creation du champ transactionContext.domainIndicator de type DomaineIndicatorCodeset</t>
  </si>
  <si>
    <t>ajout du Exact8AlphaNumericText dans la typologie pour l'objet terminalIdsa</t>
  </si>
  <si>
    <t>ISODateTime en double dans Typologie. Suppression d'un des arguments</t>
  </si>
  <si>
    <t>correction de CodeSet AddressCategory par AddressCategoryCodeset dans l'onglet Types Structures</t>
  </si>
  <si>
    <t>suppression de responseReason créé pour répondre au besoin de wero suite à l'arbitrage du 14/01</t>
  </si>
  <si>
    <t>suppression de responseNature créé pour répondre au besoin de wero suite à l'arbitrage du 14/01</t>
  </si>
  <si>
    <t>suppression de responseStatus créé pour répondre au besoin de wero suite à l'arbitrage du 14/01</t>
  </si>
  <si>
    <t>25.01</t>
  </si>
  <si>
    <t xml:space="preserve">Ajustement des noms et types de certains champs </t>
  </si>
  <si>
    <t>Suppression de pinData. Les sous objets prennet son rang</t>
  </si>
  <si>
    <t>Ajout des valeurs provisoires wero du codeset pour ResponseStatusCodeset</t>
  </si>
  <si>
    <t>3DS est rejeté dans le xsd. Passage à threeDs</t>
  </si>
  <si>
    <t>Changement de type de additionalAmount, billingAmount, totalAmount, processorCardData, processorIssuerData</t>
  </si>
  <si>
    <t>Creation des structures pinDataType, processorCardDataType, processorIssuerDataType et amountType</t>
  </si>
  <si>
    <t xml:space="preserve">Pour l'adhérence avec l'outil de génération automatique Typologie.xsd, le nommage du type "Text" passe à "String", "Quantity" et "Amount" à "Digital" et "Indicator" à "Boolean" </t>
  </si>
  <si>
    <t>Context.verificationValue.pinData.pinBlockFormat passe à Context.transactionContext.pinData.pinBlockFormat</t>
  </si>
  <si>
    <t>ajout de la proposition des données SMHSM</t>
  </si>
  <si>
    <t>création de l'onglet Header_Fonctionnel en annexe. Il sera traité dans un fichier xsd qui lui sera entièrement propre</t>
  </si>
  <si>
    <t>création de l'onglet DICO_JV_XSD pour automatiser la création des XSD</t>
  </si>
  <si>
    <t>Le Type Base64Binary passe à Text</t>
  </si>
  <si>
    <t>Introduction de TransactionResponse.response.responseNature et des valeurs provisoires du codeset pour wero</t>
  </si>
  <si>
    <t>cardholder.localCode devient cardholder.localLangageCode</t>
  </si>
  <si>
    <t>cardholder.phone devient cardholder.phoneNumber</t>
  </si>
  <si>
    <t>ISOYearMonthDay est remplacé par ISODate dans tout le dictionnaire</t>
  </si>
  <si>
    <t>Ajout du codeset ModifiedElectronicCommerceAuthentification</t>
  </si>
  <si>
    <t>L'objet magstripeErrorType correspondant au 241112000241 se nomme désormais magstripeErrorCategory</t>
  </si>
  <si>
    <t>v25.01</t>
  </si>
  <si>
    <t>L'objet addressType devient addressCategory</t>
  </si>
  <si>
    <t>v24.04</t>
  </si>
  <si>
    <t xml:space="preserve">Suppression de la colonne de controle "valid?"
Insertion de la colonne de clé "Référence - Champ calculé" pour effectuer si besoin des comparaisons entre versions du fichier
Uniformisation de la typologie de l'objet cardholderAuthenticationMethod répété deux fois pour des champs cifo différents </t>
  </si>
  <si>
    <t>v24.04
v241113</t>
  </si>
  <si>
    <t xml:space="preserve">Passage de la valeur du Minlength à 0 pour tous les types Max..Text car à 1, l'objet sera considéré comme obligatoire avec une valeur
Reformulation du Header en dissociant le technique du fonctionnel et suppression du technique dans le dictionnaire (header technique géré par Framework)
Réorganisation des objets dans les segments suite aux remarques de Philippe Mermoud
Remise en cause du type "Exact1NumericText" 
Fusionner les 2 Code Set "Brand" et "CarteBrandApplied" en 1 seul "Brand"
</t>
  </si>
  <si>
    <t>V24.03
v241017</t>
  </si>
  <si>
    <t>Arnold VOUNKI</t>
  </si>
  <si>
    <t xml:space="preserve"> Suppression des patterns [0-9A-Za-z*] pour un champ vide signifiant sans restrictions
Création de l'objet correlationId (Max35AlphaNumericText) qui englobe le T023, T024 et ISO 11
Création de l'onglet Date_and_Time_Data_Types pour définir les patterns concernés
Changement de 3DSProtocolVersion en ThreeDSProtocolVersion dans la typologie car le 3 est considéré comme invalide en xml dans le nom d'une balise xs : simpleType
Abandon du format ISOYearMonthDayShort car inexistant au profit de l'existant ISOYearMonthDay
Nouveau format de typologie pour le TrueFalseIndicator et YesNoIndicator. Passage au boolean pour le rendre conforme à l'ISO 20022 ainsi qu'aux recommandations pour le XML/XSD
</t>
  </si>
  <si>
    <t>V24.03
v241008</t>
  </si>
  <si>
    <t>Bruno PORCHER-GUINET</t>
  </si>
  <si>
    <t>Dans ProcessorCardDataType, card devient cardUsage et CardType, CardUsageType 
Dans ProcessorIssuerDataType, issuerType devient issuerPlace et son type, IssuerPlaceType
Correction sémantique : extendednominalRoute devient extensionNominalRoute
Correction sémantique : extendeddualRoute devient extensionDualRoute
Dans TransactionDetailsType, accountFromType devient accountFromUsage, accountToType devient accountToUsage et AccountType devient AccountUsageType</t>
  </si>
  <si>
    <t>V24.02
v241003</t>
  </si>
  <si>
    <t>Rajout des objets Click2Pay (encryptedPan, firstName, middleName, lastName, billingAddress, embossedName, localCode, CountryCode, ApiResponse)
Passage au Base64 pour tous les types binaires</t>
  </si>
  <si>
    <t>V24.01
V240830</t>
  </si>
  <si>
    <t>Modification du libellé et type de la ligne 222
Remplacement du terme strongAuthentication par multifactorauthentification à la ligne 22
Rectification du libellé (ajout de status) à la ligne 143
Rajout de l'onglet Histo</t>
  </si>
  <si>
    <t>Champs calculés à partir de DICO_COMPLET</t>
  </si>
  <si>
    <t>Référence</t>
  </si>
  <si>
    <t>O/N</t>
  </si>
  <si>
    <t>Segment
Message</t>
  </si>
  <si>
    <t>Object</t>
  </si>
  <si>
    <t>Attribute</t>
  </si>
  <si>
    <t>Type</t>
  </si>
  <si>
    <t>MinO</t>
  </si>
  <si>
    <t>MaxO</t>
  </si>
  <si>
    <t>Obsoletes</t>
  </si>
  <si>
    <t>Libellé</t>
  </si>
  <si>
    <t>CIFO</t>
  </si>
  <si>
    <t>CBAE</t>
  </si>
  <si>
    <t>CB2AF</t>
  </si>
  <si>
    <t>CB2A</t>
  </si>
  <si>
    <t>VISA</t>
  </si>
  <si>
    <t>MCD</t>
  </si>
  <si>
    <t>Mainframe</t>
  </si>
  <si>
    <t>.</t>
  </si>
  <si>
    <t>O</t>
  </si>
  <si>
    <t>N/A</t>
  </si>
  <si>
    <t>N/A2</t>
  </si>
  <si>
    <t>N/A3</t>
  </si>
  <si>
    <t>Obsolète</t>
  </si>
  <si>
    <t>Commentaire</t>
  </si>
  <si>
    <t xml:space="preserve">VISA </t>
  </si>
  <si>
    <t>temp_ Data</t>
  </si>
  <si>
    <t>Demander PAR</t>
  </si>
  <si>
    <t>XXX</t>
  </si>
  <si>
    <t>ApiResponse</t>
  </si>
  <si>
    <t>error</t>
  </si>
  <si>
    <t>code</t>
  </si>
  <si>
    <t>Max20Text</t>
  </si>
  <si>
    <t>developerText</t>
  </si>
  <si>
    <t>Max70Text</t>
  </si>
  <si>
    <t>a text that explains the possible reason(s) of the error, and the possible corrections</t>
  </si>
  <si>
    <t>moreInfo</t>
  </si>
  <si>
    <t>Max256Text</t>
  </si>
  <si>
    <t>URI to documents</t>
  </si>
  <si>
    <t>text</t>
  </si>
  <si>
    <t>Max40Text</t>
  </si>
  <si>
    <t>short text that explains the error in a language that is useful for 
the end-user of the service</t>
  </si>
  <si>
    <t>httpStatus</t>
  </si>
  <si>
    <t>httpCode</t>
  </si>
  <si>
    <t>Exact3NumericText</t>
  </si>
  <si>
    <t>Status code http</t>
  </si>
  <si>
    <t>requestId</t>
  </si>
  <si>
    <t>Max36NumericText</t>
  </si>
  <si>
    <t>Unique ID of API response</t>
  </si>
  <si>
    <t>Context</t>
  </si>
  <si>
    <t>cardContext</t>
  </si>
  <si>
    <t>acquiringChannel</t>
  </si>
  <si>
    <t>AcquiringChannelCodeset</t>
  </si>
  <si>
    <t>Indicates through which channel the action is triggered</t>
  </si>
  <si>
    <t>actionOnCard</t>
  </si>
  <si>
    <t>ActivationCardCodeset</t>
  </si>
  <si>
    <t>Action on card during transaction (activated, desactivated)</t>
  </si>
  <si>
    <t>Activated, Desactivated or Nothing</t>
  </si>
  <si>
    <t>AUT358/
AUT359</t>
  </si>
  <si>
    <t>activationCodeForNoShowInvoice</t>
  </si>
  <si>
    <t>Exact1AlphaNumericText</t>
  </si>
  <si>
    <t>Activation code for no-show invoice</t>
  </si>
  <si>
    <t>72_DF07 part 14</t>
  </si>
  <si>
    <t>activCodePLBSInvoiceRemoteModeOrPreAuthProlongTransaction</t>
  </si>
  <si>
    <t>Activation code for invoice for the reservation and rental of goods or services in remote mode</t>
  </si>
  <si>
    <t>additionalInvoiceActivationCode</t>
  </si>
  <si>
    <t>Additional invoice activation code</t>
  </si>
  <si>
    <t>72_DF07 part 13</t>
  </si>
  <si>
    <t>blockingReasonCode</t>
  </si>
  <si>
    <t>BlockingReasonCodeset</t>
  </si>
  <si>
    <t>blockingRegulatoryReasonCode</t>
  </si>
  <si>
    <t>BlockingRegulatoryReasonCodeset</t>
  </si>
  <si>
    <t>contactlessActionCode</t>
  </si>
  <si>
    <t>TrueFalseIndicator</t>
  </si>
  <si>
    <t>Indicates if the contaclless feature is to be activated</t>
  </si>
  <si>
    <t>contactlessActivationChoiceCode</t>
  </si>
  <si>
    <t>ContactlessActivationChoiceCodeset</t>
  </si>
  <si>
    <t>Choix activation du sans contact</t>
  </si>
  <si>
    <t>forcingAuthorised</t>
  </si>
  <si>
    <t>Forcing Authorised</t>
  </si>
  <si>
    <t>lockingActionCode</t>
  </si>
  <si>
    <t>indicates if the contract is blocked or not</t>
  </si>
  <si>
    <t>lockingReasonCode</t>
  </si>
  <si>
    <t>LockingReasonCodeset</t>
  </si>
  <si>
    <t>maximumLengthOfPAN</t>
  </si>
  <si>
    <t>Max2AlphaNumericText</t>
  </si>
  <si>
    <t>Maximum length of cardholder PAN</t>
  </si>
  <si>
    <t>72_DF07 part 3</t>
  </si>
  <si>
    <t>minimumLengthOfPAN</t>
  </si>
  <si>
    <t>Minimum length of cardholder PAN</t>
  </si>
  <si>
    <t>72_DF07 part 2</t>
  </si>
  <si>
    <t>newSecretCodeIndicator</t>
  </si>
  <si>
    <t>pinEntryTimer</t>
  </si>
  <si>
    <t>Exact2AlphaNumericText</t>
  </si>
  <si>
    <t>PIN entry timer</t>
  </si>
  <si>
    <t>72_DF07 part 4</t>
  </si>
  <si>
    <t>processingModeForNSCardApplicationCurrency</t>
  </si>
  <si>
    <t xml:space="preserve">Processing mode for non-supported card application currency </t>
  </si>
  <si>
    <t>72_DF07 part 6</t>
  </si>
  <si>
    <t>remanufacturingIndicator</t>
  </si>
  <si>
    <t>secretCodeChoiceIndicator</t>
  </si>
  <si>
    <t xml:space="preserve">Indicateur du nouveaux code secret </t>
  </si>
  <si>
    <t>secretCodeKnownIndicator</t>
  </si>
  <si>
    <t>Indicates if the secret code is known by the illegitimate holder of the card</t>
  </si>
  <si>
    <t>semanticCheckIndicator</t>
  </si>
  <si>
    <t>Indicates if the action is a check or real action on card (Card activation)</t>
  </si>
  <si>
    <t>temp_applicationAIDLength</t>
  </si>
  <si>
    <t>Exact2NumericText</t>
  </si>
  <si>
    <t>Application AID length</t>
  </si>
  <si>
    <t>72_DF8B part 2</t>
  </si>
  <si>
    <t>OUI</t>
  </si>
  <si>
    <t>temp_cardProductLength</t>
  </si>
  <si>
    <t>Exact1HexBinaryText</t>
  </si>
  <si>
    <t>Card product length</t>
  </si>
  <si>
    <t>72_DF49 part 3</t>
  </si>
  <si>
    <t>temp_cardProductValue</t>
  </si>
  <si>
    <t>Max5HexBinaryText</t>
  </si>
  <si>
    <t>Card product value</t>
  </si>
  <si>
    <t>72_DF49 part 4</t>
  </si>
  <si>
    <t>temp_cVMSupported</t>
  </si>
  <si>
    <t>CVM supported</t>
  </si>
  <si>
    <t>72_DF89 part 1</t>
  </si>
  <si>
    <t>temp_cVMSupportedNoCvmRequired</t>
  </si>
  <si>
    <t xml:space="preserve">CVM supported – No CVM Required </t>
  </si>
  <si>
    <t>72_DFA9 part 5</t>
  </si>
  <si>
    <t>temp_defaultEMVDolsForAnEMVCardApplication</t>
  </si>
  <si>
    <t>DefaultEMVDolsForAnEMVCardApplicationCodeset</t>
  </si>
  <si>
    <t>DOL type</t>
  </si>
  <si>
    <t>72_DF1A part 3</t>
  </si>
  <si>
    <t>temp_noOnDeviceCvm</t>
  </si>
  <si>
    <t>Exact12NumericText</t>
  </si>
  <si>
    <t>Reader Contactless Transaction limit (No On-Device CVM)</t>
  </si>
  <si>
    <t>72_DF88 part 6</t>
  </si>
  <si>
    <t>temp_onDeviceCvm</t>
  </si>
  <si>
    <t>Reader Contactless Transaction limit (On-Device CVM)</t>
  </si>
  <si>
    <t>72_DF88 part 7</t>
  </si>
  <si>
    <t>temp_readerContactlessFloorLimit</t>
  </si>
  <si>
    <t>Reader Contactless Floor limit</t>
  </si>
  <si>
    <t>72_DF88 part 3</t>
  </si>
  <si>
    <t>temp_readerContactlessTransactionLimit</t>
  </si>
  <si>
    <t>Reader Contactless Transaction limit</t>
  </si>
  <si>
    <t>72_DF88 part 5</t>
  </si>
  <si>
    <t>temp_readerCvmRequiredLimit</t>
  </si>
  <si>
    <t>Reader CVM Required Limit</t>
  </si>
  <si>
    <t>72_DF88 part 4</t>
  </si>
  <si>
    <t>temp_statusCheckSupportFlag</t>
  </si>
  <si>
    <t>Status check support flag</t>
  </si>
  <si>
    <t>72_DF89 part 2</t>
  </si>
  <si>
    <t>temp_terminalFloorLimit</t>
  </si>
  <si>
    <t>Terminal Floor limit</t>
  </si>
  <si>
    <t>72_DF88 part 2</t>
  </si>
  <si>
    <t>temp_typeOfKernelTransaction</t>
  </si>
  <si>
    <t>temp_typeOfKernelTransactionCodeset</t>
  </si>
  <si>
    <t>Type of kernel transaction</t>
  </si>
  <si>
    <t>72_DF87 part 4</t>
  </si>
  <si>
    <t>temp_zeroAmountAllowedSupportFlag</t>
  </si>
  <si>
    <t>Zero amount allowed support flag</t>
  </si>
  <si>
    <t>72_DF89 part 3</t>
  </si>
  <si>
    <t>temp_zeroAmountForOfflineAllowedFlag</t>
  </si>
  <si>
    <t>Zero amount for offline allowed flag</t>
  </si>
  <si>
    <t xml:space="preserve">72_DFA9 part 6  </t>
  </si>
  <si>
    <t>typeOfAuthorisationRequestTrigger</t>
  </si>
  <si>
    <t>Type of authorisation request trigger</t>
  </si>
  <si>
    <t>urgentManufacturingIndicator</t>
  </si>
  <si>
    <t>Indicateur personnalisation urgente</t>
  </si>
  <si>
    <t>merchantParameters</t>
  </si>
  <si>
    <t>acquiringAllowedServices</t>
  </si>
  <si>
    <t>AcquiringAllowedServicesCodeset</t>
  </si>
  <si>
    <t>authorised front services</t>
  </si>
  <si>
    <t>additionalInvoiceIndicator</t>
  </si>
  <si>
    <t>Indicate if the merchant can do additional invoices</t>
  </si>
  <si>
    <t>addressUse</t>
  </si>
  <si>
    <t>AddressUseCodeset</t>
  </si>
  <si>
    <t>Address use cases</t>
  </si>
  <si>
    <t>authorisationFloorLimit</t>
  </si>
  <si>
    <t>AmountType</t>
  </si>
  <si>
    <t>Indicate the floor limite an online authorisation has to be done.(Use AmountType structure and Amount attribute)</t>
  </si>
  <si>
    <t>authorisationForcingIndicator</t>
  </si>
  <si>
    <t>Indicate if the authorisation can be forced or not</t>
  </si>
  <si>
    <t>authorisedDuplicatedTransactions</t>
  </si>
  <si>
    <t>Max4NumericText</t>
  </si>
  <si>
    <t>Number of authorised duplicated transactions</t>
  </si>
  <si>
    <t>bigAmountControlIndicator</t>
  </si>
  <si>
    <t>Incation whether the merchant transactions needs to be checked when it is higher than an amount</t>
  </si>
  <si>
    <t>blacklistDistributionIndicator</t>
  </si>
  <si>
    <t>Blacklist distribution indicator</t>
  </si>
  <si>
    <t>blacklistDistributionRegions</t>
  </si>
  <si>
    <t>BlacklistDistributionRegionsCodeset</t>
  </si>
  <si>
    <t>Blacklist distribution regions</t>
  </si>
  <si>
    <t>businessGroupingIdentifier</t>
  </si>
  <si>
    <t>Max35Text</t>
  </si>
  <si>
    <t>Business grouping identifier</t>
  </si>
  <si>
    <t>cardBlockingListDistributionIndicator</t>
  </si>
  <si>
    <t>Card blocking distribution Indicator</t>
  </si>
  <si>
    <t>chainingCode</t>
  </si>
  <si>
    <t>Max10Text</t>
  </si>
  <si>
    <t>Chaining code</t>
  </si>
  <si>
    <t>contactlessCreditIndicator</t>
  </si>
  <si>
    <t>Indicate if the merchant can do contactless credit (open payment)</t>
  </si>
  <si>
    <t>contractCategory</t>
  </si>
  <si>
    <t>ContractCategoryCodeset</t>
  </si>
  <si>
    <t>Merchant contract Type :
CB / DC (Dynamic Currency Conversion) / CP (China Union Pay) / DF
DFS) / JC (Japan Credit Bureau)</t>
  </si>
  <si>
    <t>contractProductCode</t>
  </si>
  <si>
    <t>Max6Text</t>
  </si>
  <si>
    <t>Code du produit carte</t>
  </si>
  <si>
    <t>creditGroupingIndicator</t>
  </si>
  <si>
    <t>Credit groupig indicator</t>
  </si>
  <si>
    <t>creditIndicator</t>
  </si>
  <si>
    <t>Indicate if credit is authorised</t>
  </si>
  <si>
    <t>defferedClearingIndicator</t>
  </si>
  <si>
    <t>Indicate if the merchant can deffer the clearing of transactions (open payment)</t>
  </si>
  <si>
    <t>duplicatedTransactionControlIndicator</t>
  </si>
  <si>
    <t>Indicator for duplicated transactions check</t>
  </si>
  <si>
    <t>dynamicLineIndicator</t>
  </si>
  <si>
    <t>Indicator Ligne Plaque Dynamique</t>
  </si>
  <si>
    <t>feesCumulLevel</t>
  </si>
  <si>
    <t>FeesCumulLevelCodeset</t>
  </si>
  <si>
    <t>Fees Cumul Level</t>
  </si>
  <si>
    <t>feesDebitPeriod</t>
  </si>
  <si>
    <t>Max10AlphaNumericText</t>
  </si>
  <si>
    <t>Period frequency of fees debit</t>
  </si>
  <si>
    <t>feesDeferredDebitIndicator</t>
  </si>
  <si>
    <t>Indication whether the merchant has opted for a debit corresponding to the daily remittance, without soustracting the fees</t>
  </si>
  <si>
    <t>forbiddenCardProduct</t>
  </si>
  <si>
    <t>ForbiddenCardProductCodeset</t>
  </si>
  <si>
    <t>Non-authorised card products</t>
  </si>
  <si>
    <t>fraudReportingIndicator</t>
  </si>
  <si>
    <t>Fraud reporting indicator</t>
  </si>
  <si>
    <t>genericMidControl</t>
  </si>
  <si>
    <t>GenericMidControlCodeset</t>
  </si>
  <si>
    <t>How control is done on MID</t>
  </si>
  <si>
    <r>
      <t>government</t>
    </r>
    <r>
      <rPr>
        <sz val="11"/>
        <rFont val="Aptos Narrow"/>
        <family val="2"/>
      </rPr>
      <t>ControlCountryCode</t>
    </r>
  </si>
  <si>
    <t>ISO3NumericCountryCode</t>
  </si>
  <si>
    <t>government country code</t>
  </si>
  <si>
    <t>governmentControlIndicator</t>
  </si>
  <si>
    <t>Government control indicator</t>
  </si>
  <si>
    <t>grossAmountIndicator</t>
  </si>
  <si>
    <t>Indication whether the merchant has subscribed to the monthly billing of the acquring fees</t>
  </si>
  <si>
    <t>ibanUse</t>
  </si>
  <si>
    <t>IbanUseCodeset</t>
  </si>
  <si>
    <t>How iban is used</t>
  </si>
  <si>
    <t>informationRequestIndicator</t>
  </si>
  <si>
    <t>Indicate if the merchant can do information requests</t>
  </si>
  <si>
    <t>mainGroupingIdentifier</t>
  </si>
  <si>
    <t xml:space="preserve">Identifiant de regroupement principal
Main grouping identifier
</t>
  </si>
  <si>
    <t>maximumAuthorisedAmount</t>
  </si>
  <si>
    <t>Indicate the maximum amount the merchant is authorised to sell</t>
  </si>
  <si>
    <t>maximumAuthorisedCredit</t>
  </si>
  <si>
    <t>Credit maximum authorised amount and currency</t>
  </si>
  <si>
    <t>maximumAuthorisedDebit</t>
  </si>
  <si>
    <t>Debit maximum authorised amount and currency</t>
  </si>
  <si>
    <t>merchantCreditCalculationDate</t>
  </si>
  <si>
    <t>MerchantCreditCalculationDateCodeset</t>
  </si>
  <si>
    <t>Merchant credit calculation date</t>
  </si>
  <si>
    <t>merchantFeesAccounting</t>
  </si>
  <si>
    <t>MerchantFeesAccountingCodeset</t>
  </si>
  <si>
    <t>Merchant fees accounting frequency</t>
  </si>
  <si>
    <t>merchantSchemeChoice</t>
  </si>
  <si>
    <t>BrandCodeset</t>
  </si>
  <si>
    <t>Switch preferences</t>
  </si>
  <si>
    <t>noShowIndicator</t>
  </si>
  <si>
    <t>No show Indicator</t>
  </si>
  <si>
    <t>panTruncationIndicator</t>
  </si>
  <si>
    <t>Indicate if the merchant can use truncated PAN</t>
  </si>
  <si>
    <t>partialAuthorisationIndicator</t>
  </si>
  <si>
    <t xml:space="preserve">Indicate if the merchant can do partial authorisations </t>
  </si>
  <si>
    <t>paymentFacilitatorIndicator</t>
  </si>
  <si>
    <t>Payment facilitator indicator</t>
  </si>
  <si>
    <t>paymentGatewayId</t>
  </si>
  <si>
    <t>Exact11Text</t>
  </si>
  <si>
    <t>Gateway payment identifier</t>
  </si>
  <si>
    <t>119-0204</t>
  </si>
  <si>
    <t>paymentProtocolCategory</t>
  </si>
  <si>
    <t>PaymentProtocolCategoryCodeset</t>
  </si>
  <si>
    <t>Payment protocol category</t>
  </si>
  <si>
    <t>paymentProtocolVersion</t>
  </si>
  <si>
    <t>PaymentProtocolVersionCodeset</t>
  </si>
  <si>
    <t>Payment protocol version</t>
  </si>
  <si>
    <t>paymentRiskProfile</t>
  </si>
  <si>
    <t>Exact3Text</t>
  </si>
  <si>
    <t>Payment risk profile</t>
  </si>
  <si>
    <t>postingCalendar</t>
  </si>
  <si>
    <t>PostingCalendarCodeset</t>
  </si>
  <si>
    <t>Posting based on calendar</t>
  </si>
  <si>
    <t>recurringFeesDebitIndicator</t>
  </si>
  <si>
    <t>Indicator if fees debit recurrence is authorised</t>
  </si>
  <si>
    <t>remittanceReceptionCutOff</t>
  </si>
  <si>
    <t>Max6NumericText</t>
  </si>
  <si>
    <t xml:space="preserve">Remittance reception Limit hour </t>
  </si>
  <si>
    <t>secundaryGroupingIdentifier</t>
  </si>
  <si>
    <t>Identifiant de regroupement secondaire
Secondary grouping identifier</t>
  </si>
  <si>
    <t>singleTapIndicator</t>
  </si>
  <si>
    <t>Indicate if the merchant can use single tap service</t>
  </si>
  <si>
    <t>statementIndicator</t>
  </si>
  <si>
    <t>Indication whether the merchant get the option to periodic numeric statement reports</t>
  </si>
  <si>
    <t>telecomIndicator</t>
  </si>
  <si>
    <t>Exact2Text</t>
  </si>
  <si>
    <t>Telecom Indicator</t>
  </si>
  <si>
    <t>temp_alphabeticCodeOfCurrency1</t>
  </si>
  <si>
    <t>ISO3AlphabeticCurrencyCode</t>
  </si>
  <si>
    <t>Alphabetic code of currency 1</t>
  </si>
  <si>
    <t>72_DF01 part 2</t>
  </si>
  <si>
    <t>temp_commissionProcessingLevelCode</t>
  </si>
  <si>
    <t>temp_commissionProcessingLevelCodeCodeset</t>
  </si>
  <si>
    <t xml:space="preserve">level of processing comission </t>
  </si>
  <si>
    <t>CNIVCU</t>
  </si>
  <si>
    <t>PRECOMP-PC21</t>
  </si>
  <si>
    <t>temp_conversionRate</t>
  </si>
  <si>
    <t>PercentageRate</t>
  </si>
  <si>
    <t>Conversion rate</t>
  </si>
  <si>
    <t>72_DF01 part 8</t>
  </si>
  <si>
    <t>temp_genericMerchandIdCheckCode</t>
  </si>
  <si>
    <t>temp_genericMerchandIdCheckCodeset</t>
  </si>
  <si>
    <t>Generic merchant id check code</t>
  </si>
  <si>
    <t>CEMIDG</t>
  </si>
  <si>
    <t>temp_languageAbbreviation</t>
  </si>
  <si>
    <t>ISOMax3ALanguageCode</t>
  </si>
  <si>
    <t>language Abbreviation</t>
  </si>
  <si>
    <t>72_DF02 part 2</t>
  </si>
  <si>
    <t>temp_parametersPANEntryModeForDualApplication</t>
  </si>
  <si>
    <t>Parameters, PAN entry mode for dual application</t>
  </si>
  <si>
    <t>72_DF29</t>
  </si>
  <si>
    <t>temp_signOfTimeDifference</t>
  </si>
  <si>
    <t>temp_signOfTimeDifferenceCodeset</t>
  </si>
  <si>
    <t>Sign of time difference</t>
  </si>
  <si>
    <t>72_DF09 part 4</t>
  </si>
  <si>
    <t>temp_targetPercentageForRandomSelection</t>
  </si>
  <si>
    <t xml:space="preserve">Target percentage for random selection </t>
  </si>
  <si>
    <t>72_DF08</t>
  </si>
  <si>
    <t>ticketPrintedMessage</t>
  </si>
  <si>
    <t>Indicate the message to print on the ticket (cardholder or merchant)</t>
  </si>
  <si>
    <t>ticketPrintIndicator</t>
  </si>
  <si>
    <t>Indicator of the choice of ticket printing</t>
  </si>
  <si>
    <t>transactionNumericStatementIndicator</t>
  </si>
  <si>
    <t>Transaction numeric statement indicator</t>
  </si>
  <si>
    <t>transactionPaperStatementIndicator</t>
  </si>
  <si>
    <t>Transaction paper statement indicator</t>
  </si>
  <si>
    <t>visaVerificationIndicator</t>
  </si>
  <si>
    <t>Indicator if Visa Verification is to process</t>
  </si>
  <si>
    <t>whiteListeDistributionIndicator</t>
  </si>
  <si>
    <t>Indicate if the whitelist has to be transmitted (open payment)</t>
  </si>
  <si>
    <t>pointOfServiceContext</t>
  </si>
  <si>
    <t>acceptanceSystemCurrentConnectingMode</t>
  </si>
  <si>
    <t>AcceptanceSystemCurrentConnectingModeCodeset</t>
  </si>
  <si>
    <t>ACCEPTANCE SYSTEM CURRENT CONNECTING MODE</t>
  </si>
  <si>
    <t>46_DF65</t>
  </si>
  <si>
    <t>contactlessApplicationIndicator</t>
  </si>
  <si>
    <t>Contactless application is active or not</t>
  </si>
  <si>
    <t>47-30</t>
  </si>
  <si>
    <t>47_30</t>
  </si>
  <si>
    <t>digitalCommerceCheckinEntity</t>
  </si>
  <si>
    <t>Max15Text</t>
  </si>
  <si>
    <t>Digital Commerce Check-In Entity Type and Name</t>
  </si>
  <si>
    <t>[112-0205-p3]</t>
  </si>
  <si>
    <t>DE 48 SE 48 SF 03</t>
  </si>
  <si>
    <t>digitalCommerceCheckinMethod</t>
  </si>
  <si>
    <t>Digital Commerce Check-In Method</t>
  </si>
  <si>
    <t>[112-0205-p4]</t>
  </si>
  <si>
    <t>DE 48 SE 48 SF 04</t>
  </si>
  <si>
    <t>digitalCommerceDomainId</t>
  </si>
  <si>
    <t>DigitalCommerceDomainIdCodeset</t>
  </si>
  <si>
    <t>Digital Commerce Domain Identifier</t>
  </si>
  <si>
    <t>identifies the entity responsible for
 populating the digital commerce solutions</t>
  </si>
  <si>
    <t>[112-0205-p1]</t>
  </si>
  <si>
    <t>DE 48 SE 48 SF 01</t>
  </si>
  <si>
    <t>digitalCommerceProgram</t>
  </si>
  <si>
    <t>DigitalCommerceProgramCodeset</t>
  </si>
  <si>
    <t>Digital Commerce Program Type</t>
  </si>
  <si>
    <t>DE 48 SE 48 SF 02</t>
  </si>
  <si>
    <t>inputCapabilities</t>
  </si>
  <si>
    <t>Exact4Text</t>
  </si>
  <si>
    <t>input capabilities of pos</t>
  </si>
  <si>
    <t>119_1003</t>
  </si>
  <si>
    <t>merchantSchemeTokenizationIndicator</t>
  </si>
  <si>
    <t>MerchantSchemeTokenizationIndicatorCodeset</t>
  </si>
  <si>
    <t>Merchant scheme tokenisation indicator</t>
  </si>
  <si>
    <t>RSB119_0001</t>
  </si>
  <si>
    <t>[119-0001]</t>
  </si>
  <si>
    <t>nameOfTheMessageDisplayedOrPrinted</t>
  </si>
  <si>
    <t>Max40AlphaNumericText</t>
  </si>
  <si>
    <t>Name of the message displayed or printed</t>
  </si>
  <si>
    <t>72_DF03 part 4</t>
  </si>
  <si>
    <t>numberOfTheMessageDisplayedOrPrinted</t>
  </si>
  <si>
    <t>Max2NumericText</t>
  </si>
  <si>
    <t>Number of the message displayed or printed</t>
  </si>
  <si>
    <t>72_DF03 part 3</t>
  </si>
  <si>
    <t>pinEntryCapability</t>
  </si>
  <si>
    <t>PinEntryCapabilityCodeset</t>
  </si>
  <si>
    <t>Pin Entry Capability</t>
  </si>
  <si>
    <t>ISO22_p2</t>
  </si>
  <si>
    <t>[22-p2]</t>
  </si>
  <si>
    <t>printCapabilities</t>
  </si>
  <si>
    <t>Max100Text</t>
  </si>
  <si>
    <t>print capabilities of pos</t>
  </si>
  <si>
    <t>119_1004</t>
  </si>
  <si>
    <t>temp_acquiringInstitutionIdentificationCode</t>
  </si>
  <si>
    <t>Exact11NumericText</t>
  </si>
  <si>
    <t>Acquiring institution identification code</t>
  </si>
  <si>
    <t>72_DF44 Part 2</t>
  </si>
  <si>
    <t>temp_aID</t>
  </si>
  <si>
    <t>Min5Max16HexBinaryText</t>
  </si>
  <si>
    <t xml:space="preserve">AID </t>
  </si>
  <si>
    <t>72_DF98 part 3</t>
  </si>
  <si>
    <t>temp_applicationsManagerPublisherCode</t>
  </si>
  <si>
    <t>Applications manager publisher code</t>
  </si>
  <si>
    <t>614_46 DF67 part 3</t>
  </si>
  <si>
    <t>temp_applicationsManagerSoftwareVersionNumber</t>
  </si>
  <si>
    <t>Applications manager software version number</t>
  </si>
  <si>
    <t>614_46 DF67 part 2</t>
  </si>
  <si>
    <t>temp_applicationSoftwarePublisherCode</t>
  </si>
  <si>
    <t>Application software publisher code _</t>
  </si>
  <si>
    <t>614_46 DF67 part 1</t>
  </si>
  <si>
    <t>temp_appliedRestriction</t>
  </si>
  <si>
    <t>temp_appliedRestrictionCodeset</t>
  </si>
  <si>
    <t>Applied restrictions</t>
  </si>
  <si>
    <t>814_46 DF 57</t>
  </si>
  <si>
    <t>temp_aslternateServiceName</t>
  </si>
  <si>
    <t>Exact16Text</t>
  </si>
  <si>
    <t>Alternate service name</t>
  </si>
  <si>
    <t>72_DF50 part 2</t>
  </si>
  <si>
    <t>temp_bitmapOfTheCardAcceptorConnectionCapabilites</t>
  </si>
  <si>
    <t>temp_bitmapOfTheCardAcceptorConnectionCapabilitesCodeset</t>
  </si>
  <si>
    <t>Bitmap of the card acceptor connection capability</t>
  </si>
  <si>
    <t>814_46 DF 55 part 1</t>
  </si>
  <si>
    <t>temp_bitmapOfTheCardacceptorEntryCapabilites</t>
  </si>
  <si>
    <t>temp_bitmapOfTheCardacceptorEntryCapabilitesCodeset</t>
  </si>
  <si>
    <t>Bitmap of the card acceptor entry capability</t>
  </si>
  <si>
    <t>814_46 DF 55 part 2</t>
  </si>
  <si>
    <t>temp_bitmapOfThePOIEntryCapability</t>
  </si>
  <si>
    <t>temp_bitmapOfThePOIEntryCapabilityCodeset</t>
  </si>
  <si>
    <t>Bitmap of the POI entry capability</t>
  </si>
  <si>
    <t>814_46 DF 56 part 1</t>
  </si>
  <si>
    <t>temp_callApprovalMode</t>
  </si>
  <si>
    <t>temp_callApprovalModeCodeset</t>
  </si>
  <si>
    <t>Approval mode</t>
  </si>
  <si>
    <t>72_DF24 part 2</t>
  </si>
  <si>
    <t>temp_calledModeActivationCode</t>
  </si>
  <si>
    <t>called mode activation code : 0 desactived/ 1 actived</t>
  </si>
  <si>
    <t>72_DF21</t>
  </si>
  <si>
    <t>temp_callFrequency</t>
  </si>
  <si>
    <t>Exact4NumericText</t>
  </si>
  <si>
    <t>Call frequency</t>
  </si>
  <si>
    <t>72_DF43 Part 6</t>
  </si>
  <si>
    <t>temp_callLocalTimeStart</t>
  </si>
  <si>
    <t>Exact4AlphaNumericText</t>
  </si>
  <si>
    <t>Local time start (acceptance system application) associated with the approval mode</t>
  </si>
  <si>
    <t>72_DF24 part 3</t>
  </si>
  <si>
    <t>temp_cardAcceptorRAMmemorycapacity</t>
  </si>
  <si>
    <t>Exact6Text</t>
  </si>
  <si>
    <t>Card acceptor RAM memory capacity (KB)</t>
  </si>
  <si>
    <t>614_46 DF67 part 11</t>
  </si>
  <si>
    <t>temp_cardAcceptorRemainingFlshStorageCapacity</t>
  </si>
  <si>
    <t>Card acceptor remaining FLASH storage capacity (KB)</t>
  </si>
  <si>
    <t>614_46 DF67 part 10</t>
  </si>
  <si>
    <t>temp_cardAcceptorRemainingRAMStorageCapacity</t>
  </si>
  <si>
    <t>Card acceptor remaining RAM storage capacity (KB)</t>
  </si>
  <si>
    <t>614_46 DF67 part 12</t>
  </si>
  <si>
    <t>temp_couplerSpecificationsVersionNumber</t>
  </si>
  <si>
    <t>Coupler specifications version number</t>
  </si>
  <si>
    <t>614_46 DF67 part 16</t>
  </si>
  <si>
    <t>temp_dataCategory</t>
  </si>
  <si>
    <t>temp_dataCategoryCodeset</t>
  </si>
  <si>
    <t>Data type</t>
  </si>
  <si>
    <t>814_31 part 1</t>
  </si>
  <si>
    <t>temp_functionActivationCodes</t>
  </si>
  <si>
    <t>Exact16HexBinaryText</t>
  </si>
  <si>
    <t>Function activation codes</t>
  </si>
  <si>
    <t>72_DF99 part 4</t>
  </si>
  <si>
    <t>temp_hardwareCouplerVersionNumber</t>
  </si>
  <si>
    <t>Hardware coupler version number</t>
  </si>
  <si>
    <t>614_46 DF67 part 14</t>
  </si>
  <si>
    <t>temp_identifier</t>
  </si>
  <si>
    <t>Exact15HexBinaryText</t>
  </si>
  <si>
    <t>Identifier</t>
  </si>
  <si>
    <t>72_DFAB part 2</t>
  </si>
  <si>
    <t>temp_identifierLength</t>
  </si>
  <si>
    <t>Identifier length</t>
  </si>
  <si>
    <t>72_DFAB part 1</t>
  </si>
  <si>
    <t>temp_kernelEditorCode</t>
  </si>
  <si>
    <t>Kernel editor code</t>
  </si>
  <si>
    <t>614_46 DF67 part 13</t>
  </si>
  <si>
    <t>temp_kernelSoftwareVersionReference</t>
  </si>
  <si>
    <t>Kernel software version reference</t>
  </si>
  <si>
    <t>614_46 DF67 part 4</t>
  </si>
  <si>
    <t>temp_lengthOfDataElementToFollow</t>
  </si>
  <si>
    <t>Exact3AlphaNumericText</t>
  </si>
  <si>
    <t>Length of data element to follow</t>
  </si>
  <si>
    <t>814_31 part 2</t>
  </si>
  <si>
    <t>temp_localDateAutomaticCall</t>
  </si>
  <si>
    <t>Exact6NumericText</t>
  </si>
  <si>
    <t>Local date, automatic call</t>
  </si>
  <si>
    <t>72_DF43 Part 8</t>
  </si>
  <si>
    <t>temp_localTimeAutomaticCall</t>
  </si>
  <si>
    <t>Local time , automatic call</t>
  </si>
  <si>
    <t>72_DF43 Part 7</t>
  </si>
  <si>
    <t>temp_localTimeEnd</t>
  </si>
  <si>
    <t>Local time end (acceptance system application) associated with the approval mode</t>
  </si>
  <si>
    <t>72_DF24 part 4</t>
  </si>
  <si>
    <t>temp_magstripeReaderNumber</t>
  </si>
  <si>
    <t>Exact1Text</t>
  </si>
  <si>
    <t>Magstripe reader number</t>
  </si>
  <si>
    <t>614_46 DF67 part 8</t>
  </si>
  <si>
    <t>temp_maximumAcceptedCardLifeDuration</t>
  </si>
  <si>
    <t>Maximum accepted card life duration</t>
  </si>
  <si>
    <t>72_DF99 part 3</t>
  </si>
  <si>
    <t>temp_maximumNumberOfCallTests</t>
  </si>
  <si>
    <t>Maximum number of call tests</t>
  </si>
  <si>
    <t>72_DF43 Part 4</t>
  </si>
  <si>
    <t>temp_maximumNumberOfMessagesPerMinute</t>
  </si>
  <si>
    <t>Maximum number of messages per minute</t>
  </si>
  <si>
    <t>72_DF43 Part 3</t>
  </si>
  <si>
    <t>temp_maximumNumberOfRetries</t>
  </si>
  <si>
    <t>Maximum number of retries</t>
  </si>
  <si>
    <t>72_DF43 Part 9</t>
  </si>
  <si>
    <t>temp_memoryCardReaderNumber</t>
  </si>
  <si>
    <t>Memory card reader number</t>
  </si>
  <si>
    <t>614_46 DF67 part 7</t>
  </si>
  <si>
    <t>temp_numberOfSimultaneousConnections</t>
  </si>
  <si>
    <t>Number of simultaneous connections</t>
  </si>
  <si>
    <t>72_DF43 Part 2</t>
  </si>
  <si>
    <t>temp_numericCurrencyCode</t>
  </si>
  <si>
    <t xml:space="preserve"> Numeric currency code</t>
  </si>
  <si>
    <t>72_DF1B part 3</t>
  </si>
  <si>
    <t>temp_operatingMode</t>
  </si>
  <si>
    <t>Exact1NumericText</t>
  </si>
  <si>
    <t>Operating mode</t>
  </si>
  <si>
    <t>72_DFAD</t>
  </si>
  <si>
    <t>temp_ParametersAcquirerTelecommunicationCategory</t>
  </si>
  <si>
    <t>temp_ParametersAcquirerTelecommunicationCategoryType</t>
  </si>
  <si>
    <t>Parameters Acquire rTelecommunication</t>
  </si>
  <si>
    <t>72_DF41 Part 4</t>
  </si>
  <si>
    <t>temp_poiFlashMemoryCapacity</t>
  </si>
  <si>
    <t>POI FLASH memory capacity (KB) (Ko) _</t>
  </si>
  <si>
    <t>614_46 DF67 part 9</t>
  </si>
  <si>
    <t>temp_pOISerialNumber</t>
  </si>
  <si>
    <t>Exact12Text</t>
  </si>
  <si>
    <t>POI serial number</t>
  </si>
  <si>
    <t>614_46 DF67 part 6</t>
  </si>
  <si>
    <t>temp_pOSActivity</t>
  </si>
  <si>
    <t>Exact10AlphaNumericText</t>
  </si>
  <si>
    <t>POS activity</t>
  </si>
  <si>
    <t>72_DF42</t>
  </si>
  <si>
    <t>temp_processingIndicator</t>
  </si>
  <si>
    <t>temp_processingIndicatorCodeset</t>
  </si>
  <si>
    <t>Processing indicator</t>
  </si>
  <si>
    <t>72_DF98 part 1</t>
  </si>
  <si>
    <t>temp_receiptCategory</t>
  </si>
  <si>
    <t>temp_receiptCategoryCodeset</t>
  </si>
  <si>
    <t>Receipt type</t>
  </si>
  <si>
    <t>72_DFB4 part 1</t>
  </si>
  <si>
    <t>temp_receiptPrintingMode</t>
  </si>
  <si>
    <t>temp_receiptPrintingModeCodeset</t>
  </si>
  <si>
    <t>Receipt printing mode</t>
  </si>
  <si>
    <t>72_DFB4 part 2</t>
  </si>
  <si>
    <t>temp_recurrentCallEndDate</t>
  </si>
  <si>
    <t>ISODateTime</t>
  </si>
  <si>
    <t>Recurrent call end date</t>
  </si>
  <si>
    <t>72_DF46 part 3</t>
  </si>
  <si>
    <t>temp_recurrentCallIndicator</t>
  </si>
  <si>
    <t>Recurrent call indicator</t>
  </si>
  <si>
    <t>72_DF46 part 1</t>
  </si>
  <si>
    <t>temp_regionIndicator</t>
  </si>
  <si>
    <t>Region indicator</t>
  </si>
  <si>
    <t>72_DFB2</t>
  </si>
  <si>
    <t>temp_serviceName</t>
  </si>
  <si>
    <t>Exact32Text</t>
  </si>
  <si>
    <t>Service name</t>
  </si>
  <si>
    <t>72_DF50 part 1</t>
  </si>
  <si>
    <t>temp_softwareCouplerVersionNumber</t>
  </si>
  <si>
    <t>Software coupler version number</t>
  </si>
  <si>
    <t>614_46 DF67 part 15</t>
  </si>
  <si>
    <t>temp_softwareVersionNumberOfTheResident</t>
  </si>
  <si>
    <t>Software version number of the resident</t>
  </si>
  <si>
    <t>614_46 DF67 part 5</t>
  </si>
  <si>
    <t>temp_supportedprotocolFunctions</t>
  </si>
  <si>
    <t>temp_supportedprotocolFunctionsCodeset</t>
  </si>
  <si>
    <t>SUPPORTED PROTOCOL FUNCTIONS</t>
  </si>
  <si>
    <t>47 16</t>
  </si>
  <si>
    <t>temp_switchoverModeToBackupLink</t>
  </si>
  <si>
    <t>Switchover mode to the backup link</t>
  </si>
  <si>
    <t>72_DF43 Part 1</t>
  </si>
  <si>
    <t>temp_tableIdentifier</t>
  </si>
  <si>
    <t>temp_TableIdentifierCodeset</t>
  </si>
  <si>
    <t>Table identifier</t>
  </si>
  <si>
    <t>46 DF58_001</t>
  </si>
  <si>
    <t>temp_tableStatusCode</t>
  </si>
  <si>
    <t>temp_TableStatusCodeCodeset</t>
  </si>
  <si>
    <t>status table</t>
  </si>
  <si>
    <t>46 DF58_003</t>
  </si>
  <si>
    <t>temp_tableVersionNumber</t>
  </si>
  <si>
    <t>Table version number</t>
  </si>
  <si>
    <t>46 DF58_002</t>
  </si>
  <si>
    <t>temp_technicalActivations</t>
  </si>
  <si>
    <t>Technical activations</t>
  </si>
  <si>
    <t>72_DF47</t>
  </si>
  <si>
    <t>temp_telecomBillingMode</t>
  </si>
  <si>
    <t>temp_telecomBillingModeCodeset</t>
  </si>
  <si>
    <t>telecom billing mode : 0 Called party/1 Calling party</t>
  </si>
  <si>
    <t>72_ DF20</t>
  </si>
  <si>
    <t>temp_version</t>
  </si>
  <si>
    <t>72_DFAB part 3</t>
  </si>
  <si>
    <t>temp_versionCBCOM</t>
  </si>
  <si>
    <t>CBCOM Version</t>
  </si>
  <si>
    <t>CBCOM PI05_1</t>
  </si>
  <si>
    <t>temp_waitTimeBetweenTwoCalls</t>
  </si>
  <si>
    <t>Wait time between two calls</t>
  </si>
  <si>
    <t>72_DF43 Part 5</t>
  </si>
  <si>
    <t>temp_waitTimeInDays</t>
  </si>
  <si>
    <t>Wait time (in days)</t>
  </si>
  <si>
    <t>72_DF46 part 2</t>
  </si>
  <si>
    <t>transactionReceiptFooter</t>
  </si>
  <si>
    <t>Max50AlphaNumericText</t>
  </si>
  <si>
    <t>Transaction receipt footer</t>
  </si>
  <si>
    <t>72_DF05 part 2</t>
  </si>
  <si>
    <t>transactionReceiptHeader</t>
  </si>
  <si>
    <t>Transaction receipt header</t>
  </si>
  <si>
    <t>72_DF05 part 1</t>
  </si>
  <si>
    <t>riskContext</t>
  </si>
  <si>
    <t>delegatedAuthenticationExemptionIndicator</t>
  </si>
  <si>
    <t>Delegated authentification exemption indicator</t>
  </si>
  <si>
    <t>RSB119_0017</t>
  </si>
  <si>
    <t>[119-0017]</t>
  </si>
  <si>
    <t>multiFactorAuthenticationExemptionIndicator</t>
  </si>
  <si>
    <t>Min2Max3HexBinaryText</t>
  </si>
  <si>
    <t>Multi factor Exemption indicator</t>
  </si>
  <si>
    <t>RSB57_33</t>
  </si>
  <si>
    <t>[57-0033]</t>
  </si>
  <si>
    <t>riskAnalysisIndicatorsId</t>
  </si>
  <si>
    <t>Indicator identifier</t>
  </si>
  <si>
    <t>Champ repetable</t>
  </si>
  <si>
    <t>RSB57_34 _p1</t>
  </si>
  <si>
    <t>[57-0034-p1]</t>
  </si>
  <si>
    <t>riskAnalysisIndicatorsValue</t>
  </si>
  <si>
    <t>Value of the indicator</t>
  </si>
  <si>
    <t>RSB57_34 _p2</t>
  </si>
  <si>
    <t>[57-0034-p2]</t>
  </si>
  <si>
    <t>riskPipResponse</t>
  </si>
  <si>
    <t>Pip Response</t>
  </si>
  <si>
    <t>FRD7_0</t>
  </si>
  <si>
    <t>riskRecommendation</t>
  </si>
  <si>
    <t>Recommendation</t>
  </si>
  <si>
    <t>FRD8_0</t>
  </si>
  <si>
    <t>riskRulesId</t>
  </si>
  <si>
    <t>Rules ID</t>
  </si>
  <si>
    <t>FRD4_0</t>
  </si>
  <si>
    <t>riskScoringServiceData</t>
  </si>
  <si>
    <t>Max24HexBinaryText</t>
  </si>
  <si>
    <t>Service data</t>
  </si>
  <si>
    <t>RSB59_802_p2</t>
  </si>
  <si>
    <t>[59-0802-p2]</t>
  </si>
  <si>
    <t>riskScoringServiceId</t>
  </si>
  <si>
    <t>Service identifier</t>
  </si>
  <si>
    <t>RSB59_802_p1</t>
  </si>
  <si>
    <t>[59-0802-p1]</t>
  </si>
  <si>
    <t>riskTreatmentStatus</t>
  </si>
  <si>
    <t>Treatment Status</t>
  </si>
  <si>
    <t>FRD6_0</t>
  </si>
  <si>
    <t>traExemptionIndicator</t>
  </si>
  <si>
    <t>TRA exemption indicator</t>
  </si>
  <si>
    <t>RSB119_0003</t>
  </si>
  <si>
    <t>[119-0003]</t>
  </si>
  <si>
    <t>traScore</t>
  </si>
  <si>
    <t>VISA Uniquement</t>
  </si>
  <si>
    <t>RSB119_0005</t>
  </si>
  <si>
    <t>[119-0005]</t>
  </si>
  <si>
    <t>VISA 34/4A/C0</t>
  </si>
  <si>
    <t>terminalParameters</t>
  </si>
  <si>
    <t>temp_maximumAmountForAForeignCardInAnUnattededTerminal</t>
  </si>
  <si>
    <t>Exact12AlphaNumericText</t>
  </si>
  <si>
    <t>Maximum amount for a foreign card in an unatteded terminal</t>
  </si>
  <si>
    <t>72_DF0C</t>
  </si>
  <si>
    <t>temp_terminalApplicationVersionNumber</t>
  </si>
  <si>
    <t>Exact2HexBinaryText</t>
  </si>
  <si>
    <t>Terminal Application Version Number</t>
  </si>
  <si>
    <t>72_DF17 part 3</t>
  </si>
  <si>
    <t>transactionContext</t>
  </si>
  <si>
    <t>acceptanceSystemCardProductCode</t>
  </si>
  <si>
    <t>Max3AlphaNumericText</t>
  </si>
  <si>
    <t>Acceptance System Card Product Code</t>
  </si>
  <si>
    <t>RSB57_5</t>
  </si>
  <si>
    <t>[57-0005]</t>
  </si>
  <si>
    <t>acceptorPhoneNumber</t>
  </si>
  <si>
    <t>PhoneNumberText</t>
  </si>
  <si>
    <t xml:space="preserve">Acceptor phone number </t>
  </si>
  <si>
    <t>à réétudier</t>
  </si>
  <si>
    <t>59_1105</t>
  </si>
  <si>
    <t>acceptorURLAddress</t>
  </si>
  <si>
    <t>Max255Text</t>
  </si>
  <si>
    <t>Acceptor URL address</t>
  </si>
  <si>
    <t>59_1100</t>
  </si>
  <si>
    <t>accountNameVerificationNature</t>
  </si>
  <si>
    <t>AccountNameVerificationNatureCodeset</t>
  </si>
  <si>
    <t>Which account Name to verify, Payer or Payee</t>
  </si>
  <si>
    <t>RSB119_0021</t>
  </si>
  <si>
    <t>[119-0021]</t>
  </si>
  <si>
    <t>additionalManagmentOfTransfers</t>
  </si>
  <si>
    <t>Exact8NumericText</t>
  </si>
  <si>
    <t>Additional managment of transfers</t>
  </si>
  <si>
    <t>58_FF53</t>
  </si>
  <si>
    <t>airlineTicketDestination</t>
  </si>
  <si>
    <t>airline ticket destination</t>
  </si>
  <si>
    <t>57_FF0E</t>
  </si>
  <si>
    <t>airlineTicketNumber</t>
  </si>
  <si>
    <t>Max13AlphaNumericText</t>
  </si>
  <si>
    <t>airline ticket number</t>
  </si>
  <si>
    <t>57_FF0F</t>
  </si>
  <si>
    <t>applicationSelectionIndicator</t>
  </si>
  <si>
    <t>ApplicationSelectionIndicatorCodeset</t>
  </si>
  <si>
    <t>Application Selection Indicator</t>
  </si>
  <si>
    <t>RSB57_2</t>
  </si>
  <si>
    <t>[57-0002]</t>
  </si>
  <si>
    <t>attendanceContext</t>
  </si>
  <si>
    <t>AttendanceContextCodeset</t>
  </si>
  <si>
    <t>Attendance Context</t>
  </si>
  <si>
    <t>ISO25 (Voir Nexo=&gt; CB2A page 101)</t>
  </si>
  <si>
    <t>[25]</t>
  </si>
  <si>
    <t>authenticationAmount</t>
  </si>
  <si>
    <t>Authentication amount</t>
  </si>
  <si>
    <t>RSB57_38</t>
  </si>
  <si>
    <t>[57-0038]</t>
  </si>
  <si>
    <t>authenticationDateTime</t>
  </si>
  <si>
    <t>Authentication date</t>
  </si>
  <si>
    <t>RSB57_37</t>
  </si>
  <si>
    <t>[57-0037]</t>
  </si>
  <si>
    <t>authenticationProgramIndicator</t>
  </si>
  <si>
    <t>Authentification program indicator</t>
  </si>
  <si>
    <t>RSB119_0377</t>
  </si>
  <si>
    <t>[119-0377]</t>
  </si>
  <si>
    <t>authorisationUnbundling</t>
  </si>
  <si>
    <t>Unbundling (deliassage) authorised.</t>
  </si>
  <si>
    <t>MFO12</t>
  </si>
  <si>
    <t>blockedRoute</t>
  </si>
  <si>
    <t>Route blocked by routage tools</t>
  </si>
  <si>
    <t>MFO4</t>
  </si>
  <si>
    <t>buyingMethod</t>
  </si>
  <si>
    <t>BuyingMethodCodeset</t>
  </si>
  <si>
    <t>Buying method used</t>
  </si>
  <si>
    <t>RSB57_13</t>
  </si>
  <si>
    <t>[57-0013]</t>
  </si>
  <si>
    <t>cardDataEntryMode</t>
  </si>
  <si>
    <t>CardDataEntryModeCodeset</t>
  </si>
  <si>
    <t>Card entry mode</t>
  </si>
  <si>
    <t>22 part 3</t>
  </si>
  <si>
    <t>cardholderAuthenticationMethod</t>
  </si>
  <si>
    <t>CardholderAuthenticationMethodCodeset</t>
  </si>
  <si>
    <t>Cardholder authentication method</t>
  </si>
  <si>
    <t>22 part 4</t>
  </si>
  <si>
    <t>cardholderPresence</t>
  </si>
  <si>
    <t>CardholderPresenceCodeset</t>
  </si>
  <si>
    <t>Cardholder prensence</t>
  </si>
  <si>
    <t>22 part 2</t>
  </si>
  <si>
    <t>cardholderPresent</t>
  </si>
  <si>
    <t>Cardholder present during transaction</t>
  </si>
  <si>
    <t>cardholderVerificationMethod</t>
  </si>
  <si>
    <t>Max4HexBinaryText</t>
  </si>
  <si>
    <t xml:space="preserve">Cardholder Verification Method </t>
  </si>
  <si>
    <t>119_1022</t>
  </si>
  <si>
    <t>cardOnFileAction</t>
  </si>
  <si>
    <t>COFActionCodeset</t>
  </si>
  <si>
    <t>CARD-ON-FILE Action</t>
  </si>
  <si>
    <t>RSB57_29</t>
  </si>
  <si>
    <t>[57-0029]</t>
  </si>
  <si>
    <t>cardPresent</t>
  </si>
  <si>
    <t>Card present during transaction</t>
  </si>
  <si>
    <t>cardSecurityCodePresence</t>
  </si>
  <si>
    <t>CardSecurityCodePresenceCodeset</t>
  </si>
  <si>
    <t>Information on card security code presence</t>
  </si>
  <si>
    <t>RSB59_300_p1</t>
  </si>
  <si>
    <t>cardSecurityCodeValue</t>
  </si>
  <si>
    <t>Card security code value</t>
  </si>
  <si>
    <t>RSB59_300_p2</t>
  </si>
  <si>
    <t>cardSecurityCodeVerificationInformation</t>
  </si>
  <si>
    <t>CardSecurityCodeVerificationCodeset</t>
  </si>
  <si>
    <t>Information on card security code verification</t>
  </si>
  <si>
    <t>RSB59_300_p3</t>
  </si>
  <si>
    <t>decisionAlgorithmRoute</t>
  </si>
  <si>
    <t>Algorithm of decision for route</t>
  </si>
  <si>
    <t>MFO13</t>
  </si>
  <si>
    <t>domainIndicator</t>
  </si>
  <si>
    <t>DomainIndicatorCodeset</t>
  </si>
  <si>
    <t>Acquirer, Issuer, other …</t>
  </si>
  <si>
    <t>MFO15</t>
  </si>
  <si>
    <t>dualRouteId</t>
  </si>
  <si>
    <t>Max11NumericText</t>
  </si>
  <si>
    <t>Dual Route Identifier</t>
  </si>
  <si>
    <t>RSB100-2</t>
  </si>
  <si>
    <t>[100-2]</t>
  </si>
  <si>
    <t>dualRouteService</t>
  </si>
  <si>
    <t>Extension dual Route</t>
  </si>
  <si>
    <t>MFO10-2</t>
  </si>
  <si>
    <t>ecommerceIndicator</t>
  </si>
  <si>
    <t>Electronic commerce indicator (VISA)</t>
  </si>
  <si>
    <t>RSB59_416</t>
  </si>
  <si>
    <t>[59-0416]</t>
  </si>
  <si>
    <t>[58_416]</t>
  </si>
  <si>
    <t>[60.8]</t>
  </si>
  <si>
    <t>electronicCommerceAuthentication</t>
  </si>
  <si>
    <t>ElectronicCommerceAuthenticationNature</t>
  </si>
  <si>
    <t>Electronic commerce transaction authentication type</t>
  </si>
  <si>
    <t>RSB59_407</t>
  </si>
  <si>
    <t>[59-0407]</t>
  </si>
  <si>
    <t>electronicCommercelAuthentificationNature</t>
  </si>
  <si>
    <t>ElectronicCommercelAuthentificationNatureCodeset</t>
  </si>
  <si>
    <t>Electronic Commerce Authentification Type</t>
  </si>
  <si>
    <t>58_FF47</t>
  </si>
  <si>
    <t>encryptionAlgorithm</t>
  </si>
  <si>
    <t>EncryptionAlgorithmCodeset</t>
  </si>
  <si>
    <t>Algorithme de chiffrement PIN Block</t>
  </si>
  <si>
    <t>cifo</t>
  </si>
  <si>
    <t>cbae</t>
  </si>
  <si>
    <t>cb2af</t>
  </si>
  <si>
    <t>cb2a</t>
  </si>
  <si>
    <t>visa</t>
  </si>
  <si>
    <t>mcd</t>
  </si>
  <si>
    <t>mainf</t>
  </si>
  <si>
    <t>entryModeEnvironment</t>
  </si>
  <si>
    <t>EntryModeEnvironmentCodeset</t>
  </si>
  <si>
    <t>Environnement d'emission (Environment)</t>
  </si>
  <si>
    <t>22 part 1</t>
  </si>
  <si>
    <t>extendedEcommerceIndicator</t>
  </si>
  <si>
    <t>Extended electronic commerce indicator (SLI - Mastercard)</t>
  </si>
  <si>
    <t>RSB57_15</t>
  </si>
  <si>
    <t>[57-0015]</t>
  </si>
  <si>
    <t>[59_0016]</t>
  </si>
  <si>
    <t>[119-0016]</t>
  </si>
  <si>
    <t>DE 48 SE42 SF1</t>
  </si>
  <si>
    <t>forwardingId</t>
  </si>
  <si>
    <t>Transmitter ID or orginial Sender Id</t>
  </si>
  <si>
    <t>ISO33</t>
  </si>
  <si>
    <t>functionCode</t>
  </si>
  <si>
    <t>Function code</t>
  </si>
  <si>
    <t>Comme ISO3</t>
  </si>
  <si>
    <t>RSB59_100</t>
  </si>
  <si>
    <t>[59-0100]</t>
  </si>
  <si>
    <t>fundsTransferApplicationNature</t>
  </si>
  <si>
    <t>type of application which initiate fund transfer</t>
  </si>
  <si>
    <t>118_1001</t>
  </si>
  <si>
    <t>112_03</t>
  </si>
  <si>
    <t>fundsTransferTypeIdentifier</t>
  </si>
  <si>
    <t>FundsTransferTypeIdentifierCodeset</t>
  </si>
  <si>
    <t>Identifier of the type of application that initiates the transaction</t>
  </si>
  <si>
    <t>47_26 Part 2</t>
  </si>
  <si>
    <t>fundsTransferTypeNomenclature</t>
  </si>
  <si>
    <t>FundsTransferTypeNomenclatureCodeset</t>
  </si>
  <si>
    <t>funds Transfer Nomenclature</t>
  </si>
  <si>
    <t>47_26 Part 1</t>
  </si>
  <si>
    <t>fundTransferReason</t>
  </si>
  <si>
    <t>Reason of fund transfer</t>
  </si>
  <si>
    <t>118_1003</t>
  </si>
  <si>
    <t>112_08</t>
  </si>
  <si>
    <t>internationalAuthorisationNetwork</t>
  </si>
  <si>
    <t>International authorisation network identifier</t>
  </si>
  <si>
    <t>RSB59_803</t>
  </si>
  <si>
    <t>[59-0803]</t>
  </si>
  <si>
    <t>issuerAuthenticationData</t>
  </si>
  <si>
    <t>Min8Max16HexBinaryText</t>
  </si>
  <si>
    <t>Issuer Authentication Data</t>
  </si>
  <si>
    <t>RSB55_91</t>
  </si>
  <si>
    <t>[55-0091]</t>
  </si>
  <si>
    <t>jurisdiction</t>
  </si>
  <si>
    <t>Max50Text</t>
  </si>
  <si>
    <t xml:space="preserve">The jurisdiction as determined by the pricing tool according to the Scheme specifications.
</t>
  </si>
  <si>
    <t>La qualification d’une operation (transaction capturee pre-compensee) par le progiciel tarification permet d’obtenir sa juridiction qui est l’element determinant et consubstantiel à la determination du code d’interchange et donc du taux qui sera applique pour la commission d’interchange.
e.g. Cartes Bancaires : Domestic, Mastercard : Intra-EEA, Visa : EEA-Inter</t>
  </si>
  <si>
    <t>keySerialNumber</t>
  </si>
  <si>
    <t>Min9Max12HexBinaryText</t>
  </si>
  <si>
    <t xml:space="preserve"> Diversifiant de la cle de chiffrement du code confidentiel </t>
  </si>
  <si>
    <t>manualIndicator</t>
  </si>
  <si>
    <t>Manual indicator</t>
  </si>
  <si>
    <t>messageReasonCode</t>
  </si>
  <si>
    <t>Message reason code</t>
  </si>
  <si>
    <t>RSB59_101</t>
  </si>
  <si>
    <t>[59-0101]</t>
  </si>
  <si>
    <t>47_01</t>
  </si>
  <si>
    <t>networkCodeDualRoute</t>
  </si>
  <si>
    <t>NetworkCodeset</t>
  </si>
  <si>
    <t>Routing, second option</t>
  </si>
  <si>
    <t>MFO9-2</t>
  </si>
  <si>
    <t>networkCodeNominalRoute</t>
  </si>
  <si>
    <t>Routing, first option</t>
  </si>
  <si>
    <t>MFO9-1</t>
  </si>
  <si>
    <t>networkService</t>
  </si>
  <si>
    <t>NetworkServiceCodeset</t>
  </si>
  <si>
    <t>Services provided by netwok</t>
  </si>
  <si>
    <t>RSB119_0016</t>
  </si>
  <si>
    <t>networkSubService</t>
  </si>
  <si>
    <t>NetworkSubServiceCodeset</t>
  </si>
  <si>
    <t>Sub Services provided by netwok</t>
  </si>
  <si>
    <t>nominalRouteId</t>
  </si>
  <si>
    <t>Nominal Route Identifier</t>
  </si>
  <si>
    <t>RSB100-1</t>
  </si>
  <si>
    <t>[100-1]</t>
  </si>
  <si>
    <t>nominalRouteService</t>
  </si>
  <si>
    <t>Extension nominal Route</t>
  </si>
  <si>
    <t>MFO10-1</t>
  </si>
  <si>
    <t>panEntryMode</t>
  </si>
  <si>
    <t>PanEntryModeCodeset</t>
  </si>
  <si>
    <t>Pan Entry Mode (CBAE)</t>
  </si>
  <si>
    <t>ISO22_p1</t>
  </si>
  <si>
    <t>[22-p1]</t>
  </si>
  <si>
    <t>paymentUseCase</t>
  </si>
  <si>
    <t>PaymentUseCaseCodeset</t>
  </si>
  <si>
    <t>Identification of remote payment cases</t>
  </si>
  <si>
    <t>RSB57_28</t>
  </si>
  <si>
    <t>[57-0028]</t>
  </si>
  <si>
    <t>pointOfServiceConditionCode</t>
  </si>
  <si>
    <t>ServiceConditionCodeCodeset</t>
  </si>
  <si>
    <t>Conditions of the transaction</t>
  </si>
  <si>
    <t>ISO25 - ISO Complet</t>
  </si>
  <si>
    <t>preAuthorisationDuration</t>
  </si>
  <si>
    <t>Pre autorisation duration</t>
  </si>
  <si>
    <t>059_0208</t>
  </si>
  <si>
    <t>purchaseCode</t>
  </si>
  <si>
    <t>Max8HexBinaryText</t>
  </si>
  <si>
    <t>Purchase code</t>
  </si>
  <si>
    <t>059_0041</t>
  </si>
  <si>
    <t>purchaseId</t>
  </si>
  <si>
    <t>Purchase id</t>
  </si>
  <si>
    <t>059_0042</t>
  </si>
  <si>
    <t>reasonsForNotHonouringExemptions</t>
  </si>
  <si>
    <t>Reasons for not honouring exemptions</t>
  </si>
  <si>
    <t>structure non correspondante à la spec</t>
  </si>
  <si>
    <t>RSB119_0004</t>
  </si>
  <si>
    <t>[119-0004]</t>
  </si>
  <si>
    <t>regulatoryAndTechnicalEnvironment</t>
  </si>
  <si>
    <t>Regulatory and technical environment</t>
  </si>
  <si>
    <t>BPO : Comme ISO 3 et 59_100</t>
  </si>
  <si>
    <t>RSB59_200</t>
  </si>
  <si>
    <t>[59-0200]</t>
  </si>
  <si>
    <t>resendCounter</t>
  </si>
  <si>
    <t>transmission counter used in the case of re-authorised messages</t>
  </si>
  <si>
    <t>AVO : ne peut pas être un Codeset car compteur</t>
  </si>
  <si>
    <t>RSB57_20</t>
  </si>
  <si>
    <t>[57-0020]</t>
  </si>
  <si>
    <t>schemeNature</t>
  </si>
  <si>
    <t>Scheme nature</t>
  </si>
  <si>
    <t>47_ 98 part 1</t>
  </si>
  <si>
    <t>securizationNature</t>
  </si>
  <si>
    <t>Securization nature</t>
  </si>
  <si>
    <t>serviceAttribute</t>
  </si>
  <si>
    <t>ServiceAttributeCodeset</t>
  </si>
  <si>
    <t>Service attribute</t>
  </si>
  <si>
    <t>RSB59_800</t>
  </si>
  <si>
    <t>[59-0800]</t>
  </si>
  <si>
    <t>47.03</t>
  </si>
  <si>
    <t>serviceIndicator</t>
  </si>
  <si>
    <t xml:space="preserve">Service Indicator </t>
  </si>
  <si>
    <t>RSB119_0008</t>
  </si>
  <si>
    <t>[119-0008]</t>
  </si>
  <si>
    <t>VISA 126.12 bit 5 - '1' seule valeur à date</t>
  </si>
  <si>
    <t>serviceLocationAddress</t>
  </si>
  <si>
    <t>PostalAddressType</t>
  </si>
  <si>
    <t>Service location address</t>
  </si>
  <si>
    <t>59_1113</t>
  </si>
  <si>
    <t>statusOfMessageDisplayPrintCapability</t>
  </si>
  <si>
    <t>StatusOfMessageDisplayPrintCapabilityCodeset</t>
  </si>
  <si>
    <t>Status of message display/print capability</t>
  </si>
  <si>
    <t>22 part 6</t>
  </si>
  <si>
    <t>storedDataCategory</t>
  </si>
  <si>
    <t>StoredDataCategoryCodeset</t>
  </si>
  <si>
    <t>category of stored data</t>
  </si>
  <si>
    <t>systemAuthenticatingTheCardholder</t>
  </si>
  <si>
    <t>SystemAuthenticatingTheCardholderCodeset</t>
  </si>
  <si>
    <t>System authenticating the cardholder</t>
  </si>
  <si>
    <t>22 part 5</t>
  </si>
  <si>
    <t>temp_authorisationCharacteristicsIndicator</t>
  </si>
  <si>
    <t>temp_authorisationCharacteristicsIndicatorCodeset</t>
  </si>
  <si>
    <t>authorisation characteritics indicator</t>
  </si>
  <si>
    <t>CEAUCH</t>
  </si>
  <si>
    <t>temp_dialogTelerametrageFunctionCode</t>
  </si>
  <si>
    <t>temp_dialogTelerametrageFunctionCodeCodeset</t>
  </si>
  <si>
    <t>function code</t>
  </si>
  <si>
    <t>temp_earlierGMTPeriod</t>
  </si>
  <si>
    <t>Earlier GMT period</t>
  </si>
  <si>
    <t>72_DF09 part 1</t>
  </si>
  <si>
    <t>temp_extendedSelectionSupportFlag</t>
  </si>
  <si>
    <t>Extended Selection Support flag</t>
  </si>
  <si>
    <t>72_DFA9 part 4</t>
  </si>
  <si>
    <t>temp_gMTDifference</t>
  </si>
  <si>
    <t>GMT difference</t>
  </si>
  <si>
    <t>72_DF09 part 3</t>
  </si>
  <si>
    <t>temp_laterGMTPeriod</t>
  </si>
  <si>
    <t>Later GMT period</t>
  </si>
  <si>
    <t>72_DF09 part 2</t>
  </si>
  <si>
    <t>temp_responseCodeISO</t>
  </si>
  <si>
    <t xml:space="preserve">Code reponse ISO              </t>
  </si>
  <si>
    <t>CEREPO</t>
  </si>
  <si>
    <t>temp_securityTransactionMode</t>
  </si>
  <si>
    <t>Mode securisation transaction</t>
  </si>
  <si>
    <t>CTSETR</t>
  </si>
  <si>
    <t>temp_transactionConditions</t>
  </si>
  <si>
    <t>Conditions de la transaction</t>
  </si>
  <si>
    <t>COCTPS</t>
  </si>
  <si>
    <t>temp_treatmentContext</t>
  </si>
  <si>
    <t>temp_treatmentContextCodeset</t>
  </si>
  <si>
    <t>Transaction individuelle</t>
  </si>
  <si>
    <t>PRECOMP-PC11</t>
  </si>
  <si>
    <t>terminalActionCodeDefault</t>
  </si>
  <si>
    <t>Exact7HexBinaryText</t>
  </si>
  <si>
    <t>terminal action code default</t>
  </si>
  <si>
    <t>58_FF0D</t>
  </si>
  <si>
    <t>terminalActionCodeDenial</t>
  </si>
  <si>
    <t>terminal action code denial</t>
  </si>
  <si>
    <t>58_FF0E</t>
  </si>
  <si>
    <t>terminalActionCodeOnline</t>
  </si>
  <si>
    <t>terminal action code on-line</t>
  </si>
  <si>
    <t>58_FF0F</t>
  </si>
  <si>
    <t>tracabilityEventID</t>
  </si>
  <si>
    <t>UUIDType</t>
  </si>
  <si>
    <t xml:space="preserve">Traceability event (PC80) unique and non ambiguous  identifier. </t>
  </si>
  <si>
    <t>Sa structure sera connue à l’issue de la phase de cadrage Fournisseur, au mieux en mai-25 
L’UUID FC 4122 V4 nnnnnnnn-nnnn-4nnn-nnnn-nnnnnnnnnnnn</t>
  </si>
  <si>
    <t>traceabilityService</t>
  </si>
  <si>
    <t>TraceabilityServiceCodeset</t>
  </si>
  <si>
    <t xml:space="preserve">Underlying service of the traceability event (PC80) produced by the Pricing solution. 
</t>
  </si>
  <si>
    <t>A une operation correspond jusqu’à 3 appels au progiciel Tarification, chaque service invoque generant un EVT detaillant les traitements effectues. Il s’agit ici de referencer les UUID de ces evènements
QUAL = qualification operation, ICCL = calcul Interchange, SFCL = calcul Scheme Fees</t>
  </si>
  <si>
    <t>transactionNature</t>
  </si>
  <si>
    <t>TransactionNatureCodeset</t>
  </si>
  <si>
    <t>Nature of transaction</t>
  </si>
  <si>
    <t>Cf 55-9C</t>
  </si>
  <si>
    <t>ISO3_p1 / AUT55 / RSB55_9C</t>
  </si>
  <si>
    <t>Field 3 part 1 / Field 55 Type 009C</t>
  </si>
  <si>
    <t>Field 3 part 1  /  Field 55 009C</t>
  </si>
  <si>
    <t>typeOfMedia</t>
  </si>
  <si>
    <t>TypeOfMediaCodeset</t>
  </si>
  <si>
    <t>Type of media</t>
  </si>
  <si>
    <t>58_FF52</t>
  </si>
  <si>
    <t>usedKernelId</t>
  </si>
  <si>
    <t>Kernel Identifier</t>
  </si>
  <si>
    <t>RSB55_DF68</t>
  </si>
  <si>
    <t>[55-DF68]</t>
  </si>
  <si>
    <t>58.DF93</t>
  </si>
  <si>
    <t>uuidContainerCategory</t>
  </si>
  <si>
    <t>UUIDContainerCategoryCodeset</t>
  </si>
  <si>
    <t>Type of UUID Container</t>
  </si>
  <si>
    <t>RSB57_23_p1</t>
  </si>
  <si>
    <t>[57-0023-p1]</t>
  </si>
  <si>
    <t>uuidContainerValue</t>
  </si>
  <si>
    <t>Exact36Text</t>
  </si>
  <si>
    <t>Value of UUID Container</t>
  </si>
  <si>
    <t>RSB57_23_p2</t>
  </si>
  <si>
    <t>[57-0023-p2]</t>
  </si>
  <si>
    <t>visaB2BProgramId</t>
  </si>
  <si>
    <t>Max2Text</t>
  </si>
  <si>
    <t>B2B program ID</t>
  </si>
  <si>
    <t>ARDEF1</t>
  </si>
  <si>
    <t>verification</t>
  </si>
  <si>
    <t>accountNameRequestValue</t>
  </si>
  <si>
    <t>Account name request result</t>
  </si>
  <si>
    <t>RSB119_0025</t>
  </si>
  <si>
    <t>[119-0025]</t>
  </si>
  <si>
    <t>acknowledgementRequestIndicator</t>
  </si>
  <si>
    <t>AcknowledgementRequestIndicatorCodeset</t>
  </si>
  <si>
    <t>Acknowledgement request indicator</t>
  </si>
  <si>
    <t>26 part 1</t>
  </si>
  <si>
    <t>BPO : Tous les CardholderAuthentication ensembles</t>
  </si>
  <si>
    <t>RSB59_410</t>
  </si>
  <si>
    <t>[59-0410]</t>
  </si>
  <si>
    <t>cardholderAuthenticationValueProcessingInfo</t>
  </si>
  <si>
    <t>Cardholder authentication value processing information</t>
  </si>
  <si>
    <t>RSB59_409</t>
  </si>
  <si>
    <t>[59-0409]</t>
  </si>
  <si>
    <t>keySetIdentifier</t>
  </si>
  <si>
    <t>Exact19HexBinaryText</t>
  </si>
  <si>
    <t>KT Identifier</t>
  </si>
  <si>
    <t>GES1 - AUT51 deprecie</t>
  </si>
  <si>
    <t>secureCorporatePaymentExemptionIndicator</t>
  </si>
  <si>
    <t>Secure corporate payment (SCP) indicator</t>
  </si>
  <si>
    <t>RSB119_0030</t>
  </si>
  <si>
    <t>[119-0030]</t>
  </si>
  <si>
    <t>verificationValue</t>
  </si>
  <si>
    <t>cardholderAuthenticationValueCalculationMethod</t>
  </si>
  <si>
    <t>Cardholder authentication value calculation method</t>
  </si>
  <si>
    <t>RSB59_411</t>
  </si>
  <si>
    <t>[59-0411]</t>
  </si>
  <si>
    <t>paymentSolutionProof</t>
  </si>
  <si>
    <t>PaymentSolutionProofCodeset</t>
  </si>
  <si>
    <t>Type of proof</t>
  </si>
  <si>
    <t>RSB57_14</t>
  </si>
  <si>
    <t>[57-0014]</t>
  </si>
  <si>
    <t>Environment</t>
  </si>
  <si>
    <t>acquirer</t>
  </si>
  <si>
    <t>acquirerBankIdentifierNumber</t>
  </si>
  <si>
    <t>Min6Max8NumericText</t>
  </si>
  <si>
    <t>Acquirer BIN</t>
  </si>
  <si>
    <t>acquirerDomain</t>
  </si>
  <si>
    <t>Max16Text</t>
  </si>
  <si>
    <t>Acquirer Domain</t>
  </si>
  <si>
    <t>RSB59_805</t>
  </si>
  <si>
    <t>[59-0805]</t>
  </si>
  <si>
    <t>acquirerId</t>
  </si>
  <si>
    <t>Acquirer Identification</t>
  </si>
  <si>
    <t>ISO32</t>
  </si>
  <si>
    <t>acquirerInstitutionId</t>
  </si>
  <si>
    <t>Acquirer code Bank</t>
  </si>
  <si>
    <t>ISO32p2</t>
  </si>
  <si>
    <t>32p2</t>
  </si>
  <si>
    <t>acquirerLeaderInstitutionId</t>
  </si>
  <si>
    <t>Lead bank the merchant bank belongs to</t>
  </si>
  <si>
    <t>acquirerName</t>
  </si>
  <si>
    <t>Merchant acquirer/bank name</t>
  </si>
  <si>
    <t>currencyCode</t>
  </si>
  <si>
    <t>ISO3NumericCurrencyCode</t>
  </si>
  <si>
    <t>Devise de compensation</t>
  </si>
  <si>
    <t>XXXX</t>
  </si>
  <si>
    <t>postalAddress</t>
  </si>
  <si>
    <t>Libelle adresse 1 / 2 /  / 4 / 5</t>
  </si>
  <si>
    <t>LIBO01</t>
  </si>
  <si>
    <t>PRECOMP-PC03R</t>
  </si>
  <si>
    <t>temp_backOfficeFax</t>
  </si>
  <si>
    <t>PhoneNumberType</t>
  </si>
  <si>
    <t>Numero de fax standard</t>
  </si>
  <si>
    <t>COFAXS</t>
  </si>
  <si>
    <t>temp_backOfficePhoneNumber</t>
  </si>
  <si>
    <t>Numero de telephone sur 50</t>
  </si>
  <si>
    <t>COTLP4</t>
  </si>
  <si>
    <t>temp_bankGroup</t>
  </si>
  <si>
    <t>Exact5NumericText</t>
  </si>
  <si>
    <t>Code etablissement chef de file</t>
  </si>
  <si>
    <t>COETCF</t>
  </si>
  <si>
    <t>card</t>
  </si>
  <si>
    <t>additionalInformationZone</t>
  </si>
  <si>
    <t>Zone d'information supplementaire associe au contrat</t>
  </si>
  <si>
    <t>applicationId</t>
  </si>
  <si>
    <t>Application Identifier</t>
  </si>
  <si>
    <t>RSB55_9F06</t>
  </si>
  <si>
    <t>[55-9F06]</t>
  </si>
  <si>
    <t>applicationInterchangeProfile</t>
  </si>
  <si>
    <t>Application Interchange Profile</t>
  </si>
  <si>
    <t>RSB55_82</t>
  </si>
  <si>
    <t>[55-0082]</t>
  </si>
  <si>
    <t>applicationUsageControl</t>
  </si>
  <si>
    <t xml:space="preserve">application usage control </t>
  </si>
  <si>
    <t>55_9F07</t>
  </si>
  <si>
    <t>billingAddress</t>
  </si>
  <si>
    <t xml:space="preserve">card's billing address </t>
  </si>
  <si>
    <t>cardApplication</t>
  </si>
  <si>
    <t>CardApplicationCodeset</t>
  </si>
  <si>
    <t>Card Application Type</t>
  </si>
  <si>
    <t>RSB55_DF81</t>
  </si>
  <si>
    <t>[55-DF81]</t>
  </si>
  <si>
    <t>cardBrand</t>
  </si>
  <si>
    <t>Brand of the card (Scheme)</t>
  </si>
  <si>
    <t>AUT103/RSB47_98_p1</t>
  </si>
  <si>
    <t>Field 47 Type 98 part 1</t>
  </si>
  <si>
    <t xml:space="preserve">47 Type 98 part 1 </t>
  </si>
  <si>
    <t>cardBrandProductCode</t>
  </si>
  <si>
    <t>Max9NumericText</t>
  </si>
  <si>
    <t>Card Product</t>
  </si>
  <si>
    <t>RSB47_98_p2</t>
  </si>
  <si>
    <t>[47-98-p2]</t>
  </si>
  <si>
    <t>47_ 98 part 2</t>
  </si>
  <si>
    <t>cardDesignCode</t>
  </si>
  <si>
    <t>CardDesignCodeset</t>
  </si>
  <si>
    <t>Card design code defined by the distribution</t>
  </si>
  <si>
    <t>cardholderPictureId</t>
  </si>
  <si>
    <t>Distribution identifier of the card design picture for the cardholder - may be an URL</t>
  </si>
  <si>
    <t>cardIssuerCountryZone</t>
  </si>
  <si>
    <t>CountryZoneCodeset</t>
  </si>
  <si>
    <t>Country zone of issuer</t>
  </si>
  <si>
    <t>MFO6</t>
  </si>
  <si>
    <t>cardIssuerProductCode</t>
  </si>
  <si>
    <t>CardProductCodeCodeset</t>
  </si>
  <si>
    <t>Product code of the issuer of the card</t>
  </si>
  <si>
    <t xml:space="preserve">à creuser </t>
  </si>
  <si>
    <t>SICB1</t>
  </si>
  <si>
    <t>cardLimit</t>
  </si>
  <si>
    <t>LimitType</t>
  </si>
  <si>
    <t>Card limit(s) set for the card at the contract subscription</t>
  </si>
  <si>
    <t>cardSecurityCodeIndicator</t>
  </si>
  <si>
    <t>CardSecurityCodeIndicatorCodeset</t>
  </si>
  <si>
    <t>Card type indicator</t>
  </si>
  <si>
    <t>BPO : CVD ou pas</t>
  </si>
  <si>
    <t>RSB57_18</t>
  </si>
  <si>
    <t>[57-0018]</t>
  </si>
  <si>
    <t>cardSequenceNumber</t>
  </si>
  <si>
    <t>Min2Max3NumericText</t>
  </si>
  <si>
    <t>Card Sequence Number</t>
  </si>
  <si>
    <t>ISO23</t>
  </si>
  <si>
    <t>[23]</t>
  </si>
  <si>
    <t>chainingSecretCodeId</t>
  </si>
  <si>
    <t>Max36AlphaNumericText</t>
  </si>
  <si>
    <t>Identifiant du contrat carte parent (pour chainer le PIN)</t>
  </si>
  <si>
    <t>contactlessDevice</t>
  </si>
  <si>
    <t>Max35HexBinaryText</t>
  </si>
  <si>
    <t>Contactless Device</t>
  </si>
  <si>
    <t>RSB55_DF86</t>
  </si>
  <si>
    <t>[55-DF86]</t>
  </si>
  <si>
    <t>countryCode</t>
  </si>
  <si>
    <t>Issuer Country code coding comply with ISO3166 standard</t>
  </si>
  <si>
    <t>SICB2</t>
  </si>
  <si>
    <t>designSubscriptionIndicator</t>
  </si>
  <si>
    <t>Card design choice subscription indicator</t>
  </si>
  <si>
    <t>embossedComplementaryData</t>
  </si>
  <si>
    <t>libelle Zone embossee complementaire</t>
  </si>
  <si>
    <t>embossedName</t>
  </si>
  <si>
    <t>Max45Text</t>
  </si>
  <si>
    <t>card embossed name</t>
  </si>
  <si>
    <t>embossedZone</t>
  </si>
  <si>
    <t>libelle Zone embossee de la carte</t>
  </si>
  <si>
    <t>encryptedPan</t>
  </si>
  <si>
    <t>Exact20HexBinaryText</t>
  </si>
  <si>
    <t>encrypted pan</t>
  </si>
  <si>
    <t>expiryDate</t>
  </si>
  <si>
    <t>ISOYearMonth</t>
  </si>
  <si>
    <t>Expiry date</t>
  </si>
  <si>
    <t>YYYY-MD</t>
  </si>
  <si>
    <t>ISO14</t>
  </si>
  <si>
    <t>[14]</t>
  </si>
  <si>
    <t>internalReference</t>
  </si>
  <si>
    <t>Card internal reference</t>
  </si>
  <si>
    <t>issuerId</t>
  </si>
  <si>
    <t>issuer identification</t>
  </si>
  <si>
    <t>BIN+Code banque</t>
  </si>
  <si>
    <t>MFO11</t>
  </si>
  <si>
    <t>issuerInstitutionId</t>
  </si>
  <si>
    <t>Issuer Bank Reference</t>
  </si>
  <si>
    <t>AUT123</t>
  </si>
  <si>
    <t>issuerLeaderInstitutionId</t>
  </si>
  <si>
    <t>Bank Leader of Issuer</t>
  </si>
  <si>
    <t>MFO5</t>
  </si>
  <si>
    <t>issuerScript</t>
  </si>
  <si>
    <t>Exact5HexBinaryText</t>
  </si>
  <si>
    <t>issuer script results</t>
  </si>
  <si>
    <t>55_FF00</t>
  </si>
  <si>
    <t>lostOrStolenDateTime</t>
  </si>
  <si>
    <t>Date de perte ou de vol de la carte</t>
  </si>
  <si>
    <t>maskedPAN</t>
  </si>
  <si>
    <t>Max30Text</t>
  </si>
  <si>
    <t>Code carte masque</t>
  </si>
  <si>
    <t>mastercardProduct</t>
  </si>
  <si>
    <t>Mastercard Product code given by SMINCA</t>
  </si>
  <si>
    <t>MPE2</t>
  </si>
  <si>
    <t>mastercardProgram</t>
  </si>
  <si>
    <t>Mastercard Program code given by SMINCA</t>
  </si>
  <si>
    <t>MPE1</t>
  </si>
  <si>
    <t>ownerId</t>
  </si>
  <si>
    <t>Editeur : Technical identifier of the customer relationship. In case of customer relationship creation outside the migration context, it should not be filled in the input message.</t>
  </si>
  <si>
    <t>paymentAccountReference</t>
  </si>
  <si>
    <t>Max29AlphaNumericText</t>
  </si>
  <si>
    <t>Payment account reference</t>
  </si>
  <si>
    <t>RSB57_56</t>
  </si>
  <si>
    <t>[57-0056]</t>
  </si>
  <si>
    <t>personalAccountNumberExternalInformation</t>
  </si>
  <si>
    <t>External information of the PAN</t>
  </si>
  <si>
    <t>primaryAccountNumber</t>
  </si>
  <si>
    <t>Max19NumericText</t>
  </si>
  <si>
    <t>Primary Account Number</t>
  </si>
  <si>
    <t>PAN</t>
  </si>
  <si>
    <t>ISO2 / RSB105_11</t>
  </si>
  <si>
    <t>[105-11;2]</t>
  </si>
  <si>
    <t>primaryAccountNumberL4D</t>
  </si>
  <si>
    <t>Last four digits of PAN</t>
  </si>
  <si>
    <t>RSB105_10</t>
  </si>
  <si>
    <t>[105-10]</t>
  </si>
  <si>
    <t>priorityRank</t>
  </si>
  <si>
    <t>Max999NumericText</t>
  </si>
  <si>
    <t xml:space="preserve">Prioritisation rank </t>
  </si>
  <si>
    <t>processorCardData</t>
  </si>
  <si>
    <t>ProcessorCardDataType</t>
  </si>
  <si>
    <t xml:space="preserve">Usage of the card </t>
  </si>
  <si>
    <t>Reponse SMINCA - Privative, Test, Bancaire</t>
  </si>
  <si>
    <t>AUT101 / AUT102</t>
  </si>
  <si>
    <t>processorIssuerData</t>
  </si>
  <si>
    <t>ProcessorIssuerDataType</t>
  </si>
  <si>
    <t xml:space="preserve">Place of issuer </t>
  </si>
  <si>
    <t>Reponse SMINCA - En Place / Hors Place</t>
  </si>
  <si>
    <t>AUT105 / AUT106</t>
  </si>
  <si>
    <t>productCode</t>
  </si>
  <si>
    <t>Product Code</t>
  </si>
  <si>
    <t>subscribeContextSettlementsConditionCode</t>
  </si>
  <si>
    <t>SubscribeContextSettlementsConditionCodeset</t>
  </si>
  <si>
    <t xml:space="preserve">Contract Settlements Condition </t>
  </si>
  <si>
    <t>subscribeCurrencySettlementsCurrencyCode</t>
  </si>
  <si>
    <t>Contract Settlements Currency</t>
  </si>
  <si>
    <t>subscribeServicesCode</t>
  </si>
  <si>
    <t>SubscribeServicesCodeset</t>
  </si>
  <si>
    <t>Service code defined by the distribution</t>
  </si>
  <si>
    <t>subscribeShippingConditions</t>
  </si>
  <si>
    <t>SubscribeShippingConditionsCodeset</t>
  </si>
  <si>
    <t>Shipping condition code defined by the distribution</t>
  </si>
  <si>
    <t>supplementZone1</t>
  </si>
  <si>
    <t>Max500Text</t>
  </si>
  <si>
    <t>Zone supplementaire 1</t>
  </si>
  <si>
    <t>supplementZone2</t>
  </si>
  <si>
    <t>Zone supplementaire 2</t>
  </si>
  <si>
    <t>temp_acceptanceLevelCode</t>
  </si>
  <si>
    <t>temp_Type_apreciser</t>
  </si>
  <si>
    <t>Code niveau acceptation de la carte (donnee commune  P8)</t>
  </si>
  <si>
    <t>COACCT</t>
  </si>
  <si>
    <t>PRECOMP-PC22</t>
  </si>
  <si>
    <t>temp_accountFundingSource</t>
  </si>
  <si>
    <t>Account Funding Source (VI21)</t>
  </si>
  <si>
    <t>CEAFS</t>
  </si>
  <si>
    <t>temp_acquirerCountryCode</t>
  </si>
  <si>
    <t>acceptation country code system</t>
  </si>
  <si>
    <t>COPSAC</t>
  </si>
  <si>
    <t>temp_affectationInstitutionId</t>
  </si>
  <si>
    <t>Code banque d'affectation</t>
  </si>
  <si>
    <t>COBAAF</t>
  </si>
  <si>
    <t>temp_cardIssuerCountryCode</t>
  </si>
  <si>
    <t>code ISO du pays (alphabetique) (donnee commune P14)</t>
  </si>
  <si>
    <t>COPAYS</t>
  </si>
  <si>
    <t>temp_cardRangeStatus</t>
  </si>
  <si>
    <t>Code etat de la plage (donnee commune  P24)</t>
  </si>
  <si>
    <t>CEPLAG</t>
  </si>
  <si>
    <t>temp_cashWithdrawalProcessAvailableIndicator</t>
  </si>
  <si>
    <t>Service monetique retrait disponible (donnee commune  P10-1)</t>
  </si>
  <si>
    <t>CTSMDR</t>
  </si>
  <si>
    <t>temp_cbAccountType</t>
  </si>
  <si>
    <t>identifiant code produit ssN44 (Donnee CB N44) - type de compte</t>
  </si>
  <si>
    <t>CIDCPR</t>
  </si>
  <si>
    <t>temp_cbProductNature</t>
  </si>
  <si>
    <t>code nature produit (Donnee CB N5)</t>
  </si>
  <si>
    <t>CONAPD</t>
  </si>
  <si>
    <t>temp_electronicPaymentlProcessAvailableIndicator</t>
  </si>
  <si>
    <t>Service monetique P.E disponible  (donnee commune  P10-3)</t>
  </si>
  <si>
    <t>CTSMDE</t>
  </si>
  <si>
    <t>temp_electronicPaymentServiceAvalaibleIndicator</t>
  </si>
  <si>
    <t>Service monetique P.N.E disponible (donnee commune P10-2)</t>
  </si>
  <si>
    <t>CTSMDN</t>
  </si>
  <si>
    <t>temp_issuerCardCountryCode</t>
  </si>
  <si>
    <t>Code pays de l'emetteur de la carte</t>
  </si>
  <si>
    <t>COPAYM</t>
  </si>
  <si>
    <t>temp_IssuerRegionNumber</t>
  </si>
  <si>
    <t>numero de la region (donnee VISA VI3 (region ou est l'emetteur de la carte)  ou donnee Mastercard EP91 (a quelle sous region Mastercard appartient le pays)</t>
  </si>
  <si>
    <t>COREGE</t>
  </si>
  <si>
    <t>temp_luhnKeyCheckIndicator</t>
  </si>
  <si>
    <t>Luhn key check indicator</t>
  </si>
  <si>
    <t>CECTCL</t>
  </si>
  <si>
    <t>temp_mainMemberaffectationInstitutionId</t>
  </si>
  <si>
    <t>Code Banque du principal member (VI34)</t>
  </si>
  <si>
    <t>COBANM</t>
  </si>
  <si>
    <t>temp_managerInstitutionId</t>
  </si>
  <si>
    <t>Code etablissement attributaire (donnee commune P7)</t>
  </si>
  <si>
    <t>COETPC</t>
  </si>
  <si>
    <t>temp_maskedPrimaryAccountNumber</t>
  </si>
  <si>
    <t>Max19Text</t>
  </si>
  <si>
    <t>Code carte bancaire</t>
  </si>
  <si>
    <t>COCART</t>
  </si>
  <si>
    <t>PRECOMP-PC03T</t>
  </si>
  <si>
    <t>temp_mastercardCashWithDrawServiceAvalaibleIndicator</t>
  </si>
  <si>
    <t>Classe trait. reseau EPI/MCI retrait (donnee Mastercard EP33)</t>
  </si>
  <si>
    <t>COCTER</t>
  </si>
  <si>
    <t>temp_mastercardElectronicPaymentServiceAvalaibleIndicator</t>
  </si>
  <si>
    <t>Classe trait. reseau EPI/MCI P.E (donnee Mastercard EP53)</t>
  </si>
  <si>
    <t>COCTEE</t>
  </si>
  <si>
    <t>temp_mastercardEuropeSubregionIndicator</t>
  </si>
  <si>
    <t>Indicateur Pays / Sous-Region Europe (donnee Mastercard EP91)</t>
  </si>
  <si>
    <t>CESORE</t>
  </si>
  <si>
    <t>temp_mastercardInterchangeFeeRegionNumber</t>
  </si>
  <si>
    <t>Numero de la region (donnee Mastercard EP97)</t>
  </si>
  <si>
    <t>COREGG</t>
  </si>
  <si>
    <t>temp_mastercardProductId</t>
  </si>
  <si>
    <t>Produit MCI Paiement (donnee Mastercard EP93)</t>
  </si>
  <si>
    <t>COMQCA</t>
  </si>
  <si>
    <t>temp_mastercardProductType</t>
  </si>
  <si>
    <t>Type de produit MCI  (donnee Mastercard EP95)</t>
  </si>
  <si>
    <t>COPRM1</t>
  </si>
  <si>
    <t>temp_mastercardProgramCard</t>
  </si>
  <si>
    <t>Programme Carte  (donnee Mastercard EP32)</t>
  </si>
  <si>
    <t>COMQER</t>
  </si>
  <si>
    <t>temp_mastercardTradeMark</t>
  </si>
  <si>
    <t>Marque commerciale EPI/MCI P.E  (donnee Mastercard EP52)</t>
  </si>
  <si>
    <t>COMQEE</t>
  </si>
  <si>
    <t>temp_panLength</t>
  </si>
  <si>
    <t>Longueur carte ISO2 (donnee commune  P3)</t>
  </si>
  <si>
    <t>CELGC</t>
  </si>
  <si>
    <t>temp_payPass_Enabled_Indicator</t>
  </si>
  <si>
    <t>PayPass Enabled Indicator</t>
  </si>
  <si>
    <t>CEPPEI</t>
  </si>
  <si>
    <t>temp_product_Category</t>
  </si>
  <si>
    <t>Product Category (EP101)</t>
  </si>
  <si>
    <t>CTPROC</t>
  </si>
  <si>
    <t>temp_rangeUsage</t>
  </si>
  <si>
    <t>Usage de la plage (donnee VISA VI11)</t>
  </si>
  <si>
    <t>CEUSAG</t>
  </si>
  <si>
    <t>temp_RecipientBankId</t>
  </si>
  <si>
    <t>Code etablissement destinataire (donnee commune P18)</t>
  </si>
  <si>
    <t>COEDES</t>
  </si>
  <si>
    <t>temp_visaCardSubNetwork</t>
  </si>
  <si>
    <t>Code sous-reseau VISA (donnee Visa VI4)</t>
  </si>
  <si>
    <t>COSRVS</t>
  </si>
  <si>
    <t>temp_visaMarketingRegionCode</t>
  </si>
  <si>
    <t>numero de la region (donnee VISA VI8 (region ou est l'emetteur de la carte)</t>
  </si>
  <si>
    <t>CERVIS</t>
  </si>
  <si>
    <t>temp_visaProductCode</t>
  </si>
  <si>
    <t>Code produit reseau VISA (donnee VISA VI5)</t>
  </si>
  <si>
    <t>COPRVS</t>
  </si>
  <si>
    <t>track1</t>
  </si>
  <si>
    <t>Max76Text</t>
  </si>
  <si>
    <t>Track1</t>
  </si>
  <si>
    <t>ISO45</t>
  </si>
  <si>
    <t>[45]</t>
  </si>
  <si>
    <t>track2</t>
  </si>
  <si>
    <t>Max37Text</t>
  </si>
  <si>
    <t>Track2</t>
  </si>
  <si>
    <t>ISO35 / RSB55_57</t>
  </si>
  <si>
    <t>[35;55-0057]</t>
  </si>
  <si>
    <t>cardAgreement</t>
  </si>
  <si>
    <t>cardAgreementAccountId</t>
  </si>
  <si>
    <t>Account Id linked to the card  (Contrat porteur)</t>
  </si>
  <si>
    <t>cardAgreementDeferredCalendarCode</t>
  </si>
  <si>
    <t>CardAgreementDeferredCalendarCodeset</t>
  </si>
  <si>
    <t>Code du jour du differe (Contrat porteur)</t>
  </si>
  <si>
    <t>cardAgreementEntityId</t>
  </si>
  <si>
    <t>Contract entity Id (Contrat porteur)</t>
  </si>
  <si>
    <t>cardAgreementEntityName</t>
  </si>
  <si>
    <t>Nom de l'entite (Agence, filiale) du contrat porteur  (Contrat porteur)</t>
  </si>
  <si>
    <t>cardAgreementId</t>
  </si>
  <si>
    <t>Contract Id (Contrat porteur)</t>
  </si>
  <si>
    <t>Unique ID of the Agreement</t>
  </si>
  <si>
    <t>cardholder</t>
  </si>
  <si>
    <t>cardholderId</t>
  </si>
  <si>
    <t>Cardholder Id</t>
  </si>
  <si>
    <t>country code of cardholder</t>
  </si>
  <si>
    <t>email</t>
  </si>
  <si>
    <t>email address</t>
  </si>
  <si>
    <t>firstName</t>
  </si>
  <si>
    <t>first name</t>
  </si>
  <si>
    <t>lastName</t>
  </si>
  <si>
    <t>last name</t>
  </si>
  <si>
    <t>localLanguageCode</t>
  </si>
  <si>
    <t xml:space="preserve">local language code </t>
  </si>
  <si>
    <t>middleName</t>
  </si>
  <si>
    <t>middle name</t>
  </si>
  <si>
    <t>phoneNumber</t>
  </si>
  <si>
    <t>phone number</t>
  </si>
  <si>
    <t>CompletePostalAddress</t>
  </si>
  <si>
    <t>RSB57_6 et RSB57_8</t>
  </si>
  <si>
    <t>[57-0006;57-0008]</t>
  </si>
  <si>
    <t>taxCountryCode</t>
  </si>
  <si>
    <t>Commercial cards taxpayer country code</t>
  </si>
  <si>
    <t>[113-26]</t>
  </si>
  <si>
    <t xml:space="preserve">DE 112 SE 45 SF 1 </t>
  </si>
  <si>
    <t>taxRegistrationIdentication</t>
  </si>
  <si>
    <t>Commercial cards taxpayer identification number</t>
  </si>
  <si>
    <t>[113-27]</t>
  </si>
  <si>
    <t>DE 112 SE 45 SF 2</t>
  </si>
  <si>
    <t>taxRegistrationReasonCode</t>
  </si>
  <si>
    <t>Commercial cards tax registration reason code</t>
  </si>
  <si>
    <t>[113-28]</t>
  </si>
  <si>
    <t>DE 112 SE 45 SF 3</t>
  </si>
  <si>
    <t>merchant</t>
  </si>
  <si>
    <t>acceptanceChannel</t>
  </si>
  <si>
    <t>AcceptanceChannelCodeset</t>
  </si>
  <si>
    <t>Acceptance channel</t>
  </si>
  <si>
    <t>acceptanceSystemLogicalNumber</t>
  </si>
  <si>
    <t>Max3NumericText</t>
  </si>
  <si>
    <t>Logical Number of POS</t>
  </si>
  <si>
    <t>RSB59_203</t>
  </si>
  <si>
    <t>[59-0203]</t>
  </si>
  <si>
    <t>allowedCountry</t>
  </si>
  <si>
    <t>ISO2AlphaNumericCountryCode</t>
  </si>
  <si>
    <t>Merchant processing allowed countries</t>
  </si>
  <si>
    <t>allowedCurrency</t>
  </si>
  <si>
    <t>ISO3AlphaNumericCurrencyCode</t>
  </si>
  <si>
    <t>Merchant processing allowed currencies</t>
  </si>
  <si>
    <t>allowedSchemeCode</t>
  </si>
  <si>
    <t>Merchant allowed schemes</t>
  </si>
  <si>
    <t>anonymousIndicator</t>
  </si>
  <si>
    <t>Anonymous Indicator (Top)</t>
  </si>
  <si>
    <t>detail du champ merchantAdditionalData</t>
  </si>
  <si>
    <t>AUT368</t>
  </si>
  <si>
    <t>companyRegistrationNumber</t>
  </si>
  <si>
    <t>Max14AlphaNumericText</t>
  </si>
  <si>
    <t>COMPANY REGISTRATION NUMBER</t>
  </si>
  <si>
    <t>SIRET en France</t>
  </si>
  <si>
    <t>RSB47_96</t>
  </si>
  <si>
    <t>[47-96]</t>
  </si>
  <si>
    <t>46 DF5D</t>
  </si>
  <si>
    <t>companyRegistrationNumberCategory</t>
  </si>
  <si>
    <t>CompanyRegistrationNumberCategoryCodeset</t>
  </si>
  <si>
    <t>COMPANY REGISTRATION NUMBER Type</t>
  </si>
  <si>
    <t xml:space="preserve">Precise le Type de reference ( SIRET, SIRET Fictif, autre) transporte par le companyRegistrationNumber </t>
  </si>
  <si>
    <t>contact</t>
  </si>
  <si>
    <t>ContactType</t>
  </si>
  <si>
    <t>Merchant contact information</t>
  </si>
  <si>
    <t>cryptoCurrencyIndicator</t>
  </si>
  <si>
    <t>Crypto Currency Indicator (Top)</t>
  </si>
  <si>
    <t>dynamicMerchantNameIndicator</t>
  </si>
  <si>
    <t>Dynamic Merchant Name Indicator (Top)</t>
  </si>
  <si>
    <t>foreignCurrencyIndicator</t>
  </si>
  <si>
    <t>capability to master foreign currency by merchant from contract</t>
  </si>
  <si>
    <t>genericMid</t>
  </si>
  <si>
    <t>Min7Max15NumericText</t>
  </si>
  <si>
    <t>Generic parent MID. Permit to make a relation between several merchants and parent ID.</t>
  </si>
  <si>
    <t>genericMidIndicator</t>
  </si>
  <si>
    <t>Indicate if a merchant is related to a generic parent MID</t>
  </si>
  <si>
    <t>governmentCountryCode</t>
  </si>
  <si>
    <t>Gouvernment Country Code (Top)</t>
  </si>
  <si>
    <t>internationalBankAccountNumber</t>
  </si>
  <si>
    <t>IBANIdentifier</t>
  </si>
  <si>
    <t>Type de compte bancaire (ou type d'IBAN) CRDT et DEBT dans un premier temps. Bank account information</t>
  </si>
  <si>
    <t>locationCategoryCode</t>
  </si>
  <si>
    <t>Max8Text</t>
  </si>
  <si>
    <t>POS location</t>
  </si>
  <si>
    <t>Pas de restriction malgre CBAE</t>
  </si>
  <si>
    <t>RSB47_8</t>
  </si>
  <si>
    <t>[47-08]</t>
  </si>
  <si>
    <t>merchantAdditionalData</t>
  </si>
  <si>
    <t>Max200Text</t>
  </si>
  <si>
    <t>Merchant data connected with merchantType</t>
  </si>
  <si>
    <t>Stricte equivalent du champ AUT368 mais ce serait mieux de le decomposer avec les champs ci-dessous</t>
  </si>
  <si>
    <t>merchantCategory</t>
  </si>
  <si>
    <t>MerchantCategoryCodeset</t>
  </si>
  <si>
    <t>Type of Merchant</t>
  </si>
  <si>
    <t>AUT367</t>
  </si>
  <si>
    <t>ISO18245MerchantCategoryCode</t>
  </si>
  <si>
    <t>Merchant Category Code</t>
  </si>
  <si>
    <t>ISO18</t>
  </si>
  <si>
    <t>[18]</t>
  </si>
  <si>
    <t>merchantFrenchContractNumber</t>
  </si>
  <si>
    <t>Max7NumericText</t>
  </si>
  <si>
    <t>Merchant Contract Number</t>
  </si>
  <si>
    <t>France = ISO42 sur 7c.</t>
  </si>
  <si>
    <t>RSB59_202</t>
  </si>
  <si>
    <t>[59-0202]</t>
  </si>
  <si>
    <t>merchantIdentification</t>
  </si>
  <si>
    <t>MerchantIdType</t>
  </si>
  <si>
    <t>Merchant (ID, Name, Usage : Processing, CB, Visa, MC, Interal, External)</t>
  </si>
  <si>
    <t>France 7c / Inernational jusqu'à 15c</t>
  </si>
  <si>
    <t>ISO42</t>
  </si>
  <si>
    <t>[42]</t>
  </si>
  <si>
    <t>x</t>
  </si>
  <si>
    <t>merchantProcessingEndDate</t>
  </si>
  <si>
    <t>Date de fin de l'effet du contrat</t>
  </si>
  <si>
    <t>merchantProcessingStartDate</t>
  </si>
  <si>
    <t>Date de debut d'effet du contrat</t>
  </si>
  <si>
    <t>midManagementIndicator</t>
  </si>
  <si>
    <t>Indicate if the processor is reponsible for the MID creation</t>
  </si>
  <si>
    <t>poiIdByAcquirer</t>
  </si>
  <si>
    <t>POINT OF INTERACTION IDENTIFIER ASSIGNED BY AN ACQUIRER</t>
  </si>
  <si>
    <t>RSB47_97</t>
  </si>
  <si>
    <t>[47-97]</t>
  </si>
  <si>
    <t>pointOfSale</t>
  </si>
  <si>
    <t>PointOfSaleType</t>
  </si>
  <si>
    <t>Structure giving information related to the point sale (Point de vente) : ID, Name, Adress</t>
  </si>
  <si>
    <t>Complete Postal Address</t>
  </si>
  <si>
    <t>ISO43_p2</t>
  </si>
  <si>
    <t>[43-p2]</t>
  </si>
  <si>
    <t>43 -p 2</t>
  </si>
  <si>
    <t>readingMode</t>
  </si>
  <si>
    <t>ReadingModeCodeset</t>
  </si>
  <si>
    <t>Payment reading mode</t>
  </si>
  <si>
    <t>signName</t>
  </si>
  <si>
    <t>Sign name</t>
  </si>
  <si>
    <t>singleContractIndicator</t>
  </si>
  <si>
    <t>Single contract Indicator (Top)</t>
  </si>
  <si>
    <t>temp_anonymousDynamicPlaque</t>
  </si>
  <si>
    <t>Top ligne plaque dynamique</t>
  </si>
  <si>
    <t>TOPLPD</t>
  </si>
  <si>
    <t>temp_merchantCommunicationMedia</t>
  </si>
  <si>
    <t>temp_merchantCommunicationMediaCodeset</t>
  </si>
  <si>
    <t>Libelle abrege media gestion doublon</t>
  </si>
  <si>
    <t>LIABMD</t>
  </si>
  <si>
    <t>temp_paymentCurrency</t>
  </si>
  <si>
    <t>patment currency for merchant</t>
  </si>
  <si>
    <t>xxxx</t>
  </si>
  <si>
    <t>temp_productIdMasterRepository</t>
  </si>
  <si>
    <t>Code produit + flux de l'operation : Code produit metier dans le referentiel maitre</t>
  </si>
  <si>
    <t>CTOPI2</t>
  </si>
  <si>
    <t>temp_visaMarketPlaceId</t>
  </si>
  <si>
    <t>Identifiant Marketplace VISA</t>
  </si>
  <si>
    <t>COMPVI</t>
  </si>
  <si>
    <t>payee</t>
  </si>
  <si>
    <t>accountNumber</t>
  </si>
  <si>
    <t>Max35AlphaNumericText</t>
  </si>
  <si>
    <t>Account Number of Payee</t>
  </si>
  <si>
    <t>118_3014</t>
  </si>
  <si>
    <t>112_05</t>
  </si>
  <si>
    <t>118_3001</t>
  </si>
  <si>
    <t>112_06</t>
  </si>
  <si>
    <t>payer</t>
  </si>
  <si>
    <t>Account Number of Payer</t>
  </si>
  <si>
    <t>118_2014</t>
  </si>
  <si>
    <t>financialInstitutionId</t>
  </si>
  <si>
    <t>BIC of financial institution</t>
  </si>
  <si>
    <t>118_2012</t>
  </si>
  <si>
    <t>112_09</t>
  </si>
  <si>
    <t xml:space="preserve">IBAN </t>
  </si>
  <si>
    <t>118_2013</t>
  </si>
  <si>
    <t>059_1210</t>
  </si>
  <si>
    <t>59.1210</t>
  </si>
  <si>
    <t>sponsoredMerchant</t>
  </si>
  <si>
    <t>finalMerchantAdress</t>
  </si>
  <si>
    <t>Additionnal adress data</t>
  </si>
  <si>
    <t>059_0004</t>
  </si>
  <si>
    <t>finalMerchantId</t>
  </si>
  <si>
    <t>Exact15Text</t>
  </si>
  <si>
    <t>Identifier of final Merchant</t>
  </si>
  <si>
    <t>comprendre Sous marchant</t>
  </si>
  <si>
    <t>RSB57_27</t>
  </si>
  <si>
    <t>[57-0027]</t>
  </si>
  <si>
    <t>104, Usage 2 Dataset 56 Tag 256 Tag02</t>
  </si>
  <si>
    <t xml:space="preserve">MCI DE48 SE37 SF03 </t>
  </si>
  <si>
    <t>independantSalesOrganisationId</t>
  </si>
  <si>
    <t xml:space="preserve">id of independant sales organisation </t>
  </si>
  <si>
    <t>RSB 57-0024</t>
  </si>
  <si>
    <t>59_ part 2</t>
  </si>
  <si>
    <t>56-0024</t>
  </si>
  <si>
    <t>marketPlaceForeignRetailIndicator</t>
  </si>
  <si>
    <t>market place foreign indicator</t>
  </si>
  <si>
    <t>059_0030</t>
  </si>
  <si>
    <t>marketPlaceId</t>
  </si>
  <si>
    <t>Identification of Market Place</t>
  </si>
  <si>
    <t>56_26</t>
  </si>
  <si>
    <t>paymentFacilitatorId</t>
  </si>
  <si>
    <t>Identifier of Payment Facilitator</t>
  </si>
  <si>
    <t>RSB57_25</t>
  </si>
  <si>
    <t>[57-0025]</t>
  </si>
  <si>
    <t>terminal</t>
  </si>
  <si>
    <t>acceptanceSystemApplicationId</t>
  </si>
  <si>
    <t>Card Acceptor Application Type</t>
  </si>
  <si>
    <t>TASA</t>
  </si>
  <si>
    <t>59-020B</t>
  </si>
  <si>
    <t>acceptanceSystemComponentsIdentifier</t>
  </si>
  <si>
    <t xml:space="preserve">Acceptance System Components Identifier </t>
  </si>
  <si>
    <t>46.DF50</t>
  </si>
  <si>
    <t>acceptanceSystemIdentifierAssignedByAnAcquirer</t>
  </si>
  <si>
    <t>Exact8AlphaNumericText</t>
  </si>
  <si>
    <t>Acceptance system identifier assigned by an acquirer</t>
  </si>
  <si>
    <t>46.DF5E</t>
  </si>
  <si>
    <t>applicationStatus</t>
  </si>
  <si>
    <t>ApplicationStatusCodeset</t>
  </si>
  <si>
    <t>Application status</t>
  </si>
  <si>
    <t>46_DF54</t>
  </si>
  <si>
    <t>approvalCodeLength</t>
  </si>
  <si>
    <t xml:space="preserve">Maximum length of the authorisation number </t>
  </si>
  <si>
    <t>AVO : ne peut pas être un Codeset car indique une longueur</t>
  </si>
  <si>
    <t>ISO27</t>
  </si>
  <si>
    <t>[27]</t>
  </si>
  <si>
    <t>cardAcceptorArchitectureCategory</t>
  </si>
  <si>
    <t>CardAcceptorArchitectureCategoryCodeset</t>
  </si>
  <si>
    <t>Card acceptor architecture type</t>
  </si>
  <si>
    <t>46.DF52</t>
  </si>
  <si>
    <t>cardAcceptorLogicalNumber</t>
  </si>
  <si>
    <t>Card acceptor logical number</t>
  </si>
  <si>
    <t>46.DF51</t>
  </si>
  <si>
    <t>cardholderAuthenticationCapabilities</t>
  </si>
  <si>
    <t>CardholderAuthenticationCapabilitiesCodeset</t>
  </si>
  <si>
    <t>Cardholder authentication capability</t>
  </si>
  <si>
    <t>21 part 2</t>
  </si>
  <si>
    <t>cardholderPickUpCapabilities</t>
  </si>
  <si>
    <t>CardholderPickUpCapabilitiesCodeset</t>
  </si>
  <si>
    <t>Cardholder pick-up capability</t>
  </si>
  <si>
    <t>21 part 3</t>
  </si>
  <si>
    <t>cardReadingCapabilities</t>
  </si>
  <si>
    <t>CardReadingCapabilitiesCodeset</t>
  </si>
  <si>
    <t>Card Reading Capabilities</t>
  </si>
  <si>
    <t>Voir aussi 47_30 et liste des valeurs</t>
  </si>
  <si>
    <t>RSB47_3</t>
  </si>
  <si>
    <t>[47-03]</t>
  </si>
  <si>
    <t>21 part 1 (614)</t>
  </si>
  <si>
    <t>cardWriteCapabilities</t>
  </si>
  <si>
    <t>CardWriteCapabilitiesCodeset</t>
  </si>
  <si>
    <t>Card write capability</t>
  </si>
  <si>
    <t>21 part 4</t>
  </si>
  <si>
    <t>Acceptance System Country Code</t>
  </si>
  <si>
    <t>Norme ISO-3166</t>
  </si>
  <si>
    <t>RSB55_9F1A / RSB59_205</t>
  </si>
  <si>
    <t>[55-9F1A;59-0205]</t>
  </si>
  <si>
    <t>47_18</t>
  </si>
  <si>
    <t>ipAddress</t>
  </si>
  <si>
    <t>Min4Max45Text</t>
  </si>
  <si>
    <t>IP Address</t>
  </si>
  <si>
    <t>RSB57_10</t>
  </si>
  <si>
    <t>[57-0010]</t>
  </si>
  <si>
    <t>iTpsa</t>
  </si>
  <si>
    <t>Acceptance system terminal application identifier</t>
  </si>
  <si>
    <t>à renomer avec le projet ref commerçant</t>
  </si>
  <si>
    <t>RSB59_201</t>
  </si>
  <si>
    <t>[59-0201]</t>
  </si>
  <si>
    <t>iTpta</t>
  </si>
  <si>
    <t>Identifier of the point of acceptance terminal application</t>
  </si>
  <si>
    <t>BPO : ITP TA - Cf 59_201 ITP SA</t>
  </si>
  <si>
    <t>RSB59_215</t>
  </si>
  <si>
    <t>[59-0215]</t>
  </si>
  <si>
    <t>kernelId</t>
  </si>
  <si>
    <t>terminal kernel identifier</t>
  </si>
  <si>
    <t>55-96</t>
  </si>
  <si>
    <t>messageDisplayPrintCapabilities</t>
  </si>
  <si>
    <t>MessageDisplayPrintCapabilitiesCodeset</t>
  </si>
  <si>
    <t>Message display/print capability</t>
  </si>
  <si>
    <t>21 part 5</t>
  </si>
  <si>
    <t>pciPedApprovalLevel</t>
  </si>
  <si>
    <t>PCI PED approval level</t>
  </si>
  <si>
    <t>46 DF97</t>
  </si>
  <si>
    <t>pinLengthCapabilities</t>
  </si>
  <si>
    <t>4Or6NumericText</t>
  </si>
  <si>
    <t>PIN lenght Capabilities</t>
  </si>
  <si>
    <t>RSB26</t>
  </si>
  <si>
    <t>[26]</t>
  </si>
  <si>
    <t>pinReadingCapabilities</t>
  </si>
  <si>
    <t>PinReadingCapabilitiesCodeset</t>
  </si>
  <si>
    <t>PIN reading capability</t>
  </si>
  <si>
    <t>21 part 6</t>
  </si>
  <si>
    <t>poiAssignedByAnAcquirer</t>
  </si>
  <si>
    <t>Point of interaction identifier assigned by an acquirer</t>
  </si>
  <si>
    <t>46.DF5C</t>
  </si>
  <si>
    <t>poiInformation</t>
  </si>
  <si>
    <t>POIInformationCodeset</t>
  </si>
  <si>
    <t>point of interaction information</t>
  </si>
  <si>
    <t>RSB47_31</t>
  </si>
  <si>
    <t>[47-31]</t>
  </si>
  <si>
    <t>poiLogicalNumber</t>
  </si>
  <si>
    <t>Logical number</t>
  </si>
  <si>
    <t>RSB59_204</t>
  </si>
  <si>
    <t>[59-0204]</t>
  </si>
  <si>
    <t>serialNumber</t>
  </si>
  <si>
    <t>Serial Number</t>
  </si>
  <si>
    <t>BPO : Pas Merchant, plutôt Terminal</t>
  </si>
  <si>
    <t>RSB57_19</t>
  </si>
  <si>
    <t>[57-0019]</t>
  </si>
  <si>
    <t>46_DF95</t>
  </si>
  <si>
    <t>temp_lastCaptureDate</t>
  </si>
  <si>
    <t>Last data capture timestamp</t>
  </si>
  <si>
    <t>46 DF60_1</t>
  </si>
  <si>
    <t>temp_lastParameterDownloadingDate</t>
  </si>
  <si>
    <t>Last parameters downloading timestamp</t>
  </si>
  <si>
    <t>46 DF60_2</t>
  </si>
  <si>
    <t>temp_lastSoftwareUpdateDate</t>
  </si>
  <si>
    <t>Last software downloading timestamp</t>
  </si>
  <si>
    <t>46 DF60_3</t>
  </si>
  <si>
    <t>terminalCapabilities</t>
  </si>
  <si>
    <t>Exact3HexBinaryText</t>
  </si>
  <si>
    <t>Terminal Capabilities</t>
  </si>
  <si>
    <t>RSB55_9F33</t>
  </si>
  <si>
    <t>[55-9F33]</t>
  </si>
  <si>
    <t>terminalCategory</t>
  </si>
  <si>
    <t>Terminal Type</t>
  </si>
  <si>
    <t>RSB55_9F35</t>
  </si>
  <si>
    <t>[55-9F35]</t>
  </si>
  <si>
    <t>terminalId</t>
  </si>
  <si>
    <t>Exact8Text</t>
  </si>
  <si>
    <t>Terminal identifier</t>
  </si>
  <si>
    <t>ISO41 / T080</t>
  </si>
  <si>
    <t>[41]</t>
  </si>
  <si>
    <t>terminalIdsa</t>
  </si>
  <si>
    <t>ACCEPTANCE SYSTEM IDENTIFIER ASSIGNED BY AN ACQUIRER</t>
  </si>
  <si>
    <t>RSB47_A0</t>
  </si>
  <si>
    <t>[47-A0]</t>
  </si>
  <si>
    <t>token</t>
  </si>
  <si>
    <t>primaryAccountNumberToken</t>
  </si>
  <si>
    <t>Primary Account Number Token/ID</t>
  </si>
  <si>
    <t>tokenAssuranceMethod</t>
  </si>
  <si>
    <t>Value that allows a Token Service Provider to indicate the identification and verification
performed representing the binding of the payment token to the underlying PAN and cardholder</t>
  </si>
  <si>
    <t>RSB105_04</t>
  </si>
  <si>
    <t>[105-04]</t>
  </si>
  <si>
    <t>tokenProgramIndicator</t>
  </si>
  <si>
    <t>value that can identify transactions eligible for token services.</t>
  </si>
  <si>
    <t>RSB108_0359</t>
  </si>
  <si>
    <t>[108-0359]</t>
  </si>
  <si>
    <t>tokenRequestorIdentification</t>
  </si>
  <si>
    <t xml:space="preserve"> Identifier of a token provider requestor</t>
  </si>
  <si>
    <t>RSB105_03</t>
  </si>
  <si>
    <t>[105-03]</t>
  </si>
  <si>
    <t>trustedMerchantExemptionIndicator</t>
  </si>
  <si>
    <t>Trusted merchant exemption indicator</t>
  </si>
  <si>
    <t>RSB119_0002</t>
  </si>
  <si>
    <t>[119-0002]</t>
  </si>
  <si>
    <t>wallet</t>
  </si>
  <si>
    <t>digitalWalletName</t>
  </si>
  <si>
    <t>DigitalWalletNameCodeset</t>
  </si>
  <si>
    <t>digital wallet name</t>
  </si>
  <si>
    <t>58_0415</t>
  </si>
  <si>
    <t>walletId</t>
  </si>
  <si>
    <t>Wallet Identifier</t>
  </si>
  <si>
    <t>RSB57_12_p2</t>
  </si>
  <si>
    <t>[57-0012-p2]</t>
  </si>
  <si>
    <t>walletNomenclature</t>
  </si>
  <si>
    <t>WalletNomenclatureCodeset</t>
  </si>
  <si>
    <t>Wallet Type</t>
  </si>
  <si>
    <t>RSB57_12_p1</t>
  </si>
  <si>
    <t>[57-0012-p]</t>
  </si>
  <si>
    <t>Header</t>
  </si>
  <si>
    <t>headerFunctionalInfo</t>
  </si>
  <si>
    <t>datetime</t>
  </si>
  <si>
    <t>Event/Stream  generation date</t>
  </si>
  <si>
    <t xml:space="preserve">Vision fonctionnelle </t>
  </si>
  <si>
    <t>messageDescription</t>
  </si>
  <si>
    <t>Free description</t>
  </si>
  <si>
    <t>messageFunction</t>
  </si>
  <si>
    <t>MessageFunctionCodeset</t>
  </si>
  <si>
    <t>Message Function</t>
  </si>
  <si>
    <t>T121 ou FRD10</t>
  </si>
  <si>
    <t>protocolVersion</t>
  </si>
  <si>
    <t>AdditionalDataType</t>
  </si>
  <si>
    <t>Message Protocol Version</t>
  </si>
  <si>
    <t>T021</t>
  </si>
  <si>
    <t>recipientPartyResponseCode</t>
  </si>
  <si>
    <t>Estreem internal response code</t>
  </si>
  <si>
    <t>T130</t>
  </si>
  <si>
    <t>vacationNumber</t>
  </si>
  <si>
    <t>Max5NumericText</t>
  </si>
  <si>
    <t>Vacation reference number within which the corresponding CRE will be submittted.</t>
  </si>
  <si>
    <t>additionalResponseData</t>
  </si>
  <si>
    <t>acceptorAdvice</t>
  </si>
  <si>
    <t>Acceptor advice</t>
  </si>
  <si>
    <t>BPO : C'est une info Acquereur vers Accepteur - Que dans l reponse</t>
  </si>
  <si>
    <t>RSB119_0801</t>
  </si>
  <si>
    <t>[119-0801]</t>
  </si>
  <si>
    <t>accountFundingSource</t>
  </si>
  <si>
    <t>AccountFundingSourceCodeset</t>
  </si>
  <si>
    <t>Account Funding Source</t>
  </si>
  <si>
    <t>[112-1001-p1]</t>
  </si>
  <si>
    <t>field 111 Dataset ID 56 Tag 80</t>
  </si>
  <si>
    <t>accountNameRequestResult</t>
  </si>
  <si>
    <t>VFNCodeset</t>
  </si>
  <si>
    <t>Account Name Request Result</t>
  </si>
  <si>
    <t>RSB119_25</t>
  </si>
  <si>
    <t>34 / ID 4 / Tag C0</t>
  </si>
  <si>
    <t>DE 108 SE 08 SF01, DE 108 SE 08 SF02</t>
  </si>
  <si>
    <t>additionalAuthenticationMethod</t>
  </si>
  <si>
    <t>AdditionalAuthenticationMethodCodeset</t>
  </si>
  <si>
    <t>Additional Authentication Method</t>
  </si>
  <si>
    <t>58_0414_p3.1</t>
  </si>
  <si>
    <t>additionalAuthenticationReasonCode</t>
  </si>
  <si>
    <t>AdditionalAuthenticationReasonCodeCodeset</t>
  </si>
  <si>
    <t>Additional Authentication Reason Code</t>
  </si>
  <si>
    <t>58_0414 part 3.2</t>
  </si>
  <si>
    <t>additionalElectronicCommerceDataElementsNomenclature</t>
  </si>
  <si>
    <t>AdditionalElectronicCommerceDataElementsCodeset</t>
  </si>
  <si>
    <t>Nomenclature</t>
  </si>
  <si>
    <t>58_0414 part 1</t>
  </si>
  <si>
    <t>addServiceReportData</t>
  </si>
  <si>
    <t>AddServiceReportDataCodeset</t>
  </si>
  <si>
    <t>Partie 2 du champ CBAE 44_AE</t>
  </si>
  <si>
    <t>RSB44_AE_p2</t>
  </si>
  <si>
    <t>[44-AE-p2]</t>
  </si>
  <si>
    <t>addServiceReportId</t>
  </si>
  <si>
    <t>AddServiceReportIDCodeset</t>
  </si>
  <si>
    <t>Partie 1 du champ CBAE 44_AE</t>
  </si>
  <si>
    <t>RSB44_AE_p1</t>
  </si>
  <si>
    <t>[44-AE-p1]</t>
  </si>
  <si>
    <t>applicationCryptogramProcessingInformation</t>
  </si>
  <si>
    <t>ApplicationCryptogramProcessingInformationCodeset</t>
  </si>
  <si>
    <t>Appication cryptogram verification results</t>
  </si>
  <si>
    <t>RSB44_CB</t>
  </si>
  <si>
    <t>[44-CB]</t>
  </si>
  <si>
    <t>appliedAuthorisationCharacteristicsIndicator</t>
  </si>
  <si>
    <t>Applied authorisation Characteristics Indicator</t>
  </si>
  <si>
    <t>[112-1001-p2]</t>
  </si>
  <si>
    <t>59_1001 part 2</t>
  </si>
  <si>
    <t>field 111 Dataset ID 56 Tag 82</t>
  </si>
  <si>
    <t>appliedCardholderIDMethod</t>
  </si>
  <si>
    <t>Applied cardholder ID method</t>
  </si>
  <si>
    <t>59_1001 part 8</t>
  </si>
  <si>
    <t>appliedMarketSpecificDataIndicator</t>
  </si>
  <si>
    <t>Applied Market Specific Data Indicator</t>
  </si>
  <si>
    <t>[112-1001-p3]</t>
  </si>
  <si>
    <t>field 111 Dataset ID 56 Tag 84</t>
  </si>
  <si>
    <t>cardAuthenticationResultsCode</t>
  </si>
  <si>
    <t xml:space="preserve">Champ retourne par Visa dans le Field 44.8 </t>
  </si>
  <si>
    <t>ARQC Control Delegation</t>
  </si>
  <si>
    <t>cardholderAddressCheckingInformation</t>
  </si>
  <si>
    <t>CardholderAddressCheckingInformationCodeset</t>
  </si>
  <si>
    <t>Cardholder address checking information</t>
  </si>
  <si>
    <t>RSB44_CC</t>
  </si>
  <si>
    <t>[44-CC]</t>
  </si>
  <si>
    <t>cardholderBillingCurrencyCode</t>
  </si>
  <si>
    <t>To define the currency code of the cardholder</t>
  </si>
  <si>
    <t>cardholderBillingCurrencyUnits</t>
  </si>
  <si>
    <t>Minor units of the card billing currency</t>
  </si>
  <si>
    <t>cardTypeCode</t>
  </si>
  <si>
    <t>CardTypeCodeset</t>
  </si>
  <si>
    <t>To define the card type : Debit, Credit, Prepaid or Unknown</t>
  </si>
  <si>
    <t>cryptogramProcessingInformation</t>
  </si>
  <si>
    <t>CryptogramProcessingInformationCodeset</t>
  </si>
  <si>
    <t>Track or equivalent data cryptogram processing information</t>
  </si>
  <si>
    <t>RSB44_CA</t>
  </si>
  <si>
    <t>[44-CA]</t>
  </si>
  <si>
    <t>destinationCurrencyCode</t>
  </si>
  <si>
    <t>Recipient issuer currency code</t>
  </si>
  <si>
    <t>destinationCurrencyUnits</t>
  </si>
  <si>
    <t>Recipient issuer currency code minor units</t>
  </si>
  <si>
    <t>emailAddressVerificationResult</t>
  </si>
  <si>
    <t>Email address verification Result</t>
  </si>
  <si>
    <t>RSB119_34</t>
  </si>
  <si>
    <t>[119-0034]</t>
  </si>
  <si>
    <t>123 / 2 / ID 67 / Tag 85</t>
  </si>
  <si>
    <t>expenseThreshold</t>
  </si>
  <si>
    <t>Champ retourne par Visa dans le Field 59.604</t>
  </si>
  <si>
    <t>Control de plafonds par Visa</t>
  </si>
  <si>
    <t>extendedMessageToInitiatorNature</t>
  </si>
  <si>
    <t>ExtendedMessageNatureCodeset</t>
  </si>
  <si>
    <t>Extended Message To The Transaction Initiator Nature</t>
  </si>
  <si>
    <t>RSB119_0BC</t>
  </si>
  <si>
    <t>[119-00BC]</t>
  </si>
  <si>
    <t>extendedMessageToInitiatorValue</t>
  </si>
  <si>
    <t>Extended Message To The Transaction Initiator</t>
  </si>
  <si>
    <t>fastFundIndicator</t>
  </si>
  <si>
    <t>Indicate if and how recipient issuer participates in fast funds transfer</t>
  </si>
  <si>
    <t>fieldConversionEntitySource</t>
  </si>
  <si>
    <t>FieldConversionEntitySourceCodeset</t>
  </si>
  <si>
    <t>Entity responsible for the conversion</t>
  </si>
  <si>
    <t>RSB44_AC_p1</t>
  </si>
  <si>
    <t>[44-AC-p1]</t>
  </si>
  <si>
    <t>fieldConversionFieldNumber</t>
  </si>
  <si>
    <t>Field number</t>
  </si>
  <si>
    <t>RSB44_AC_p2</t>
  </si>
  <si>
    <t>[44-AC-p2]</t>
  </si>
  <si>
    <t>fieldConversionResponsibleValue</t>
  </si>
  <si>
    <t>Max17Text</t>
  </si>
  <si>
    <t>Initial value or the value used on an approved network</t>
  </si>
  <si>
    <t>RSB44_AC_p3</t>
  </si>
  <si>
    <t>[44-AC-p3]</t>
  </si>
  <si>
    <t>firstNameAccountMatchDecision</t>
  </si>
  <si>
    <t>First name account match decision</t>
  </si>
  <si>
    <t>RSB119_0026_ p4</t>
  </si>
  <si>
    <t>[119-0026-p4]</t>
  </si>
  <si>
    <t>fullNameAccountMatchDecision</t>
  </si>
  <si>
    <t>Full name account match decision</t>
  </si>
  <si>
    <t>RSB119_0026_ p1</t>
  </si>
  <si>
    <t>[119-0026-p1]</t>
  </si>
  <si>
    <t>geoRestrictionIndicator</t>
  </si>
  <si>
    <t>Indicate if issuer is blocked for receiving cross-border OCTs</t>
  </si>
  <si>
    <t>incorrectFieldErrorCode</t>
  </si>
  <si>
    <t>IncorrectFieldErrorCodeCodeset</t>
  </si>
  <si>
    <t>Error code</t>
  </si>
  <si>
    <t>RSB specifique</t>
  </si>
  <si>
    <t>RSB44_AA_p3</t>
  </si>
  <si>
    <t>[44-AA-p3]</t>
  </si>
  <si>
    <t>incorrectFieldNumber</t>
  </si>
  <si>
    <t>Incorrect field number</t>
  </si>
  <si>
    <t>RSB44_AA_p1</t>
  </si>
  <si>
    <t>[44-AA-p1]</t>
  </si>
  <si>
    <t>incorrectSubfield</t>
  </si>
  <si>
    <t>Max4Text</t>
  </si>
  <si>
    <t>Incorrect field type</t>
  </si>
  <si>
    <t>RSB44_AA_p2</t>
  </si>
  <si>
    <t>[44-AA-p2]</t>
  </si>
  <si>
    <t>issuerFunctionalIdentifier</t>
  </si>
  <si>
    <t>Transfer recipient issuer's Business ID</t>
  </si>
  <si>
    <t>issuerInstitutionCountryCode</t>
  </si>
  <si>
    <t>Recipient issuer 3-digit country code</t>
  </si>
  <si>
    <t>lastNameAccountMatchDecision</t>
  </si>
  <si>
    <t>Last name account match decision</t>
  </si>
  <si>
    <t>RSB119_0026 _p2</t>
  </si>
  <si>
    <t>[119-0026-p2]</t>
  </si>
  <si>
    <t>mastercardMagstripeError</t>
  </si>
  <si>
    <t>Champ retourne par Mastercard dans le Field DE48 SE88  si le Field DE22 a ete modifie</t>
  </si>
  <si>
    <t>mastercardMagstripeErrorCategory</t>
  </si>
  <si>
    <t>Magstripe integrity control information</t>
  </si>
  <si>
    <t>Champ MCI</t>
  </si>
  <si>
    <t>RSB47_72</t>
  </si>
  <si>
    <t>[47-72]</t>
  </si>
  <si>
    <t>maximumAmountAuthorisable</t>
  </si>
  <si>
    <t>Maximum amount for which an autorisation can be granted</t>
  </si>
  <si>
    <t>RSB44_BA</t>
  </si>
  <si>
    <t>[44-BA]</t>
  </si>
  <si>
    <t>maximumNumberReattempts</t>
  </si>
  <si>
    <t>Maximum number of reattempts</t>
  </si>
  <si>
    <t>RSB119_0803_ p2</t>
  </si>
  <si>
    <t>[119-0803-p2]</t>
  </si>
  <si>
    <t>merchantAdviceCode</t>
  </si>
  <si>
    <t>Merchant advice code</t>
  </si>
  <si>
    <t>similaire au 119-801 - C'est une reponse Acquereur vers Accepteur</t>
  </si>
  <si>
    <t>RSB59_801</t>
  </si>
  <si>
    <t>[59-0801]</t>
  </si>
  <si>
    <t>merchantVerificationValue</t>
  </si>
  <si>
    <t>Exact10NumericText</t>
  </si>
  <si>
    <t>Merchant program – Merchant Verification Value</t>
  </si>
  <si>
    <t>59_1001 part 7</t>
  </si>
  <si>
    <t>messageToTransactionInitiatorCtrlCharacter</t>
  </si>
  <si>
    <t>MessageToTransactionInitiatorCtrlCharacterCodeset</t>
  </si>
  <si>
    <t>Control character</t>
  </si>
  <si>
    <t>RSB44_BC_p1</t>
  </si>
  <si>
    <t>[44-BC-p1]</t>
  </si>
  <si>
    <t>messageToTransactionInitiatorMessage</t>
  </si>
  <si>
    <t>Response message</t>
  </si>
  <si>
    <t>RSB44_BC_p2</t>
  </si>
  <si>
    <t>[44-BC-p2]</t>
  </si>
  <si>
    <t>middleNameAccountMatchDecision</t>
  </si>
  <si>
    <t>Middle name account match decision</t>
  </si>
  <si>
    <t>RSB119_0026_ p3</t>
  </si>
  <si>
    <t>[119-0026-p3]</t>
  </si>
  <si>
    <t>modifiedElectronicCommerceAuthentification</t>
  </si>
  <si>
    <t>ModifiedElectronicCommerceAuthentificationCodeset</t>
  </si>
  <si>
    <t>Modified electronic commerce authentication type</t>
  </si>
  <si>
    <t>RSB59_413</t>
  </si>
  <si>
    <t>[59-0413]</t>
  </si>
  <si>
    <t>networkEquipmentIdentifier</t>
  </si>
  <si>
    <t>Informations complementaires de eRSB dans le cas d'une erreur de securite</t>
  </si>
  <si>
    <t>octBlocking</t>
  </si>
  <si>
    <t>Indicate if issuer is blocked for receiving funds</t>
  </si>
  <si>
    <t>onlineGameBlockingIndicator</t>
  </si>
  <si>
    <t>Indicate if issuer is blocked for receiving gambling payouts</t>
  </si>
  <si>
    <t>Numero de telephone dans le cadre de la procedure Appel Emetteur (champ CBAE 44_BB)</t>
  </si>
  <si>
    <t>phoneNumberVerificationResult</t>
  </si>
  <si>
    <t>Phone Number verification Result</t>
  </si>
  <si>
    <t>RSB119_33</t>
  </si>
  <si>
    <t>[119-0033]</t>
  </si>
  <si>
    <t>123 / 2 / ID 67 / Tag 84</t>
  </si>
  <si>
    <t>programDowngradeReasonCode</t>
  </si>
  <si>
    <t>Program Downgrade Reason Code</t>
  </si>
  <si>
    <t>[112-1001-p4]</t>
  </si>
  <si>
    <t>field 111 Dataset ID 56 Tag 88</t>
  </si>
  <si>
    <t>reasonInformationCode</t>
  </si>
  <si>
    <t>Refusal or acceptance code</t>
  </si>
  <si>
    <t>RSB44_AD_p2</t>
  </si>
  <si>
    <t>[44-AD-p2]</t>
  </si>
  <si>
    <t>reasonInformationEntitySource</t>
  </si>
  <si>
    <t>ReasonInformationEntitySourceCodeset</t>
  </si>
  <si>
    <t>Entity responsible for the response</t>
  </si>
  <si>
    <t>RSB44_AD_p1</t>
  </si>
  <si>
    <t>[44-AD-p1]</t>
  </si>
  <si>
    <t>reattemptAllowedDuration</t>
  </si>
  <si>
    <t>Reattempt allowed duration in hour</t>
  </si>
  <si>
    <t>RSB119_0803_ p1</t>
  </si>
  <si>
    <t>[119-0803-p1]</t>
  </si>
  <si>
    <t>reattemptFrozenPeriod</t>
  </si>
  <si>
    <t>Reattempt frozen period</t>
  </si>
  <si>
    <t>RSB119_0802</t>
  </si>
  <si>
    <t>[119-0802]</t>
  </si>
  <si>
    <t>respondingMachineId</t>
  </si>
  <si>
    <t>Responding machine identification code</t>
  </si>
  <si>
    <t>BPO : C'est dans la reponse, le context c'est pour la question.</t>
  </si>
  <si>
    <t>RSB58</t>
  </si>
  <si>
    <t>[58]</t>
  </si>
  <si>
    <t>securityErrorField</t>
  </si>
  <si>
    <t>Partie 1 du champ CBAE 44_AB (champ en erreur)</t>
  </si>
  <si>
    <t>000 numero de champ sans signification</t>
  </si>
  <si>
    <t>securityErrorNature</t>
  </si>
  <si>
    <t>SecurityErrorCodeset</t>
  </si>
  <si>
    <t>Partie 2 du champ CBAE 44_AB (type erreur)</t>
  </si>
  <si>
    <t>temp_minimumAmountAuthorisable</t>
  </si>
  <si>
    <t>Minimum accepted amount for a transaction</t>
  </si>
  <si>
    <t>terminalData</t>
  </si>
  <si>
    <t>Max26Text</t>
  </si>
  <si>
    <t>Point of interaction data</t>
  </si>
  <si>
    <t>RSB47_94</t>
  </si>
  <si>
    <t>[47-94]</t>
  </si>
  <si>
    <t>typeOfAdditionalData</t>
  </si>
  <si>
    <t>TypeOfAdditionalDataCodeset</t>
  </si>
  <si>
    <t>Type of additional data</t>
  </si>
  <si>
    <t>58_0414 part 2</t>
  </si>
  <si>
    <t>uniqueTransactionIdNetworkSource</t>
  </si>
  <si>
    <t>Transaction Id network source</t>
  </si>
  <si>
    <t>RSB47_95_p1</t>
  </si>
  <si>
    <t>[47-95-p1]</t>
  </si>
  <si>
    <t>uniqueTransactionIdValue</t>
  </si>
  <si>
    <t>Max49Text</t>
  </si>
  <si>
    <t>Unique transaction Id value</t>
  </si>
  <si>
    <t>RSB47_95_p2</t>
  </si>
  <si>
    <t>[47-95-p2]</t>
  </si>
  <si>
    <t>validationCode</t>
  </si>
  <si>
    <t>Champ retourne par Visa dans le Field 62.3</t>
  </si>
  <si>
    <t>L'interêt de ce champ est de verifier l'integrite de la transaction tout au long du cycle de vie de l'auto jusqu'au clearing</t>
  </si>
  <si>
    <t>chargebackData</t>
  </si>
  <si>
    <t>chargebackId</t>
  </si>
  <si>
    <t>Chargeback id</t>
  </si>
  <si>
    <t>reasonCode</t>
  </si>
  <si>
    <t>Max6AlphaNumericText</t>
  </si>
  <si>
    <t>Reason code of the chargeback</t>
  </si>
  <si>
    <t>reasonLabel</t>
  </si>
  <si>
    <t>Label of the reason of the chargeback</t>
  </si>
  <si>
    <t>representmentReasonCode</t>
  </si>
  <si>
    <t>Reason code of the representment</t>
  </si>
  <si>
    <t>disputeData</t>
  </si>
  <si>
    <t>additionnalData</t>
  </si>
  <si>
    <t>Additionnal data</t>
  </si>
  <si>
    <t>auditTrailFolderEligibilityIndicator</t>
  </si>
  <si>
    <t>Audit trail folder eligibility indicator</t>
  </si>
  <si>
    <t>creationDateTime</t>
  </si>
  <si>
    <t>Creation date time</t>
  </si>
  <si>
    <t>decisionDateTime</t>
  </si>
  <si>
    <t>Decision date time</t>
  </si>
  <si>
    <t>disputeCondition</t>
  </si>
  <si>
    <t>DisputeConditionCodeset</t>
  </si>
  <si>
    <t>Dispute condition</t>
  </si>
  <si>
    <t>disputeDataId</t>
  </si>
  <si>
    <t>Exact16AlphaNumericText</t>
  </si>
  <si>
    <t>Dispute data reference</t>
  </si>
  <si>
    <t>disputeInternalIdentification</t>
  </si>
  <si>
    <t>Dispute data internal reference</t>
  </si>
  <si>
    <t>disputeQualification</t>
  </si>
  <si>
    <t>DisputeQualificationCodeset</t>
  </si>
  <si>
    <t>Dispute qualification</t>
  </si>
  <si>
    <t>localDateTime</t>
  </si>
  <si>
    <t>Date Time in local region</t>
  </si>
  <si>
    <t>reclamationIndicator</t>
  </si>
  <si>
    <t xml:space="preserve">Indicator of customer's reclamation </t>
  </si>
  <si>
    <t>refundDecisionCode</t>
  </si>
  <si>
    <t>RefundDecisionCodeset</t>
  </si>
  <si>
    <t>Decision of the dispute</t>
  </si>
  <si>
    <t>statusChangeReason</t>
  </si>
  <si>
    <t>StatusChangeReasonCodeset</t>
  </si>
  <si>
    <t>Reason of the change status</t>
  </si>
  <si>
    <t>statusCode</t>
  </si>
  <si>
    <t>StatusCodeCodeset</t>
  </si>
  <si>
    <t>Status code</t>
  </si>
  <si>
    <t>statusLabel</t>
  </si>
  <si>
    <t>Label of the status</t>
  </si>
  <si>
    <t>statusUpdateDateTime</t>
  </si>
  <si>
    <t>Update date time of the status</t>
  </si>
  <si>
    <t>subStatusLabel</t>
  </si>
  <si>
    <t>Reason of the status code qualification</t>
  </si>
  <si>
    <t>totalAmount</t>
  </si>
  <si>
    <t>Total amount</t>
  </si>
  <si>
    <t>transactionsCount</t>
  </si>
  <si>
    <t>Transactions count</t>
  </si>
  <si>
    <t>updateDateTime</t>
  </si>
  <si>
    <t>Update date time</t>
  </si>
  <si>
    <t>eMV</t>
  </si>
  <si>
    <t>appEffectiveDate</t>
  </si>
  <si>
    <t>ISODate</t>
  </si>
  <si>
    <t xml:space="preserve">application effective date </t>
  </si>
  <si>
    <t>55_ 5F25</t>
  </si>
  <si>
    <t>appExpiryDate</t>
  </si>
  <si>
    <t>EMV card application’s validity end date</t>
  </si>
  <si>
    <t>YYYY-MM-DD</t>
  </si>
  <si>
    <t>RSB55_5F24</t>
  </si>
  <si>
    <t>[55-5F24]</t>
  </si>
  <si>
    <t>applicationCryptogram</t>
  </si>
  <si>
    <t>Exact8HexBinaryText</t>
  </si>
  <si>
    <t>Certificate returned in response to a cryptogram generation</t>
  </si>
  <si>
    <t>RSB55_9F26</t>
  </si>
  <si>
    <t>[55-9F26]</t>
  </si>
  <si>
    <t>55_9F26</t>
  </si>
  <si>
    <t>applicationSelectionRegisteredProprietaryData</t>
  </si>
  <si>
    <t>Min4Max32HexBinaryText</t>
  </si>
  <si>
    <t>proprietary card data assigned by EMVCo to specific markets</t>
  </si>
  <si>
    <t>RSB55_9F0A</t>
  </si>
  <si>
    <t>[55-9F0A]</t>
  </si>
  <si>
    <t>contactlessTrack1</t>
  </si>
  <si>
    <t>Track1 for contactless</t>
  </si>
  <si>
    <t>RSB55_56</t>
  </si>
  <si>
    <t>[55-0056]</t>
  </si>
  <si>
    <t>contactlessTrack2</t>
  </si>
  <si>
    <t>Max19HexBinaryText</t>
  </si>
  <si>
    <t>Track2 of contactless</t>
  </si>
  <si>
    <t>55_9F6B</t>
  </si>
  <si>
    <t>cryptogramInformationData</t>
  </si>
  <si>
    <t>Code indicating which type of certificate is returned and which action the terminal must 
perform</t>
  </si>
  <si>
    <t>RSB55_9F27</t>
  </si>
  <si>
    <t>[55-9F27]</t>
  </si>
  <si>
    <t>55_9F27</t>
  </si>
  <si>
    <t>issuerActionCodeDefault</t>
  </si>
  <si>
    <t xml:space="preserve">issuer action code default </t>
  </si>
  <si>
    <t>55_9F0D</t>
  </si>
  <si>
    <t>issuerActionCodeDenial</t>
  </si>
  <si>
    <t>issuer action code denial</t>
  </si>
  <si>
    <t>55_9F0E</t>
  </si>
  <si>
    <t>issuerActionCodeOnLine</t>
  </si>
  <si>
    <t xml:space="preserve">issuer action code on-line </t>
  </si>
  <si>
    <t>55_9F0F</t>
  </si>
  <si>
    <t>issuerApplicationData</t>
  </si>
  <si>
    <t>Max32HexBinaryText</t>
  </si>
  <si>
    <t xml:space="preserve"> data that the issuer wants to return in authorisation messages</t>
  </si>
  <si>
    <t>RSB55_9F10</t>
  </si>
  <si>
    <t>[55-9F10]</t>
  </si>
  <si>
    <t>55_9F10</t>
  </si>
  <si>
    <t>randomNumber</t>
  </si>
  <si>
    <t>Exact4HexBinaryText</t>
  </si>
  <si>
    <t>UNPREDICTABLE NUMBER</t>
  </si>
  <si>
    <t>RSB55_9F37</t>
  </si>
  <si>
    <t>[55-9F37]</t>
  </si>
  <si>
    <t>temp_eMVApplicationAID</t>
  </si>
  <si>
    <t>EMV application AID</t>
  </si>
  <si>
    <t>72_DF17</t>
  </si>
  <si>
    <t>temp_eMVApplicationRID</t>
  </si>
  <si>
    <t>EMV application RID</t>
  </si>
  <si>
    <t>72_DF16</t>
  </si>
  <si>
    <t>terminalTransactionDate</t>
  </si>
  <si>
    <t xml:space="preserve"> terminal's local date on which the authorisation transaction was performed</t>
  </si>
  <si>
    <t>Sert au clacul ARQC</t>
  </si>
  <si>
    <t>RSB55_9A</t>
  </si>
  <si>
    <t>[55-009A]</t>
  </si>
  <si>
    <t>terminalVerificationResult</t>
  </si>
  <si>
    <t>Results of the different checks performed by the termina</t>
  </si>
  <si>
    <t>RSB55_95</t>
  </si>
  <si>
    <t>[55-0095]</t>
  </si>
  <si>
    <t>eventProcessingData</t>
  </si>
  <si>
    <t>amount</t>
  </si>
  <si>
    <t>Amount of the event</t>
  </si>
  <si>
    <t>eventProcessingNature</t>
  </si>
  <si>
    <t>Event processing nature, text explaination of the step in  processing data.</t>
  </si>
  <si>
    <t>incompatibilityEventIndicator</t>
  </si>
  <si>
    <t>Incompatibility event indicator</t>
  </si>
  <si>
    <t>incompatibilityEventReason</t>
  </si>
  <si>
    <t>Incompatibility event resaon</t>
  </si>
  <si>
    <t>Date of the event</t>
  </si>
  <si>
    <t>Stautus code of the event</t>
  </si>
  <si>
    <t>temp_inputData</t>
  </si>
  <si>
    <t>input Data</t>
  </si>
  <si>
    <t>temp_limitData</t>
  </si>
  <si>
    <t>Donnee seuil</t>
  </si>
  <si>
    <t>temp_processingStage</t>
  </si>
  <si>
    <t>Etape de traitement precompensation</t>
  </si>
  <si>
    <t>temp_referenceData</t>
  </si>
  <si>
    <t>reference Data</t>
  </si>
  <si>
    <t>unboundEventIndicator</t>
  </si>
  <si>
    <t>Unbound event indicator</t>
  </si>
  <si>
    <t>unboundEventReason</t>
  </si>
  <si>
    <t>Unbound event reason</t>
  </si>
  <si>
    <t>fileData</t>
  </si>
  <si>
    <t>amountOfCancelledTransactionsWithDeferredCleaning</t>
  </si>
  <si>
    <t>Amount Of cancelled Transactions With Deferred Cleaning</t>
  </si>
  <si>
    <t>58_FF59</t>
  </si>
  <si>
    <t>batchAmountOfCancelledTransactionsWithDeferredCleaning</t>
  </si>
  <si>
    <t>Amount of cancelled transactions with deferred cleaning</t>
  </si>
  <si>
    <t>batchFileIdentification</t>
  </si>
  <si>
    <t>File identification</t>
  </si>
  <si>
    <t>58_FF55 part 1</t>
  </si>
  <si>
    <t>batchIdAssignedByCollectorSystem</t>
  </si>
  <si>
    <t>Batch id assigned by collector system</t>
  </si>
  <si>
    <t>58_FF56</t>
  </si>
  <si>
    <t>batchNumberOfcancelledTransactionsWithDeferredCleaning</t>
  </si>
  <si>
    <t>Number of cancelled transactions with deferred cleaning</t>
  </si>
  <si>
    <t>58_FF58</t>
  </si>
  <si>
    <t>batchNumberOfMessagesInTheFile</t>
  </si>
  <si>
    <t>Number of messages in the file</t>
  </si>
  <si>
    <t>58_FF55 part 2</t>
  </si>
  <si>
    <t>batchNumberOfMessagesReceiveddByCollectorSystem</t>
  </si>
  <si>
    <t>Number Of Messages Received By Collector System</t>
  </si>
  <si>
    <t>58_FF57</t>
  </si>
  <si>
    <t>fileAcknowledgementWindow</t>
  </si>
  <si>
    <t>Acknowledgement window</t>
  </si>
  <si>
    <t>70 _ part 3</t>
  </si>
  <si>
    <t>fileIdentification</t>
  </si>
  <si>
    <t xml:space="preserve"> 70 _ part 1</t>
  </si>
  <si>
    <t>fileNumberOfMessages</t>
  </si>
  <si>
    <t>70 _ part 2</t>
  </si>
  <si>
    <t>numberOfcancelledTransactionsWithDeferredCleaning</t>
  </si>
  <si>
    <t>Number Of cancelled Transactions With Deferred Cleaning</t>
  </si>
  <si>
    <t>numberOfMessagesReceivedByCollectorSystem</t>
  </si>
  <si>
    <t>stampingReference</t>
  </si>
  <si>
    <t>File Stamping Reference</t>
  </si>
  <si>
    <t>interchange</t>
  </si>
  <si>
    <t>additionalCode</t>
  </si>
  <si>
    <t>KeyValueType</t>
  </si>
  <si>
    <t>Key value pair, universal usage</t>
  </si>
  <si>
    <t>A gerer sous forme de tableau par l'application si necessaire</t>
  </si>
  <si>
    <t>Interchange amount (signed)</t>
  </si>
  <si>
    <t>icsCode</t>
  </si>
  <si>
    <t>Denomination Scheme code interchange</t>
  </si>
  <si>
    <t>rate</t>
  </si>
  <si>
    <t>Base25OneRate</t>
  </si>
  <si>
    <t>Rate of the interchange code applied to the operation amount</t>
  </si>
  <si>
    <t>issuerScriptTemplate1</t>
  </si>
  <si>
    <t>Max128HexBinaryText</t>
  </si>
  <si>
    <t>Issuer script, template 1</t>
  </si>
  <si>
    <t>[55-0071]</t>
  </si>
  <si>
    <t>issuerScriptTemplate2</t>
  </si>
  <si>
    <t>Issuer script, template 2</t>
  </si>
  <si>
    <t>[55-0072]</t>
  </si>
  <si>
    <t>originalTransactionData</t>
  </si>
  <si>
    <t>acsTransactionId</t>
  </si>
  <si>
    <t>ACS Transaction ID</t>
  </si>
  <si>
    <t>RSB119_0046_ p2</t>
  </si>
  <si>
    <t>[119-0046-p2]</t>
  </si>
  <si>
    <t>Authentication Amount</t>
  </si>
  <si>
    <t>Comme RSB57_38</t>
  </si>
  <si>
    <t>RSB119_0046_ p6</t>
  </si>
  <si>
    <t>[119-0046-p6]</t>
  </si>
  <si>
    <t>Authentication Date</t>
  </si>
  <si>
    <t>Comme RSB57_37</t>
  </si>
  <si>
    <t>RSB119_0046_ p5 - n14</t>
  </si>
  <si>
    <t>[119-0046-p5]</t>
  </si>
  <si>
    <t>authorisationCode</t>
  </si>
  <si>
    <t>autorisation code from original transaction stored</t>
  </si>
  <si>
    <t>ISO38</t>
  </si>
  <si>
    <t>Comme RSB59_410</t>
  </si>
  <si>
    <t>RSB119_0420_ p2</t>
  </si>
  <si>
    <t>[119-0420-p2]</t>
  </si>
  <si>
    <t>cardholderAuthenticationValue</t>
  </si>
  <si>
    <t>Min4Max40HexBinaryText</t>
  </si>
  <si>
    <t>Cardholder Authentication value</t>
  </si>
  <si>
    <t>RSB59_401</t>
  </si>
  <si>
    <t>RSB119_0420_ p6</t>
  </si>
  <si>
    <t>[119-0420-p6]</t>
  </si>
  <si>
    <t>58_FF49</t>
  </si>
  <si>
    <t>Comme RSB59_411</t>
  </si>
  <si>
    <t>RSB119_0420_ p3</t>
  </si>
  <si>
    <t>[119-0420-p3]</t>
  </si>
  <si>
    <t>dsTransactionId</t>
  </si>
  <si>
    <t>DS Transaction ID</t>
  </si>
  <si>
    <t>RSB119_0046_ p3</t>
  </si>
  <si>
    <t>[119-0046-p3]</t>
  </si>
  <si>
    <t>Comme RSB59_407</t>
  </si>
  <si>
    <t>RSB119_0420_ p1</t>
  </si>
  <si>
    <t>[119-0420-p1]</t>
  </si>
  <si>
    <t>institutionIdCode</t>
  </si>
  <si>
    <t>acquiring institution identification code in original message</t>
  </si>
  <si>
    <t>RSB93</t>
  </si>
  <si>
    <t xml:space="preserve">56 _  part 6 </t>
  </si>
  <si>
    <t>lengthOfAcquiringInstitutionIdCode</t>
  </si>
  <si>
    <t>length of the acquiring institution identification code</t>
  </si>
  <si>
    <t>RSB92</t>
  </si>
  <si>
    <t xml:space="preserve">56 _ part 5 </t>
  </si>
  <si>
    <t>local transaction date time in original message</t>
  </si>
  <si>
    <t>RSB91</t>
  </si>
  <si>
    <t xml:space="preserve">56 _ part 3 </t>
  </si>
  <si>
    <t>merchantName</t>
  </si>
  <si>
    <t>Merchand Name</t>
  </si>
  <si>
    <t>Comme RSB57_36</t>
  </si>
  <si>
    <t>RSB119_0046_ p4</t>
  </si>
  <si>
    <t>[119-0046-p4]</t>
  </si>
  <si>
    <t>messageId</t>
  </si>
  <si>
    <t>message identifier</t>
  </si>
  <si>
    <t>RSB90</t>
  </si>
  <si>
    <t>56 _ part 1</t>
  </si>
  <si>
    <t>originalUniqueIdentifier</t>
  </si>
  <si>
    <t>Debit unique reference identifier</t>
  </si>
  <si>
    <t>Comme RSB47_99</t>
  </si>
  <si>
    <t>RSB119_0047</t>
  </si>
  <si>
    <t>[119-0047]</t>
  </si>
  <si>
    <t>[47_99]</t>
  </si>
  <si>
    <t>securedRemotePaymentArchitectureResult</t>
  </si>
  <si>
    <t>Result of using a secured remote payment architecture</t>
  </si>
  <si>
    <t>RSB119_0420_ p4</t>
  </si>
  <si>
    <t>[119-0420-p4]</t>
  </si>
  <si>
    <t>securedRemotePaymentArchitectureResultExtension</t>
  </si>
  <si>
    <t>Extension of result of using a secured payment architecture</t>
  </si>
  <si>
    <t>RSB119_0420_ p5</t>
  </si>
  <si>
    <t>[119-0420-p5]</t>
  </si>
  <si>
    <t>serviceCalled</t>
  </si>
  <si>
    <t>service that SAA has to call</t>
  </si>
  <si>
    <t>DOPR6</t>
  </si>
  <si>
    <t>technicalInfoTransactionUuid</t>
  </si>
  <si>
    <t>Max19AlphaNumericText</t>
  </si>
  <si>
    <t xml:space="preserve">Universal and unique Id from the technical information of the storage transaction </t>
  </si>
  <si>
    <t>T024</t>
  </si>
  <si>
    <t>technicalInfoTransmissionDateTime</t>
  </si>
  <si>
    <t>Date and time from original technical information of the storage transaction</t>
  </si>
  <si>
    <t>DOPR8</t>
  </si>
  <si>
    <t>technicalInfoTransmittingServerId</t>
  </si>
  <si>
    <t>Server id from original technical information of the storage transaction</t>
  </si>
  <si>
    <t>DOPR9</t>
  </si>
  <si>
    <t>threeDsProtocolVersion</t>
  </si>
  <si>
    <t>ThreeDsProtocolVersionCodeset</t>
  </si>
  <si>
    <t>3DS protocol major version</t>
  </si>
  <si>
    <t>Comme RSB57_022_p1</t>
  </si>
  <si>
    <t>RSB119_0046_ p1</t>
  </si>
  <si>
    <t>[119-0046-p1]</t>
  </si>
  <si>
    <t>transactionReference</t>
  </si>
  <si>
    <t>reference of initial transaction</t>
  </si>
  <si>
    <t>ISO90</t>
  </si>
  <si>
    <t>56 _ part 2</t>
  </si>
  <si>
    <t>transmissionGmtDateTime</t>
  </si>
  <si>
    <t>initial transmission gmt date time</t>
  </si>
  <si>
    <t>remittanceData</t>
  </si>
  <si>
    <t>creditsAmount</t>
  </si>
  <si>
    <t>Credits, amount</t>
  </si>
  <si>
    <t>creditsNumber</t>
  </si>
  <si>
    <t>Credits, number</t>
  </si>
  <si>
    <t>debitAmount</t>
  </si>
  <si>
    <t>Debits, amount</t>
  </si>
  <si>
    <t>debitReversalAmount</t>
  </si>
  <si>
    <t>Debits, reversal amount</t>
  </si>
  <si>
    <t>debitsNumber</t>
  </si>
  <si>
    <t>Debits, number</t>
  </si>
  <si>
    <t>debitsReversalNumber</t>
  </si>
  <si>
    <t>Debits, reversal number</t>
  </si>
  <si>
    <t>debitwithDonationAmount</t>
  </si>
  <si>
    <t>Exact16NumericText</t>
  </si>
  <si>
    <t>debit with donation , amount</t>
  </si>
  <si>
    <t>113 part 2</t>
  </si>
  <si>
    <t>debitwithDonationNumber</t>
  </si>
  <si>
    <t>debit with donation , number</t>
  </si>
  <si>
    <t>113 part 1</t>
  </si>
  <si>
    <t>debitwithTipAmount</t>
  </si>
  <si>
    <t>debit with tip , amount</t>
  </si>
  <si>
    <t>112 part 2</t>
  </si>
  <si>
    <t>debitwithTipNumber</t>
  </si>
  <si>
    <t>debit with tip , number</t>
  </si>
  <si>
    <t>112 part 1</t>
  </si>
  <si>
    <t>Date remise commerçant</t>
  </si>
  <si>
    <t>DARECW ou DAREC</t>
  </si>
  <si>
    <t>numberOfNonCompletedRemittanceTransactions</t>
  </si>
  <si>
    <t>Number of non-completed remittance transactions</t>
  </si>
  <si>
    <t>47_09</t>
  </si>
  <si>
    <t>numberOfNonCompletedTransactions</t>
  </si>
  <si>
    <t>remitterGroupingIdentifier</t>
  </si>
  <si>
    <t>Exact7AlphaNumericText</t>
  </si>
  <si>
    <t>Remitter grouping identifier</t>
  </si>
  <si>
    <t>46 DF61</t>
  </si>
  <si>
    <t>Remittance stanping Reference</t>
  </si>
  <si>
    <t>temp_grossAmount</t>
  </si>
  <si>
    <t>Montant initial de la remise</t>
  </si>
  <si>
    <t>MTBRRI ou MTBRRA et CODVOP ou CODVAM</t>
  </si>
  <si>
    <t>temp_merchantRemittanceNumber</t>
  </si>
  <si>
    <t>Numero de remise commerçant</t>
  </si>
  <si>
    <t>COREMC ou CONUMN</t>
  </si>
  <si>
    <t>temp_sequentialNumber</t>
  </si>
  <si>
    <t>Numero sequentiel de remise</t>
  </si>
  <si>
    <t>COSQRE</t>
  </si>
  <si>
    <t>temp_transactionsCount</t>
  </si>
  <si>
    <t>Nombre d'operations de la remise</t>
  </si>
  <si>
    <t>QTOPMR ou QTOPM8</t>
  </si>
  <si>
    <t>totalamountOfDebitTransactionsWithDeferredClearing</t>
  </si>
  <si>
    <t>Total amount of debit transactions with deferred clearing</t>
  </si>
  <si>
    <t>58_FF36</t>
  </si>
  <si>
    <t>totalDonationAmount</t>
  </si>
  <si>
    <t>total donation amount</t>
  </si>
  <si>
    <t>113 part 3</t>
  </si>
  <si>
    <t>totalNumberOfDebitTransactionsWithDeferredClearing</t>
  </si>
  <si>
    <t>Total number of debit transactions with deferred clearing</t>
  </si>
  <si>
    <t>58_FF35</t>
  </si>
  <si>
    <t>totalNumberOfPayments</t>
  </si>
  <si>
    <t>Total number of payments</t>
  </si>
  <si>
    <t>059_0044</t>
  </si>
  <si>
    <t>totalTipAmount</t>
  </si>
  <si>
    <t>total tip amount</t>
  </si>
  <si>
    <t>112 part 3</t>
  </si>
  <si>
    <t>response</t>
  </si>
  <si>
    <t>Autorisation identification response</t>
  </si>
  <si>
    <t>[38]</t>
  </si>
  <si>
    <t>responseCode</t>
  </si>
  <si>
    <t>Response Code</t>
  </si>
  <si>
    <t>ISO39</t>
  </si>
  <si>
    <t>[39]</t>
  </si>
  <si>
    <t>responseDateTime</t>
  </si>
  <si>
    <t>Response Date Time</t>
  </si>
  <si>
    <t>reversalReason</t>
  </si>
  <si>
    <t>Max5AlphaNumericText</t>
  </si>
  <si>
    <t>Reason of reversal transported</t>
  </si>
  <si>
    <t>AUT127</t>
  </si>
  <si>
    <t>storedResponseCode</t>
  </si>
  <si>
    <t>to store response code from different services</t>
  </si>
  <si>
    <t>schemeFees</t>
  </si>
  <si>
    <t>schemeFeesDetails</t>
  </si>
  <si>
    <t>SchemeFeesType</t>
  </si>
  <si>
    <t>Scheme fee details</t>
  </si>
  <si>
    <t>Scheme fees total amount (signed)</t>
  </si>
  <si>
    <t>Pour des scheme autres que Visa et MCI il se peut qu'il n'y ait que de l'IC, d'où minOccur 0</t>
  </si>
  <si>
    <t>security</t>
  </si>
  <si>
    <t>baseDerivationKeyIdentifier</t>
  </si>
  <si>
    <t xml:space="preserve">Id cle BDK </t>
  </si>
  <si>
    <t>baseDerivationKeyName</t>
  </si>
  <si>
    <t>Min2Max15HexBinaryText</t>
  </si>
  <si>
    <t>Base derivation key Name</t>
  </si>
  <si>
    <t>48-0002</t>
  </si>
  <si>
    <t>connexionKeyIdentifier</t>
  </si>
  <si>
    <t xml:space="preserve">KBPK key </t>
  </si>
  <si>
    <t>dataSource</t>
  </si>
  <si>
    <t>Max8000Text</t>
  </si>
  <si>
    <t>Data to be encrypted ou decrypted</t>
  </si>
  <si>
    <t>GES100</t>
  </si>
  <si>
    <t>dataUsedForSign</t>
  </si>
  <si>
    <t>Data used in signature calculation</t>
  </si>
  <si>
    <t>diversificationValue</t>
  </si>
  <si>
    <t>Diversification value</t>
  </si>
  <si>
    <t>GES102</t>
  </si>
  <si>
    <t>dynKeyIdentifier</t>
  </si>
  <si>
    <t>dynamic Key identifier</t>
  </si>
  <si>
    <t>Algorithme de chiffrement du PINBLock</t>
  </si>
  <si>
    <t>GES507</t>
  </si>
  <si>
    <t>jsonWebKeyIdentifier</t>
  </si>
  <si>
    <t>JSON Web Key Identifier (JWK)</t>
  </si>
  <si>
    <t>jsonWebSignature</t>
  </si>
  <si>
    <t>Max758Text</t>
  </si>
  <si>
    <t>JSON Web Signature (JWS)</t>
  </si>
  <si>
    <t>keyingMaterialSecurityData</t>
  </si>
  <si>
    <t>Max255HexBinaryText</t>
  </si>
  <si>
    <t>Transport des cles dans les messages 08xx</t>
  </si>
  <si>
    <t>keyLength</t>
  </si>
  <si>
    <t>key length</t>
  </si>
  <si>
    <t>Doit être inferieure ou egale à la longueur de la cle de chiffrement.
Valeur par defaut : longueur de la cle de chiffrement</t>
  </si>
  <si>
    <t>GES68</t>
  </si>
  <si>
    <t>Min10Max12HexBinaryText</t>
  </si>
  <si>
    <t>KSN</t>
  </si>
  <si>
    <t>GES067</t>
  </si>
  <si>
    <t>macAlgorithm</t>
  </si>
  <si>
    <t>MAC sealing algorithm</t>
  </si>
  <si>
    <t>GES123</t>
  </si>
  <si>
    <t>macKeyIdentifier</t>
  </si>
  <si>
    <t>Cle KSC - Cle de Scellement - Sealing Key</t>
  </si>
  <si>
    <t>macLength</t>
  </si>
  <si>
    <t>length of the MAC</t>
  </si>
  <si>
    <t>GES103</t>
  </si>
  <si>
    <t>macValue</t>
  </si>
  <si>
    <t>Min4Max64HexBinaryText</t>
  </si>
  <si>
    <t>MAC, Authenticated Data</t>
  </si>
  <si>
    <t>RSB64 / RSB128</t>
  </si>
  <si>
    <t>[128;64]</t>
  </si>
  <si>
    <t>maskGeneratorAlgorithm</t>
  </si>
  <si>
    <t>MaskGeneratorAlgorithmCodeset</t>
  </si>
  <si>
    <t>Mask generator function cryptographic algorithm</t>
  </si>
  <si>
    <t>paddingMethod</t>
  </si>
  <si>
    <t>Padding method for max calculation or mac verification</t>
  </si>
  <si>
    <t>GES101</t>
  </si>
  <si>
    <t>partialHash</t>
  </si>
  <si>
    <t>Min20Max64HexBinaryText</t>
  </si>
  <si>
    <t>hash of the data to sign</t>
  </si>
  <si>
    <t>partialHashLength</t>
  </si>
  <si>
    <t>hash length of the data to sign</t>
  </si>
  <si>
    <t>pinBlockEncryptionFormat</t>
  </si>
  <si>
    <t>PinBlockEncryptionFormatCodeset</t>
  </si>
  <si>
    <t>Format of pin block encryption</t>
  </si>
  <si>
    <t>53 quartet 6</t>
  </si>
  <si>
    <t>pinBlockFormat</t>
  </si>
  <si>
    <t>PinBlockFormatCodeset</t>
  </si>
  <si>
    <t>Format of pin block</t>
  </si>
  <si>
    <t>ISO0, ISO1, ISO2, ISO3, ISO4</t>
  </si>
  <si>
    <t>AUT50 / GES504</t>
  </si>
  <si>
    <t>pinVerificationResult</t>
  </si>
  <si>
    <t>PinVerificationResultCodeset</t>
  </si>
  <si>
    <t>Verifications used by the requester</t>
  </si>
  <si>
    <t>AUT53</t>
  </si>
  <si>
    <t>53 quartet 2</t>
  </si>
  <si>
    <t>saltLength</t>
  </si>
  <si>
    <t>Length of the salt to include in the signature</t>
  </si>
  <si>
    <t>securePinBlockKeyIdentifier</t>
  </si>
  <si>
    <t>Id cle KT pour le transchiffrement</t>
  </si>
  <si>
    <t>signature</t>
  </si>
  <si>
    <t>Max512HexBinaryText</t>
  </si>
  <si>
    <t>Signature</t>
  </si>
  <si>
    <t>signatureAlgorithm</t>
  </si>
  <si>
    <t>SignatureAlgorithmCodeset</t>
  </si>
  <si>
    <t>Identification of the algorithm for a signature</t>
  </si>
  <si>
    <t>signatureDigestAlgorithm</t>
  </si>
  <si>
    <t>SignatureDigestAlgorithmCodeset</t>
  </si>
  <si>
    <t>Identification of the digest algorithm for a signature</t>
  </si>
  <si>
    <t>signatureKeyIdentifier</t>
  </si>
  <si>
    <t>Identification of the key for a signature</t>
  </si>
  <si>
    <t>storageKeyIdentifier</t>
  </si>
  <si>
    <t>Id cle de stockage de la nouvelle cle</t>
  </si>
  <si>
    <t>tr31AdditionalData</t>
  </si>
  <si>
    <t>Min2Max226Text</t>
  </si>
  <si>
    <t>number of optional bloc</t>
  </si>
  <si>
    <t>Ce champ contient le nombre de blocs optionnels (valeur numerique sur deux caractères). deux caractères ‘0’ RFU, les blocs optionnels, y compris le bloc de padding eventuel. La valeur par defaut est « 00 00 » (pas de champ optionnel)</t>
  </si>
  <si>
    <t>GES71</t>
  </si>
  <si>
    <t>tr31KeyBlock</t>
  </si>
  <si>
    <t>Min72Max296Text</t>
  </si>
  <si>
    <t>Bloc de cle au format TR31</t>
  </si>
  <si>
    <t>GES72</t>
  </si>
  <si>
    <t>tr31KeyFunction</t>
  </si>
  <si>
    <t xml:space="preserve">Mode d’usage dans le bloc de cle TR31. </t>
  </si>
  <si>
    <t>Par defaut, ‘C’ (MAC Calculate) si le type de cle genere est KSC ou ‘B’ (Both Encrypt &amp; Decrypt) si le type de cle est KBPK, KT ou KDE</t>
  </si>
  <si>
    <t>GES69</t>
  </si>
  <si>
    <t>tr31KeyVersion</t>
  </si>
  <si>
    <t>Version de cle dans le header TR31, code en numerique hexadecimal</t>
  </si>
  <si>
    <t>Les valeurs 0x00 et 0xC# ont une signification particulière (pas de versionning de cle et composante de cle). Par defaut le NK de la cle est utilise</t>
  </si>
  <si>
    <t>GES70</t>
  </si>
  <si>
    <t>threeDs</t>
  </si>
  <si>
    <t>threeDsAuthenticationCategory</t>
  </si>
  <si>
    <t>ThreeDsAuthenticationCategoryCodeset</t>
  </si>
  <si>
    <t>3DS authentication type</t>
  </si>
  <si>
    <t>RSB59_419 _p1</t>
  </si>
  <si>
    <t>[59-0419-p1]</t>
  </si>
  <si>
    <t>58_419</t>
  </si>
  <si>
    <t>threeDsComponentsAvailability</t>
  </si>
  <si>
    <t>3DS components availability</t>
  </si>
  <si>
    <t>RSB119_0013</t>
  </si>
  <si>
    <t>[119-0013]</t>
  </si>
  <si>
    <t>threeDsIndicator</t>
  </si>
  <si>
    <t>ThreeDsIndicatorCodeset</t>
  </si>
  <si>
    <t xml:space="preserve">3D-Secure indicator </t>
  </si>
  <si>
    <t>RSB119_0007</t>
  </si>
  <si>
    <t>[119-0007]</t>
  </si>
  <si>
    <t>VISA 126.20</t>
  </si>
  <si>
    <t>threeDsMerchantRequestAuthentication</t>
  </si>
  <si>
    <t>ThreeDsMerchantRequestAuthenticationCodeset</t>
  </si>
  <si>
    <t xml:space="preserve"> Merchant request for authentication</t>
  </si>
  <si>
    <t>58_0419 part 2</t>
  </si>
  <si>
    <t>3DS Protocol Version</t>
  </si>
  <si>
    <t>RSB57_22_p1</t>
  </si>
  <si>
    <t>[57-0022-p1]</t>
  </si>
  <si>
    <t>threeDsProtocolVersionSchemeSpecific</t>
  </si>
  <si>
    <t>Max7AlphaNumericText</t>
  </si>
  <si>
    <t>3DS Protocol Version Scheme Specific</t>
  </si>
  <si>
    <t>RSB57_22_p2</t>
  </si>
  <si>
    <t>[57-0022-p2]</t>
  </si>
  <si>
    <t>threeDsResultsCardHolderAuthentication</t>
  </si>
  <si>
    <t>Cardholder authentication</t>
  </si>
  <si>
    <t>BPO : Champ compose 3DS plutôt que VADS</t>
  </si>
  <si>
    <t>RSB59_412_p2</t>
  </si>
  <si>
    <t>[59-0412-p2]</t>
  </si>
  <si>
    <t>threeDsResultsNomenclature</t>
  </si>
  <si>
    <t>Three DS Results Nomenclature</t>
  </si>
  <si>
    <t>RSB59_412_p1</t>
  </si>
  <si>
    <t>[59-0412-p1]</t>
  </si>
  <si>
    <t>threeDsScore</t>
  </si>
  <si>
    <t>CB 3DS score</t>
  </si>
  <si>
    <t>RSB59_419 _p5</t>
  </si>
  <si>
    <t>[59-0419-p5]</t>
  </si>
  <si>
    <t>threeDsTransactionCancellationIndicator</t>
  </si>
  <si>
    <t>Transaction cancellation indicator</t>
  </si>
  <si>
    <t>RSB59_419 _p4</t>
  </si>
  <si>
    <t>[59-0419-p4]</t>
  </si>
  <si>
    <t>threeDsTransactionStatusReason</t>
  </si>
  <si>
    <t>Transaction status reason</t>
  </si>
  <si>
    <t>RSB59_419 _p3</t>
  </si>
  <si>
    <t>[59-0419-p3]</t>
  </si>
  <si>
    <t>transactionDetails</t>
  </si>
  <si>
    <t>acceptanceSystemTransactionNumber</t>
  </si>
  <si>
    <t>Transaction number generated by acceptance system</t>
  </si>
  <si>
    <t>47_10</t>
  </si>
  <si>
    <t>acceptorMessageNumber</t>
  </si>
  <si>
    <t>Message number</t>
  </si>
  <si>
    <t>26 _ part 2</t>
  </si>
  <si>
    <t>accountBalance</t>
  </si>
  <si>
    <t>Account balance (all cards)</t>
  </si>
  <si>
    <t>54 Amount type 02</t>
  </si>
  <si>
    <t>accountFromUsage</t>
  </si>
  <si>
    <t>AccountUsageCodeset</t>
  </si>
  <si>
    <t>Account From - Usage</t>
  </si>
  <si>
    <t>ISO3_p2</t>
  </si>
  <si>
    <t>Field 3 part 2</t>
  </si>
  <si>
    <t>accountToUsage</t>
  </si>
  <si>
    <t>Account To - Usage</t>
  </si>
  <si>
    <t>ISO3_p3</t>
  </si>
  <si>
    <t>Field 3 part 3</t>
  </si>
  <si>
    <t>accountUsage</t>
  </si>
  <si>
    <t>Account - Usage</t>
  </si>
  <si>
    <t>à creuser avec expert metier</t>
  </si>
  <si>
    <t>ISO54</t>
  </si>
  <si>
    <t>additionalAmount</t>
  </si>
  <si>
    <t>Additional amount</t>
  </si>
  <si>
    <t>additionalTransactioFee1</t>
  </si>
  <si>
    <t>Additional transaction fee 1</t>
  </si>
  <si>
    <t>54 Amount type 88</t>
  </si>
  <si>
    <t>additionalTransactionFee2</t>
  </si>
  <si>
    <t>Additional transaction fee 2</t>
  </si>
  <si>
    <t>54 Amount type 89</t>
  </si>
  <si>
    <t>additionnalInformationForImmediateAction</t>
  </si>
  <si>
    <t>AdditionnalInformationForImmediateActionCodeset</t>
  </si>
  <si>
    <t>Additionnal information for immediate action</t>
  </si>
  <si>
    <t>39 part 3</t>
  </si>
  <si>
    <t>agreementId</t>
  </si>
  <si>
    <t>Contains the agreement ID associated with the agreed fee rate</t>
  </si>
  <si>
    <t>amountAnticipated</t>
  </si>
  <si>
    <t>Amount, Anticipated</t>
  </si>
  <si>
    <t>54 _ Amount_90</t>
  </si>
  <si>
    <t>applicationTransactionCounter</t>
  </si>
  <si>
    <t>Application Transaction Counter</t>
  </si>
  <si>
    <t>RSB55_9F36</t>
  </si>
  <si>
    <t>[55-9F36]</t>
  </si>
  <si>
    <t>55_9F36</t>
  </si>
  <si>
    <t>authorisationForcingCode</t>
  </si>
  <si>
    <t>AuthorisationForcingCodeCodeset</t>
  </si>
  <si>
    <t>Authorisation forcing code</t>
  </si>
  <si>
    <t>47_05</t>
  </si>
  <si>
    <t>authorisedAmount</t>
  </si>
  <si>
    <t>Authorised Amount</t>
  </si>
  <si>
    <t>RSB55_9F02</t>
  </si>
  <si>
    <t>[55-9F02]</t>
  </si>
  <si>
    <t>55_9F02</t>
  </si>
  <si>
    <t>authorisedLocalDateTime</t>
  </si>
  <si>
    <t>Local date and time, authorisation request</t>
  </si>
  <si>
    <t>47_04</t>
  </si>
  <si>
    <t>billingAmount</t>
  </si>
  <si>
    <t>Billing amount currency</t>
  </si>
  <si>
    <t>ISO51</t>
  </si>
  <si>
    <t>[51]</t>
  </si>
  <si>
    <t>cardBrandApplied</t>
  </si>
  <si>
    <t>Brand selected</t>
  </si>
  <si>
    <t>RSB57_3</t>
  </si>
  <si>
    <t>[57-0003]</t>
  </si>
  <si>
    <t>cardBrandForcingIndicator</t>
  </si>
  <si>
    <t>Brand have been forced by process</t>
  </si>
  <si>
    <t>Preclearing rules</t>
  </si>
  <si>
    <t>Cardholder authentication value</t>
  </si>
  <si>
    <t>BPO : Transtain ????
BPO : Tous les CardholderAuthentication ensembles</t>
  </si>
  <si>
    <t>[59-0401]</t>
  </si>
  <si>
    <t>cardholderAvailableBalance</t>
  </si>
  <si>
    <t>Cardholder available balance</t>
  </si>
  <si>
    <t>54 Amount type 05</t>
  </si>
  <si>
    <t>cardholderTotalAmount</t>
  </si>
  <si>
    <t>Cardholder total amount</t>
  </si>
  <si>
    <t>RSB59_207</t>
  </si>
  <si>
    <t>[59-0207]</t>
  </si>
  <si>
    <t>cardholderVerificationMethodlist</t>
  </si>
  <si>
    <t xml:space="preserve">cvm list (cardholder verification method list) </t>
  </si>
  <si>
    <t>55_008E</t>
  </si>
  <si>
    <t>cardholderVerificationMethodResult</t>
  </si>
  <si>
    <t>Cardholder verification method Result</t>
  </si>
  <si>
    <t>RSB55_9F34</t>
  </si>
  <si>
    <t>58_ 9F34</t>
  </si>
  <si>
    <t>cardSecurityCodeVerificationResultsOrigin</t>
  </si>
  <si>
    <t>CardSecurityCodeVerificationResultsOriginCodeset</t>
  </si>
  <si>
    <t>Response origin</t>
  </si>
  <si>
    <t>RSB59_301_p1</t>
  </si>
  <si>
    <t>[59-0301-p1]</t>
  </si>
  <si>
    <t>cardSecurityCodeVerificationResultsText</t>
  </si>
  <si>
    <t>Text of response</t>
  </si>
  <si>
    <t>RSB59_301_p2</t>
  </si>
  <si>
    <t>[59-0301-p2]</t>
  </si>
  <si>
    <t>cashAmount</t>
  </si>
  <si>
    <t>Cash amount</t>
  </si>
  <si>
    <t>54 type 40</t>
  </si>
  <si>
    <t>contactlessTerminalProcessingResults</t>
  </si>
  <si>
    <t>Terminal Processing Results in Contactless Mode</t>
  </si>
  <si>
    <t>BPO : Ajout de ContactLess au debut du nom</t>
  </si>
  <si>
    <t>RSB55_DF85</t>
  </si>
  <si>
    <t>[55-DF85]</t>
  </si>
  <si>
    <t>counterpartyPan</t>
  </si>
  <si>
    <t>Exact19AlphaNumericText</t>
  </si>
  <si>
    <t>Pan contrepartie</t>
  </si>
  <si>
    <t>059_1206</t>
  </si>
  <si>
    <t>counterValueAmount</t>
  </si>
  <si>
    <t>Counter-value amount of a transaction</t>
  </si>
  <si>
    <t>54_53</t>
  </si>
  <si>
    <t>cumulativeTotalAuthorisedAmount</t>
  </si>
  <si>
    <t>Total Amount cumulative authorised</t>
  </si>
  <si>
    <t>54-43</t>
  </si>
  <si>
    <t>disputeAuditTrailTransactionEligibilityIndicator</t>
  </si>
  <si>
    <t>Dispute audit trail transaction eligibility indicator</t>
  </si>
  <si>
    <t>disputeTechnicalInternalId</t>
  </si>
  <si>
    <t>Dispute technical internal reference</t>
  </si>
  <si>
    <t>donationAmount</t>
  </si>
  <si>
    <t>Donation amount</t>
  </si>
  <si>
    <t>54_45</t>
  </si>
  <si>
    <t>duplicateProcessedIndicator</t>
  </si>
  <si>
    <t>Duplicate transaction view but not blocked by preclearing process</t>
  </si>
  <si>
    <t>encryptedPinBlock</t>
  </si>
  <si>
    <t>Encrypted Data</t>
  </si>
  <si>
    <t>ISO52</t>
  </si>
  <si>
    <t>[52]</t>
  </si>
  <si>
    <t>estimatedAmount</t>
  </si>
  <si>
    <t>Estimated Amount</t>
  </si>
  <si>
    <t>54_51</t>
  </si>
  <si>
    <t>feesAmount</t>
  </si>
  <si>
    <t>FeesType</t>
  </si>
  <si>
    <t>Fees Amount</t>
  </si>
  <si>
    <t>Attention à la structure et à la conversion</t>
  </si>
  <si>
    <t>RSB119_0010</t>
  </si>
  <si>
    <t>119_0010</t>
  </si>
  <si>
    <t>[46]</t>
  </si>
  <si>
    <t>fileNumber</t>
  </si>
  <si>
    <t>Max12Text</t>
  </si>
  <si>
    <t>File number</t>
  </si>
  <si>
    <t>Pour lien dans Pre-authorisation</t>
  </si>
  <si>
    <t>RSB47_24</t>
  </si>
  <si>
    <t>[47-24]</t>
  </si>
  <si>
    <t>47_24</t>
  </si>
  <si>
    <t>immediateAction</t>
  </si>
  <si>
    <t>ImmediateActionCodset</t>
  </si>
  <si>
    <t>Immediate action</t>
  </si>
  <si>
    <t>39 part 1</t>
  </si>
  <si>
    <t>informationForCardholder1</t>
  </si>
  <si>
    <t>Max32AlphaNumericText</t>
  </si>
  <si>
    <t>Merchant Location</t>
  </si>
  <si>
    <t>57_FF01</t>
  </si>
  <si>
    <t>informationForCardholder2</t>
  </si>
  <si>
    <t>Name and location of the card acceptor</t>
  </si>
  <si>
    <t>57_FF02</t>
  </si>
  <si>
    <t>initialGmtDateTime</t>
  </si>
  <si>
    <t xml:space="preserve">Initial GMT date and time </t>
  </si>
  <si>
    <t>AUT60</t>
  </si>
  <si>
    <t>internalPricing</t>
  </si>
  <si>
    <t>Internal Transfer Pricing - Na pas transmettre sans adaptation.</t>
  </si>
  <si>
    <t xml:space="preserve">VISA Uniquement 
Optional internal transfer-pricing 
percentage rate used to calculate the 
Flexible Commission Service transfer pricing. </t>
  </si>
  <si>
    <t>RSB119_0011</t>
  </si>
  <si>
    <t>119_0011</t>
  </si>
  <si>
    <t>[125 / 2 / ID 69 / Tag 80]</t>
  </si>
  <si>
    <t>issuerProprietaryData</t>
  </si>
  <si>
    <t>Contains data to be transmitted to the issuer</t>
  </si>
  <si>
    <t>RSB55_9F7C</t>
  </si>
  <si>
    <t>[55-9F7C]</t>
  </si>
  <si>
    <t>lowValueExemptionIndicator</t>
  </si>
  <si>
    <t>Low value exemption indicator</t>
  </si>
  <si>
    <t>reponse du 57_33 (voir VISA Annex pour plus de details)</t>
  </si>
  <si>
    <t>RSB119_0029</t>
  </si>
  <si>
    <t>[119-0029]</t>
  </si>
  <si>
    <t>microchipProcessingResult</t>
  </si>
  <si>
    <t>Microchip Processing Result</t>
  </si>
  <si>
    <t xml:space="preserve">Champ repetable </t>
  </si>
  <si>
    <t>RSB55_DF80</t>
  </si>
  <si>
    <t>[55-DF80]</t>
  </si>
  <si>
    <t>multiplePaymentValidityDate</t>
  </si>
  <si>
    <t>Validity date for a multiple payment</t>
  </si>
  <si>
    <t>BPO : Transaction, si trop tard, trx refusee</t>
  </si>
  <si>
    <t>RSB57_45</t>
  </si>
  <si>
    <t>[57-0045]</t>
  </si>
  <si>
    <t>nextAction</t>
  </si>
  <si>
    <t>NextActionCodeset</t>
  </si>
  <si>
    <t>Next action</t>
  </si>
  <si>
    <t>39 part 2</t>
  </si>
  <si>
    <t>nonrefundReason</t>
  </si>
  <si>
    <t>Resaon of the nonrefund of the dispute</t>
  </si>
  <si>
    <t>Original unique transaction identifier</t>
  </si>
  <si>
    <t>RSB47_99</t>
  </si>
  <si>
    <t>[47-99]</t>
  </si>
  <si>
    <t>[47_95]/47_99</t>
  </si>
  <si>
    <t>partialAuthorisedAmount</t>
  </si>
  <si>
    <t>Authorised amount (partial authorisation)</t>
  </si>
  <si>
    <t>54_59</t>
  </si>
  <si>
    <t>partialauthorisedOriginalAmount</t>
  </si>
  <si>
    <t>Original amount (partial authorisation)</t>
  </si>
  <si>
    <t>54_57</t>
  </si>
  <si>
    <t>paymentNumber</t>
  </si>
  <si>
    <t>Payment number</t>
  </si>
  <si>
    <t>059_0043</t>
  </si>
  <si>
    <t>poiAmount</t>
  </si>
  <si>
    <t>POI Amount before DCC conversion</t>
  </si>
  <si>
    <t>54_60</t>
  </si>
  <si>
    <t>preauthorisationTimeLimit</t>
  </si>
  <si>
    <t>how many minutes the pre authorisation take to be valid</t>
  </si>
  <si>
    <t>preauthorisedAmount</t>
  </si>
  <si>
    <t>Authorised amount (pre-authorisation or fuel dispenser)</t>
  </si>
  <si>
    <t>54 _ Amount_54</t>
  </si>
  <si>
    <t>preclearingTransactionNature</t>
  </si>
  <si>
    <t>PreclearingTransactionNatureCodeset</t>
  </si>
  <si>
    <t>transaction nature calculated by preclearing</t>
  </si>
  <si>
    <t>productQuantity</t>
  </si>
  <si>
    <t>Number of product</t>
  </si>
  <si>
    <t>RSB57_11</t>
  </si>
  <si>
    <t>[57-0011]</t>
  </si>
  <si>
    <t>receivingId</t>
  </si>
  <si>
    <t>Receiver organism SMRSB</t>
  </si>
  <si>
    <t>MFO17</t>
  </si>
  <si>
    <t>recoveryMode</t>
  </si>
  <si>
    <t>RecoveryModeCodeset</t>
  </si>
  <si>
    <t>Recovey mode of the dispute</t>
  </si>
  <si>
    <t>refundIndicator</t>
  </si>
  <si>
    <t>Refund indicator</t>
  </si>
  <si>
    <t>refundNature</t>
  </si>
  <si>
    <t>RefundNatureCodeset</t>
  </si>
  <si>
    <t>Refund nature of the dispute</t>
  </si>
  <si>
    <t>repleacementAmount</t>
  </si>
  <si>
    <t xml:space="preserve">repleacement Amount </t>
  </si>
  <si>
    <t>ISO95</t>
  </si>
  <si>
    <t>saleReference</t>
  </si>
  <si>
    <t>Sale Reference Number</t>
  </si>
  <si>
    <t>ISO37</t>
  </si>
  <si>
    <t>[37]</t>
  </si>
  <si>
    <t>settlementDate</t>
  </si>
  <si>
    <t>Date of Settlement</t>
  </si>
  <si>
    <t>ISO15</t>
  </si>
  <si>
    <t>[15]</t>
  </si>
  <si>
    <t>settlementTotalAmount</t>
  </si>
  <si>
    <t>Settlement Total Amount</t>
  </si>
  <si>
    <t>splitPaymentNumber</t>
  </si>
  <si>
    <t xml:space="preserve">Split Payment Number </t>
  </si>
  <si>
    <t>BPO : Paiements echelonnes</t>
  </si>
  <si>
    <t>RSB57_31</t>
  </si>
  <si>
    <t>[57-0031]</t>
  </si>
  <si>
    <t>splitPaymentTotalNumber</t>
  </si>
  <si>
    <t>Split Total Payment Number</t>
  </si>
  <si>
    <t>RSB57_32</t>
  </si>
  <si>
    <t>[57-0032]</t>
  </si>
  <si>
    <t>storedData</t>
  </si>
  <si>
    <t>Data to store</t>
  </si>
  <si>
    <t>temp_acceptanceLevelCodeAssociatedWithaRange</t>
  </si>
  <si>
    <t>Acceptance level code associated with a range _</t>
  </si>
  <si>
    <t>72_DF1E part 5</t>
  </si>
  <si>
    <t>temp_aIDLength</t>
  </si>
  <si>
    <t>AID length (RID+PIX)</t>
  </si>
  <si>
    <t>temp_amountUsedForTwoFactorCardholderAuthentication</t>
  </si>
  <si>
    <t>amount used for two-factor cardholder authentication</t>
  </si>
  <si>
    <t>temp_callFloorLimitForRandomSelection</t>
  </si>
  <si>
    <t>Call floor limit for random selection</t>
  </si>
  <si>
    <t>72_DF1B part 4</t>
  </si>
  <si>
    <t>temp_cardholderAcceptanceLevel</t>
  </si>
  <si>
    <t>Cardholder acceptance level</t>
  </si>
  <si>
    <t>72_DF1D part 3</t>
  </si>
  <si>
    <t>temp_clearingAmount</t>
  </si>
  <si>
    <t xml:space="preserve">Montant compense </t>
  </si>
  <si>
    <t>MTCPDE</t>
  </si>
  <si>
    <t>temp_clearingDate</t>
  </si>
  <si>
    <t>Date et heure du Clearing</t>
  </si>
  <si>
    <t>temp_coefficientAssociatedWithTheRandomSelectionAlgorithm</t>
  </si>
  <si>
    <t>Coefficient associated with the random selection algorithm</t>
  </si>
  <si>
    <t>72_DF1B part 5</t>
  </si>
  <si>
    <t>temp_companyRegistrationNumber</t>
  </si>
  <si>
    <t>SIRETde niveau transaction</t>
  </si>
  <si>
    <t>temp_dataEnvelope</t>
  </si>
  <si>
    <t>Data envelope</t>
  </si>
  <si>
    <t>72_DF19</t>
  </si>
  <si>
    <t>temp_dataLengh</t>
  </si>
  <si>
    <t xml:space="preserve"> Data length</t>
  </si>
  <si>
    <t>814_Champ44 part 2</t>
  </si>
  <si>
    <t>temp_debtRecoveryPeriod</t>
  </si>
  <si>
    <t>Debt recovery period</t>
  </si>
  <si>
    <t>72_DFAE part 14</t>
  </si>
  <si>
    <t>temp_debtRecoveryType</t>
  </si>
  <si>
    <t>Debt recovery type</t>
  </si>
  <si>
    <t>72_DFAE part 12</t>
  </si>
  <si>
    <t>temp_durationOfAcceptorOffer</t>
  </si>
  <si>
    <t>Duration of the acceptor offer</t>
  </si>
  <si>
    <t>72_DFAE part 1</t>
  </si>
  <si>
    <t>temp_editionCode</t>
  </si>
  <si>
    <t>temp_merchantMailCodeCodeset</t>
  </si>
  <si>
    <t>Top d'edition</t>
  </si>
  <si>
    <t>CEDIT</t>
  </si>
  <si>
    <t>temp_endOfBINRange</t>
  </si>
  <si>
    <t>Min1Max19NumericText</t>
  </si>
  <si>
    <t>End of BIN range</t>
  </si>
  <si>
    <t>72_DF1E part 4</t>
  </si>
  <si>
    <t>temp_evelope1DownloadReferenceOfSoftwareToDownload</t>
  </si>
  <si>
    <t xml:space="preserve">Envelope 1 download/reference of software to download </t>
  </si>
  <si>
    <t>72_DF2D</t>
  </si>
  <si>
    <t>temp_exponentOfTheRSAPublickey</t>
  </si>
  <si>
    <t>Exponent of the RSA public key</t>
  </si>
  <si>
    <t>temp_floorLimitForReversal</t>
  </si>
  <si>
    <t>Exac12AlphaNumericText</t>
  </si>
  <si>
    <t>Floor limit</t>
  </si>
  <si>
    <t>72_DFA2</t>
  </si>
  <si>
    <t>temp_forcedAuthorisationIndicator</t>
  </si>
  <si>
    <t>ForcedAuthorisationIndicatorCodeset</t>
  </si>
  <si>
    <t>Forced authorisation indicator</t>
  </si>
  <si>
    <t>temp_indexOfTheAuthenticationkey</t>
  </si>
  <si>
    <t>Index of the authentication key</t>
  </si>
  <si>
    <t>temp_interchangeCorrelationId</t>
  </si>
  <si>
    <t>identification traçabilite CIP (corelation Id ?)</t>
  </si>
  <si>
    <t>ZZZZZZ</t>
  </si>
  <si>
    <t>temp_lengthOfDataElementEndOfBINRange</t>
  </si>
  <si>
    <t>Length of data element: 'End of BIN range'</t>
  </si>
  <si>
    <t>72_DF1E part 3</t>
  </si>
  <si>
    <t>temp_lengthOfDataElementStartOfBINRange</t>
  </si>
  <si>
    <t>Length of data element: 'Start of BIN range'</t>
  </si>
  <si>
    <t>72_DF1E part 1</t>
  </si>
  <si>
    <t>temp_lengthOfTheRSAPublickeyModulus</t>
  </si>
  <si>
    <t>Length of the RSA public key modulus</t>
  </si>
  <si>
    <t>temp_limitsForContactlessPayment</t>
  </si>
  <si>
    <t xml:space="preserve">Dynamic Reader Limits for contactless payment </t>
  </si>
  <si>
    <t>72_DF2C</t>
  </si>
  <si>
    <t>temp_linkedTransactionNature</t>
  </si>
  <si>
    <t>temp_linkedTransactionNatureCodeset</t>
  </si>
  <si>
    <t>Type operation transaction associee</t>
  </si>
  <si>
    <t>temp_listEMVPublicAuthenticationKEYSRSAKeyModulus</t>
  </si>
  <si>
    <t>Max248HexBinaryText</t>
  </si>
  <si>
    <t>List oF EMV Public Authentication KEYS/RSA Key Modulus</t>
  </si>
  <si>
    <t>72_DF2F</t>
  </si>
  <si>
    <t>temp_listOfAdditionalTagsCalledParty0CallingParty</t>
  </si>
  <si>
    <t>List of additional tags : Called party (0) / Calling party</t>
  </si>
  <si>
    <t>72_DF1F</t>
  </si>
  <si>
    <t>temp_listOfDataElements</t>
  </si>
  <si>
    <t>Exact252HexBinaryText</t>
  </si>
  <si>
    <t>List of data elements</t>
  </si>
  <si>
    <t>72_DF1A part 4</t>
  </si>
  <si>
    <t>temp_maximumAcceptedAmountForForeignCard</t>
  </si>
  <si>
    <t xml:space="preserve">maximum accepted amount for a foreign card in an unattended terminal </t>
  </si>
  <si>
    <t>72_DF3A</t>
  </si>
  <si>
    <t>temp_maximumAmountForGuaranteeRequesForFrenchCards</t>
  </si>
  <si>
    <t>Maximum amount for guarantee request for French cards</t>
  </si>
  <si>
    <t>72_DFAE part 10</t>
  </si>
  <si>
    <t>temp_maximumAmountForGuaranteeRequestForForeignCards</t>
  </si>
  <si>
    <t>Maximum amount for guarantee request for foreign cards</t>
  </si>
  <si>
    <t>72_DFAE part 11</t>
  </si>
  <si>
    <t>temp_maximumCoefficientAssociatedWithTheRandomSelection</t>
  </si>
  <si>
    <t>Maximum coefficient associated with the random selection _</t>
  </si>
  <si>
    <t>72_DF1B part 6</t>
  </si>
  <si>
    <t>temp_maximumCumulativeAmount</t>
  </si>
  <si>
    <t>Maximum cumulative amount</t>
  </si>
  <si>
    <t>72_DFAE part 3</t>
  </si>
  <si>
    <t>72_DFAE part 15</t>
  </si>
  <si>
    <t>temp_maximumOfferAmount</t>
  </si>
  <si>
    <t>Maximum Offer Amount</t>
  </si>
  <si>
    <t>72_DFAE part 9</t>
  </si>
  <si>
    <t>temp_merchantCategoryCode</t>
  </si>
  <si>
    <t>Code professionnel (ou MCC)</t>
  </si>
  <si>
    <t>CODMCC</t>
  </si>
  <si>
    <t>temp_merchantMailCode</t>
  </si>
  <si>
    <t>Type de courrier commerçant</t>
  </si>
  <si>
    <t>CTCOCM</t>
  </si>
  <si>
    <t>temp_merchantMailLabel</t>
  </si>
  <si>
    <t>Libelle courrier commerçant</t>
  </si>
  <si>
    <t>LIBCCT</t>
  </si>
  <si>
    <t>temp_minimumAcceptedAmount</t>
  </si>
  <si>
    <t>minimum accepted amount for a transaction</t>
  </si>
  <si>
    <t>72_DF2A</t>
  </si>
  <si>
    <t>temp_minimumValueOfCommercialService</t>
  </si>
  <si>
    <t>Minimum value, of commercial service</t>
  </si>
  <si>
    <t>temp_pANInExceptionFile</t>
  </si>
  <si>
    <t>PAN in exception file</t>
  </si>
  <si>
    <t>72_DF1D part 2</t>
  </si>
  <si>
    <t>temp_pANLengthInExceptionFile</t>
  </si>
  <si>
    <t>PAN length in exception file</t>
  </si>
  <si>
    <t>72_DF1D part 1</t>
  </si>
  <si>
    <t>temp_priorityLevel</t>
  </si>
  <si>
    <t>Priority level</t>
  </si>
  <si>
    <t>temp_reissuedTransactionIndicator</t>
  </si>
  <si>
    <t>Indcateur reemission transaction</t>
  </si>
  <si>
    <t>temp_rejectionDateTime</t>
  </si>
  <si>
    <t>Date creation operation en suspens</t>
  </si>
  <si>
    <t>DMSTUT</t>
  </si>
  <si>
    <t>temp_rejectionNature</t>
  </si>
  <si>
    <t>temp_rejectionNatureCodeset</t>
  </si>
  <si>
    <t>Top rejet remise</t>
  </si>
  <si>
    <t>CEREJR</t>
  </si>
  <si>
    <t>temp_rejectionReasonCode</t>
  </si>
  <si>
    <t>Code motif de rejet precompensation</t>
  </si>
  <si>
    <t>COMRJ1</t>
  </si>
  <si>
    <t>temp_rejectionReasonLabel</t>
  </si>
  <si>
    <t>Libelle motif rejet precompensation</t>
  </si>
  <si>
    <t>LIMRPC</t>
  </si>
  <si>
    <t>temp_remittanceNumber</t>
  </si>
  <si>
    <t>CONUMN</t>
  </si>
  <si>
    <t>temp_responseTimeBeforeAbandonment</t>
  </si>
  <si>
    <t>Delai envoi message 1</t>
  </si>
  <si>
    <t>PEDME1</t>
  </si>
  <si>
    <t>temp_schemeFeesCorrelationId</t>
  </si>
  <si>
    <t>identification traçabilite frais reseaux (corelation Id ?)</t>
  </si>
  <si>
    <t>Numero sequentiel de transaction</t>
  </si>
  <si>
    <t>COSQOP</t>
  </si>
  <si>
    <t>temp_specialProcessingCodes</t>
  </si>
  <si>
    <t>Special processing codes _</t>
  </si>
  <si>
    <t>72_DF1E part 6</t>
  </si>
  <si>
    <t>temp_startOfBINRange</t>
  </si>
  <si>
    <t>Start of BIN range</t>
  </si>
  <si>
    <t>72_DF1E part 2</t>
  </si>
  <si>
    <t>temp_statusCode</t>
  </si>
  <si>
    <t>Code etat remise ou transaction</t>
  </si>
  <si>
    <t>CESTUT</t>
  </si>
  <si>
    <t>temp_superTapActivation</t>
  </si>
  <si>
    <t>Super TAP activation</t>
  </si>
  <si>
    <t>72_DFAE part 13</t>
  </si>
  <si>
    <t>temp_systemCountryCode</t>
  </si>
  <si>
    <t>System country code</t>
  </si>
  <si>
    <t>72_DFA0 part 1</t>
  </si>
  <si>
    <t>temp_tACDefault</t>
  </si>
  <si>
    <t>TAC Default</t>
  </si>
  <si>
    <t>72_DF18</t>
  </si>
  <si>
    <t>temp_tACDenial</t>
  </si>
  <si>
    <t>TAC Denial</t>
  </si>
  <si>
    <t>temp_tACOnline</t>
  </si>
  <si>
    <t>TAC Online</t>
  </si>
  <si>
    <t>temp_tag</t>
  </si>
  <si>
    <t>Tag</t>
  </si>
  <si>
    <t>temp_tagDataLength</t>
  </si>
  <si>
    <t>Tag data length</t>
  </si>
  <si>
    <t>temp_tagValue</t>
  </si>
  <si>
    <t>Max252HexBinaryText</t>
  </si>
  <si>
    <t>Tag value</t>
  </si>
  <si>
    <t>terminalTransactionQualifiers</t>
  </si>
  <si>
    <t>Terminal transaction qualifiers (TTQ)</t>
  </si>
  <si>
    <t xml:space="preserve">Structure 4 bytes </t>
  </si>
  <si>
    <t>RSB55_9F66</t>
  </si>
  <si>
    <t>[55-9F66]</t>
  </si>
  <si>
    <t>tipAmount</t>
  </si>
  <si>
    <t>Tip amount</t>
  </si>
  <si>
    <t>54 Amount_44</t>
  </si>
  <si>
    <t>tokenAuthenticationVerificationValue</t>
  </si>
  <si>
    <t>Token authentification verification value</t>
  </si>
  <si>
    <t>RSB119_0015</t>
  </si>
  <si>
    <t>[119-0015]</t>
  </si>
  <si>
    <t>Total Amount</t>
  </si>
  <si>
    <t>ISO 4, ISO49, ISO50</t>
  </si>
  <si>
    <t>[4, 49, 50]</t>
  </si>
  <si>
    <t>[4, 49, 50]/54 _ Amount_43</t>
  </si>
  <si>
    <t>transferService</t>
  </si>
  <si>
    <t>Transfer service</t>
  </si>
  <si>
    <t>54 Amount type 95</t>
  </si>
  <si>
    <t>vrolTransactionReference</t>
  </si>
  <si>
    <t>VISA Resolve Online transaction reference</t>
  </si>
  <si>
    <t>transactionIdentification</t>
  </si>
  <si>
    <t>cryptogramDateTime</t>
  </si>
  <si>
    <t>Cryptogram entry DATE AND GMT TIME</t>
  </si>
  <si>
    <t>RSB57_17</t>
  </si>
  <si>
    <t>[57-0017]</t>
  </si>
  <si>
    <t>ecommerceTransactionId</t>
  </si>
  <si>
    <t>Transaction identifier or cryptogram supplied by the acceptor</t>
  </si>
  <si>
    <t>BPO : Je prefere plutôt ID de Trx que Crypto.</t>
  </si>
  <si>
    <t>RSB59_400</t>
  </si>
  <si>
    <t>[59-0400]</t>
  </si>
  <si>
    <t>ISO12, ISO13, RSB59_102</t>
  </si>
  <si>
    <t>[12;13;59-0102]</t>
  </si>
  <si>
    <t>[12, 13, 47.07]/814_champ 12</t>
  </si>
  <si>
    <t>Reference d'estampillage transaction</t>
  </si>
  <si>
    <t>CNRFO1</t>
  </si>
  <si>
    <t>temp_linkedTransactionStampingReference</t>
  </si>
  <si>
    <t>Reference d'estampillage transaction asssociee</t>
  </si>
  <si>
    <t>Transaction Reference</t>
  </si>
  <si>
    <t>ISO11</t>
  </si>
  <si>
    <t>[11]</t>
  </si>
  <si>
    <t>Transmission date and time GMT</t>
  </si>
  <si>
    <t>ISO7</t>
  </si>
  <si>
    <t>[7]</t>
  </si>
  <si>
    <t>Structure</t>
  </si>
  <si>
    <t>Attributes</t>
  </si>
  <si>
    <t>Typologie</t>
  </si>
  <si>
    <t>Explication</t>
  </si>
  <si>
    <t>Commentaires</t>
  </si>
  <si>
    <t>complement</t>
  </si>
  <si>
    <t>typeData</t>
  </si>
  <si>
    <t>value</t>
  </si>
  <si>
    <t>Max3000Text</t>
  </si>
  <si>
    <t>ImpliedCurrencyAndAmount</t>
  </si>
  <si>
    <t>amountDescription</t>
  </si>
  <si>
    <t>Short description of amount</t>
  </si>
  <si>
    <t>conversionDateTime</t>
  </si>
  <si>
    <t>currency</t>
  </si>
  <si>
    <t>exchangeRate</t>
  </si>
  <si>
    <t>originalAmount</t>
  </si>
  <si>
    <t>originalCurrency</t>
  </si>
  <si>
    <t>fax</t>
  </si>
  <si>
    <t>language</t>
  </si>
  <si>
    <t>name</t>
  </si>
  <si>
    <t>phone</t>
  </si>
  <si>
    <t>debitCredit</t>
  </si>
  <si>
    <t>DebitCreditCodeset</t>
  </si>
  <si>
    <t>feesDescription</t>
  </si>
  <si>
    <t>Short description of the Fee amount</t>
  </si>
  <si>
    <t>feesDescriptor</t>
  </si>
  <si>
    <t>Identification of specific fee</t>
  </si>
  <si>
    <t>feesNature</t>
  </si>
  <si>
    <t>FeesNatureCodeset</t>
  </si>
  <si>
    <t>feesOtherNature</t>
  </si>
  <si>
    <t>Additional information for specify the type of fee</t>
  </si>
  <si>
    <t>feesProgram</t>
  </si>
  <si>
    <t>Identification of fee program</t>
  </si>
  <si>
    <t>key</t>
  </si>
  <si>
    <t>Universal usage with string</t>
  </si>
  <si>
    <t>limitAmount</t>
  </si>
  <si>
    <t>montant de la limite</t>
  </si>
  <si>
    <t>limitDescription</t>
  </si>
  <si>
    <t>description de la limite</t>
  </si>
  <si>
    <t>limitId</t>
  </si>
  <si>
    <t>LimitTypeIDCodeset</t>
  </si>
  <si>
    <t>Identifiant de la limite</t>
  </si>
  <si>
    <t>merchantId</t>
  </si>
  <si>
    <t>Max10NumericText</t>
  </si>
  <si>
    <t>Merchant Id</t>
  </si>
  <si>
    <t>merchantIdUsage</t>
  </si>
  <si>
    <t>MerchantIdUsageCodeset</t>
  </si>
  <si>
    <t>Merchant Id Usage (Internal, External, CB, Visa, MC)</t>
  </si>
  <si>
    <t>Merchant Name</t>
  </si>
  <si>
    <t>Première partie du : ^\+?[1-9]\d{1,14}$ selon le standard international E.164</t>
  </si>
  <si>
    <t>id</t>
  </si>
  <si>
    <t>Identifiant</t>
  </si>
  <si>
    <t>Name</t>
  </si>
  <si>
    <t>Postal Address</t>
  </si>
  <si>
    <t>addressCategory</t>
  </si>
  <si>
    <t>AddressCategoryCodeset</t>
  </si>
  <si>
    <t>Type d’adresse Postale – Cf CAPE p1626</t>
  </si>
  <si>
    <t>buildingNumber</t>
  </si>
  <si>
    <t>Numéro dans la rue</t>
  </si>
  <si>
    <t>Code Pays - https://www.iso.org/obp/ui/fr/#search</t>
  </si>
  <si>
    <t>countryName</t>
  </si>
  <si>
    <t>Nom du Pays - https://www.iso.org/obp/ui/fr/#search</t>
  </si>
  <si>
    <t>countrySubdivisionMajorCode</t>
  </si>
  <si>
    <t>ISOCountrySubdivisionCode</t>
  </si>
  <si>
    <t>Identifies a major subdivision of a country, for instance county, prefecture.</t>
  </si>
  <si>
    <t>countrySubdivisionMajorName</t>
  </si>
  <si>
    <t>Name of a major subdivision of a country, for instance county, prefecture.</t>
  </si>
  <si>
    <t>countrySubdivisionMinorCode</t>
  </si>
  <si>
    <t>Identifies a minor subdivision of a country, for instance county, prefecture.</t>
  </si>
  <si>
    <t>countrySubdivisionMinorName</t>
  </si>
  <si>
    <t>Name of a minor subdivision of a country, for instance county, prefecture.</t>
  </si>
  <si>
    <t>department</t>
  </si>
  <si>
    <t>Identification of a division of a large organisation or building.</t>
  </si>
  <si>
    <t>postalAddressAdditionalData</t>
  </si>
  <si>
    <t>Pour un Cedex par exemple</t>
  </si>
  <si>
    <t>postCode</t>
  </si>
  <si>
    <t>Code Postal</t>
  </si>
  <si>
    <t>streetName</t>
  </si>
  <si>
    <t>Nom de la rue</t>
  </si>
  <si>
    <t>subDepartment</t>
  </si>
  <si>
    <t>Identification of a sub-division of a large organisation or building.</t>
  </si>
  <si>
    <t>townName</t>
  </si>
  <si>
    <t>Nom de la ville</t>
  </si>
  <si>
    <t>cardLevel</t>
  </si>
  <si>
    <t>CardLevelCodeset</t>
  </si>
  <si>
    <t>cardUsage</t>
  </si>
  <si>
    <t>CardUsageCodeset</t>
  </si>
  <si>
    <t>issuerPlace</t>
  </si>
  <si>
    <t>IssuerPlaceCodeset</t>
  </si>
  <si>
    <t>issuerZone</t>
  </si>
  <si>
    <t>IssuerZoneCodeset</t>
  </si>
  <si>
    <t xml:space="preserve">Fixed amount or calculated amount proportional to the operation (rate) </t>
  </si>
  <si>
    <t>billingId</t>
  </si>
  <si>
    <t>The billing identifier for the ICS (as appering on the invoice)</t>
  </si>
  <si>
    <t>Estimation, max 20</t>
  </si>
  <si>
    <t>rechargeable</t>
  </si>
  <si>
    <t>Yes the billing fee is directly chargeable to the merchant</t>
  </si>
  <si>
    <t>regionApplied</t>
  </si>
  <si>
    <t>MastercardRegionCodeset</t>
  </si>
  <si>
    <t>World region, Mastercard specific</t>
  </si>
  <si>
    <t>"ASPA", "CNDA", …...</t>
  </si>
  <si>
    <t>schemeFeesAmount</t>
  </si>
  <si>
    <t>Amount when scheme fee is expressed as amount (in settlement currency)</t>
  </si>
  <si>
    <t>schemeFeesAmountNature</t>
  </si>
  <si>
    <t>SchemeFeesAmountNatureCodeset</t>
  </si>
  <si>
    <t>For fee expressed as amount, specify whether it corresponds to floor, a cap, or by default fixed (an amount without particular meaning)</t>
  </si>
  <si>
    <t>FIXD=fixed (default), MINI=minimum, MAXI=maximum</t>
  </si>
  <si>
    <t>schemeFeesCaterory</t>
  </si>
  <si>
    <t>SchemeFeesCategoryCodeset</t>
  </si>
  <si>
    <t>Scheme Fee breakdown by category (bank typology)</t>
  </si>
  <si>
    <t>Operation, Licence, Processing, Subscription, Penalties</t>
  </si>
  <si>
    <t>schemeFeesGroup</t>
  </si>
  <si>
    <t>ICS scheme category</t>
  </si>
  <si>
    <t>schemeFeesLabel</t>
  </si>
  <si>
    <t>ICS short description for the fee</t>
  </si>
  <si>
    <t>Descruiption courte permettent de comprendre le fee</t>
  </si>
  <si>
    <t>schemeFeesMode</t>
  </si>
  <si>
    <t>SchemeFeesModeCodeset</t>
  </si>
  <si>
    <t>Either Standard direct rate/amount, or applied per region or applied by range depending on actual volume</t>
  </si>
  <si>
    <t>"Standard", "Region", "Tiered" &amp; "-based"</t>
  </si>
  <si>
    <t>schemeFeesNature</t>
  </si>
  <si>
    <t>SchemeFeesNatureCodeset</t>
  </si>
  <si>
    <t>Quantity-based (amount or number)  or  Amount-based  (% rate or bps (e.g 0,01% = 0,0001 $ Base Point))</t>
  </si>
  <si>
    <t>Type n'est pas autorisé dans le nom de l'attribut</t>
  </si>
  <si>
    <t>schemeFeesRate</t>
  </si>
  <si>
    <t>% Rate when scheme fee is expressed as rate</t>
  </si>
  <si>
    <t>tieredRangeAppliedHigh</t>
  </si>
  <si>
    <t>Range upper value, inclusive</t>
  </si>
  <si>
    <t>Bornes gérées par l'application</t>
  </si>
  <si>
    <t>tieredRangeAppliedLow</t>
  </si>
  <si>
    <t>Range lower value, inclusive</t>
  </si>
  <si>
    <t>tieredVolume</t>
  </si>
  <si>
    <t>Volume taken into account for selecting a tange</t>
  </si>
  <si>
    <t>temp_accessIdentifier</t>
  </si>
  <si>
    <t>Exact20Text</t>
  </si>
  <si>
    <t>Access identifier</t>
  </si>
  <si>
    <t>temp_domainName</t>
  </si>
  <si>
    <t>Exact40Text</t>
  </si>
  <si>
    <t xml:space="preserve"> Domain name</t>
  </si>
  <si>
    <t>temp_networkAddressingType</t>
  </si>
  <si>
    <t>temp_networkAddressingTypeCodeset</t>
  </si>
  <si>
    <t>Network addressing type</t>
  </si>
  <si>
    <t>temp_networkaddressOf theAcquirerSystemOrDns</t>
  </si>
  <si>
    <t>Network address of the acquirer system or DNS</t>
  </si>
  <si>
    <t>temp_pADType</t>
  </si>
  <si>
    <t>temp_pADTypeCodeset</t>
  </si>
  <si>
    <t>PAD type</t>
  </si>
  <si>
    <t>temp_password</t>
  </si>
  <si>
    <t>Password</t>
  </si>
  <si>
    <t>temp_priorityAccessToAnAcquirerSystem</t>
  </si>
  <si>
    <t>temp_priorityAccessToAnAcquirerSystemCodeset</t>
  </si>
  <si>
    <t>Priority access to an acquirer system</t>
  </si>
  <si>
    <t>temp_telephoneNumberForNetworkAccess</t>
  </si>
  <si>
    <t>Telephone number for network access</t>
  </si>
  <si>
    <t xml:space="preserve"> </t>
  </si>
  <si>
    <t xml:space="preserve"> Libellés</t>
  </si>
  <si>
    <t>Définiton</t>
  </si>
  <si>
    <t>Pattern</t>
  </si>
  <si>
    <t>FractionD</t>
  </si>
  <si>
    <t>TotalD</t>
  </si>
  <si>
    <t>minLength /mininclusive</t>
  </si>
  <si>
    <t>maxLength</t>
  </si>
  <si>
    <t>Number of objects represented as a positive integer.</t>
  </si>
  <si>
    <t>string</t>
  </si>
  <si>
    <t>([0-9]{4}|[0-9]{6})</t>
  </si>
  <si>
    <t>Rate expressed as a decimal</t>
  </si>
  <si>
    <t>[0-9]{1,25}(\.?[0-9]{0,13})?</t>
  </si>
  <si>
    <t>25 max avant la virgule et 13 max après la virgule</t>
  </si>
  <si>
    <t>DecimalRate</t>
  </si>
  <si>
    <t>decimal Amount</t>
  </si>
  <si>
    <t>[0-9]{1,8}(\.?[0-9]{0,7})?</t>
  </si>
  <si>
    <t>8 max avant la virgule et 7 max après la virgule</t>
  </si>
  <si>
    <t>12 alphanumeric characters</t>
  </si>
  <si>
    <t>[0-9A-Za-z]{12}</t>
  </si>
  <si>
    <t>10 alphanumeric characters</t>
  </si>
  <si>
    <t>[0-9A-Za-z]{10}</t>
  </si>
  <si>
    <t>Specifies a numeric string with an exact length of 10 digits.</t>
  </si>
  <si>
    <t>[0-9]{10}</t>
  </si>
  <si>
    <t>Exact10Text</t>
  </si>
  <si>
    <t>10 alphanumeric  and special characters</t>
  </si>
  <si>
    <t>Specifies a numeric string with an exact length of 11 digits.</t>
  </si>
  <si>
    <t>[0-9]{11}</t>
  </si>
  <si>
    <t>11 alphanumeric  and special characters</t>
  </si>
  <si>
    <t>Specifies a numeric string with an exact length of 12 digits.</t>
  </si>
  <si>
    <t>[0-9]{12}</t>
  </si>
  <si>
    <t>12 alphanumeric  and special characters</t>
  </si>
  <si>
    <t>Exact15AlphaNumericText</t>
  </si>
  <si>
    <t>15 alphanumeric characters</t>
  </si>
  <si>
    <t>[0-9A-Za-z]{15}</t>
  </si>
  <si>
    <t>Specifies a character string with an exact length of 15 binary bytes (30 hexadecimal text characters)</t>
  </si>
  <si>
    <t>([0-9A-F][0-9A-F]){15}</t>
  </si>
  <si>
    <t>15 alphanumeric  and special characters</t>
  </si>
  <si>
    <t>16 alphanumeric characters</t>
  </si>
  <si>
    <t>[0-9A-Za-z]{16}</t>
  </si>
  <si>
    <t>Specifies a character string with an exact length of 16 binary bytes (32 hexadecimal text characters)</t>
  </si>
  <si>
    <t>([0-9A-F][0-9A-F]){16}</t>
  </si>
  <si>
    <t>Specifies a numeric string with an exact length of 16 digits.</t>
  </si>
  <si>
    <t>[0-9]{16}</t>
  </si>
  <si>
    <t>16 alphanumeric  and special characters</t>
  </si>
  <si>
    <t>19 alphanumeric characters</t>
  </si>
  <si>
    <t>[0-9A-Za-z]{19}</t>
  </si>
  <si>
    <t>Specifies a character string with an exact length of 19 binary bytes (38 hexadecimal text characters)</t>
  </si>
  <si>
    <t>([0-9A-F][0-9A-F]){19}</t>
  </si>
  <si>
    <t>1 alphanumeric character</t>
  </si>
  <si>
    <t>[0-9A-Za-z]{1}</t>
  </si>
  <si>
    <t>Specifies a character string with an exact length of 1 binary bytes (2 hexadecimal text characters)</t>
  </si>
  <si>
    <t>([0-9A-F][0-9A-F]){1}</t>
  </si>
  <si>
    <t>Specifies a numeric string with an exact length of 1 digits.</t>
  </si>
  <si>
    <t>[0-9]{1}</t>
  </si>
  <si>
    <t>Specifies a string with an exact length of 1 character</t>
  </si>
  <si>
    <t>Specifies a character string with an exact length of 20 binary bytes (40 hexadecimal text characters)</t>
  </si>
  <si>
    <t>([0-9A-F][0-9A-F]){20}</t>
  </si>
  <si>
    <t>20 alphanumeric  and special characters</t>
  </si>
  <si>
    <t>Exact24Text</t>
  </si>
  <si>
    <t>24 alphanumeric  and special characters</t>
  </si>
  <si>
    <t>Specifies a character string with an exact length of 252 binary bytes (504 hexadecimal text characters)</t>
  </si>
  <si>
    <t>([0-9A-F][0-9A-F]){252}</t>
  </si>
  <si>
    <t>2 alphanumeric characters</t>
  </si>
  <si>
    <t>[0-9A-Za-z]{2}</t>
  </si>
  <si>
    <t>Specifies a character string with an exact length of 2 binary bytes (4 hexadecimal text characters)</t>
  </si>
  <si>
    <t>([0-9A-F][0-9A-F]){2}</t>
  </si>
  <si>
    <t>Specifies a numeric string with an exact length of 2 digits.</t>
  </si>
  <si>
    <t>[0-9]{2}</t>
  </si>
  <si>
    <t>2 alphanumeric  and special characters</t>
  </si>
  <si>
    <t>32 alphanumeric  and special characters</t>
  </si>
  <si>
    <t>36 alphanumeric  and special characters</t>
  </si>
  <si>
    <t>3 alphanumeric characters</t>
  </si>
  <si>
    <t>[0-9A-Za-z]{3}</t>
  </si>
  <si>
    <t>Specifies a character string with an exact length of 3 binary bytes (6 hexadecimal text characters)</t>
  </si>
  <si>
    <t>([0-9A-F][0-9A-F]){3}</t>
  </si>
  <si>
    <t>Specifies a numeric string with an exact length of 3 digits.</t>
  </si>
  <si>
    <t>[0-9]{3}</t>
  </si>
  <si>
    <t>3 alphanumeric  and special characters</t>
  </si>
  <si>
    <t>Month within a particular calendar year represented by YYYY-MM (ISO 8601).</t>
  </si>
  <si>
    <t>4 alphanumeric characters</t>
  </si>
  <si>
    <t>[0-9A-Za-z]{4}</t>
  </si>
  <si>
    <t>Specifies a character string with an exact length of 4 binary bytes (8 hexadecimal text characters)</t>
  </si>
  <si>
    <t>([0-9A-F][0-9A-F]){4}</t>
  </si>
  <si>
    <t>Specifies a numeric string with an exact length of 4 digits.</t>
  </si>
  <si>
    <t>[0-9]{4}</t>
  </si>
  <si>
    <t>4 alphanumeric  and special characters</t>
  </si>
  <si>
    <t>Specifies a character string with an exact length of 5 binary bytes (10 hexadecimal text characters)</t>
  </si>
  <si>
    <t>([0-9A-F][0-9A-F]){5}</t>
  </si>
  <si>
    <t>Specifies a numeric string with an exact length of 5 digits.</t>
  </si>
  <si>
    <t>[0-9]{5}</t>
  </si>
  <si>
    <t>Specifies a numeric string with an exact length of 6 digits.</t>
  </si>
  <si>
    <t>[0-9]{6}</t>
  </si>
  <si>
    <t>6 alphanumeric  and special characters</t>
  </si>
  <si>
    <t>Specifies a alphanumeric string with a minlength of 1 and maxlength of 7 digits</t>
  </si>
  <si>
    <t>[0-9]{1,7}</t>
  </si>
  <si>
    <t>Specifies a character string with an exact length of 7 binary bytes (14 hexadecimal text characters)</t>
  </si>
  <si>
    <t>([0-9A-F][0-9A-F]){7}</t>
  </si>
  <si>
    <t>8 alphanumeric characters</t>
  </si>
  <si>
    <t>[0-9A-Za-z]{8}</t>
  </si>
  <si>
    <t>Specifies a character string with an exact length of 8 binary bytes (16 hexadecimal text characters)</t>
  </si>
  <si>
    <t>([0-9A-F][0-9A-F]){8}</t>
  </si>
  <si>
    <t>Specifies a numeric string with an exact length of 8 digits.</t>
  </si>
  <si>
    <t>[0-9]{8}</t>
  </si>
  <si>
    <t>8 alphanumeric  and special characters</t>
  </si>
  <si>
    <t>The International Bank Account Number is a code used internationally by financial institutions to uniquely identify the account of a customer at a financial institution as described in the 2007 edition of the ISO 13616 standard Banking and related financial services International Bank Account Number (IBAN) and replaced by the more recent edition of the standard.</t>
  </si>
  <si>
    <t>[A-Z]{2,2}[0-9]{2,2}[a-zA-Z0-9]{1,30}</t>
  </si>
  <si>
    <t>Number of monetary units specified in a currency where the unit of currency is implied by the context and compliant with ISO 4217. The decimal separator is a dot.</t>
  </si>
  <si>
    <t>\-?[0-9]{1,18}(\.?[0-9]{0,5})?</t>
  </si>
  <si>
    <t>Examples : 12.3 / -5.01 / 15.12345 / -123456.12345
Definition :  CAPE et ATICA 
Number of monetary units specified in a currency where the unit of currency is implied by the context and compliant with ISO 4217. The decimal separator is a dot. Note: a zero amount is considered a positive amount.
Format : minInclusive 0 / totalDigits 18 / fractionDigits 5</t>
  </si>
  <si>
    <t>Code used to enable the classification of merchants into specific categories. (ISO 18245).</t>
  </si>
  <si>
    <t>[0-9]{4,4}</t>
  </si>
  <si>
    <t>Code used to enable the classification of merchants into specific categories based on the
type of business, trade or services supplied. Values are specified only for those merchant categories
that are generally expected to originate retail financial transactions (ISO 18245). The code is checked
against the list of merchant categories coded with four digit characters, defined in the standar</t>
  </si>
  <si>
    <t>Code to identify a country, a dependency, or another area of particular geopolitical interest (ISO 3166, Text -2 code)</t>
  </si>
  <si>
    <t>[A-Z]{2,2}</t>
  </si>
  <si>
    <t xml:space="preserve">Code to identify the Currency </t>
  </si>
  <si>
    <t>[0-9]{3,3}</t>
  </si>
  <si>
    <t>Code to identify the Currency (ISO 4217)</t>
  </si>
  <si>
    <t>[A-Z]{3,3}</t>
  </si>
  <si>
    <t>Code to identify a country, a dependency, or another area of particular geopolitical interest (ISO 3166, Numeric-3 code)</t>
  </si>
  <si>
    <t>Code to identify a country, a dependency, or another area of particular geopolitical interest,
on the basis of country names obtained from the United Nations (ISO 3166, Numeric-3 code). The code
is checked against the list of country names coded with three digit characters, defined in the standard.</t>
  </si>
  <si>
    <t>Code to identify an area of geopolitical interest, based on names obtained from the United Nations ISO 3166-2 or the local authority</t>
  </si>
  <si>
    <t>[A-Z]{2,3}</t>
  </si>
  <si>
    <t>ISO 3166-2</t>
  </si>
  <si>
    <t>Date within a particular calendar year represented by YYYY-MM-DD (ISO 8601).</t>
  </si>
  <si>
    <t>([0-9]{4})-(1[0-2]|0[1-9])-(3[01]|0[1-9]|[12][0-9])</t>
  </si>
  <si>
    <t>Format : YYYY-MM-DD ; Example 2024-12-31</t>
  </si>
  <si>
    <t>The dateTime is specified in the following form &lt;YYYY-MM-DDThh:mm:ss&gt;</t>
  </si>
  <si>
    <t>(-?(?:[1-9][0-9]*)?[0-9]{4})-(1[0-2]|0[1-9])-(3[01]|0[1-9]|[12][0-9])T(2[0-3]|[01][0-9]):([0-5][0-9]):([0-5][0-9])(\.[0-9]+)?(Z|[+-](?:2[0-3]|[01][0-9]):[0-5][0-9])?</t>
  </si>
  <si>
    <t>Definition: A particular point in the progression of time defined by a mandatory date and a mandatory time component - Voir onglet ISODateTime</t>
  </si>
  <si>
    <t xml:space="preserve"> Identification of the language name in accordance with ISO 639-1 and ISO 639-2.</t>
  </si>
  <si>
    <t>[a-z]{2,3}</t>
  </si>
  <si>
    <t xml:space="preserve"> Identification of the language name in accordance with ISO 639-1 and ISO 639-2. The type is
validated by the list of values coded with two or three alphabetic characters, defined in the standard.</t>
  </si>
  <si>
    <t>([0-9]{4})-(1[0-2]|0[1-9])</t>
  </si>
  <si>
    <t>Format : YYYY-MM ; Example 2024-12</t>
  </si>
  <si>
    <t>Specifies a character string with a minlength of 1 and maxlength of 100 characters.</t>
  </si>
  <si>
    <t>Specifies an alphanumeric string with a minlength of 1 and maxlength of 10 digits</t>
  </si>
  <si>
    <t>[0-9A-Za-z]{1,10}</t>
  </si>
  <si>
    <t>Specifies a numeric string with a minlength of 1 and maxlength of 10 digits.</t>
  </si>
  <si>
    <t>[0-9]{1,10}</t>
  </si>
  <si>
    <t>Specifies a character string with a minlength of 1 and maxlength of 10 characters.</t>
  </si>
  <si>
    <t>Specifies a numeric string with a minlength of 1 and maxlength of 11 digits.</t>
  </si>
  <si>
    <t>[0-9]{1,11}</t>
  </si>
  <si>
    <t>Specifies a character string with a maximum length of 128 binary bytes (256 hexadecimal text characters)</t>
  </si>
  <si>
    <t>([0-9A-F][0-9A-F]){1,128}</t>
  </si>
  <si>
    <t>Specifies a character string with a minlength of 1 and maxlength of 12 characters</t>
  </si>
  <si>
    <t>Specifies a alphanumeric string with a minlength of 1 and maxlength of 13 digits</t>
  </si>
  <si>
    <t>[0-9]{1,13}</t>
  </si>
  <si>
    <t>Specifies a alphanumeric string with a minlength of 1 and maxlength of 14 digits</t>
  </si>
  <si>
    <t>[0-9]{1,14}</t>
  </si>
  <si>
    <t>Max14NumericText</t>
  </si>
  <si>
    <t>Specifies a numeric string with a minlength of 1 and maxlength of 14 digits</t>
  </si>
  <si>
    <t>Max150HexBinaryText</t>
  </si>
  <si>
    <t>Specifies a character string with a maximum length of 150 binary bytes (300 hexadecimal text characters)</t>
  </si>
  <si>
    <t>([0-9A-F][0-9A-F]){1,150}</t>
  </si>
  <si>
    <t>Specifies a character string with a minlength of 1 and maxlength of 15 characters.</t>
  </si>
  <si>
    <t>Specifies a character string with a minlength of 1 and maxlength of 16 characters.</t>
  </si>
  <si>
    <t>Specifies a character string with a minlength of 1 and maxlength of 17 characters.</t>
  </si>
  <si>
    <t>Specifies an alphanumeric string with a minlength of 1 and maxlength of 19 digits</t>
  </si>
  <si>
    <t>[0-9A-Za-z]{1,19}</t>
  </si>
  <si>
    <t>Specifies a character string with a maximum length of 19 binary bytes (38 hexadecimal text characters)</t>
  </si>
  <si>
    <t>([0-9A-F][0-9A-F]){1,19}</t>
  </si>
  <si>
    <t>Specifies a numeric string with minlength of 1 and a maxlength of 19 digits.</t>
  </si>
  <si>
    <t>[0-9]{1,19}</t>
  </si>
  <si>
    <t>Specifies a character string with a minlength of 1 and maxlength of 19 characters.</t>
  </si>
  <si>
    <t>Specifies a character string with a minlength of 1 and maxlength of 200 characters.</t>
  </si>
  <si>
    <t>Specifies a character string with a minlength of 1 and maxlength of 20 characters.</t>
  </si>
  <si>
    <t>Max23HexBinaryText</t>
  </si>
  <si>
    <t>Specifies a character string with a maximum length of 23 binary bytes (46 hexadecimal text characters)</t>
  </si>
  <si>
    <t>([0-9A-F][0-9A-F]){1,23}</t>
  </si>
  <si>
    <t>Specifies a character string with a maximum length of 258 binary bytes (516 hexadecimal text characters)</t>
  </si>
  <si>
    <t>([0-9A-F][0-9A-F]){1,258}</t>
  </si>
  <si>
    <t>Specifies a character string with a maximum length of 24 binary bytes (48 hexadecimal text characters)</t>
  </si>
  <si>
    <t>Specifies a character string with a maximum length of 252 binary bytes (504 hexadecimal text characters)</t>
  </si>
  <si>
    <t>([0-9A-F][0-9A-F]){1,252}</t>
  </si>
  <si>
    <t>Specifies a character string with a maximum length of 255 binary bytes (510 hexadecimal text characters)</t>
  </si>
  <si>
    <t>([0-9A-F][0-9A-F]){1,255}</t>
  </si>
  <si>
    <t>Specifies a character string with a minlength of 1 and maxlength of 255 characters</t>
  </si>
  <si>
    <t>Specifies a character string with a minlength of 1 and maxlength of 256 characters</t>
  </si>
  <si>
    <t>Specifies a character string with a minlength of 1 and maxlength of 26 characters</t>
  </si>
  <si>
    <t>Specifies an alphanumeric string with a minlength of 1 and maxlength of 29 digits.</t>
  </si>
  <si>
    <t>[0-9A-Za-z]{1,29}</t>
  </si>
  <si>
    <t>Specifies an alphanumeric string with a minlength of 1 and maxlength of 2 digits</t>
  </si>
  <si>
    <t>[0-9A-Za-z]{1,2}</t>
  </si>
  <si>
    <t>Max2KHexBinaryText</t>
  </si>
  <si>
    <t>Specifies a character string with a maximum length of 2048 binary bytes (4096 hexadecimal text characters)</t>
  </si>
  <si>
    <t>([0-9A-F][0-9A-F]){1,2048}</t>
  </si>
  <si>
    <t>Specifies a numeric string with a  minlength of 1 and maxlength of 2 digits</t>
  </si>
  <si>
    <t>[0-9]{1,2}</t>
  </si>
  <si>
    <t>Specifies a character string with a minlength of 1 and maxlength of 2 characters.</t>
  </si>
  <si>
    <t>Specifies a character string with a minlength of 1 and maxlength of 3000 characters</t>
  </si>
  <si>
    <t>Specifies a character string with a minlength of 1 and maxlength of 30 characters</t>
  </si>
  <si>
    <t>Specifies a alphanumeric string with a minlength of 1 and maxlength of 32 digits</t>
  </si>
  <si>
    <t>[0-9]{1,32}</t>
  </si>
  <si>
    <t>Specifies a character string with a maximum length of 32 binary bytes (64 hexadecimal text characters)</t>
  </si>
  <si>
    <t>([0-9A-F][0-9A-F]){1,32}</t>
  </si>
  <si>
    <t>Max34Text</t>
  </si>
  <si>
    <t>Specifies a character string with a minlength of 1 and maxlength of 34 characters.</t>
  </si>
  <si>
    <t>Specifies an alphanumeric string with a minlength of 1 and maxlength of 35 digits.</t>
  </si>
  <si>
    <t>[0-9A-Za-z]{1,35}</t>
  </si>
  <si>
    <t>Specifies a character string with a maximum length of 35 binary bytes (70 hexadecimal text characters)</t>
  </si>
  <si>
    <t>([0-9A-F][0-9A-F]){1,35}</t>
  </si>
  <si>
    <t>Specifies a character string with a minlength of 1 and maxlength of 35 characters</t>
  </si>
  <si>
    <t>Specifies an alphanumeric string with a minlength of 1 and maxlength of 36 digits</t>
  </si>
  <si>
    <t>[0-9A-Za-z]{1,36}</t>
  </si>
  <si>
    <t>Specifies a numeric string with a minlength of 1 and maxlength of 36 digits</t>
  </si>
  <si>
    <t>[0-9]{1,36}</t>
  </si>
  <si>
    <t>Specifies a character string with a minlength of 1 and maxlength of 37 characters.</t>
  </si>
  <si>
    <t>Specifies an alphanumeric string with a minlength of 1 and maxlength of 3 digits</t>
  </si>
  <si>
    <t>[0-9A-Za-z]{1,3}</t>
  </si>
  <si>
    <t>Specifies a numeric string with a minlength of 1 and maxlength of 3 digits</t>
  </si>
  <si>
    <t>[0-9]{1,3}</t>
  </si>
  <si>
    <t>Specifies a numeric character string with a minlength of 1 and maxlength of 40 characters</t>
  </si>
  <si>
    <t>[0-9A-Za-z]{1,40}</t>
  </si>
  <si>
    <t>Specifies a character string with a minlength of 1 and maxlength of 40 characters</t>
  </si>
  <si>
    <t>Specifies a character string with a minlength of 1 and maxlength of 45 characters</t>
  </si>
  <si>
    <t>Specifies a character string with a minlength of 1 and maxlength of 49 characters</t>
  </si>
  <si>
    <t>Specifies a character string with a maximum length of 4 binary bytes (8 hexadecimal text characters)</t>
  </si>
  <si>
    <t>([0-9A-F][0-9A-F]){1,4}</t>
  </si>
  <si>
    <t>Max4KHexBinaryText</t>
  </si>
  <si>
    <t>Specifies a character string with a maximum length of 4096 binary bytes (8192 hexadecimal text characters)</t>
  </si>
  <si>
    <t>([0-9A-F][0-9A-F]){1,4096}</t>
  </si>
  <si>
    <t>Specifies a numeric string with a minlength of 1 and maxlength of 4 digits</t>
  </si>
  <si>
    <t>[0-9]{1,4}</t>
  </si>
  <si>
    <t>Specifies a character string with a minlength of 1 and maxlength of 4 characters</t>
  </si>
  <si>
    <t>Specifies a character string with a minlength of 1 and maxlength of 500 characters</t>
  </si>
  <si>
    <t>Specifies a alphanumeric character string with a minlength of 1 and maxlength of 50 characters</t>
  </si>
  <si>
    <t>[0-9A-Za-z]{1,50}</t>
  </si>
  <si>
    <t>Specifies a character string with a minlength of 1 and maxlength of 50 characters</t>
  </si>
  <si>
    <t>Specifies a character string with a maximum length of 512 binary bytes (1024 hexadecimal text characters)</t>
  </si>
  <si>
    <t>([0-9A-F][0-9A-F]){1,512}</t>
  </si>
  <si>
    <t>Specifies a alphanumeric string with a minlength of 1 and maxlength of 5 digits</t>
  </si>
  <si>
    <t>[0-9]{1,5}</t>
  </si>
  <si>
    <t>Specifies a character string with a maximum length of 5 binary bytes (10 hexadecimal text characters)</t>
  </si>
  <si>
    <t>([0-9A-F][0-9A-F]){1,10}</t>
  </si>
  <si>
    <t>Specifies a numeric string with a minlength of 1 and maxlength of 5 digits</t>
  </si>
  <si>
    <t>Specifies an alphanumeric string with a minlength of 1 and maxlength of 6 digits.</t>
  </si>
  <si>
    <t>[0-9A-Za-z]{1,6}</t>
  </si>
  <si>
    <t>Specifies a numeric string with a minlength of 1 and maxlength of 6 digits</t>
  </si>
  <si>
    <t>[0-9]{1,6}</t>
  </si>
  <si>
    <t>Specifies a character string with a minlength of 1 and maxlength of 6 characters</t>
  </si>
  <si>
    <t>Specifies a character string with a minlength of 1 and maxlength of 70 digits.</t>
  </si>
  <si>
    <t>Specifies a character string with a minlength of 1 and maxlength of 758 characters.</t>
  </si>
  <si>
    <t>Specifies a character string with a minlength of 1 and maxlength of 76 characters.</t>
  </si>
  <si>
    <t>Specifies an alphanumeric string with a minlength of 1 and maxlength of 7 digits</t>
  </si>
  <si>
    <t>[0-9A-Za-z]{1,7}</t>
  </si>
  <si>
    <t>Specifies a numeric string with a minlength of 1 and maxlength of 7 digits</t>
  </si>
  <si>
    <t>Specifies a character string with a minlength of 1 and maxlength of 8000 characters</t>
  </si>
  <si>
    <t>Specifies a character string with a maximum length of 8 binary bytes (16 hexadecimal text characters)</t>
  </si>
  <si>
    <t>([0-9A-F][0-9A-F]){1,8}</t>
  </si>
  <si>
    <t>Specifies a character string with a minlength of 1 and maxlength of 8 characters</t>
  </si>
  <si>
    <t>Max96HexBinaryText</t>
  </si>
  <si>
    <t>Specifies a character string with a maximum length of 96 binary bytes (192 hexadecimal text characters)</t>
  </si>
  <si>
    <t>([0-9A-F][0-9A-F]){1,192}</t>
  </si>
  <si>
    <t>Specifies a numeric string with a minlength of 1 and maxlength of 999 digits</t>
  </si>
  <si>
    <t>[0-9]{1,999}</t>
  </si>
  <si>
    <t>Specifies a numeric string with a minlength of 1 and maxlength of 9 digits</t>
  </si>
  <si>
    <t>[0-9]{1,9}</t>
  </si>
  <si>
    <t>Max9Text</t>
  </si>
  <si>
    <t>Specifies a character string with a minlength of 1 and maxlength of 9 characters</t>
  </si>
  <si>
    <t>Specifies a character string with a minimum length of 10 and maximum length of 12 binary bytes (20 to 24 hexadecimal text characters)</t>
  </si>
  <si>
    <t>([0-9A-F][0-9A-F]){10,12}</t>
  </si>
  <si>
    <t>Specifies a numeric string with a minlength of 1 digits and a maxlength of 19 digits.</t>
  </si>
  <si>
    <t>Specifies a character string with a minimum length of 20 and maximum length of 64 binary bytes (40 to 128 hexadecimal text characters)</t>
  </si>
  <si>
    <t>([0-9A-F][0-9A-F]){20,64}</t>
  </si>
  <si>
    <t>Specifies a character string with a minimum length of 2 and maximum length of 15 binary bytes (4 to 30 hexadecimal text characters)</t>
  </si>
  <si>
    <t>([0-9A-F][0-9A-F]){2,15}</t>
  </si>
  <si>
    <t>Specifies a character string with a minlength of 2 and maxlength of 226 digits.</t>
  </si>
  <si>
    <t>Min2Max3AlphaText</t>
  </si>
  <si>
    <t>Specifies an alpha string with a minlength of 2 characters and a maxlength of 3 digits</t>
  </si>
  <si>
    <t>[A-Za-z]{2,3}</t>
  </si>
  <si>
    <t>Specifies a character string with a minimum length of 2 and maximum length of 3 binary bytes (4 to 6 hexadecimal text characters)</t>
  </si>
  <si>
    <t>([0-9A-F][0-9A-F]){2,3}</t>
  </si>
  <si>
    <t>Specifies a numeric string with a minlength of 2 digits and a maxlength of 3 digits.</t>
  </si>
  <si>
    <t>[0-9]{2,3}</t>
  </si>
  <si>
    <t>Specifies a character string with a minimum length of 4 and maximum length of 32 binary bytes (8 to 64 hexadecimal text characters)</t>
  </si>
  <si>
    <t>([0-9A-F][0-9A-F]){4,32}</t>
  </si>
  <si>
    <t>Specifies a character string with a minimum length of 4 and maximum length of 40 binary bytes (8 to 80 hexadecimal text characters)</t>
  </si>
  <si>
    <t>([0-9A-F][0-9A-F]){4,40}</t>
  </si>
  <si>
    <t>Specifies a character string with a minlength of 4 and maxlength of 45 digits.</t>
  </si>
  <si>
    <t>Specifies a character string with a minimum length of 4 and maximum length of 64 binary bytes (8 to 128 hexadecimal text characters)</t>
  </si>
  <si>
    <t>([0-9A-F][0-9A-F]){4,64}</t>
  </si>
  <si>
    <t>Specifies a character string with a minimum length of 5 and maximum length of 16 binary bytes (8 to 128 hexadecimal text characters)</t>
  </si>
  <si>
    <t>([0-9A-F][0-9A-F]){5,16}</t>
  </si>
  <si>
    <t>Specifies a numeric string with a minlength of 6 digits and a maxlength of 8 digits.</t>
  </si>
  <si>
    <t>[0-9]{6,8}</t>
  </si>
  <si>
    <t>Specifies a character string with min 72 and max 296 digits.</t>
  </si>
  <si>
    <t>Specifies a numeric string with a minlength of 7 digits and a maxlength of 15 digits.</t>
  </si>
  <si>
    <t>[0-9]{7,15}</t>
  </si>
  <si>
    <t>Min7Max16HexBinaryText</t>
  </si>
  <si>
    <t>Specifies a character string with a minimum length of 7 and maximum length of 16 binary bytes (14 to 32 hexadecimal text characters)</t>
  </si>
  <si>
    <t>([0-9A-F][0-9A-F]){7,16}</t>
  </si>
  <si>
    <t>Specifies a character string with a minimum length of 8 and maximum length of 16 binary bytes (16 to 32 hexadecimal text characters)</t>
  </si>
  <si>
    <t>([0-9A-F][0-9A-F]){8,16}</t>
  </si>
  <si>
    <t>Specifies a character string with a minimum length of 9 and maximum length of 12 binary bytes (18 to 24 hexadecimal text characters)</t>
  </si>
  <si>
    <t>([0-9A-F][0-9A-F]){9,12}</t>
  </si>
  <si>
    <t>Min9Max19NumericText</t>
  </si>
  <si>
    <t>Specifies a numeric string with a minlength of 9 digits and a maxlength of 19 digits.</t>
  </si>
  <si>
    <t>[0-9]{9,19}</t>
  </si>
  <si>
    <t>Rate expressed as a percentage</t>
  </si>
  <si>
    <t>[0-9]{1,11}(\.?[0-9]{0,10})?</t>
  </si>
  <si>
    <t>International phone number E164 standard</t>
  </si>
  <si>
    <t>\+[0-9]{1}?\-?[0-9]{1,3}?[0-9]{1,14}</t>
  </si>
  <si>
    <t xml:space="preserve"> ** + Fonction CheckPhoneNumber</t>
  </si>
  <si>
    <t>En attente de définition précise</t>
  </si>
  <si>
    <t>A flag indicating a True or False value.</t>
  </si>
  <si>
    <t>boolean</t>
  </si>
  <si>
    <t>{true, false} (Refer to the W3C recommendation on XML Schema)</t>
  </si>
  <si>
    <t xml:space="preserve">UUID </t>
  </si>
  <si>
    <t>[0-9A-F]{8}-[0-9A-F]{4}-[4][0-9A-F]{3}-[89AB][0-9A-F]{3}-[0-9A-F]{12}</t>
  </si>
  <si>
    <t>UUID à usage universel</t>
  </si>
  <si>
    <t>CODE SET - LISTE DE VALEURS AUTORISEES POUR LE TYPE DE CHAMP</t>
  </si>
  <si>
    <t>Code Set</t>
  </si>
  <si>
    <t>Format</t>
  </si>
  <si>
    <t>Data</t>
  </si>
  <si>
    <t>Data Comment</t>
  </si>
  <si>
    <t>FFPM</t>
  </si>
  <si>
    <t>Face to face payment</t>
  </si>
  <si>
    <t>RMPM</t>
  </si>
  <si>
    <t>Remote payment</t>
  </si>
  <si>
    <t>UTPM</t>
  </si>
  <si>
    <t>Unattended payment</t>
  </si>
  <si>
    <t>LAIP</t>
  </si>
  <si>
    <t>LAN IP</t>
  </si>
  <si>
    <t>RTIP</t>
  </si>
  <si>
    <t>RTC NAS IP</t>
  </si>
  <si>
    <t>RTPA</t>
  </si>
  <si>
    <t>RTC PAD X25</t>
  </si>
  <si>
    <t>DELI</t>
  </si>
  <si>
    <t>X25 dedicated line</t>
  </si>
  <si>
    <t>RNBC</t>
  </si>
  <si>
    <t>RNIS B canal (EBS)</t>
  </si>
  <si>
    <t>RNDC</t>
  </si>
  <si>
    <t xml:space="preserve">RNIS D canal X25 </t>
  </si>
  <si>
    <t>GSMX</t>
  </si>
  <si>
    <t>GSM X25</t>
  </si>
  <si>
    <t>GSMI</t>
  </si>
  <si>
    <t>GSM IP</t>
  </si>
  <si>
    <t>GPRI</t>
  </si>
  <si>
    <t>GPRS IP</t>
  </si>
  <si>
    <t>CRDT</t>
  </si>
  <si>
    <t>Credit</t>
  </si>
  <si>
    <t>DEBT</t>
  </si>
  <si>
    <t>Debit</t>
  </si>
  <si>
    <t>CHAR</t>
  </si>
  <si>
    <t>Charge</t>
  </si>
  <si>
    <t>PREP</t>
  </si>
  <si>
    <t>Prepaid</t>
  </si>
  <si>
    <t>DEFR</t>
  </si>
  <si>
    <t>Deferred debit</t>
  </si>
  <si>
    <t>PEAI</t>
  </si>
  <si>
    <t xml:space="preserve">Funds transfer - Payee account owner name inquiry </t>
  </si>
  <si>
    <t>PRAI</t>
  </si>
  <si>
    <t xml:space="preserve">Funds transfer - Payer account owner name inquiry </t>
  </si>
  <si>
    <t>PWNF</t>
  </si>
  <si>
    <t xml:space="preserve">CBAE 1.5 Value : 00  Payment or Transaction with no special features </t>
  </si>
  <si>
    <t>SAAC</t>
  </si>
  <si>
    <t xml:space="preserve">CBAE 1.5 Value : 10  Saving account </t>
  </si>
  <si>
    <t>DEAC</t>
  </si>
  <si>
    <t xml:space="preserve">CBAE 1.5 Value : 20  Debit account </t>
  </si>
  <si>
    <t>CRAC</t>
  </si>
  <si>
    <t xml:space="preserve">CBAE 1.5 Value : 30  Credit account </t>
  </si>
  <si>
    <t>DECL</t>
  </si>
  <si>
    <t xml:space="preserve">CBAE 1.5 Value : 33  Deferred clearing </t>
  </si>
  <si>
    <t>DEDA</t>
  </si>
  <si>
    <t xml:space="preserve">CBAE 1.5 Value : 35  Deferred debit account </t>
  </si>
  <si>
    <t>CHAC</t>
  </si>
  <si>
    <t xml:space="preserve">CBAE 1.5 Value : 36  Charge account </t>
  </si>
  <si>
    <t>PRAC</t>
  </si>
  <si>
    <t xml:space="preserve">CBAE 1.5 Value : 60  Prepaid account </t>
  </si>
  <si>
    <t>NOAR</t>
  </si>
  <si>
    <t>No Acknowledgement requested</t>
  </si>
  <si>
    <t>ACRE</t>
  </si>
  <si>
    <t>Acknowledgement requested</t>
  </si>
  <si>
    <t>ARET</t>
  </si>
  <si>
    <t>Acknowledgement requested, end of transfer</t>
  </si>
  <si>
    <t>POAC</t>
  </si>
  <si>
    <t>Positive Acknowledgement</t>
  </si>
  <si>
    <t>PAAT</t>
  </si>
  <si>
    <t>Positive Acknowledgement, end of transfer</t>
  </si>
  <si>
    <t>NARR</t>
  </si>
  <si>
    <t>Negative Acknowledgement, repetition request</t>
  </si>
  <si>
    <t>NAWR</t>
  </si>
  <si>
    <t>Negative Acknowledgement, without repetition request</t>
  </si>
  <si>
    <t>NAET</t>
  </si>
  <si>
    <t>Negative Acknowledgement, end of transfer</t>
  </si>
  <si>
    <t>AUTH</t>
  </si>
  <si>
    <t>Authorisation</t>
  </si>
  <si>
    <t>CAPT</t>
  </si>
  <si>
    <t>Capture</t>
  </si>
  <si>
    <t>PARA</t>
  </si>
  <si>
    <t>Parametrage</t>
  </si>
  <si>
    <t>PREC</t>
  </si>
  <si>
    <t>Preclearing</t>
  </si>
  <si>
    <t>TARF</t>
  </si>
  <si>
    <t>BACK_OFFICE</t>
  </si>
  <si>
    <t>BRANCH</t>
  </si>
  <si>
    <t>ELECTRONIC</t>
  </si>
  <si>
    <t>SUPPORT</t>
  </si>
  <si>
    <t>OPEN_BANKING</t>
  </si>
  <si>
    <t>P2P</t>
  </si>
  <si>
    <t>UNKNOWN</t>
  </si>
  <si>
    <t>WEB_BANKING</t>
  </si>
  <si>
    <t>ACTI</t>
  </si>
  <si>
    <t>Carte activated during transaction</t>
  </si>
  <si>
    <t>DESA</t>
  </si>
  <si>
    <t>Carte desactivated during transaction</t>
  </si>
  <si>
    <t>NOMO</t>
  </si>
  <si>
    <t>No modification</t>
  </si>
  <si>
    <t>NAUT</t>
  </si>
  <si>
    <t>No authentication</t>
  </si>
  <si>
    <t>REPA</t>
  </si>
  <si>
    <t>Repeatable password (e.g. date of birth, password, postal code)</t>
  </si>
  <si>
    <t>OTPT</t>
  </si>
  <si>
    <t>OTP via telephone (e.g. SMS, SVI, token)</t>
  </si>
  <si>
    <t>OSSE</t>
  </si>
  <si>
    <t>OTP via secured software element (e.g. SEA)</t>
  </si>
  <si>
    <t>OSHE</t>
  </si>
  <si>
    <t>OTP via secured hardware element (e.g. CAP, SIM)</t>
  </si>
  <si>
    <t>IUNA</t>
  </si>
  <si>
    <t>01 Initial use, No additional authentication requested</t>
  </si>
  <si>
    <t>IURM</t>
  </si>
  <si>
    <t>02 Initial use, Risk management engine requests additional strong authentication</t>
  </si>
  <si>
    <t>IRME</t>
  </si>
  <si>
    <t>03 Initial use, Risk management engine unavailable</t>
  </si>
  <si>
    <t>NAAR</t>
  </si>
  <si>
    <t>11 No additional authentication requested</t>
  </si>
  <si>
    <t>RMRA</t>
  </si>
  <si>
    <t>12 Risk management engine requests additional strong authentication</t>
  </si>
  <si>
    <t>RMEU</t>
  </si>
  <si>
    <t>13 Risk management engine unavailable</t>
  </si>
  <si>
    <t>CBFR</t>
  </si>
  <si>
    <t>3 (CB)</t>
  </si>
  <si>
    <t>PAYL</t>
  </si>
  <si>
    <t>02 (Paylib)</t>
  </si>
  <si>
    <t>NOAI</t>
  </si>
  <si>
    <t>No additional information</t>
  </si>
  <si>
    <t>FORE</t>
  </si>
  <si>
    <t>Format error</t>
  </si>
  <si>
    <t>COIP</t>
  </si>
  <si>
    <t>Cut-off in progress</t>
  </si>
  <si>
    <t>ODRS</t>
  </si>
  <si>
    <t>Open dialog but refused proposed service</t>
  </si>
  <si>
    <t>ETNS</t>
  </si>
  <si>
    <t>Echo test non supported</t>
  </si>
  <si>
    <t>ACFI</t>
  </si>
  <si>
    <t>Accepted file instruction</t>
  </si>
  <si>
    <t>INPT</t>
  </si>
  <si>
    <t>Invalid parameter table</t>
  </si>
  <si>
    <t>RPTT</t>
  </si>
  <si>
    <t>Refused parameter table transfer</t>
  </si>
  <si>
    <t>TRRD</t>
  </si>
  <si>
    <t>Transmitted remittance delete</t>
  </si>
  <si>
    <t>RERR</t>
  </si>
  <si>
    <t>Remittance recovery request</t>
  </si>
  <si>
    <t>CWNR</t>
  </si>
  <si>
    <t>Continue with next remittance</t>
  </si>
  <si>
    <t>ADDR</t>
  </si>
  <si>
    <t>Postal Address is the complete postal address.</t>
  </si>
  <si>
    <t>PBOX</t>
  </si>
  <si>
    <t>POBox Address is a postal office (PO) box.</t>
  </si>
  <si>
    <t>HOME</t>
  </si>
  <si>
    <t>Residential Address is the home address.</t>
  </si>
  <si>
    <t>BIZZ</t>
  </si>
  <si>
    <t>Business Address is the business address.</t>
  </si>
  <si>
    <t>MLTO</t>
  </si>
  <si>
    <t>MailTo Address is the address to which mail is</t>
  </si>
  <si>
    <t>DLVY</t>
  </si>
  <si>
    <t>ON board sale</t>
  </si>
  <si>
    <t>POSA</t>
  </si>
  <si>
    <t>Point Of Sale Address</t>
  </si>
  <si>
    <t>MAIL</t>
  </si>
  <si>
    <t>Mailing Address</t>
  </si>
  <si>
    <t>OFFA</t>
  </si>
  <si>
    <t>Official Address</t>
  </si>
  <si>
    <t>NSPR</t>
  </si>
  <si>
    <t>Normal Service Provided : 000</t>
  </si>
  <si>
    <t>NPCE</t>
  </si>
  <si>
    <t>Service not Provided, acquirer identifier not found in the service data (Configuration Error) : 001</t>
  </si>
  <si>
    <t>NPMN</t>
  </si>
  <si>
    <t>Service not Provided, field 33 and/or Main services optional criteria  Not verified : 002</t>
  </si>
  <si>
    <t>NPMO</t>
  </si>
  <si>
    <t>Service not Provided, Message length Over size : 003</t>
  </si>
  <si>
    <t>NPFO</t>
  </si>
  <si>
    <t>Service not provided, Field length Over size : 004</t>
  </si>
  <si>
    <t>NPUS</t>
  </si>
  <si>
    <t>Service not provided, Unavailable Service</t>
  </si>
  <si>
    <t>IDAR</t>
  </si>
  <si>
    <t>Acquirer Routing service</t>
  </si>
  <si>
    <t>IDSC</t>
  </si>
  <si>
    <t>Scoring</t>
  </si>
  <si>
    <t>IDTK</t>
  </si>
  <si>
    <t>Tokenization service</t>
  </si>
  <si>
    <t>IDNR</t>
  </si>
  <si>
    <t>Network Rerouting</t>
  </si>
  <si>
    <t>UCAC</t>
  </si>
  <si>
    <t>Unchecked Application Cryptogram</t>
  </si>
  <si>
    <t>ICAC</t>
  </si>
  <si>
    <t>Invalid checked Application Cryptogram</t>
  </si>
  <si>
    <t>VCAC</t>
  </si>
  <si>
    <t>Valid checked Application Cryptogram</t>
  </si>
  <si>
    <t>NSBI</t>
  </si>
  <si>
    <t>Not sent by issuer (used only by international gateways)</t>
  </si>
  <si>
    <t>VAAC</t>
  </si>
  <si>
    <t>Valid application cryptogram; ATC replay</t>
  </si>
  <si>
    <t>DEFT</t>
  </si>
  <si>
    <t>Selection by default</t>
  </si>
  <si>
    <t>CRHD</t>
  </si>
  <si>
    <t>Cardholder selection</t>
  </si>
  <si>
    <t>DSAC</t>
  </si>
  <si>
    <t>Deactivated</t>
  </si>
  <si>
    <t>Activated</t>
  </si>
  <si>
    <t>AWRE</t>
  </si>
  <si>
    <t>Activated with restrictions (see field 46 type DF57)</t>
  </si>
  <si>
    <t>ATTD</t>
  </si>
  <si>
    <t>Attended - Attended payment, with an attendant.</t>
  </si>
  <si>
    <t>SATT</t>
  </si>
  <si>
    <t>Semi-attended - including self checkout. An attendant supervises several payment, and could be called to help the cardholder.</t>
  </si>
  <si>
    <t>UATT</t>
  </si>
  <si>
    <t>Unattended - Unattended payment, no attendant</t>
  </si>
  <si>
    <t>FAIR</t>
  </si>
  <si>
    <t>Forcing authorisation after issuer response</t>
  </si>
  <si>
    <t>FBAR</t>
  </si>
  <si>
    <t>Forcing before authorisation request</t>
  </si>
  <si>
    <t>MEOA</t>
  </si>
  <si>
    <t>Manual entry of the autorisation</t>
  </si>
  <si>
    <t>NOFO</t>
  </si>
  <si>
    <t>No forcing</t>
  </si>
  <si>
    <t>RZ</t>
  </si>
  <si>
    <t>RD</t>
  </si>
  <si>
    <t>RN</t>
  </si>
  <si>
    <t>BLOCKING_REASON_1</t>
  </si>
  <si>
    <t>BLOCKING_REASON_2</t>
  </si>
  <si>
    <t>REG_BLOCKING_REASON_1</t>
  </si>
  <si>
    <t>REG_BLOCKING_REASON_2</t>
  </si>
  <si>
    <t>CB</t>
  </si>
  <si>
    <t>MACD</t>
  </si>
  <si>
    <t>Mastercard</t>
  </si>
  <si>
    <t>DISC</t>
  </si>
  <si>
    <t>Discover</t>
  </si>
  <si>
    <t>UPIC</t>
  </si>
  <si>
    <t>UPI</t>
  </si>
  <si>
    <t>VPAY</t>
  </si>
  <si>
    <t>ELEC</t>
  </si>
  <si>
    <t>Electron</t>
  </si>
  <si>
    <t>MSTR</t>
  </si>
  <si>
    <t>Maestro</t>
  </si>
  <si>
    <t>JCB0</t>
  </si>
  <si>
    <t>JCB</t>
  </si>
  <si>
    <t>REPV</t>
  </si>
  <si>
    <t xml:space="preserve">Reserved for private use </t>
  </si>
  <si>
    <t>INAP</t>
  </si>
  <si>
    <t>In-app payment</t>
  </si>
  <si>
    <t>BRWS</t>
  </si>
  <si>
    <t>Browser-based payment</t>
  </si>
  <si>
    <t>AUTO</t>
  </si>
  <si>
    <t>Autonomous</t>
  </si>
  <si>
    <t>DICO</t>
  </si>
  <si>
    <t>Distributed (concentrated)</t>
  </si>
  <si>
    <t>DICL</t>
  </si>
  <si>
    <t>Distributed (clustered)</t>
  </si>
  <si>
    <t>LAST_DAY_ON_MONTH</t>
  </si>
  <si>
    <t>FIRST_DAY_ON_MONTH</t>
  </si>
  <si>
    <t>MIDDLE_DAY_ON_MONTH</t>
  </si>
  <si>
    <t>EMVC</t>
  </si>
  <si>
    <t>EMV</t>
  </si>
  <si>
    <t>CIMG</t>
  </si>
  <si>
    <t>Contactless integrated circuit - magstripe context</t>
  </si>
  <si>
    <t>NOTS</t>
  </si>
  <si>
    <t>Not specified</t>
  </si>
  <si>
    <t>MAGS</t>
  </si>
  <si>
    <t>Magstripe</t>
  </si>
  <si>
    <t>CCEC</t>
  </si>
  <si>
    <t>Contactless chip transaction using EMV chip data</t>
  </si>
  <si>
    <t>CCMD</t>
  </si>
  <si>
    <t>Contactless chip transaction using magstripe data</t>
  </si>
  <si>
    <t>ICCR</t>
  </si>
  <si>
    <t xml:space="preserve">Integrated circuit card reader </t>
  </si>
  <si>
    <t>MANE</t>
  </si>
  <si>
    <t>Manual entry</t>
  </si>
  <si>
    <t>MAAR</t>
  </si>
  <si>
    <t>Magstripe, after attempt to read chip</t>
  </si>
  <si>
    <t>PVBS</t>
  </si>
  <si>
    <t>Provided by a server</t>
  </si>
  <si>
    <t>COFT</t>
  </si>
  <si>
    <t>Card-on-File</t>
  </si>
  <si>
    <t>WORLD_CUP_FOOTBALL_2023</t>
  </si>
  <si>
    <t>WORLD_CUP_FOOTBALL_2026</t>
  </si>
  <si>
    <t>PAFM</t>
  </si>
  <si>
    <t>Postcode and address fully match</t>
  </si>
  <si>
    <t>PAPM</t>
  </si>
  <si>
    <t>Postcode and address partially match</t>
  </si>
  <si>
    <t>PANM</t>
  </si>
  <si>
    <t>Postcode and address do not match</t>
  </si>
  <si>
    <t>NPAD</t>
  </si>
  <si>
    <t>Control was not performed or was not performed for all data elements</t>
  </si>
  <si>
    <t>RTRY</t>
  </si>
  <si>
    <t>Retry (indeterminate outcome)</t>
  </si>
  <si>
    <t>NOEA</t>
  </si>
  <si>
    <t>No electronic authentication</t>
  </si>
  <si>
    <t>AUTP</t>
  </si>
  <si>
    <t>Authentication by PIN</t>
  </si>
  <si>
    <t>EAOS</t>
  </si>
  <si>
    <t>Electronic analysis of signature</t>
  </si>
  <si>
    <t>OTHR</t>
  </si>
  <si>
    <t>Other (default value)</t>
  </si>
  <si>
    <t>RFPU</t>
  </si>
  <si>
    <t>Reserved for private use</t>
  </si>
  <si>
    <t>PINE</t>
  </si>
  <si>
    <t>PIN</t>
  </si>
  <si>
    <t>ESIG</t>
  </si>
  <si>
    <t>Electronic signature</t>
  </si>
  <si>
    <t>MSIG</t>
  </si>
  <si>
    <t>Manual signature</t>
  </si>
  <si>
    <t>OMAM</t>
  </si>
  <si>
    <t>Other manual authentication methods</t>
  </si>
  <si>
    <t>ADVE</t>
  </si>
  <si>
    <t>Address verification</t>
  </si>
  <si>
    <t>PIMS</t>
  </si>
  <si>
    <t>PIN + manual signature</t>
  </si>
  <si>
    <t>NONE</t>
  </si>
  <si>
    <t>None</t>
  </si>
  <si>
    <t>PIUP</t>
  </si>
  <si>
    <t>Pick-up possible</t>
  </si>
  <si>
    <t>CHPR</t>
  </si>
  <si>
    <t>Cardholder present</t>
  </si>
  <si>
    <t>CHNP</t>
  </si>
  <si>
    <t>Cardholder not present</t>
  </si>
  <si>
    <t>MAOS</t>
  </si>
  <si>
    <t>Mail-order sale</t>
  </si>
  <si>
    <t>TESA</t>
  </si>
  <si>
    <t>Telephone sale</t>
  </si>
  <si>
    <t>CNPA</t>
  </si>
  <si>
    <t>Cardholder not present, waiting for autorisation</t>
  </si>
  <si>
    <t>RFFU</t>
  </si>
  <si>
    <t>PRIV</t>
  </si>
  <si>
    <t>Privative</t>
  </si>
  <si>
    <t>TEST</t>
  </si>
  <si>
    <t>Test</t>
  </si>
  <si>
    <t>PAIU</t>
  </si>
  <si>
    <t>Paiement uniquement</t>
  </si>
  <si>
    <t>RETU</t>
  </si>
  <si>
    <t>Retrait uniquement</t>
  </si>
  <si>
    <t>PARE</t>
  </si>
  <si>
    <t>Paiement et Retrait</t>
  </si>
  <si>
    <t>CNAR</t>
  </si>
  <si>
    <t>Carte nationale de retrait</t>
  </si>
  <si>
    <t>CNPR</t>
  </si>
  <si>
    <t>Carte nationale de retrait et de paiement</t>
  </si>
  <si>
    <t>CNAP</t>
  </si>
  <si>
    <t>Carte nationale de paiement</t>
  </si>
  <si>
    <t>PRAS</t>
  </si>
  <si>
    <t>Carte nationale de paiement et de retrait à autorisation systématique</t>
  </si>
  <si>
    <t>CPAS</t>
  </si>
  <si>
    <t>Carte nationale de paiement à autorisation systématique</t>
  </si>
  <si>
    <t>CASM</t>
  </si>
  <si>
    <t>Carte sans marque</t>
  </si>
  <si>
    <t>UNKW</t>
  </si>
  <si>
    <t>Unknown</t>
  </si>
  <si>
    <t>MANU</t>
  </si>
  <si>
    <t>Manual, no terminal</t>
  </si>
  <si>
    <t>Magstripe reader</t>
  </si>
  <si>
    <t xml:space="preserve">Contactless chip card reader - EMV chip context </t>
  </si>
  <si>
    <t>CCMC</t>
  </si>
  <si>
    <t>Contactless chip card reader - magnetic stripe context</t>
  </si>
  <si>
    <t>KEYI</t>
  </si>
  <si>
    <t xml:space="preserve">Keypad input </t>
  </si>
  <si>
    <t>CCCR</t>
  </si>
  <si>
    <t xml:space="preserve">Contactless chip card reader </t>
  </si>
  <si>
    <t>NCEC</t>
  </si>
  <si>
    <t>No card entry Capability</t>
  </si>
  <si>
    <t>PBAS</t>
  </si>
  <si>
    <t>CVDC</t>
  </si>
  <si>
    <t>Card with dynamic card security code (CVD)</t>
  </si>
  <si>
    <t>NSTM</t>
  </si>
  <si>
    <t>Card security code is not sent by the merchant</t>
  </si>
  <si>
    <t>CSCP</t>
  </si>
  <si>
    <t>Card security code present</t>
  </si>
  <si>
    <t>CSPI</t>
  </si>
  <si>
    <t>Card security code present on cardholder's card, but illegible (therefore not sent)</t>
  </si>
  <si>
    <t>DCVP</t>
  </si>
  <si>
    <t>dCVV2 validation performed (for Visa incoming only)</t>
  </si>
  <si>
    <t>DCVF</t>
  </si>
  <si>
    <t>dCVV2 checked and failed; CVV2 validation performed (for Visa incoming only)</t>
  </si>
  <si>
    <t>CSNI</t>
  </si>
  <si>
    <t>Cardholder has informed merchant that no card security code is printed on his card.</t>
  </si>
  <si>
    <t>VRCR</t>
  </si>
  <si>
    <t>Card security code verification response code requested</t>
  </si>
  <si>
    <t>VRVR</t>
  </si>
  <si>
    <t>Card security code verification response code requested and 'Card security code verification results' requested</t>
  </si>
  <si>
    <t>CISS</t>
  </si>
  <si>
    <t>Card issuer</t>
  </si>
  <si>
    <t>STIN</t>
  </si>
  <si>
    <t>Stand-in</t>
  </si>
  <si>
    <t>CTPP</t>
  </si>
  <si>
    <t>CTUN</t>
  </si>
  <si>
    <t>BANK</t>
  </si>
  <si>
    <t>Bancaire</t>
  </si>
  <si>
    <t>NCWC</t>
  </si>
  <si>
    <t>No card write capability</t>
  </si>
  <si>
    <t>ADDC</t>
  </si>
  <si>
    <t>Add card</t>
  </si>
  <si>
    <t>KEEP</t>
  </si>
  <si>
    <t>Keep card</t>
  </si>
  <si>
    <t>NATS</t>
  </si>
  <si>
    <t>National Identification (SIRET)</t>
  </si>
  <si>
    <t>INTS</t>
  </si>
  <si>
    <t>International Identification (TVA intercommunautaire)</t>
  </si>
  <si>
    <t>ACTIVE</t>
  </si>
  <si>
    <t>INACTIVE</t>
  </si>
  <si>
    <t>NO_NOTICE</t>
  </si>
  <si>
    <t>Paiement et retrait guichet</t>
  </si>
  <si>
    <t>DC</t>
  </si>
  <si>
    <t>DCC</t>
  </si>
  <si>
    <t>CP</t>
  </si>
  <si>
    <t>CUP</t>
  </si>
  <si>
    <t>DF</t>
  </si>
  <si>
    <t>DFS</t>
  </si>
  <si>
    <t>JC</t>
  </si>
  <si>
    <t>FRDT</t>
  </si>
  <si>
    <t>France &amp; DOM-TOM</t>
  </si>
  <si>
    <t>EURO</t>
  </si>
  <si>
    <t>Europe (without France &amp; DOM-TOM)</t>
  </si>
  <si>
    <t>AFRC</t>
  </si>
  <si>
    <t>Africa</t>
  </si>
  <si>
    <t>NOAM</t>
  </si>
  <si>
    <t>North America</t>
  </si>
  <si>
    <t>SOAM</t>
  </si>
  <si>
    <t>South America</t>
  </si>
  <si>
    <t>ASIA</t>
  </si>
  <si>
    <t>Asia</t>
  </si>
  <si>
    <t>OCEA</t>
  </si>
  <si>
    <t>Océania</t>
  </si>
  <si>
    <t>CVNC</t>
  </si>
  <si>
    <t>CVx not checked</t>
  </si>
  <si>
    <t>CVCI</t>
  </si>
  <si>
    <t>CVx checked and incorrect</t>
  </si>
  <si>
    <t>CVCC</t>
  </si>
  <si>
    <t>CVx checked and correct</t>
  </si>
  <si>
    <t>CVUN</t>
  </si>
  <si>
    <t>CVx checked and incorrect – invalid unpredictable number length</t>
  </si>
  <si>
    <t>Débit</t>
  </si>
  <si>
    <t>TDOL</t>
  </si>
  <si>
    <t>PDOL</t>
  </si>
  <si>
    <t>DDOL</t>
  </si>
  <si>
    <t>ACQU</t>
  </si>
  <si>
    <t>ISSU</t>
  </si>
  <si>
    <t>Issuer</t>
  </si>
  <si>
    <t>REFU</t>
  </si>
  <si>
    <t>Reserved for future use</t>
  </si>
  <si>
    <t>SQRX</t>
  </si>
  <si>
    <t>SQR</t>
  </si>
  <si>
    <t>C2PA</t>
  </si>
  <si>
    <t>Click to Pay</t>
  </si>
  <si>
    <t>BIOM</t>
  </si>
  <si>
    <t>Biometrics Checkout Program</t>
  </si>
  <si>
    <t>NGEN</t>
  </si>
  <si>
    <t>Next Gen POI</t>
  </si>
  <si>
    <t>PEPS</t>
  </si>
  <si>
    <t>04 PEPS</t>
  </si>
  <si>
    <t>FCTC</t>
  </si>
  <si>
    <t>Facture contestée</t>
  </si>
  <si>
    <t>FAID</t>
  </si>
  <si>
    <t>Fausse identité​</t>
  </si>
  <si>
    <t>DETC</t>
  </si>
  <si>
    <t>Détournement de compte</t>
  </si>
  <si>
    <t>CACO</t>
  </si>
  <si>
    <t>Carte contrefaite</t>
  </si>
  <si>
    <t>COMU</t>
  </si>
  <si>
    <t>Contrefaçon multiple​</t>
  </si>
  <si>
    <t>FRDF</t>
  </si>
  <si>
    <t>Frais différé​</t>
  </si>
  <si>
    <t>DEMA</t>
  </si>
  <si>
    <t>Défaut marchandise/service</t>
  </si>
  <si>
    <t>DOUB</t>
  </si>
  <si>
    <t>Traitement en double​</t>
  </si>
  <si>
    <t>RNDI</t>
  </si>
  <si>
    <t>Retrait non distribué</t>
  </si>
  <si>
    <t>RPDI</t>
  </si>
  <si>
    <t>Retrait partiellement distribué</t>
  </si>
  <si>
    <t>MOER</t>
  </si>
  <si>
    <t>Montant erroné</t>
  </si>
  <si>
    <t>Carte non parvenue au porteur​</t>
  </si>
  <si>
    <t>CEAM</t>
  </si>
  <si>
    <t>Carte extorquée avec menace​</t>
  </si>
  <si>
    <t>CVSV</t>
  </si>
  <si>
    <t>Carte volée sans violence</t>
  </si>
  <si>
    <t>CAEC</t>
  </si>
  <si>
    <t>Carte échue</t>
  </si>
  <si>
    <t>COPP</t>
  </si>
  <si>
    <t>Carte opposée</t>
  </si>
  <si>
    <t>RPAR</t>
  </si>
  <si>
    <t>Régul DAB porteurs avant réclamation​</t>
  </si>
  <si>
    <t>LITC</t>
  </si>
  <si>
    <t>Litige commercial</t>
  </si>
  <si>
    <t>OPME</t>
  </si>
  <si>
    <t>Opération mal exécutée</t>
  </si>
  <si>
    <t>REGU</t>
  </si>
  <si>
    <t>Régularisation</t>
  </si>
  <si>
    <t>Opération non autorisée par le porteur</t>
  </si>
  <si>
    <t>ACNS</t>
  </si>
  <si>
    <t>Legacy – Non-secured electronic commerce transaction : CBAE 08</t>
  </si>
  <si>
    <t>ACNO</t>
  </si>
  <si>
    <t>No authentication cryptogram : CBAE 09</t>
  </si>
  <si>
    <t>ACXX</t>
  </si>
  <si>
    <t>Authentication cryptogram : CBAE 20</t>
  </si>
  <si>
    <t>ACMO</t>
  </si>
  <si>
    <t>Authentication cryptogram issued from a mobile : CBAE 21</t>
  </si>
  <si>
    <t>NOAC</t>
  </si>
  <si>
    <t>No authentication cryptogram</t>
  </si>
  <si>
    <t>ACIS</t>
  </si>
  <si>
    <t>Authentication cryptogram issued from a server</t>
  </si>
  <si>
    <t>ACIX</t>
  </si>
  <si>
    <t>Authentication cryptogram issued from a Xpay or token cryptogram with authentication delegated to device</t>
  </si>
  <si>
    <t>3DES</t>
  </si>
  <si>
    <t>A128</t>
  </si>
  <si>
    <t>AES 128</t>
  </si>
  <si>
    <t>A192</t>
  </si>
  <si>
    <t>AES 192</t>
  </si>
  <si>
    <t>A256</t>
  </si>
  <si>
    <t>AES 256</t>
  </si>
  <si>
    <t>NENC</t>
  </si>
  <si>
    <t>No encryption</t>
  </si>
  <si>
    <t>CB2A Fichier : 0 Unknown</t>
  </si>
  <si>
    <t>APWM</t>
  </si>
  <si>
    <t>CB2A Fichier : 1 On acceptor's premises with monitoring</t>
  </si>
  <si>
    <t>APSM</t>
  </si>
  <si>
    <t>CB2A Fichier : 2 On acceptor's premises without monitoring</t>
  </si>
  <si>
    <t>OAPM</t>
  </si>
  <si>
    <t>CB2A Fichier : 3 Outside acceptor's premises with monitoring</t>
  </si>
  <si>
    <t>OASM</t>
  </si>
  <si>
    <t>CB2A Fichier : 4 Outside acceptor's premises without monitoring</t>
  </si>
  <si>
    <t>CPWM</t>
  </si>
  <si>
    <t>CB2A Fichier : 5 On cardholder's premises without monitoring</t>
  </si>
  <si>
    <t>CB2A Fichier : 9 Reserved for private use</t>
  </si>
  <si>
    <t>PRNT</t>
  </si>
  <si>
    <t xml:space="preserve">Print </t>
  </si>
  <si>
    <t>DISP</t>
  </si>
  <si>
    <t xml:space="preserve">Display </t>
  </si>
  <si>
    <t>PRDI</t>
  </si>
  <si>
    <t xml:space="preserve">Print and display </t>
  </si>
  <si>
    <t>PRCO</t>
  </si>
  <si>
    <t xml:space="preserve">Print for cardholder only </t>
  </si>
  <si>
    <t xml:space="preserve">Display for cardholder only </t>
  </si>
  <si>
    <t>PDCO</t>
  </si>
  <si>
    <t xml:space="preserve">Print and display for the cardholder only </t>
  </si>
  <si>
    <t>PRAO</t>
  </si>
  <si>
    <t xml:space="preserve">Print for acceptor only </t>
  </si>
  <si>
    <t>DIAO</t>
  </si>
  <si>
    <t xml:space="preserve">Display for acceptor only </t>
  </si>
  <si>
    <t>PDAO</t>
  </si>
  <si>
    <t xml:space="preserve">Print and display for the acceptor only </t>
  </si>
  <si>
    <t xml:space="preserve">Print for the acceptor and the cardholder </t>
  </si>
  <si>
    <t>DIAC</t>
  </si>
  <si>
    <t xml:space="preserve">Display for the acceptor and the cardholder </t>
  </si>
  <si>
    <t>PDAC</t>
  </si>
  <si>
    <t xml:space="preserve">Print and display for the acceptor and the cardholder </t>
  </si>
  <si>
    <t>NPRO</t>
  </si>
  <si>
    <t>Not Provided</t>
  </si>
  <si>
    <t>ARIB</t>
  </si>
  <si>
    <t>Accumulation on RIB</t>
  </si>
  <si>
    <t>ACONT</t>
  </si>
  <si>
    <t>Accumulation on contract</t>
  </si>
  <si>
    <t>ITPC</t>
  </si>
  <si>
    <t>Internal Transfer Pricing</t>
  </si>
  <si>
    <t>OISA</t>
  </si>
  <si>
    <t>Optional Issuer ISA</t>
  </si>
  <si>
    <t>ITMA</t>
  </si>
  <si>
    <t>Max Internal Transfer Pricing</t>
  </si>
  <si>
    <t>ITMI</t>
  </si>
  <si>
    <t>Min Internal Transfer Pricing</t>
  </si>
  <si>
    <t>NTWK</t>
  </si>
  <si>
    <t>Autorisation network</t>
  </si>
  <si>
    <t>Visa gateway</t>
  </si>
  <si>
    <t>MasterCard gateway</t>
  </si>
  <si>
    <t>JCB gateway</t>
  </si>
  <si>
    <t>Discover gateway</t>
  </si>
  <si>
    <t>UPI gateway</t>
  </si>
  <si>
    <t>Other</t>
  </si>
  <si>
    <t>CAPR</t>
  </si>
  <si>
    <t>Prepaid Card</t>
  </si>
  <si>
    <t>CACM</t>
  </si>
  <si>
    <t>Commercial Card</t>
  </si>
  <si>
    <t>FANA</t>
  </si>
  <si>
    <t>Forced authorisation not allowed</t>
  </si>
  <si>
    <t>FAUA</t>
  </si>
  <si>
    <t>Forced authorisation allowed</t>
  </si>
  <si>
    <t>CTCT</t>
  </si>
  <si>
    <t>Card to card transfer</t>
  </si>
  <si>
    <t>BBCE</t>
  </si>
  <si>
    <t>B2B collaborative economy</t>
  </si>
  <si>
    <t>BCCE</t>
  </si>
  <si>
    <t>B2C collaborative economy</t>
  </si>
  <si>
    <t>EPAU</t>
  </si>
  <si>
    <t>Electronic purse account unloading</t>
  </si>
  <si>
    <t>PBIS</t>
  </si>
  <si>
    <t>Payment for business-to-individual services</t>
  </si>
  <si>
    <t>PAOW</t>
  </si>
  <si>
    <t>Payment of winnings</t>
  </si>
  <si>
    <t>RPPC</t>
  </si>
  <si>
    <t>Refund for purchases not paid by card</t>
  </si>
  <si>
    <t>FTFR</t>
  </si>
  <si>
    <t>Funds transfer via funds receiver</t>
  </si>
  <si>
    <t>NOCT</t>
  </si>
  <si>
    <t>No control</t>
  </si>
  <si>
    <t>MCCC</t>
  </si>
  <si>
    <t>MCC control</t>
  </si>
  <si>
    <t>DLIC</t>
  </si>
  <si>
    <t>Data list control</t>
  </si>
  <si>
    <t>INVO</t>
  </si>
  <si>
    <t>Invoicing</t>
  </si>
  <si>
    <t>ALLU</t>
  </si>
  <si>
    <t>All Usage</t>
  </si>
  <si>
    <t>TACC</t>
  </si>
  <si>
    <t>Transaction Accounting</t>
  </si>
  <si>
    <t>APRV</t>
  </si>
  <si>
    <t>Approved</t>
  </si>
  <si>
    <t>Declined</t>
  </si>
  <si>
    <t>RFST</t>
  </si>
  <si>
    <t>Reserved for sending transactions remittance</t>
  </si>
  <si>
    <t>RFPT</t>
  </si>
  <si>
    <t>VAER</t>
  </si>
  <si>
    <t>Value error</t>
  </si>
  <si>
    <t>FRER</t>
  </si>
  <si>
    <t>MMFI</t>
  </si>
  <si>
    <t>Missing mandatory field</t>
  </si>
  <si>
    <t>FRMT</t>
  </si>
  <si>
    <t>Format or match error detected by remote network</t>
  </si>
  <si>
    <t>WRPF</t>
  </si>
  <si>
    <t>Wrongly present in forbidden field</t>
  </si>
  <si>
    <t>ENPL</t>
  </si>
  <si>
    <t>En Place</t>
  </si>
  <si>
    <t>HRPL</t>
  </si>
  <si>
    <t>Hors Place</t>
  </si>
  <si>
    <t>NATI</t>
  </si>
  <si>
    <t>National</t>
  </si>
  <si>
    <t>ETRA</t>
  </si>
  <si>
    <t>Etranger</t>
  </si>
  <si>
    <t>EXCEPPAIE</t>
  </si>
  <si>
    <t>paiement exceptionel</t>
  </si>
  <si>
    <t>EXCEPRETR</t>
  </si>
  <si>
    <t>retrait exceptionel</t>
  </si>
  <si>
    <t>GLOBMENS</t>
  </si>
  <si>
    <t>PAIEMINT7J</t>
  </si>
  <si>
    <t>paiement international sur 7j</t>
  </si>
  <si>
    <t>PAIEMNAT7J</t>
  </si>
  <si>
    <t>paiement national sur 7j</t>
  </si>
  <si>
    <t>RETRBQE1J</t>
  </si>
  <si>
    <t>retrait banque par jour</t>
  </si>
  <si>
    <t>RETRINT3J</t>
  </si>
  <si>
    <t>retrait international sur 3j</t>
  </si>
  <si>
    <t>RETRNAT3J</t>
  </si>
  <si>
    <t>retrait national sur 3j</t>
  </si>
  <si>
    <t>LOCKING_REASON_1</t>
  </si>
  <si>
    <t>LOCKING_REASON_2</t>
  </si>
  <si>
    <t>LOCKING_REASON_3</t>
  </si>
  <si>
    <t>LOCKING_REASON_4</t>
  </si>
  <si>
    <t>LOCKING_REASON_5</t>
  </si>
  <si>
    <t>MGF1-SHA256</t>
  </si>
  <si>
    <t>Generator Function, used for RSA encryption and RSA igital signature (PKCS #1 version 2.1) - (ASN.1 Object Identifier: id-mgf1).
Message digest algorithm SHA-256 as defined in FIPS 180-1 and 2 - (ASN.1 Object Identifier: id-sha256).</t>
  </si>
  <si>
    <t>MGF1-SHA384</t>
  </si>
  <si>
    <t>Generator Function, used for RSA encryption and RSA igital signature (PKCS #1 version 2.1) - (ASN.1 Object Identifier: id-mgf1). Message digest algorithm SHA-384 as defined in FIPS 180-1 and 2 - (ASN.1 Object Identifier: id-sha384).</t>
  </si>
  <si>
    <t>MGF1-SHA512</t>
  </si>
  <si>
    <t>Generator Function, used for RSA encryption and RSA igital signature (PKCS #1 version 2.1) - (ASN.1 Object Identifier: id-mgf1). Message digest algorithm SHA-512 as defined in FIPS 180-1 and 2 - (ASN.1 Object Identifier: id-sha512).</t>
  </si>
  <si>
    <t>MGF1-SHA1</t>
  </si>
  <si>
    <t>Generator Function, used for RSA encryption and RSA igital signature (PKCS #1 version 2.1) - (ASN.1 Object Identifier: id-mgf1). The DEPRECATED Message digest algorithm SHA-1 as defined in FIPS 180-1 - (ASN.1 Object Identifier: id-sha1).</t>
  </si>
  <si>
    <t>ASPA</t>
  </si>
  <si>
    <t>Asia Pacific</t>
  </si>
  <si>
    <t>CNDA</t>
  </si>
  <si>
    <t>Canada</t>
  </si>
  <si>
    <t>DMST</t>
  </si>
  <si>
    <t>Domestic</t>
  </si>
  <si>
    <t>EUNS</t>
  </si>
  <si>
    <t>EU non SEPA</t>
  </si>
  <si>
    <t>EUSE</t>
  </si>
  <si>
    <t>EU SEPA</t>
  </si>
  <si>
    <t>LACA</t>
  </si>
  <si>
    <t>Latine American Central</t>
  </si>
  <si>
    <t>EMEA</t>
  </si>
  <si>
    <t>Europe Middle East Africa</t>
  </si>
  <si>
    <t>USAM</t>
  </si>
  <si>
    <t>United State of America</t>
  </si>
  <si>
    <t>PYFS</t>
  </si>
  <si>
    <t>Payment Facilitator Standard</t>
  </si>
  <si>
    <t>PYFA</t>
  </si>
  <si>
    <t>Payment Facilitator Anomyme</t>
  </si>
  <si>
    <t>MKPL</t>
  </si>
  <si>
    <t>Market Place</t>
  </si>
  <si>
    <t>IPRV</t>
  </si>
  <si>
    <t>Installment provider</t>
  </si>
  <si>
    <t>STND</t>
  </si>
  <si>
    <t>Standard merchant</t>
  </si>
  <si>
    <t>SBMT</t>
  </si>
  <si>
    <t>Sub-merchant</t>
  </si>
  <si>
    <t>REMD</t>
  </si>
  <si>
    <t>Remittance Date</t>
  </si>
  <si>
    <t>SALD</t>
  </si>
  <si>
    <t>Sale Date</t>
  </si>
  <si>
    <t>REMT</t>
  </si>
  <si>
    <t>Remittance Transmission Date</t>
  </si>
  <si>
    <t>REMP</t>
  </si>
  <si>
    <t>Remittance Processing Date</t>
  </si>
  <si>
    <t>DAIL</t>
  </si>
  <si>
    <t>Daily</t>
  </si>
  <si>
    <t>MONT</t>
  </si>
  <si>
    <t>Monthly</t>
  </si>
  <si>
    <t>PRMI</t>
  </si>
  <si>
    <t>Processing</t>
  </si>
  <si>
    <t>CBMI</t>
  </si>
  <si>
    <t>VIMI</t>
  </si>
  <si>
    <t>Visa</t>
  </si>
  <si>
    <t>MCMI</t>
  </si>
  <si>
    <t>MC</t>
  </si>
  <si>
    <t>EXMI</t>
  </si>
  <si>
    <t>External</t>
  </si>
  <si>
    <t>INMI</t>
  </si>
  <si>
    <t>Internal</t>
  </si>
  <si>
    <t>Card-On-File tokenization</t>
  </si>
  <si>
    <t>Print</t>
  </si>
  <si>
    <t>Display</t>
  </si>
  <si>
    <t>Print and display</t>
  </si>
  <si>
    <t>PaymentAutorisationRequest</t>
  </si>
  <si>
    <t>PaymentAutorisationResponse</t>
  </si>
  <si>
    <t>CardInformationRequest</t>
  </si>
  <si>
    <t>CardInformationResponse</t>
  </si>
  <si>
    <t>FraudFirstControlRequest</t>
  </si>
  <si>
    <t>FraudFirstControlResponse</t>
  </si>
  <si>
    <t>FraudSecondControlRequest</t>
  </si>
  <si>
    <t>FraudSecondControlResponse</t>
  </si>
  <si>
    <t>FraudAdvice</t>
  </si>
  <si>
    <t>InfopanRequest</t>
  </si>
  <si>
    <t>InfopanResponse</t>
  </si>
  <si>
    <t>AutorisationEvent</t>
  </si>
  <si>
    <t>ReversalEvent</t>
  </si>
  <si>
    <t>RestitutionEvent</t>
  </si>
  <si>
    <t>GrossCashFlowEvent</t>
  </si>
  <si>
    <t>RSVD</t>
  </si>
  <si>
    <t>Reserved</t>
  </si>
  <si>
    <t>DSPL</t>
  </si>
  <si>
    <t>PRDS</t>
  </si>
  <si>
    <t>Print for cardholder only</t>
  </si>
  <si>
    <t xml:space="preserve">DSCO </t>
  </si>
  <si>
    <t>Display for cardholder only</t>
  </si>
  <si>
    <t>Print and display for the cardholder only</t>
  </si>
  <si>
    <t>PFAO</t>
  </si>
  <si>
    <t>Print for acceptor only</t>
  </si>
  <si>
    <t>DFAO</t>
  </si>
  <si>
    <t>Display for acceptor only</t>
  </si>
  <si>
    <t>Print and display for the acceptor only</t>
  </si>
  <si>
    <t>Print for the acceptor and the cardholder</t>
  </si>
  <si>
    <t>Display for the acceptor and the cardholder</t>
  </si>
  <si>
    <t>Print and display for the acceptor and the cardholder</t>
  </si>
  <si>
    <t>AUTC</t>
  </si>
  <si>
    <t>Authentication cryptogram</t>
  </si>
  <si>
    <t>ACIM</t>
  </si>
  <si>
    <t>Authentication cryptogram issued from a mobile</t>
  </si>
  <si>
    <t>MasterCard</t>
  </si>
  <si>
    <t xml:space="preserve">Reserved for future use </t>
  </si>
  <si>
    <t>INTR</t>
  </si>
  <si>
    <t>INTRA</t>
  </si>
  <si>
    <t>UNKN</t>
  </si>
  <si>
    <t xml:space="preserve">Not determined </t>
  </si>
  <si>
    <t>INWR</t>
  </si>
  <si>
    <t xml:space="preserve">Interbank network routing </t>
  </si>
  <si>
    <t>ONUS</t>
  </si>
  <si>
    <t xml:space="preserve">Acquirer private routing towards issuer (On-Us) </t>
  </si>
  <si>
    <t>ACIN</t>
  </si>
  <si>
    <t xml:space="preserve">Acquirer private routing towards acquirer international </t>
  </si>
  <si>
    <t>GATE</t>
  </si>
  <si>
    <t xml:space="preserve">gateway  </t>
  </si>
  <si>
    <t>ISAS</t>
  </si>
  <si>
    <t xml:space="preserve">Issuer private routing towards issuer authorisation server </t>
  </si>
  <si>
    <t>AGAT</t>
  </si>
  <si>
    <t xml:space="preserve">Acquirer towards international acquirer gateway processor  </t>
  </si>
  <si>
    <t>IGAT</t>
  </si>
  <si>
    <t xml:space="preserve">Issuer towards international issuer gateway processor </t>
  </si>
  <si>
    <t>PTCS</t>
  </si>
  <si>
    <t xml:space="preserve">Private routing between technical client systems </t>
  </si>
  <si>
    <t>DETO</t>
  </si>
  <si>
    <t xml:space="preserve">Explicit detokenization requested by the issuer </t>
  </si>
  <si>
    <t>ESAR</t>
  </si>
  <si>
    <t xml:space="preserve">Explicit score requested by an acquirer without routing </t>
  </si>
  <si>
    <t>ESIR</t>
  </si>
  <si>
    <t xml:space="preserve">Explicit score requested by an issuer without routing </t>
  </si>
  <si>
    <t>NNRISX</t>
  </si>
  <si>
    <t>Network will notify network risk service (LCLF)</t>
  </si>
  <si>
    <t>NNRISU</t>
  </si>
  <si>
    <t>Network will notify network risk service (LCLF) under conditions</t>
  </si>
  <si>
    <t xml:space="preserve">Not specified (incoming only) </t>
  </si>
  <si>
    <t xml:space="preserve">Manual </t>
  </si>
  <si>
    <t xml:space="preserve">Magstripe only </t>
  </si>
  <si>
    <t>OPTI</t>
  </si>
  <si>
    <t xml:space="preserve">Optical code (incoming only) </t>
  </si>
  <si>
    <t>BARC</t>
  </si>
  <si>
    <t>Barcode</t>
  </si>
  <si>
    <t>CHON</t>
  </si>
  <si>
    <t xml:space="preserve">Chip only </t>
  </si>
  <si>
    <t>CUCD</t>
  </si>
  <si>
    <t xml:space="preserve">Contactless using chip data </t>
  </si>
  <si>
    <t>FILE</t>
  </si>
  <si>
    <t xml:space="preserve">Card-on-file </t>
  </si>
  <si>
    <t>CHFM</t>
  </si>
  <si>
    <t xml:space="preserve">Chip mode with fallback to manual mode (incoming only) </t>
  </si>
  <si>
    <t>CHFG</t>
  </si>
  <si>
    <t xml:space="preserve">Chip mode with fallback to magstripe mode </t>
  </si>
  <si>
    <t>SERV</t>
  </si>
  <si>
    <t xml:space="preserve">Provided by a server (wallet) </t>
  </si>
  <si>
    <t>MAGO</t>
  </si>
  <si>
    <t xml:space="preserve">Magstripe only (incoming only) </t>
  </si>
  <si>
    <t>CUMD</t>
  </si>
  <si>
    <t xml:space="preserve">Contactless using magstripe data </t>
  </si>
  <si>
    <t>Protocole CB2A</t>
  </si>
  <si>
    <t>V11X</t>
  </si>
  <si>
    <t>Version protocole CB2A 1.1.x</t>
  </si>
  <si>
    <t>V150</t>
  </si>
  <si>
    <t>Version protocole CB2A 1.5.0</t>
  </si>
  <si>
    <t>V160</t>
  </si>
  <si>
    <t>Version protocole CB2A 1.6.0</t>
  </si>
  <si>
    <t>V165</t>
  </si>
  <si>
    <t>Version protocole CB2A 1.6.5</t>
  </si>
  <si>
    <t>EMV0</t>
  </si>
  <si>
    <t>SECM</t>
  </si>
  <si>
    <t>Secured electronic commerce</t>
  </si>
  <si>
    <t>SNGL</t>
  </si>
  <si>
    <t>Single payment</t>
  </si>
  <si>
    <t>RCFX</t>
  </si>
  <si>
    <t>Recurring subscription - Fixed Amount and limited duration subscription</t>
  </si>
  <si>
    <t>INST</t>
  </si>
  <si>
    <t>Instalment</t>
  </si>
  <si>
    <t>SHIP</t>
  </si>
  <si>
    <t>Shipment payment</t>
  </si>
  <si>
    <t>RCOT</t>
  </si>
  <si>
    <t>Recurring subscription - Other subscription</t>
  </si>
  <si>
    <t>RERE</t>
  </si>
  <si>
    <t>Reservation and rental payment</t>
  </si>
  <si>
    <t>PREA</t>
  </si>
  <si>
    <t>Pre-authorisation (Other than Reservation and Rental)</t>
  </si>
  <si>
    <t>PTRL</t>
  </si>
  <si>
    <t>Indoor Petrol station pre-authorisation</t>
  </si>
  <si>
    <t>DERS</t>
  </si>
  <si>
    <t>Deposit-refund system</t>
  </si>
  <si>
    <t>QCPM</t>
  </si>
  <si>
    <t>Quasi cah payment</t>
  </si>
  <si>
    <t>FTPM</t>
  </si>
  <si>
    <t>Funds transfer</t>
  </si>
  <si>
    <t>TDES</t>
  </si>
  <si>
    <t>Triple DES</t>
  </si>
  <si>
    <t>DUKPT09</t>
  </si>
  <si>
    <t>DUKPT2009</t>
  </si>
  <si>
    <t>DUKPT17</t>
  </si>
  <si>
    <t>DUKPT2017</t>
  </si>
  <si>
    <t>ISO0</t>
  </si>
  <si>
    <t>PIN diversified with the card account number, conforming to the standard ISO 9564-2.ified with the card account</t>
  </si>
  <si>
    <t>ISO1</t>
  </si>
  <si>
    <t>PIN completed with random padding characters, conforming to the standard ISO 9564-2.</t>
  </si>
  <si>
    <t>ISO2</t>
  </si>
  <si>
    <t>PIN without diversification characters, conforming to the standard ISO 9564-2.</t>
  </si>
  <si>
    <t>ISO3</t>
  </si>
  <si>
    <t>PIN diversified with the card account number and random characters, conforming to the standard ISO 9564-2.</t>
  </si>
  <si>
    <t>ISO4</t>
  </si>
  <si>
    <t xml:space="preserve">PIN format used with AES encryption, conforming to the new ISO SC2 format. </t>
  </si>
  <si>
    <t>ISO5</t>
  </si>
  <si>
    <t>(NOT USED by JV) Alternative PIN format used with AES encryption, conforming to the new ISO SC2 format.</t>
  </si>
  <si>
    <t>NPIN</t>
  </si>
  <si>
    <t>No pin</t>
  </si>
  <si>
    <t xml:space="preserve"> Not specified (incoming only) </t>
  </si>
  <si>
    <t>TACP</t>
  </si>
  <si>
    <t xml:space="preserve"> Terminal can accept PIN </t>
  </si>
  <si>
    <t>TNOP</t>
  </si>
  <si>
    <t xml:space="preserve"> Terminal cannot accept PIN </t>
  </si>
  <si>
    <t>MPPI</t>
  </si>
  <si>
    <t xml:space="preserve"> mPOS solution can accept PIN (incoming only) </t>
  </si>
  <si>
    <t>FOCH</t>
  </si>
  <si>
    <t>4 characters</t>
  </si>
  <si>
    <t>FICH</t>
  </si>
  <si>
    <t>5 characters</t>
  </si>
  <si>
    <t>SICH</t>
  </si>
  <si>
    <t>6 characters</t>
  </si>
  <si>
    <t>SECH</t>
  </si>
  <si>
    <t>7 characters</t>
  </si>
  <si>
    <t>EICH</t>
  </si>
  <si>
    <t>8 characters</t>
  </si>
  <si>
    <t>NICH</t>
  </si>
  <si>
    <t>9 characters</t>
  </si>
  <si>
    <t>PNCR</t>
  </si>
  <si>
    <t>PIN not controlled by the requester</t>
  </si>
  <si>
    <t>PCOC</t>
  </si>
  <si>
    <t>PIN controlled and correct</t>
  </si>
  <si>
    <t>PCOI</t>
  </si>
  <si>
    <t>PIN controlled and incorrect</t>
  </si>
  <si>
    <t>PIMX</t>
  </si>
  <si>
    <t>PIN controlled and incorrect, maximum number of PIN entry tries reached</t>
  </si>
  <si>
    <t>MPOS</t>
  </si>
  <si>
    <t>smartphone/tablet with a PCI PTS dongle to read the card with PIN entry on the dongle</t>
  </si>
  <si>
    <t>SPOC</t>
  </si>
  <si>
    <t>smartphone/tablet with a PCI PTS dongle to read the card with PIN entry on the device screen</t>
  </si>
  <si>
    <t>CPOC</t>
  </si>
  <si>
    <t>smartphone/tablet without dongle, when the card is read in contactless mode using the NFC device and there is no PIN entry</t>
  </si>
  <si>
    <t>MPOC</t>
  </si>
  <si>
    <t>smartphone/tablet without dongle, when the card is read in contactless mode with PIN entry on the device screen</t>
  </si>
  <si>
    <t>BUSN</t>
  </si>
  <si>
    <t>Business Date</t>
  </si>
  <si>
    <t>WORK</t>
  </si>
  <si>
    <t>Working Date</t>
  </si>
  <si>
    <t>CALD</t>
  </si>
  <si>
    <t>Calendar Date</t>
  </si>
  <si>
    <t>PCRG</t>
  </si>
  <si>
    <t>Reglement Guichet</t>
  </si>
  <si>
    <t>PCFA</t>
  </si>
  <si>
    <t>Facture Achat</t>
  </si>
  <si>
    <t>PCFC</t>
  </si>
  <si>
    <t>Facture Credit</t>
  </si>
  <si>
    <t>Contact</t>
  </si>
  <si>
    <t>CTLS</t>
  </si>
  <si>
    <t>Contactless</t>
  </si>
  <si>
    <t>MEVT</t>
  </si>
  <si>
    <t>Manual entry via terminal</t>
  </si>
  <si>
    <t>MEOT</t>
  </si>
  <si>
    <t>Manual entry via another type of order</t>
  </si>
  <si>
    <t>PHNE</t>
  </si>
  <si>
    <t xml:space="preserve">Telephone </t>
  </si>
  <si>
    <t>Mail</t>
  </si>
  <si>
    <t>ECOM</t>
  </si>
  <si>
    <t>Internet</t>
  </si>
  <si>
    <t>RMTV</t>
  </si>
  <si>
    <t>Television</t>
  </si>
  <si>
    <t>Authorisation network</t>
  </si>
  <si>
    <t>SICB</t>
  </si>
  <si>
    <t>Reserved for Discover</t>
  </si>
  <si>
    <t>NORE</t>
  </si>
  <si>
    <t>Non recovered</t>
  </si>
  <si>
    <t>INSU</t>
  </si>
  <si>
    <t>Insurance</t>
  </si>
  <si>
    <t xml:space="preserve">Acquirer  </t>
  </si>
  <si>
    <t>AUTA</t>
  </si>
  <si>
    <t>Automatic acquirer</t>
  </si>
  <si>
    <t>CLDE</t>
  </si>
  <si>
    <t>Client debit</t>
  </si>
  <si>
    <t>Refundable</t>
  </si>
  <si>
    <t>Non refundable</t>
  </si>
  <si>
    <t>Partially refundable</t>
  </si>
  <si>
    <t>DERM</t>
  </si>
  <si>
    <t>Decided recovery methods</t>
  </si>
  <si>
    <t>CLNT</t>
  </si>
  <si>
    <t>Client</t>
  </si>
  <si>
    <t>ESTB</t>
  </si>
  <si>
    <t>Establishment</t>
  </si>
  <si>
    <t>FIXD</t>
  </si>
  <si>
    <t>Fixed</t>
  </si>
  <si>
    <t>MINI</t>
  </si>
  <si>
    <t>Minimum</t>
  </si>
  <si>
    <t>MAXI</t>
  </si>
  <si>
    <t>Maximum</t>
  </si>
  <si>
    <t>QTTY</t>
  </si>
  <si>
    <t>Quantity-based</t>
  </si>
  <si>
    <t>AMNT</t>
  </si>
  <si>
    <t>Amount-based</t>
  </si>
  <si>
    <t>STDD</t>
  </si>
  <si>
    <t>Standard-based</t>
  </si>
  <si>
    <t>REGN</t>
  </si>
  <si>
    <t>Region-based</t>
  </si>
  <si>
    <t>TIER</t>
  </si>
  <si>
    <t>Tiered-based</t>
  </si>
  <si>
    <t>OPER</t>
  </si>
  <si>
    <t>Operation</t>
  </si>
  <si>
    <t>LNCE</t>
  </si>
  <si>
    <t>Licence</t>
  </si>
  <si>
    <t>PROC</t>
  </si>
  <si>
    <t>SUBS</t>
  </si>
  <si>
    <t>Subscription</t>
  </si>
  <si>
    <t>PNLT</t>
  </si>
  <si>
    <t>Penalties</t>
  </si>
  <si>
    <t>ECKN</t>
  </si>
  <si>
    <t>Key does not exist : 01</t>
  </si>
  <si>
    <t>ECIE</t>
  </si>
  <si>
    <t>Integrity error (incorrect field 64 or 128) : 02</t>
  </si>
  <si>
    <t>ECUL</t>
  </si>
  <si>
    <t>Unable to load key – maximum number of keys already loaded : 03</t>
  </si>
  <si>
    <t>ECKE</t>
  </si>
  <si>
    <t>Key already exists : 04</t>
  </si>
  <si>
    <t>ECSD</t>
  </si>
  <si>
    <t>Security error in server domain (for use by the Network only) : 05</t>
  </si>
  <si>
    <t>ECRE</t>
  </si>
  <si>
    <t>Reasonableness check error following decryption (due to an incorrect key) : 06</t>
  </si>
  <si>
    <t>NOSH</t>
  </si>
  <si>
    <t>No-show</t>
  </si>
  <si>
    <t>PAUT</t>
  </si>
  <si>
    <t>Pre-autorisation</t>
  </si>
  <si>
    <t>ADCH</t>
  </si>
  <si>
    <t>Additional charges</t>
  </si>
  <si>
    <t>AITP</t>
  </si>
  <si>
    <t>Acceptor Initiated Transaction following a face-to-face or an unattended CIT</t>
  </si>
  <si>
    <t>AGRE</t>
  </si>
  <si>
    <t>Aggregation</t>
  </si>
  <si>
    <t>MPFP</t>
  </si>
  <si>
    <t>Multiple payment, first payment</t>
  </si>
  <si>
    <t>AITC</t>
  </si>
  <si>
    <t>Acceptor Initiated Transaction following an internet CIT</t>
  </si>
  <si>
    <t>GUAR</t>
  </si>
  <si>
    <t>Guarantee</t>
  </si>
  <si>
    <t>DREC</t>
  </si>
  <si>
    <t>Debt Recovery</t>
  </si>
  <si>
    <t>CCUP</t>
  </si>
  <si>
    <t>Crypto Currency Purchase</t>
  </si>
  <si>
    <t>CDSM</t>
  </si>
  <si>
    <t>Cardholder data storage on merchant file </t>
  </si>
  <si>
    <t>STDR</t>
  </si>
  <si>
    <t xml:space="preserve">CBAE 1.5 Value : 00  Normal conditions </t>
  </si>
  <si>
    <t>CUNP</t>
  </si>
  <si>
    <t xml:space="preserve">CBAE 1.5 Value : 01  Customer not present </t>
  </si>
  <si>
    <t>UTAR</t>
  </si>
  <si>
    <t xml:space="preserve">CBAE 1.5 Value : 02  Unattended terminal able to retain card </t>
  </si>
  <si>
    <t>MESU</t>
  </si>
  <si>
    <t xml:space="preserve">CBAE 1.5 Value : 03  Merchant suspicious </t>
  </si>
  <si>
    <t>CPCA</t>
  </si>
  <si>
    <t xml:space="preserve">CBAE 1.5 Value : 05  Customer present, card not present (1) </t>
  </si>
  <si>
    <t>TLDR</t>
  </si>
  <si>
    <t xml:space="preserve">CBAE 1.5 Value : 07  Telephone device request (via call centre) </t>
  </si>
  <si>
    <t>MTOR</t>
  </si>
  <si>
    <t xml:space="preserve">CBAE 1.5 Value : 08  Mail/telephone order </t>
  </si>
  <si>
    <t>CUIV</t>
  </si>
  <si>
    <t xml:space="preserve">CBAE 1.5 Value : 10  Customer identity verified </t>
  </si>
  <si>
    <t>SUFR</t>
  </si>
  <si>
    <t xml:space="preserve">CBAE 1.5 Value : 11  Suspected fraud </t>
  </si>
  <si>
    <t>SERE</t>
  </si>
  <si>
    <t xml:space="preserve">CBAE 1.5 Value : 12  Security reasons </t>
  </si>
  <si>
    <t>CUTE</t>
  </si>
  <si>
    <t xml:space="preserve">CBAE 1.5 Value : 15  Customer terminal (home terminal) </t>
  </si>
  <si>
    <t>UTUR</t>
  </si>
  <si>
    <t xml:space="preserve">CBAE 1.5 Value : 27  Unattended terminal unable to retain card </t>
  </si>
  <si>
    <t>FLCO</t>
  </si>
  <si>
    <t xml:space="preserve">CBAE 1.5 Value : 51  Flow control (memory card) (2) </t>
  </si>
  <si>
    <t>MAOR</t>
  </si>
  <si>
    <t xml:space="preserve">CBAE 1.5 Value : 52  Mail order </t>
  </si>
  <si>
    <t>TLOR</t>
  </si>
  <si>
    <t xml:space="preserve">CBAE 1.5 Value : 53  Telephone order </t>
  </si>
  <si>
    <t>Exact5Text</t>
  </si>
  <si>
    <t>RS256</t>
  </si>
  <si>
    <t>RSASSA-PKCS1-v1_5 using SHA-256</t>
  </si>
  <si>
    <t>RS384</t>
  </si>
  <si>
    <t>RSASSA-PKCS1-v1_5 using SHA-384</t>
  </si>
  <si>
    <t>RS512</t>
  </si>
  <si>
    <t>RSASSA-PKCS1-v1_5 using SHA-512</t>
  </si>
  <si>
    <t>ES256</t>
  </si>
  <si>
    <t>ECDSA using P-256 and SHA-256</t>
  </si>
  <si>
    <t>ES384</t>
  </si>
  <si>
    <t>ECDSA using P-384 and SHA-384</t>
  </si>
  <si>
    <t>ES512</t>
  </si>
  <si>
    <t>ECDSA using P-521 and SHA-512</t>
  </si>
  <si>
    <t>PS256</t>
  </si>
  <si>
    <t>RSASSA-PSS using SHA-256 and MGF1 with SHA-256</t>
  </si>
  <si>
    <t>PS384</t>
  </si>
  <si>
    <t>RSASSA-PSS using SHA-384 and MGF1 with SHA-384</t>
  </si>
  <si>
    <t>PS512</t>
  </si>
  <si>
    <t>RSASSA-PSS using SHA-512 and MGF1 with SHA-512</t>
  </si>
  <si>
    <t>SHA256</t>
  </si>
  <si>
    <t>SHA256 - Message digest algorithm SHA-256 as defined in FIPS 180-1 and 2 - (ASN.1 Object Identifier: id-sha256).</t>
  </si>
  <si>
    <t>SHA384</t>
  </si>
  <si>
    <t>SHA384 - Message digest algorithm SHA-384 as defined in FIPS 180-1 and 2 - (ASN.1 Object Identifier: id-sha384).</t>
  </si>
  <si>
    <t>SHA512</t>
  </si>
  <si>
    <t>SHA512 - Message digest algorithm SHA-512 as defined in FIPS 180-1 and 2 - (ASN.1 Object Identifier: id-sha512).</t>
  </si>
  <si>
    <t>SHA1</t>
  </si>
  <si>
    <t>SHA1 - The DEPRECATED Message digest algorithm SHA-1 as defined in FIPS 180-1 - (ASN.1 Object Identifier: id-sha1).</t>
  </si>
  <si>
    <t>SHA3-224</t>
  </si>
  <si>
    <t>SHA3-224 - Message digest algorithm SHA3-224 as defined in FIPS 202 - (ASN.1 Object Identifier: id-sha3-224).</t>
  </si>
  <si>
    <t>SHA3-256</t>
  </si>
  <si>
    <t>SHA3-256 - Message digest algorithm SHA3-256 as defined in FIPS 202 - (ASN.1 Object Identifier: id-sha3-256).</t>
  </si>
  <si>
    <t>SHA3-384</t>
  </si>
  <si>
    <t>SHA3-384 - Message digest algorithm SHA3-384 as defined in FIPS 202 - (ASN.1 Object Identifier: id-sha3-384).</t>
  </si>
  <si>
    <t>SHA3-512</t>
  </si>
  <si>
    <t>SHA3-512 - Message digest algorithm SHA3-512 as defined in FIPS 202 - (ASN.1 Object Identifier: id-sha3-512).</t>
  </si>
  <si>
    <t>SHAKE128</t>
  </si>
  <si>
    <t>SHAKE128 - Message digest algorithm SHAKE-128 as defined in FIPS 202 - (ASN.1 Object Identifier: id-shake128).</t>
  </si>
  <si>
    <t>SHAKE256</t>
  </si>
  <si>
    <t>SHAKE256 - Message digest algorithm SHAKE-256 as defined in FIPS 202 - (ASN.1 Object Identifier: id-shake256).</t>
  </si>
  <si>
    <t>MAFC</t>
  </si>
  <si>
    <t xml:space="preserve">Manual Folder Creation </t>
  </si>
  <si>
    <t>APFC</t>
  </si>
  <si>
    <t>API Folder Creation</t>
  </si>
  <si>
    <t>AUFC</t>
  </si>
  <si>
    <t>Automatic Folder Creation</t>
  </si>
  <si>
    <t>FOCO</t>
  </si>
  <si>
    <t>Folder completion</t>
  </si>
  <si>
    <t>MAAN</t>
  </si>
  <si>
    <t>Manual Analysis</t>
  </si>
  <si>
    <t>AUAN</t>
  </si>
  <si>
    <t>Automatic analysis</t>
  </si>
  <si>
    <t>ALRD</t>
  </si>
  <si>
    <t>All recovrement decided</t>
  </si>
  <si>
    <t>ALDR</t>
  </si>
  <si>
    <t>All disputes resolved</t>
  </si>
  <si>
    <t>AUCL</t>
  </si>
  <si>
    <t>Automatic Closure</t>
  </si>
  <si>
    <t>MACL</t>
  </si>
  <si>
    <t>Manual Closure</t>
  </si>
  <si>
    <t>RECL</t>
  </si>
  <si>
    <t>Reclamation</t>
  </si>
  <si>
    <t>MARE</t>
  </si>
  <si>
    <t>Manual reopening</t>
  </si>
  <si>
    <t>AUPU</t>
  </si>
  <si>
    <t>Automatic purge</t>
  </si>
  <si>
    <t>INCO</t>
  </si>
  <si>
    <t>Incomplete</t>
  </si>
  <si>
    <t>COMP</t>
  </si>
  <si>
    <t>Complete</t>
  </si>
  <si>
    <t>ANLY</t>
  </si>
  <si>
    <t>Analysed</t>
  </si>
  <si>
    <t>RECA</t>
  </si>
  <si>
    <t>Acquirer recovered</t>
  </si>
  <si>
    <t>CLOS</t>
  </si>
  <si>
    <t>Closed</t>
  </si>
  <si>
    <t>REOP</t>
  </si>
  <si>
    <t>Reopened</t>
  </si>
  <si>
    <t>PURG</t>
  </si>
  <si>
    <t>Purge</t>
  </si>
  <si>
    <t>TBPR</t>
  </si>
  <si>
    <t>To be processed</t>
  </si>
  <si>
    <t>WAIT</t>
  </si>
  <si>
    <t>Waiting</t>
  </si>
  <si>
    <t>TERM</t>
  </si>
  <si>
    <t>Terminated</t>
  </si>
  <si>
    <t>VALI</t>
  </si>
  <si>
    <t>Validated</t>
  </si>
  <si>
    <t>Refused</t>
  </si>
  <si>
    <t>PRTU</t>
  </si>
  <si>
    <t>Print unavailable</t>
  </si>
  <si>
    <t>DISU</t>
  </si>
  <si>
    <t>Display unavailable</t>
  </si>
  <si>
    <t>PADU</t>
  </si>
  <si>
    <t>Print and display unavailable</t>
  </si>
  <si>
    <t>InternAutorisationRequest</t>
  </si>
  <si>
    <t>SchemeAutorisationRequest</t>
  </si>
  <si>
    <t>MerchantAutorisationRequest</t>
  </si>
  <si>
    <t>InternAutorisationResponse</t>
  </si>
  <si>
    <t>SchemeAutorisationResponse</t>
  </si>
  <si>
    <t>MerchantAutorisationResponse</t>
  </si>
  <si>
    <t>ATM_WITHDRAWAL</t>
  </si>
  <si>
    <t>E_COMMERCE</t>
  </si>
  <si>
    <t>INSURANCE_SERVICE</t>
  </si>
  <si>
    <t>A_SERVICE</t>
  </si>
  <si>
    <t>B_SERVICE</t>
  </si>
  <si>
    <t>CARD_STANDARD_HOLDER_PRIORITY</t>
  </si>
  <si>
    <t>CARD_STANDARD_HOLDER_POST</t>
  </si>
  <si>
    <t>NOAT</t>
  </si>
  <si>
    <t>Terminal</t>
  </si>
  <si>
    <t>Authorised party</t>
  </si>
  <si>
    <t>ACPT</t>
  </si>
  <si>
    <t>Acceptor</t>
  </si>
  <si>
    <t>DFNS</t>
  </si>
  <si>
    <t>Deactivated functionality not specified</t>
  </si>
  <si>
    <t>ONPD</t>
  </si>
  <si>
    <t>Online PIN deactivated</t>
  </si>
  <si>
    <t>COMD</t>
  </si>
  <si>
    <t>Contact mode deactivated</t>
  </si>
  <si>
    <t>CLMD</t>
  </si>
  <si>
    <t>Contactless mode deactivated</t>
  </si>
  <si>
    <t>AAAA</t>
  </si>
  <si>
    <t>Liste des Codeset à déterminer</t>
  </si>
  <si>
    <t>GSMP</t>
  </si>
  <si>
    <t>RNID</t>
  </si>
  <si>
    <t>RNIS channel D X25</t>
  </si>
  <si>
    <t>RNIB</t>
  </si>
  <si>
    <t>RNIS channel B (EBS)</t>
  </si>
  <si>
    <t>XSPL</t>
  </si>
  <si>
    <t>X25 specialised line</t>
  </si>
  <si>
    <t>RTCPAL</t>
  </si>
  <si>
    <t>RTCN</t>
  </si>
  <si>
    <t>LANP</t>
  </si>
  <si>
    <t>GPRP</t>
  </si>
  <si>
    <t>RFU</t>
  </si>
  <si>
    <t>COTL</t>
  </si>
  <si>
    <t>NOAU</t>
  </si>
  <si>
    <t>No authentication (neither code nor signature)</t>
  </si>
  <si>
    <t>PINN</t>
  </si>
  <si>
    <t>HASI</t>
  </si>
  <si>
    <t>Handwritten signature</t>
  </si>
  <si>
    <t>RESV</t>
  </si>
  <si>
    <t>PRIN</t>
  </si>
  <si>
    <t>PRAD</t>
  </si>
  <si>
    <t>PFCO</t>
  </si>
  <si>
    <t>DFCO</t>
  </si>
  <si>
    <t>PADC</t>
  </si>
  <si>
    <t>Print and display for cardholder only</t>
  </si>
  <si>
    <t>PADO</t>
  </si>
  <si>
    <t>Print and display for acceptor only</t>
  </si>
  <si>
    <t>PFCA</t>
  </si>
  <si>
    <t>Print for cardholder and acceptor</t>
  </si>
  <si>
    <t>DFCA</t>
  </si>
  <si>
    <t>Display for cardholder and acceptor</t>
  </si>
  <si>
    <t>PDCA</t>
  </si>
  <si>
    <t>Print and display for cardholder and acceptor</t>
  </si>
  <si>
    <t>RETA</t>
  </si>
  <si>
    <t>Record to add</t>
  </si>
  <si>
    <t>RETD</t>
  </si>
  <si>
    <t>Record to delete</t>
  </si>
  <si>
    <t>FTRE</t>
  </si>
  <si>
    <t>File to replace</t>
  </si>
  <si>
    <t>FTDE</t>
  </si>
  <si>
    <t>File to delete</t>
  </si>
  <si>
    <t>FTMO</t>
  </si>
  <si>
    <t>File to modify</t>
  </si>
  <si>
    <t>FPAC</t>
  </si>
  <si>
    <t>File positive activation</t>
  </si>
  <si>
    <t>FNAC</t>
  </si>
  <si>
    <t>File negative activation</t>
  </si>
  <si>
    <t>PASR</t>
  </si>
  <si>
    <t>Parameters, acceptance system status report</t>
  </si>
  <si>
    <t>ASRD</t>
  </si>
  <si>
    <t>Acceptance system reference data</t>
  </si>
  <si>
    <t>POAR</t>
  </si>
  <si>
    <t>Point of acceptance reference data</t>
  </si>
  <si>
    <t>AOSR</t>
  </si>
  <si>
    <t>Acknowledgement of status report</t>
  </si>
  <si>
    <t>PINO</t>
  </si>
  <si>
    <t>Protocol incident notification</t>
  </si>
  <si>
    <t>ECTE</t>
  </si>
  <si>
    <t>Echo test</t>
  </si>
  <si>
    <t>ODCR</t>
  </si>
  <si>
    <t>Offer of dialog control right</t>
  </si>
  <si>
    <t>Dialog closure</t>
  </si>
  <si>
    <t>DODS</t>
  </si>
  <si>
    <t>Dialog opening + Data Capture service</t>
  </si>
  <si>
    <t>Dialog opening + Remote Parameter Downloading service</t>
  </si>
  <si>
    <t>DORS</t>
  </si>
  <si>
    <t>Dialog opening + Remote ? service</t>
  </si>
  <si>
    <t>DDCS</t>
  </si>
  <si>
    <t>Opening of Data Capture service</t>
  </si>
  <si>
    <t>ORPD</t>
  </si>
  <si>
    <t>Opening of Remote Parameter Downloading service</t>
  </si>
  <si>
    <t>IP V4</t>
  </si>
  <si>
    <t>DNS (IP V4)</t>
  </si>
  <si>
    <t>X25</t>
  </si>
  <si>
    <t>Non-significant</t>
  </si>
  <si>
    <t>EMA</t>
  </si>
  <si>
    <t>EBAM</t>
  </si>
  <si>
    <t>NOSE</t>
  </si>
  <si>
    <t>Nominal server</t>
  </si>
  <si>
    <t>BAS1</t>
  </si>
  <si>
    <t>Backup server no.1</t>
  </si>
  <si>
    <t>BAS2</t>
  </si>
  <si>
    <t>Backup server no.2</t>
  </si>
  <si>
    <t>BAS3</t>
  </si>
  <si>
    <t>Backup server no.3</t>
  </si>
  <si>
    <t>INTC</t>
  </si>
  <si>
    <t>Integrated circuit</t>
  </si>
  <si>
    <t xml:space="preserve"> Manual</t>
  </si>
  <si>
    <t>AREC</t>
  </si>
  <si>
    <t>All receipt</t>
  </si>
  <si>
    <t>TCAR</t>
  </si>
  <si>
    <t>Test card</t>
  </si>
  <si>
    <t>NCTR</t>
  </si>
  <si>
    <t>Non-completed transaction</t>
  </si>
  <si>
    <t>DTRA</t>
  </si>
  <si>
    <t>Debit transaction</t>
  </si>
  <si>
    <t>CTRA</t>
  </si>
  <si>
    <t>Credit transaction</t>
  </si>
  <si>
    <t>Cancellation transaction</t>
  </si>
  <si>
    <t>ADIN</t>
  </si>
  <si>
    <t>Additional invoice</t>
  </si>
  <si>
    <t>PACC</t>
  </si>
  <si>
    <t>Printing according to the Cardholder’s choice</t>
  </si>
  <si>
    <t>SPRI</t>
  </si>
  <si>
    <t>Systematically printed</t>
  </si>
  <si>
    <t>PAMC</t>
  </si>
  <si>
    <t>Printing according to the merchant’s configuration</t>
  </si>
  <si>
    <t>NPRI</t>
  </si>
  <si>
    <t>No print</t>
  </si>
  <si>
    <t>PLUS</t>
  </si>
  <si>
    <t>Plus</t>
  </si>
  <si>
    <t>MINU</t>
  </si>
  <si>
    <t>Minus</t>
  </si>
  <si>
    <t>CURR</t>
  </si>
  <si>
    <t>Table: Currency</t>
  </si>
  <si>
    <t>CARM</t>
  </si>
  <si>
    <t>Table: Cardholder message</t>
  </si>
  <si>
    <t>ACPM</t>
  </si>
  <si>
    <t>Table: Acceptor message</t>
  </si>
  <si>
    <t>ACPP</t>
  </si>
  <si>
    <t>Table: Acceptor parameters</t>
  </si>
  <si>
    <t>CARP</t>
  </si>
  <si>
    <t>Table: Cardholder receipt printing</t>
  </si>
  <si>
    <t>RPRE</t>
  </si>
  <si>
    <t>Table: Receipt printing report</t>
  </si>
  <si>
    <t>APPA</t>
  </si>
  <si>
    <t>Table: Application parameters</t>
  </si>
  <si>
    <t>CALL</t>
  </si>
  <si>
    <t>Table: Call</t>
  </si>
  <si>
    <t>SDBA</t>
  </si>
  <si>
    <t>Table: EMV specific data by AID</t>
  </si>
  <si>
    <t>LOED</t>
  </si>
  <si>
    <t>Table: List of EMV DOLs</t>
  </si>
  <si>
    <t>AQRI</t>
  </si>
  <si>
    <t>Table: Acquirer risk</t>
  </si>
  <si>
    <t>EXFI</t>
  </si>
  <si>
    <t>Table: Exception file</t>
  </si>
  <si>
    <t>LOAB</t>
  </si>
  <si>
    <t>Table: List of approved BINs</t>
  </si>
  <si>
    <t>LOET</t>
  </si>
  <si>
    <t>Table: List of EMV TACs</t>
  </si>
  <si>
    <t>OTCU</t>
  </si>
  <si>
    <t>Table: Other currency</t>
  </si>
  <si>
    <t>GMTT</t>
  </si>
  <si>
    <t xml:space="preserve">Table: GMT timestamp parameters </t>
  </si>
  <si>
    <t>LOEP</t>
  </si>
  <si>
    <t>Table: List of EMV public authentication keys</t>
  </si>
  <si>
    <t>LOEA</t>
  </si>
  <si>
    <t xml:space="preserve">Table: List of EMV AIDs </t>
  </si>
  <si>
    <t>DCTE</t>
  </si>
  <si>
    <t>Table: Data capture telecommunication</t>
  </si>
  <si>
    <t>PDTE</t>
  </si>
  <si>
    <t>Table: Parameter downloading telecommunication</t>
  </si>
  <si>
    <t>AUTE</t>
  </si>
  <si>
    <t>Table: Authorisation telecommunication</t>
  </si>
  <si>
    <t>RKLT</t>
  </si>
  <si>
    <t>Table: RKL telecommunication</t>
  </si>
  <si>
    <t>DOTE</t>
  </si>
  <si>
    <t>Table: Env 1 downloading telecommunication</t>
  </si>
  <si>
    <t>DOTT</t>
  </si>
  <si>
    <t>Table: Env 2 downloading telecommunication</t>
  </si>
  <si>
    <t>ERAC</t>
  </si>
  <si>
    <t>Table: EMV random call</t>
  </si>
  <si>
    <t>CAPA</t>
  </si>
  <si>
    <t>Called party</t>
  </si>
  <si>
    <t>Calling party</t>
  </si>
  <si>
    <t>PAYM</t>
  </si>
  <si>
    <t>Payment</t>
  </si>
  <si>
    <t>CROC</t>
  </si>
  <si>
    <t>Credit or Cancellation</t>
  </si>
  <si>
    <t>3DCH</t>
  </si>
  <si>
    <t>Challenge</t>
  </si>
  <si>
    <t>3DFR</t>
  </si>
  <si>
    <t>Frictionless</t>
  </si>
  <si>
    <t>3DSIAA</t>
  </si>
  <si>
    <t>3DS 1.0.2 or prior; all authentication methods; or 3DS 1.0.2 frictionless flow</t>
  </si>
  <si>
    <t>3DSIAB</t>
  </si>
  <si>
    <t>Challenge flow using static passcode</t>
  </si>
  <si>
    <t>3DSIAC</t>
  </si>
  <si>
    <t>Challenge flow using One Time Passcode (OTP) using SMS method</t>
  </si>
  <si>
    <t>3DSIAD</t>
  </si>
  <si>
    <t>Challenge flow using OTP through key fob or card reader method</t>
  </si>
  <si>
    <t>3DSIAE</t>
  </si>
  <si>
    <t>Challenge flow using OTP through App method</t>
  </si>
  <si>
    <t>3DSIAF</t>
  </si>
  <si>
    <t>Challenge flow using OTP through any other method</t>
  </si>
  <si>
    <t>3DSIAG</t>
  </si>
  <si>
    <t>Challenge flow using Knowledge Based Authentication (KBA) method</t>
  </si>
  <si>
    <t>3DSIAH</t>
  </si>
  <si>
    <t>Challenge flow using Out of Band (OOB) authentication with biometric method</t>
  </si>
  <si>
    <t>3DSIAI</t>
  </si>
  <si>
    <t>Challenge flow using OOB authentication with App login method</t>
  </si>
  <si>
    <t>3DSIAJ</t>
  </si>
  <si>
    <t>Challenge flow using OOB authentication with any other method</t>
  </si>
  <si>
    <t>3DSIAK</t>
  </si>
  <si>
    <t>Challenge flow using any other authentication method</t>
  </si>
  <si>
    <t>3DSIAL</t>
  </si>
  <si>
    <t>Unrecognized Value Unrecognized authentication method</t>
  </si>
  <si>
    <t>3DSIAM</t>
  </si>
  <si>
    <t>Push confirmation</t>
  </si>
  <si>
    <t>3DSIAN</t>
  </si>
  <si>
    <t>Frictionless flow, RBA (Risk-based authentication) review</t>
  </si>
  <si>
    <t>3DSIAO</t>
  </si>
  <si>
    <t>Attempts server responding</t>
  </si>
  <si>
    <t>3DSIAP</t>
  </si>
  <si>
    <t>Frictionless flow, RBA (Risk-based authentication)</t>
  </si>
  <si>
    <t>3DSIAQ</t>
  </si>
  <si>
    <t>Issuer defined ACS-specific authentication method 1</t>
  </si>
  <si>
    <t>3DSIAR</t>
  </si>
  <si>
    <t>Issuer defined ACS-specific authentication method 2</t>
  </si>
  <si>
    <t>3DSIAS</t>
  </si>
  <si>
    <t>Issuer defined ACS-specific authentication method 3</t>
  </si>
  <si>
    <t>3DSIAT</t>
  </si>
  <si>
    <t>Issuer defined ACS-specific authentication method 4</t>
  </si>
  <si>
    <t>3DSIAU</t>
  </si>
  <si>
    <t>Full Service POS Online Messages – Technical Specifications</t>
  </si>
  <si>
    <t>3DSIAV</t>
  </si>
  <si>
    <t xml:space="preserve">Issuer defined ACS-specific authentication method </t>
  </si>
  <si>
    <t>3DSIAW</t>
  </si>
  <si>
    <t>Delegated trusted authentication</t>
  </si>
  <si>
    <t>3DSIAX</t>
  </si>
  <si>
    <t>Decoupled</t>
  </si>
  <si>
    <t>3DSIAY</t>
  </si>
  <si>
    <t>WebAuthn</t>
  </si>
  <si>
    <t>3DSIAZ</t>
  </si>
  <si>
    <t>Secure payment confirmation</t>
  </si>
  <si>
    <t>3DSIBA</t>
  </si>
  <si>
    <t>Behavioural biometrics</t>
  </si>
  <si>
    <t>NPDV</t>
  </si>
  <si>
    <t>No preference – default value if the data element is absent or not set to a value</t>
  </si>
  <si>
    <t>Authentication requested</t>
  </si>
  <si>
    <t>AUTR</t>
  </si>
  <si>
    <t>Authentication required</t>
  </si>
  <si>
    <t>NATR</t>
  </si>
  <si>
    <t>No authentication: transaction risk analysis already performed</t>
  </si>
  <si>
    <t>NADS</t>
  </si>
  <si>
    <t>No authentication: data share only</t>
  </si>
  <si>
    <t>NAAP</t>
  </si>
  <si>
    <t>No authentication: SCA already performed</t>
  </si>
  <si>
    <t>NAUW</t>
  </si>
  <si>
    <t>No authentication: whitelist</t>
  </si>
  <si>
    <t>3DS1</t>
  </si>
  <si>
    <t>3DS version v1</t>
  </si>
  <si>
    <t>3DS2</t>
  </si>
  <si>
    <t>3DS version v2</t>
  </si>
  <si>
    <t>QUAL</t>
  </si>
  <si>
    <t>Qualification opération,</t>
  </si>
  <si>
    <t>ICCL</t>
  </si>
  <si>
    <t>Calcul Interchange</t>
  </si>
  <si>
    <t>SFCL</t>
  </si>
  <si>
    <t>Calcul Scheme Fees</t>
  </si>
  <si>
    <t>PUGS</t>
  </si>
  <si>
    <t xml:space="preserve">Purchase of goods or  services : Cf CBAE 1.5 Value : 00   </t>
  </si>
  <si>
    <t>ATMW</t>
  </si>
  <si>
    <t xml:space="preserve">ATM withdrawal  -  cf CBAE 1.5 Value : 01  </t>
  </si>
  <si>
    <t>QUCA</t>
  </si>
  <si>
    <t xml:space="preserve">Quasi-cash - cf CBAE 1.5 Value : 11  </t>
  </si>
  <si>
    <t>CACP</t>
  </si>
  <si>
    <t xml:space="preserve">Card capture - cf CBAE 1.5 Value : 14  </t>
  </si>
  <si>
    <t>MACA</t>
  </si>
  <si>
    <t xml:space="preserve">Manual cash - CBAE 1.5 Value : 17  </t>
  </si>
  <si>
    <t>CRED</t>
  </si>
  <si>
    <t xml:space="preserve">Credit - CBAE 1.5 Value : 20  </t>
  </si>
  <si>
    <t>QCAR</t>
  </si>
  <si>
    <t>Quasi-cash refund - cf CBAE 1.5 Value : 28</t>
  </si>
  <si>
    <t>AVFI</t>
  </si>
  <si>
    <t xml:space="preserve">Available funds inquiry  - cf CBAE 1.5 Value : 30  </t>
  </si>
  <si>
    <t>CARE</t>
  </si>
  <si>
    <t xml:space="preserve">Card return - cf CBAE 1.5 Value : 37  </t>
  </si>
  <si>
    <t xml:space="preserve">Funds transfer, debit  - cf CBAE 1.5 Value : 41  </t>
  </si>
  <si>
    <t>FTCR</t>
  </si>
  <si>
    <t xml:space="preserve">Funds transfer, credit - cf CBAE 1.5 Value : 42  </t>
  </si>
  <si>
    <t>FTWC</t>
  </si>
  <si>
    <t xml:space="preserve">Financial transaction without cash dispensing (e.g. bank transfer request ) - cf CB2A 1.6 Value : 10 </t>
  </si>
  <si>
    <t>AICE</t>
  </si>
  <si>
    <t xml:space="preserve">Authorisation to issue a certificate - cf CB2A 1.6 Value : 15 </t>
  </si>
  <si>
    <t>WCDI</t>
  </si>
  <si>
    <t xml:space="preserve">Authorisation to issue a certificate - cf CB2A 1.6 Value : 36 </t>
  </si>
  <si>
    <t>VMAA</t>
  </si>
  <si>
    <t xml:space="preserve">VMAAS eligibility inquiry - cf CB2A 1.6 Value : 39 </t>
  </si>
  <si>
    <t>FIMA</t>
  </si>
  <si>
    <t>File Management</t>
  </si>
  <si>
    <t>Paylib</t>
  </si>
  <si>
    <t>PPER</t>
  </si>
  <si>
    <t>Paper</t>
  </si>
  <si>
    <t>DACA</t>
  </si>
  <si>
    <t>Data capture</t>
  </si>
  <si>
    <t>MATP</t>
  </si>
  <si>
    <t>Magnetic Tape</t>
  </si>
  <si>
    <t>FLOD</t>
  </si>
  <si>
    <t>Floppy disk</t>
  </si>
  <si>
    <t>FITR</t>
  </si>
  <si>
    <t>File transfer</t>
  </si>
  <si>
    <t>ONCL</t>
  </si>
  <si>
    <t>Online computer link</t>
  </si>
  <si>
    <t>FABM</t>
  </si>
  <si>
    <t>Fallback mode</t>
  </si>
  <si>
    <t>DSID</t>
  </si>
  <si>
    <t>ACSI</t>
  </si>
  <si>
    <t>VERI</t>
  </si>
  <si>
    <t>Verification success</t>
  </si>
  <si>
    <t>FAIL</t>
  </si>
  <si>
    <t>Verification failed</t>
  </si>
  <si>
    <t>NOTP</t>
  </si>
  <si>
    <t>Verification not performed</t>
  </si>
  <si>
    <t>CBOT</t>
  </si>
  <si>
    <t>Nomenclature for CB and outgoing</t>
  </si>
  <si>
    <t>MCIN</t>
  </si>
  <si>
    <t>Mastercard nomenclature (incoming)</t>
  </si>
  <si>
    <t>Objet-N0 - Nom long</t>
  </si>
  <si>
    <t>Objet-N1 - Nom long</t>
  </si>
  <si>
    <t>Objet-N2 - Nom long</t>
  </si>
  <si>
    <t>Objet-N3 - Nom long</t>
  </si>
  <si>
    <t>Objet_N0 - Nom Court</t>
  </si>
  <si>
    <t>Objet_N1 - Nom Court</t>
  </si>
  <si>
    <t>Objet_N2 - Nom Court</t>
  </si>
  <si>
    <t>Objet_N3 - Nom Court</t>
  </si>
  <si>
    <t>ISODateTime chez CAPE et ISOTime  chez ATICA</t>
  </si>
  <si>
    <r>
      <t>Definition: A particular point in the progression of time defined by a mandatory date and a mandatory time component, expressed in either UTC time format (YYYY-MM-DDThh:mm:ss.sssZ), local time with UTC offset format (YYYY-MM-DDThh:mm:ss.sss+/-hh:mm), or local time format (YYYY-MM-
DDThh:mm:ss.sss). These representations are defined in "</t>
    </r>
    <r>
      <rPr>
        <b/>
        <sz val="11"/>
        <color theme="1"/>
        <rFont val="Calibri"/>
        <family val="2"/>
        <scheme val="minor"/>
      </rPr>
      <t>XML Schema Part 2: Datatypes Second Edition - W3C Recommendation 28 October 2004</t>
    </r>
    <r>
      <rPr>
        <sz val="11"/>
        <color theme="1"/>
        <rFont val="Calibri"/>
        <family val="2"/>
        <scheme val="minor"/>
      </rPr>
      <t>" which is aligned with ISO 8601. (Voir ci-dessous)
Note on the time format:
1) beginning / end of calendar day
00:00:00 = the beginning of a calendar day
24:00:00 = the end of a calendar day
2) fractions of second in time format
Decimal fractions of seconds may be included. In this case, the involved parties shall agree on the maximum number of digits that are allowed.</t>
    </r>
  </si>
  <si>
    <t>XML Schema Part 2: Datatypes Second Edition - W3C Recommendation 28 October 2004"</t>
  </si>
  <si>
    <t>https://www.w3.org/TR/xmlschema-2/#dateTime</t>
  </si>
  <si>
    <t>The ·lexical space· of dateTime consists of finite-length sequences of characters of the form: '-'? yyyy '-' mm '-' dd 'T' hh ':' mm ':' ss ('.' s+)? (zzzzzz)?, where
    '-'? yyyy is a four-or-more digit optionally negative-signed numeral that represents the year; if more than four digits, leading zeros are prohibited, and '0000' is prohibited (see the Note above (§3.2.7); also note that a plus sign is not permitted);
    the remaining '-'s are separators between parts of the date portion;
    the first mm is a two-digit numeral that represents the month;
    dd is a two-digit numeral that represents the day;
    'T' is a separator indicating that time-of-day follows;
    hh is a two-digit numeral that represents the hour; '24' is permitted if the minutes and seconds represented are zero, and the dateTime value so represented is the first instant of the following day (the hour property of a dateTime object in the ·value space· cannot have a value greater than 23);
    ':' is a separator between parts of the time-of-day portion;
    the second mm is a two-digit numeral that represents the minute;
    ss is a two-integer-digit numeral that represents the whole seconds;
    '.' s+ (if present) represents the fractional seconds;
    zzzzzz (if present) represents the timezone (as described below).</t>
  </si>
  <si>
    <r>
      <rPr>
        <b/>
        <sz val="11"/>
        <color theme="1"/>
        <rFont val="Calibri"/>
        <family val="2"/>
        <scheme val="minor"/>
      </rPr>
      <t>Source</t>
    </r>
    <r>
      <rPr>
        <sz val="11"/>
        <color theme="1"/>
        <rFont val="Calibri"/>
        <family val="2"/>
        <scheme val="minor"/>
      </rPr>
      <t xml:space="preserve"> : https://www.iso.org/fr/iso-3166-country-codes.html</t>
    </r>
  </si>
  <si>
    <t>ISO 3166 comprend trois parties: codes de pays, codes pour les subdivisions de pays et codes pour les noms de pays antérieurement utilisés (anciens codes pour désigner des pays, qui ne sont plus utilisés).
Les codes de pays peuvent être représentés par un code à deux lettres (alpha-2) recommandé pour l’usage général, un code à trois lettres (alpha-3) associé plus étroitement au nom de pays, et un code à trois chiffres (numeric-3), utile lorsque les codes doivent être compris dans des pays n’utilisant pas l’alphabet latin.
Les codes pour les subdivisions de pays sont représentés par le code de pays alpha-2, suivi de trois caractères maximum. Exemple: ID-RI est la province Riau d’Indonésie et NG-RI est la province Rivers du Nigéria. Les noms et codes de subdivisions proviennent en règle générale de sources d’information nationales officielles.
Les codes pour les noms de pays antérieurement utilisés sont des codes à quatre lettres (alpha-4). La structure des codes alpha-4 dépend de la raison du retrait du nom de pays.
Pour en savoir plus sur les différents types de codes, lisez le Glossaire ISO 3166.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</si>
</sst>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_(&quot;€&quot;* \(#,##0.00\);_(&quot;€&quot;* &quot;-&quot;??_);_(@_)"/>
  </numFmts>
  <fonts count="51">
    <font>
      <sz val="11"/>
      <color theme="1"/>
      <name val="Calibri"/>
      <family val="2"/>
      <scheme val="minor"/>
    </font>
    <font>
      <sz val="11"/>
      <name val="Calibri"/>
      <family val="2"/>
      <scheme val="minor"/>
    </font>
    <font>
      <b/>
      <sz val="11"/>
      <color theme="1"/>
      <name val="Calibri"/>
      <family val="2"/>
      <scheme val="minor"/>
    </font>
    <font>
      <sz val="9"/>
      <color theme="1"/>
      <name val="Calibri"/>
      <family val="2"/>
      <scheme val="minor"/>
    </font>
    <font>
      <sz val="8"/>
      <name val="Calibri"/>
      <family val="2"/>
      <scheme val="minor"/>
    </font>
    <font>
      <b/>
      <sz val="11"/>
      <name val="Calibri"/>
      <family val="2"/>
      <scheme val="minor"/>
    </font>
    <font>
      <sz val="10"/>
      <color theme="1"/>
      <name val="Calibri"/>
      <family val="2"/>
      <scheme val="minor"/>
    </font>
    <font>
      <sz val="10"/>
      <name val="Arial"/>
      <family val="2"/>
    </font>
    <font>
      <b/>
      <sz val="9"/>
      <color indexed="81"/>
      <name val="Tahoma"/>
      <family val="2"/>
    </font>
    <font>
      <sz val="9"/>
      <color indexed="81"/>
      <name val="Tahoma"/>
      <family val="2"/>
    </font>
    <font>
      <sz val="11"/>
      <color theme="1"/>
      <name val="Calibri"/>
      <family val="2"/>
      <scheme val="minor"/>
    </font>
    <font>
      <sz val="9"/>
      <color rgb="FF000000"/>
      <name val="Calibri"/>
      <family val="2"/>
    </font>
    <font>
      <u/>
      <sz val="11"/>
      <color theme="10"/>
      <name val="Calibri"/>
      <family val="2"/>
      <scheme val="minor"/>
    </font>
    <font>
      <sz val="10"/>
      <color rgb="FF000000"/>
      <name val="Calibri"/>
      <family val="2"/>
    </font>
    <font>
      <strike/>
      <sz val="11"/>
      <color theme="1"/>
      <name val="Calibri"/>
      <family val="2"/>
      <scheme val="minor"/>
    </font>
    <font>
      <sz val="16"/>
      <color theme="1"/>
      <name val="Calibri"/>
      <family val="2"/>
      <scheme val="minor"/>
    </font>
    <font>
      <b/>
      <sz val="16"/>
      <name val="Calibri"/>
      <family val="2"/>
      <scheme val="minor"/>
    </font>
    <font>
      <b/>
      <sz val="11"/>
      <color rgb="FFFF0000"/>
      <name val="Calibri"/>
      <family val="2"/>
      <scheme val="minor"/>
    </font>
    <font>
      <b/>
      <sz val="10"/>
      <color theme="1"/>
      <name val="Century Gothic"/>
      <family val="2"/>
    </font>
    <font>
      <sz val="10"/>
      <color theme="1"/>
      <name val="Century Gothic"/>
      <family val="2"/>
    </font>
    <font>
      <sz val="11"/>
      <color rgb="FFFF0000"/>
      <name val="Calibri"/>
      <family val="2"/>
      <scheme val="minor"/>
    </font>
    <font>
      <sz val="9"/>
      <color theme="1"/>
      <name val="Courier New"/>
      <family val="3"/>
    </font>
    <font>
      <sz val="9"/>
      <name val="Calibri"/>
      <family val="2"/>
      <scheme val="minor"/>
    </font>
    <font>
      <b/>
      <sz val="9"/>
      <color theme="1"/>
      <name val="Calibri"/>
      <family val="2"/>
      <scheme val="minor"/>
    </font>
    <font>
      <sz val="8"/>
      <color theme="1"/>
      <name val="Calibri"/>
      <family val="2"/>
      <scheme val="minor"/>
    </font>
    <font>
      <b/>
      <sz val="16"/>
      <color rgb="FFFFFF00"/>
      <name val="Calibri"/>
      <family val="2"/>
      <scheme val="minor"/>
    </font>
    <font>
      <sz val="8"/>
      <color rgb="FF000000"/>
      <name val="Calibri"/>
      <family val="2"/>
    </font>
    <font>
      <strike/>
      <sz val="10"/>
      <color rgb="FF000000"/>
      <name val="Calibri"/>
      <family val="2"/>
    </font>
    <font>
      <sz val="11"/>
      <color theme="1"/>
      <name val="Calibri"/>
      <family val="2"/>
    </font>
    <font>
      <sz val="10"/>
      <color theme="1"/>
      <name val="Calibri"/>
      <family val="2"/>
    </font>
    <font>
      <b/>
      <sz val="11"/>
      <color theme="1"/>
      <name val="Calibri"/>
      <family val="2"/>
    </font>
    <font>
      <b/>
      <sz val="11"/>
      <color rgb="FF000000"/>
      <name val="Calibri"/>
      <family val="2"/>
      <scheme val="minor"/>
    </font>
    <font>
      <sz val="11"/>
      <color rgb="FF000000"/>
      <name val="Calibri"/>
      <family val="2"/>
      <scheme val="minor"/>
    </font>
    <font>
      <sz val="10"/>
      <color rgb="FF000000"/>
      <name val="Calibri"/>
      <family val="2"/>
      <scheme val="minor"/>
    </font>
    <font>
      <sz val="10"/>
      <name val="Calibri"/>
      <family val="2"/>
      <scheme val="minor"/>
    </font>
    <font>
      <sz val="10"/>
      <color theme="5"/>
      <name val="Century Gothic"/>
      <family val="2"/>
    </font>
    <font>
      <strike/>
      <sz val="10"/>
      <color theme="1"/>
      <name val="Calibri"/>
      <family val="2"/>
      <scheme val="minor"/>
    </font>
    <font>
      <strike/>
      <sz val="9"/>
      <color rgb="FF000000"/>
      <name val="Calibri"/>
      <family val="2"/>
    </font>
    <font>
      <sz val="11"/>
      <name val="Aptos Narrow"/>
      <family val="2"/>
    </font>
    <font>
      <sz val="10"/>
      <color rgb="FFFF0000"/>
      <name val="Century Gothic"/>
      <family val="2"/>
    </font>
    <font>
      <sz val="10"/>
      <color rgb="FF000000"/>
      <name val="Century Gothic"/>
      <family val="2"/>
    </font>
    <font>
      <b/>
      <sz val="10"/>
      <color rgb="FF000000"/>
      <name val="Century Gothic"/>
      <family val="2"/>
    </font>
    <font>
      <b/>
      <sz val="11"/>
      <color rgb="FF000000"/>
      <name val="Calibri"/>
      <family val="2"/>
    </font>
    <font>
      <sz val="11"/>
      <color rgb="FF000000"/>
      <name val="Aptos Narrow"/>
      <family val="2"/>
    </font>
    <font>
      <b/>
      <sz val="8"/>
      <name val="Calibri"/>
      <family val="2"/>
      <scheme val="minor"/>
    </font>
    <font>
      <sz val="10"/>
      <name val="Century Gothic"/>
      <family val="2"/>
    </font>
    <font>
      <b/>
      <sz val="9"/>
      <color theme="1"/>
      <name val="Courier New"/>
      <family val="3"/>
    </font>
    <font>
      <sz val="11"/>
      <color theme="1"/>
      <name val="Courier New"/>
      <family val="3"/>
    </font>
    <font>
      <b/>
      <sz val="11"/>
      <color theme="1"/>
      <name val="Courier New"/>
      <family val="3"/>
    </font>
    <font>
      <sz val="11"/>
      <color rgb="FF000000"/>
      <name val="Calibri"/>
      <family val="2"/>
    </font>
    <font>
      <b/>
      <u/>
      <sz val="10"/>
      <color rgb="FF000000"/>
      <name val="Century Gothic"/>
      <family val="2"/>
    </font>
  </fonts>
  <fills count="10">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8"/>
        <bgColor indexed="64"/>
      </patternFill>
    </fill>
    <fill>
      <patternFill patternType="solid">
        <fgColor rgb="FFFF0000"/>
        <bgColor indexed="64"/>
      </patternFill>
    </fill>
    <fill>
      <patternFill patternType="solid">
        <fgColor rgb="FF00B050"/>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0" tint="-0.34998626667073579"/>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theme="9" tint="0.39997558519241921"/>
      </left>
      <right/>
      <top style="thin">
        <color theme="9" tint="0.39997558519241921"/>
      </top>
      <bottom style="thin">
        <color theme="9" tint="0.39997558519241921"/>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bottom style="medium">
        <color theme="9" tint="-0.249977111117893"/>
      </bottom>
      <diagonal/>
    </border>
    <border>
      <left style="thin">
        <color indexed="64"/>
      </left>
      <right style="thin">
        <color indexed="64"/>
      </right>
      <top/>
      <bottom style="medium">
        <color theme="9" tint="-0.249977111117893"/>
      </bottom>
      <diagonal/>
    </border>
    <border>
      <left style="thin">
        <color indexed="64"/>
      </left>
      <right/>
      <top/>
      <bottom style="medium">
        <color theme="9" tint="-0.249977111117893"/>
      </bottom>
      <diagonal/>
    </border>
    <border>
      <left/>
      <right style="thin">
        <color indexed="64"/>
      </right>
      <top style="thin">
        <color indexed="64"/>
      </top>
      <bottom style="medium">
        <color theme="9" tint="-0.249977111117893"/>
      </bottom>
      <diagonal/>
    </border>
    <border>
      <left style="thin">
        <color indexed="64"/>
      </left>
      <right style="thin">
        <color indexed="64"/>
      </right>
      <top style="thin">
        <color indexed="64"/>
      </top>
      <bottom style="medium">
        <color theme="9" tint="-0.249977111117893"/>
      </bottom>
      <diagonal/>
    </border>
    <border>
      <left style="thin">
        <color indexed="64"/>
      </left>
      <right/>
      <top style="thin">
        <color indexed="64"/>
      </top>
      <bottom style="medium">
        <color theme="9" tint="-0.249977111117893"/>
      </bottom>
      <diagonal/>
    </border>
    <border>
      <left style="thin">
        <color indexed="64"/>
      </left>
      <right style="thin">
        <color indexed="64"/>
      </right>
      <top style="medium">
        <color rgb="FFFF0000"/>
      </top>
      <bottom style="thin">
        <color indexed="64"/>
      </bottom>
      <diagonal/>
    </border>
    <border>
      <left style="thin">
        <color indexed="64"/>
      </left>
      <right/>
      <top style="medium">
        <color rgb="FFFF0000"/>
      </top>
      <bottom style="thin">
        <color indexed="64"/>
      </bottom>
      <diagonal/>
    </border>
    <border>
      <left style="thin">
        <color indexed="64"/>
      </left>
      <right style="thin">
        <color indexed="64"/>
      </right>
      <top style="thin">
        <color indexed="64"/>
      </top>
      <bottom style="medium">
        <color rgb="FFFF0000"/>
      </bottom>
      <diagonal/>
    </border>
    <border>
      <left/>
      <right style="thin">
        <color indexed="64"/>
      </right>
      <top style="medium">
        <color rgb="FFFF0000"/>
      </top>
      <bottom style="thin">
        <color indexed="64"/>
      </bottom>
      <diagonal/>
    </border>
    <border>
      <left/>
      <right style="thin">
        <color indexed="64"/>
      </right>
      <top style="thin">
        <color indexed="64"/>
      </top>
      <bottom style="medium">
        <color rgb="FFFF0000"/>
      </bottom>
      <diagonal/>
    </border>
    <border>
      <left style="thin">
        <color indexed="64"/>
      </left>
      <right/>
      <top style="thin">
        <color indexed="64"/>
      </top>
      <bottom style="medium">
        <color rgb="FFFF0000"/>
      </bottom>
      <diagonal/>
    </border>
    <border>
      <left/>
      <right/>
      <top style="thin">
        <color rgb="FF92CDDC"/>
      </top>
      <bottom/>
      <diagonal/>
    </border>
    <border>
      <left/>
      <right/>
      <top style="thin">
        <color indexed="64"/>
      </top>
      <bottom style="thin">
        <color indexed="64"/>
      </bottom>
      <diagonal/>
    </border>
    <border>
      <left/>
      <right/>
      <top/>
      <bottom style="thin">
        <color indexed="64"/>
      </bottom>
      <diagonal/>
    </border>
    <border>
      <left/>
      <right style="thin">
        <color indexed="64"/>
      </right>
      <top/>
      <bottom style="medium">
        <color rgb="FFFF0000"/>
      </bottom>
      <diagonal/>
    </border>
    <border>
      <left style="thin">
        <color indexed="64"/>
      </left>
      <right style="thin">
        <color indexed="64"/>
      </right>
      <top/>
      <bottom style="medium">
        <color rgb="FFFF0000"/>
      </bottom>
      <diagonal/>
    </border>
    <border>
      <left style="thin">
        <color indexed="64"/>
      </left>
      <right/>
      <top/>
      <bottom style="medium">
        <color rgb="FFFF0000"/>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top style="thin">
        <color rgb="FF44B3E1"/>
      </top>
      <bottom style="thin">
        <color rgb="FF44B3E1"/>
      </bottom>
      <diagonal/>
    </border>
    <border>
      <left/>
      <right style="thin">
        <color indexed="64"/>
      </right>
      <top style="thin">
        <color indexed="64"/>
      </top>
      <bottom/>
      <diagonal/>
    </border>
  </borders>
  <cellStyleXfs count="5">
    <xf numFmtId="0" fontId="0" fillId="0" borderId="0"/>
    <xf numFmtId="0" fontId="7" fillId="0" borderId="0"/>
    <xf numFmtId="164" fontId="7" fillId="0" borderId="0" applyFont="0" applyFill="0" applyBorder="0" applyAlignment="0" applyProtection="0"/>
    <xf numFmtId="0" fontId="12" fillId="0" borderId="0" applyNumberFormat="0" applyFill="0" applyBorder="0" applyAlignment="0" applyProtection="0"/>
    <xf numFmtId="0" fontId="10" fillId="0" borderId="0"/>
  </cellStyleXfs>
  <cellXfs count="163">
    <xf numFmtId="0" fontId="0" fillId="0" borderId="0" xfId="0"/>
    <xf numFmtId="0" fontId="3" fillId="0" borderId="0" xfId="0" applyFont="1" applyAlignment="1">
      <alignment vertical="top"/>
    </xf>
    <xf numFmtId="0" fontId="0" fillId="0" borderId="0" xfId="0" applyAlignment="1">
      <alignment vertical="top"/>
    </xf>
    <xf numFmtId="0" fontId="2" fillId="0" borderId="0" xfId="0" applyFont="1" applyAlignment="1">
      <alignment vertical="top"/>
    </xf>
    <xf numFmtId="0" fontId="0" fillId="0" borderId="0" xfId="0" applyAlignment="1">
      <alignment horizontal="left" vertical="top"/>
    </xf>
    <xf numFmtId="0" fontId="5" fillId="0" borderId="0" xfId="0" applyFont="1" applyAlignment="1">
      <alignment vertical="top"/>
    </xf>
    <xf numFmtId="0" fontId="1" fillId="0" borderId="0" xfId="0" applyFont="1" applyAlignment="1">
      <alignment vertical="top"/>
    </xf>
    <xf numFmtId="0" fontId="11" fillId="0" borderId="0" xfId="0" applyFont="1" applyAlignment="1">
      <alignment vertical="top"/>
    </xf>
    <xf numFmtId="0" fontId="0" fillId="0" borderId="0" xfId="0" applyAlignment="1">
      <alignment wrapText="1"/>
    </xf>
    <xf numFmtId="0" fontId="0" fillId="0" borderId="0" xfId="0" applyAlignment="1">
      <alignment horizontal="left" vertical="top" wrapText="1"/>
    </xf>
    <xf numFmtId="0" fontId="6" fillId="0" borderId="0" xfId="0" applyFont="1" applyAlignment="1">
      <alignment vertical="top"/>
    </xf>
    <xf numFmtId="0" fontId="6" fillId="0" borderId="0" xfId="0" applyFont="1" applyAlignment="1">
      <alignment vertical="top" wrapText="1"/>
    </xf>
    <xf numFmtId="0" fontId="13" fillId="0" borderId="0" xfId="0" applyFont="1" applyAlignment="1">
      <alignment vertical="top" wrapText="1"/>
    </xf>
    <xf numFmtId="0" fontId="13" fillId="0" borderId="0" xfId="0" applyFont="1" applyAlignment="1">
      <alignment vertical="top"/>
    </xf>
    <xf numFmtId="0" fontId="6" fillId="0" borderId="0" xfId="0" applyFont="1" applyAlignment="1">
      <alignment horizontal="left" vertical="top"/>
    </xf>
    <xf numFmtId="0" fontId="6" fillId="2" borderId="0" xfId="0" applyFont="1" applyFill="1" applyAlignment="1">
      <alignment vertical="top"/>
    </xf>
    <xf numFmtId="0" fontId="14" fillId="0" borderId="0" xfId="0" applyFont="1" applyAlignment="1">
      <alignment vertical="top"/>
    </xf>
    <xf numFmtId="49" fontId="0" fillId="0" borderId="0" xfId="0" applyNumberFormat="1" applyAlignment="1">
      <alignment horizontal="left" vertical="top" wrapText="1"/>
    </xf>
    <xf numFmtId="0" fontId="12" fillId="0" borderId="0" xfId="3"/>
    <xf numFmtId="0" fontId="12" fillId="0" borderId="0" xfId="3" applyAlignment="1">
      <alignment horizontal="left" vertical="top" wrapText="1"/>
    </xf>
    <xf numFmtId="0" fontId="15" fillId="2" borderId="0" xfId="0" applyFont="1" applyFill="1"/>
    <xf numFmtId="0" fontId="15" fillId="2" borderId="0" xfId="0" applyFont="1" applyFill="1" applyAlignment="1">
      <alignment wrapText="1"/>
    </xf>
    <xf numFmtId="49" fontId="0" fillId="0" borderId="0" xfId="0" applyNumberFormat="1" applyAlignment="1">
      <alignment horizontal="left" vertical="top"/>
    </xf>
    <xf numFmtId="0" fontId="19" fillId="0" borderId="0" xfId="0" applyFont="1"/>
    <xf numFmtId="0" fontId="19" fillId="0" borderId="1" xfId="0" applyFont="1" applyBorder="1" applyAlignment="1">
      <alignment horizontal="left" vertical="top"/>
    </xf>
    <xf numFmtId="0" fontId="19" fillId="0" borderId="0" xfId="0" applyFont="1" applyAlignment="1">
      <alignment vertical="top"/>
    </xf>
    <xf numFmtId="0" fontId="0" fillId="0" borderId="1" xfId="0" applyBorder="1"/>
    <xf numFmtId="0" fontId="20" fillId="0" borderId="0" xfId="0" applyFont="1" applyAlignment="1">
      <alignment horizontal="left" vertical="top"/>
    </xf>
    <xf numFmtId="0" fontId="19" fillId="0" borderId="4" xfId="0" applyFont="1" applyBorder="1" applyAlignment="1">
      <alignment horizontal="left" vertical="top"/>
    </xf>
    <xf numFmtId="0" fontId="19" fillId="0" borderId="3" xfId="0" applyFont="1" applyBorder="1" applyAlignment="1">
      <alignment horizontal="left" vertical="top"/>
    </xf>
    <xf numFmtId="14" fontId="19" fillId="0" borderId="1" xfId="0" applyNumberFormat="1" applyFont="1" applyBorder="1" applyAlignment="1">
      <alignment horizontal="left" vertical="top"/>
    </xf>
    <xf numFmtId="14" fontId="19" fillId="0" borderId="3" xfId="0" applyNumberFormat="1" applyFont="1" applyBorder="1" applyAlignment="1">
      <alignment horizontal="left" vertical="top"/>
    </xf>
    <xf numFmtId="0" fontId="19" fillId="0" borderId="5" xfId="0" applyFont="1" applyBorder="1" applyAlignment="1">
      <alignment horizontal="left" vertical="top" wrapText="1"/>
    </xf>
    <xf numFmtId="0" fontId="18" fillId="4" borderId="6" xfId="0" applyFont="1" applyFill="1" applyBorder="1" applyAlignment="1">
      <alignment horizontal="center" vertical="top"/>
    </xf>
    <xf numFmtId="0" fontId="18" fillId="4" borderId="3" xfId="0" applyFont="1" applyFill="1" applyBorder="1" applyAlignment="1">
      <alignment horizontal="center" vertical="top"/>
    </xf>
    <xf numFmtId="0" fontId="18" fillId="4" borderId="7" xfId="0" applyFont="1" applyFill="1" applyBorder="1" applyAlignment="1">
      <alignment horizontal="center" vertical="top"/>
    </xf>
    <xf numFmtId="14" fontId="19" fillId="0" borderId="4" xfId="0" applyNumberFormat="1" applyFont="1" applyBorder="1" applyAlignment="1">
      <alignment horizontal="left" vertical="top"/>
    </xf>
    <xf numFmtId="0" fontId="19" fillId="0" borderId="9" xfId="0" applyFont="1" applyBorder="1" applyAlignment="1">
      <alignment horizontal="left" vertical="top" wrapText="1"/>
    </xf>
    <xf numFmtId="1" fontId="21" fillId="0" borderId="0" xfId="0" applyNumberFormat="1" applyFont="1" applyAlignment="1">
      <alignment horizontal="left" vertical="top"/>
    </xf>
    <xf numFmtId="0" fontId="19" fillId="0" borderId="7" xfId="0" applyFont="1" applyBorder="1" applyAlignment="1">
      <alignment horizontal="left" vertical="top" wrapText="1"/>
    </xf>
    <xf numFmtId="0" fontId="19" fillId="0" borderId="11" xfId="0" applyFont="1" applyBorder="1" applyAlignment="1">
      <alignment horizontal="left" vertical="top"/>
    </xf>
    <xf numFmtId="0" fontId="19" fillId="0" borderId="12" xfId="0" applyFont="1" applyBorder="1" applyAlignment="1">
      <alignment horizontal="left" vertical="top" wrapText="1"/>
    </xf>
    <xf numFmtId="14" fontId="19" fillId="0" borderId="11" xfId="0" applyNumberFormat="1" applyFont="1" applyBorder="1" applyAlignment="1">
      <alignment horizontal="left" vertical="top"/>
    </xf>
    <xf numFmtId="0" fontId="19" fillId="0" borderId="14" xfId="0" applyFont="1" applyBorder="1" applyAlignment="1">
      <alignment horizontal="left" vertical="top"/>
    </xf>
    <xf numFmtId="14" fontId="19" fillId="0" borderId="14" xfId="0" applyNumberFormat="1" applyFont="1" applyBorder="1" applyAlignment="1">
      <alignment horizontal="left" vertical="top"/>
    </xf>
    <xf numFmtId="0" fontId="19" fillId="0" borderId="15" xfId="0" applyFont="1" applyBorder="1" applyAlignment="1">
      <alignment horizontal="left" vertical="top" wrapText="1"/>
    </xf>
    <xf numFmtId="0" fontId="6" fillId="3" borderId="0" xfId="0" applyFont="1" applyFill="1" applyAlignment="1">
      <alignment vertical="top"/>
    </xf>
    <xf numFmtId="0" fontId="2" fillId="0" borderId="0" xfId="0" applyFont="1" applyAlignment="1">
      <alignment horizontal="center" vertical="top"/>
    </xf>
    <xf numFmtId="0" fontId="0" fillId="0" borderId="0" xfId="0" applyAlignment="1">
      <alignment horizontal="center" vertical="top"/>
    </xf>
    <xf numFmtId="0" fontId="3" fillId="0" borderId="0" xfId="0" applyFont="1" applyAlignment="1">
      <alignment horizontal="center" vertical="center"/>
    </xf>
    <xf numFmtId="0" fontId="3" fillId="0" borderId="0" xfId="0" applyFont="1" applyAlignment="1">
      <alignment horizontal="center" vertical="center" wrapText="1"/>
    </xf>
    <xf numFmtId="0" fontId="23" fillId="0" borderId="0" xfId="0" applyFont="1" applyAlignment="1">
      <alignment vertical="top"/>
    </xf>
    <xf numFmtId="0" fontId="1" fillId="0" borderId="0" xfId="0" applyFont="1" applyAlignment="1">
      <alignment horizontal="left" vertical="top"/>
    </xf>
    <xf numFmtId="0" fontId="24" fillId="0" borderId="0" xfId="0" applyFont="1" applyAlignment="1">
      <alignment vertical="top"/>
    </xf>
    <xf numFmtId="0" fontId="24" fillId="0" borderId="0" xfId="0" applyFont="1"/>
    <xf numFmtId="14" fontId="19" fillId="0" borderId="16" xfId="0" applyNumberFormat="1" applyFont="1" applyBorder="1" applyAlignment="1">
      <alignment horizontal="left" vertical="top"/>
    </xf>
    <xf numFmtId="0" fontId="19" fillId="0" borderId="17" xfId="0" applyFont="1" applyBorder="1" applyAlignment="1">
      <alignment horizontal="left" vertical="top" wrapText="1"/>
    </xf>
    <xf numFmtId="0" fontId="19" fillId="0" borderId="16" xfId="0" applyFont="1" applyBorder="1" applyAlignment="1">
      <alignment horizontal="left" vertical="top"/>
    </xf>
    <xf numFmtId="0" fontId="3" fillId="6" borderId="0" xfId="0" applyFont="1" applyFill="1" applyAlignment="1">
      <alignment horizontal="center" vertical="center" wrapText="1"/>
    </xf>
    <xf numFmtId="0" fontId="22" fillId="7" borderId="0" xfId="0" applyFont="1" applyFill="1" applyAlignment="1">
      <alignment horizontal="center" vertical="center" wrapText="1"/>
    </xf>
    <xf numFmtId="0" fontId="26" fillId="0" borderId="0" xfId="0" applyFont="1" applyAlignment="1">
      <alignment vertical="top"/>
    </xf>
    <xf numFmtId="0" fontId="19" fillId="0" borderId="18" xfId="0" applyFont="1" applyBorder="1" applyAlignment="1">
      <alignment horizontal="left" vertical="top"/>
    </xf>
    <xf numFmtId="14" fontId="19" fillId="0" borderId="18" xfId="0" applyNumberFormat="1" applyFont="1" applyBorder="1" applyAlignment="1">
      <alignment horizontal="left" vertical="top"/>
    </xf>
    <xf numFmtId="0" fontId="19" fillId="0" borderId="21" xfId="0" applyFont="1" applyBorder="1" applyAlignment="1">
      <alignment horizontal="left" vertical="top" wrapText="1"/>
    </xf>
    <xf numFmtId="0" fontId="0" fillId="0" borderId="3" xfId="0" applyBorder="1" applyAlignment="1">
      <alignment wrapText="1"/>
    </xf>
    <xf numFmtId="0" fontId="27" fillId="0" borderId="0" xfId="0" applyFont="1" applyAlignment="1">
      <alignment vertical="top"/>
    </xf>
    <xf numFmtId="0" fontId="0" fillId="0" borderId="0" xfId="0" applyAlignment="1">
      <alignment vertical="center"/>
    </xf>
    <xf numFmtId="0" fontId="1" fillId="0" borderId="0" xfId="0" applyFont="1"/>
    <xf numFmtId="0" fontId="1" fillId="0" borderId="0" xfId="0" applyFont="1" applyAlignment="1">
      <alignment wrapText="1"/>
    </xf>
    <xf numFmtId="0" fontId="28" fillId="0" borderId="0" xfId="0" applyFont="1" applyAlignment="1">
      <alignment vertical="top"/>
    </xf>
    <xf numFmtId="0" fontId="29" fillId="0" borderId="0" xfId="0" applyFont="1" applyAlignment="1">
      <alignment horizontal="center" vertical="top"/>
    </xf>
    <xf numFmtId="0" fontId="29" fillId="0" borderId="0" xfId="0" applyFont="1" applyAlignment="1">
      <alignment vertical="top"/>
    </xf>
    <xf numFmtId="0" fontId="29" fillId="0" borderId="0" xfId="0" applyFont="1" applyAlignment="1">
      <alignment horizontal="left" vertical="top"/>
    </xf>
    <xf numFmtId="0" fontId="13" fillId="0" borderId="0" xfId="0" applyFont="1" applyAlignment="1">
      <alignment horizontal="left" vertical="top"/>
    </xf>
    <xf numFmtId="0" fontId="30" fillId="0" borderId="0" xfId="0" applyFont="1" applyAlignment="1">
      <alignment vertical="top"/>
    </xf>
    <xf numFmtId="0" fontId="0" fillId="0" borderId="0" xfId="0" quotePrefix="1"/>
    <xf numFmtId="0" fontId="2" fillId="0" borderId="0" xfId="0" applyFont="1"/>
    <xf numFmtId="14" fontId="19" fillId="0" borderId="5" xfId="0" applyNumberFormat="1" applyFont="1" applyBorder="1" applyAlignment="1">
      <alignment horizontal="center" vertical="top"/>
    </xf>
    <xf numFmtId="14" fontId="19" fillId="0" borderId="21" xfId="0" applyNumberFormat="1" applyFont="1" applyBorder="1" applyAlignment="1">
      <alignment horizontal="center" vertical="top"/>
    </xf>
    <xf numFmtId="14" fontId="19" fillId="0" borderId="7" xfId="0" applyNumberFormat="1" applyFont="1" applyBorder="1" applyAlignment="1">
      <alignment horizontal="center" vertical="top"/>
    </xf>
    <xf numFmtId="14" fontId="19" fillId="0" borderId="9" xfId="0" applyNumberFormat="1" applyFont="1" applyBorder="1" applyAlignment="1">
      <alignment horizontal="center" vertical="top"/>
    </xf>
    <xf numFmtId="14" fontId="19" fillId="0" borderId="17" xfId="0" applyNumberFormat="1" applyFont="1" applyBorder="1" applyAlignment="1">
      <alignment horizontal="center" vertical="top"/>
    </xf>
    <xf numFmtId="14" fontId="19" fillId="0" borderId="15" xfId="0" applyNumberFormat="1" applyFont="1" applyBorder="1" applyAlignment="1">
      <alignment horizontal="center" vertical="top"/>
    </xf>
    <xf numFmtId="14" fontId="19" fillId="0" borderId="12" xfId="0" applyNumberFormat="1" applyFont="1" applyBorder="1" applyAlignment="1">
      <alignment horizontal="center" vertical="top"/>
    </xf>
    <xf numFmtId="0" fontId="19" fillId="0" borderId="12" xfId="0" applyFont="1" applyBorder="1" applyAlignment="1">
      <alignment horizontal="center" vertical="top"/>
    </xf>
    <xf numFmtId="0" fontId="19" fillId="0" borderId="1" xfId="0" applyFont="1" applyBorder="1" applyAlignment="1">
      <alignment horizontal="left" vertical="top" wrapText="1"/>
    </xf>
    <xf numFmtId="0" fontId="0" fillId="0" borderId="0" xfId="0" applyAlignment="1">
      <alignment vertical="center" wrapText="1"/>
    </xf>
    <xf numFmtId="0" fontId="31" fillId="0" borderId="0" xfId="0" applyFont="1" applyAlignment="1">
      <alignment vertical="top"/>
    </xf>
    <xf numFmtId="0" fontId="32" fillId="0" borderId="0" xfId="0" applyFont="1" applyAlignment="1">
      <alignment horizontal="left" vertical="top"/>
    </xf>
    <xf numFmtId="0" fontId="33" fillId="0" borderId="0" xfId="0" applyFont="1" applyAlignment="1">
      <alignment horizontal="left" vertical="top"/>
    </xf>
    <xf numFmtId="0" fontId="32" fillId="0" borderId="0" xfId="0" applyFont="1" applyAlignment="1">
      <alignment horizontal="left"/>
    </xf>
    <xf numFmtId="0" fontId="32" fillId="0" borderId="0" xfId="0" applyFont="1" applyAlignment="1">
      <alignment vertical="top"/>
    </xf>
    <xf numFmtId="0" fontId="34" fillId="0" borderId="0" xfId="0" applyFont="1" applyAlignment="1">
      <alignment vertical="top"/>
    </xf>
    <xf numFmtId="14" fontId="19" fillId="0" borderId="5" xfId="0" applyNumberFormat="1" applyFont="1" applyBorder="1" applyAlignment="1">
      <alignment horizontal="center" vertical="top" wrapText="1"/>
    </xf>
    <xf numFmtId="0" fontId="0" fillId="8" borderId="0" xfId="0" applyFill="1"/>
    <xf numFmtId="14" fontId="19" fillId="0" borderId="21" xfId="0" applyNumberFormat="1" applyFont="1" applyBorder="1" applyAlignment="1">
      <alignment horizontal="center" vertical="top" wrapText="1"/>
    </xf>
    <xf numFmtId="0" fontId="19" fillId="0" borderId="23" xfId="0" applyFont="1" applyBorder="1" applyAlignment="1">
      <alignment horizontal="left" vertical="top" wrapText="1"/>
    </xf>
    <xf numFmtId="14" fontId="19" fillId="0" borderId="1" xfId="0" applyNumberFormat="1" applyFont="1" applyBorder="1" applyAlignment="1">
      <alignment horizontal="center" vertical="top"/>
    </xf>
    <xf numFmtId="14" fontId="19" fillId="0" borderId="1" xfId="0" applyNumberFormat="1" applyFont="1" applyBorder="1" applyAlignment="1">
      <alignment horizontal="center" vertical="top" wrapText="1"/>
    </xf>
    <xf numFmtId="0" fontId="3" fillId="0" borderId="0" xfId="0" applyFont="1" applyAlignment="1">
      <alignment vertical="top" wrapText="1"/>
    </xf>
    <xf numFmtId="0" fontId="6" fillId="0" borderId="0" xfId="0" applyFont="1" applyAlignment="1">
      <alignment horizontal="left" vertical="top" wrapText="1"/>
    </xf>
    <xf numFmtId="0" fontId="0" fillId="0" borderId="0" xfId="0" applyAlignment="1">
      <alignment vertical="top" wrapText="1"/>
    </xf>
    <xf numFmtId="14" fontId="18" fillId="4" borderId="3" xfId="0" applyNumberFormat="1" applyFont="1" applyFill="1" applyBorder="1" applyAlignment="1">
      <alignment horizontal="center" vertical="top"/>
    </xf>
    <xf numFmtId="14" fontId="19" fillId="0" borderId="0" xfId="0" applyNumberFormat="1" applyFont="1" applyAlignment="1">
      <alignment vertical="top"/>
    </xf>
    <xf numFmtId="0" fontId="19" fillId="0" borderId="26" xfId="0" applyFont="1" applyBorder="1" applyAlignment="1">
      <alignment horizontal="left" vertical="top"/>
    </xf>
    <xf numFmtId="14" fontId="19" fillId="0" borderId="26" xfId="0" applyNumberFormat="1" applyFont="1" applyBorder="1" applyAlignment="1">
      <alignment horizontal="left" vertical="top"/>
    </xf>
    <xf numFmtId="14" fontId="19" fillId="0" borderId="27" xfId="0" applyNumberFormat="1" applyFont="1" applyBorder="1" applyAlignment="1">
      <alignment horizontal="center" vertical="top" wrapText="1"/>
    </xf>
    <xf numFmtId="0" fontId="19" fillId="0" borderId="27" xfId="0" applyFont="1" applyBorder="1" applyAlignment="1">
      <alignment horizontal="left" vertical="top" wrapText="1"/>
    </xf>
    <xf numFmtId="0" fontId="14" fillId="0" borderId="0" xfId="0" applyFont="1" applyAlignment="1">
      <alignment horizontal="center" vertical="top"/>
    </xf>
    <xf numFmtId="0" fontId="36" fillId="0" borderId="0" xfId="0" applyFont="1" applyAlignment="1">
      <alignment horizontal="left" vertical="top"/>
    </xf>
    <xf numFmtId="0" fontId="37" fillId="0" borderId="0" xfId="0" applyFont="1" applyAlignment="1">
      <alignment vertical="top"/>
    </xf>
    <xf numFmtId="0" fontId="40" fillId="0" borderId="23" xfId="0" applyFont="1" applyBorder="1" applyAlignment="1">
      <alignment horizontal="left" vertical="top" wrapText="1"/>
    </xf>
    <xf numFmtId="0" fontId="19" fillId="0" borderId="24" xfId="0" applyFont="1" applyBorder="1" applyAlignment="1">
      <alignment horizontal="left" vertical="top" wrapText="1"/>
    </xf>
    <xf numFmtId="0" fontId="42" fillId="0" borderId="0" xfId="0" applyFont="1" applyAlignment="1">
      <alignment vertical="center"/>
    </xf>
    <xf numFmtId="0" fontId="0" fillId="0" borderId="0" xfId="0" applyAlignment="1">
      <alignment horizontal="left"/>
    </xf>
    <xf numFmtId="0" fontId="0" fillId="0" borderId="28" xfId="0" applyBorder="1" applyAlignment="1">
      <alignment horizontal="left" vertical="top"/>
    </xf>
    <xf numFmtId="0" fontId="0" fillId="0" borderId="29" xfId="0" applyBorder="1" applyAlignment="1">
      <alignment horizontal="left" vertical="top"/>
    </xf>
    <xf numFmtId="0" fontId="44" fillId="2" borderId="0" xfId="0" applyFont="1" applyFill="1" applyAlignment="1">
      <alignment horizontal="center"/>
    </xf>
    <xf numFmtId="0" fontId="19" fillId="0" borderId="23" xfId="0" applyFont="1" applyBorder="1" applyAlignment="1">
      <alignment horizontal="center" vertical="top" wrapText="1"/>
    </xf>
    <xf numFmtId="0" fontId="19" fillId="0" borderId="6" xfId="0" applyFont="1" applyBorder="1" applyAlignment="1">
      <alignment horizontal="center" vertical="top"/>
    </xf>
    <xf numFmtId="0" fontId="19" fillId="3" borderId="20" xfId="0" applyFont="1" applyFill="1" applyBorder="1" applyAlignment="1">
      <alignment horizontal="center" vertical="top"/>
    </xf>
    <xf numFmtId="0" fontId="19" fillId="0" borderId="8" xfId="0" applyFont="1" applyBorder="1" applyAlignment="1">
      <alignment horizontal="center" vertical="top"/>
    </xf>
    <xf numFmtId="0" fontId="19" fillId="3" borderId="25" xfId="0" applyFont="1" applyFill="1" applyBorder="1" applyAlignment="1">
      <alignment horizontal="center" vertical="top"/>
    </xf>
    <xf numFmtId="0" fontId="19" fillId="3" borderId="6" xfId="0" applyFont="1" applyFill="1" applyBorder="1" applyAlignment="1">
      <alignment horizontal="center" vertical="top"/>
    </xf>
    <xf numFmtId="0" fontId="19" fillId="0" borderId="19" xfId="0" applyFont="1" applyBorder="1" applyAlignment="1">
      <alignment horizontal="center" vertical="top"/>
    </xf>
    <xf numFmtId="14" fontId="19" fillId="3" borderId="18" xfId="0" applyNumberFormat="1" applyFont="1" applyFill="1" applyBorder="1" applyAlignment="1">
      <alignment horizontal="center" vertical="top"/>
    </xf>
    <xf numFmtId="0" fontId="19" fillId="3" borderId="13" xfId="0" applyFont="1" applyFill="1" applyBorder="1" applyAlignment="1">
      <alignment horizontal="center" vertical="top" wrapText="1"/>
    </xf>
    <xf numFmtId="0" fontId="19" fillId="0" borderId="8" xfId="0" applyFont="1" applyBorder="1" applyAlignment="1">
      <alignment horizontal="center" vertical="top" wrapText="1"/>
    </xf>
    <xf numFmtId="0" fontId="19" fillId="3" borderId="10" xfId="0" applyFont="1" applyFill="1" applyBorder="1" applyAlignment="1">
      <alignment horizontal="center" vertical="top" wrapText="1"/>
    </xf>
    <xf numFmtId="0" fontId="19" fillId="0" borderId="0" xfId="0" applyFont="1" applyAlignment="1">
      <alignment horizontal="center" vertical="top"/>
    </xf>
    <xf numFmtId="0" fontId="43" fillId="0" borderId="0" xfId="0" applyFont="1"/>
    <xf numFmtId="0" fontId="11" fillId="0" borderId="30" xfId="0" applyFont="1" applyBorder="1" applyAlignment="1">
      <alignment vertical="top"/>
    </xf>
    <xf numFmtId="0" fontId="19" fillId="0" borderId="1" xfId="0" applyFont="1" applyBorder="1" applyAlignment="1">
      <alignment horizontal="center" vertical="top" wrapText="1"/>
    </xf>
    <xf numFmtId="0" fontId="0" fillId="0" borderId="2" xfId="0" applyBorder="1" applyAlignment="1">
      <alignment horizontal="left" vertical="top"/>
    </xf>
    <xf numFmtId="14" fontId="19" fillId="0" borderId="1" xfId="0" applyNumberFormat="1" applyFont="1" applyBorder="1" applyAlignment="1">
      <alignment horizontal="left" vertical="top" wrapText="1"/>
    </xf>
    <xf numFmtId="0" fontId="0" fillId="0" borderId="22" xfId="0" applyBorder="1" applyAlignment="1">
      <alignment vertical="top"/>
    </xf>
    <xf numFmtId="0" fontId="45" fillId="0" borderId="31" xfId="0" applyFont="1" applyBorder="1" applyAlignment="1">
      <alignment horizontal="center" vertical="top"/>
    </xf>
    <xf numFmtId="0" fontId="45" fillId="0" borderId="4" xfId="0" applyFont="1" applyBorder="1" applyAlignment="1">
      <alignment horizontal="left" vertical="top"/>
    </xf>
    <xf numFmtId="14" fontId="45" fillId="0" borderId="4" xfId="0" applyNumberFormat="1" applyFont="1" applyBorder="1" applyAlignment="1">
      <alignment horizontal="left" vertical="top"/>
    </xf>
    <xf numFmtId="14" fontId="45" fillId="0" borderId="9" xfId="0" applyNumberFormat="1" applyFont="1" applyBorder="1" applyAlignment="1">
      <alignment horizontal="center" vertical="top" wrapText="1"/>
    </xf>
    <xf numFmtId="14" fontId="45" fillId="0" borderId="9" xfId="0" applyNumberFormat="1" applyFont="1" applyBorder="1" applyAlignment="1">
      <alignment horizontal="left" vertical="top" wrapText="1"/>
    </xf>
    <xf numFmtId="0" fontId="11" fillId="0" borderId="0" xfId="0" applyFont="1" applyAlignment="1">
      <alignment horizontal="center" vertical="top"/>
    </xf>
    <xf numFmtId="0" fontId="17" fillId="2" borderId="0" xfId="0" applyFont="1" applyFill="1" applyAlignment="1">
      <alignment horizontal="center" vertical="top" wrapText="1"/>
    </xf>
    <xf numFmtId="0" fontId="19" fillId="0" borderId="23" xfId="0" applyFont="1" applyBorder="1" applyAlignment="1">
      <alignment horizontal="left" vertical="center" wrapText="1"/>
    </xf>
    <xf numFmtId="0" fontId="19" fillId="0" borderId="24" xfId="0" applyFont="1" applyBorder="1" applyAlignment="1">
      <alignment horizontal="center" vertical="top" wrapText="1"/>
    </xf>
    <xf numFmtId="0" fontId="19" fillId="0" borderId="24" xfId="0" applyFont="1" applyBorder="1" applyAlignment="1">
      <alignment horizontal="center" vertical="center" wrapText="1"/>
    </xf>
    <xf numFmtId="0" fontId="19" fillId="0" borderId="0" xfId="0" applyFont="1" applyAlignment="1">
      <alignment horizontal="center" vertical="center" wrapText="1"/>
    </xf>
    <xf numFmtId="0" fontId="2" fillId="9" borderId="0" xfId="0" applyFont="1" applyFill="1" applyAlignment="1">
      <alignment vertical="top"/>
    </xf>
    <xf numFmtId="0" fontId="0" fillId="9" borderId="0" xfId="0" applyFill="1" applyAlignment="1">
      <alignment horizontal="center" vertical="top"/>
    </xf>
    <xf numFmtId="1" fontId="46" fillId="0" borderId="0" xfId="0" applyNumberFormat="1" applyFont="1" applyAlignment="1">
      <alignment vertical="top"/>
    </xf>
    <xf numFmtId="0" fontId="6" fillId="0" borderId="0" xfId="0" applyFont="1" applyAlignment="1">
      <alignment horizontal="center" vertical="top"/>
    </xf>
    <xf numFmtId="15" fontId="19" fillId="0" borderId="1" xfId="0" applyNumberFormat="1" applyFont="1" applyBorder="1" applyAlignment="1">
      <alignment horizontal="center" vertical="top"/>
    </xf>
    <xf numFmtId="15" fontId="19" fillId="0" borderId="1" xfId="0" applyNumberFormat="1" applyFont="1" applyBorder="1" applyAlignment="1">
      <alignment horizontal="left" vertical="top"/>
    </xf>
    <xf numFmtId="0" fontId="19" fillId="0" borderId="1" xfId="0" applyFont="1" applyBorder="1" applyAlignment="1">
      <alignment horizontal="left" vertical="center"/>
    </xf>
    <xf numFmtId="14" fontId="19" fillId="0" borderId="5" xfId="0" applyNumberFormat="1" applyFont="1" applyBorder="1" applyAlignment="1">
      <alignment horizontal="center" vertical="center"/>
    </xf>
    <xf numFmtId="1" fontId="47" fillId="0" borderId="0" xfId="0" applyNumberFormat="1" applyFont="1" applyAlignment="1">
      <alignment horizontal="left" vertical="top"/>
    </xf>
    <xf numFmtId="1" fontId="48" fillId="0" borderId="0" xfId="0" applyNumberFormat="1" applyFont="1" applyAlignment="1">
      <alignment vertical="top"/>
    </xf>
    <xf numFmtId="0" fontId="49" fillId="0" borderId="0" xfId="0" applyFont="1" applyAlignment="1">
      <alignment vertical="top"/>
    </xf>
    <xf numFmtId="0" fontId="49" fillId="0" borderId="0" xfId="0" applyFont="1" applyAlignment="1">
      <alignment horizontal="center" vertical="top"/>
    </xf>
    <xf numFmtId="0" fontId="0" fillId="0" borderId="30" xfId="0" applyBorder="1"/>
    <xf numFmtId="0" fontId="18" fillId="0" borderId="0" xfId="0" applyFont="1" applyAlignment="1">
      <alignment horizontal="center" vertical="top"/>
    </xf>
    <xf numFmtId="0" fontId="25" fillId="5" borderId="0" xfId="0" applyFont="1" applyFill="1" applyAlignment="1">
      <alignment horizontal="center" vertical="top"/>
    </xf>
    <xf numFmtId="0" fontId="16" fillId="2" borderId="0" xfId="0" applyFont="1" applyFill="1" applyAlignment="1">
      <alignment horizontal="center"/>
    </xf>
  </cellXfs>
  <cellStyles count="5">
    <cellStyle name="Lien hypertexte" xfId="3" builtinId="8"/>
    <cellStyle name="Monétaire 2" xfId="2" xr:uid="{817C612C-3717-4094-9793-AF6AB742B6A3}"/>
    <cellStyle name="Normal" xfId="0" builtinId="0"/>
    <cellStyle name="Normal 2" xfId="1" xr:uid="{6A4B01E1-FF95-4729-B025-F4849A86F14B}"/>
    <cellStyle name="Normal 2 2" xfId="4" xr:uid="{1EA03915-6DFF-4DD7-A9E8-0F97E0E75E2C}"/>
  </cellStyles>
  <dxfs count="64">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wrapText="0" indent="0" justifyLastLine="0" shrinkToFit="0" readingOrder="0"/>
    </dxf>
    <dxf>
      <alignment horizontal="left" vertical="top" textRotation="0" indent="0" justifyLastLine="0" shrinkToFit="0" readingOrder="0"/>
    </dxf>
    <dxf>
      <alignment horizontal="left" vertical="top" textRotation="0" wrapText="1" indent="0" justifyLastLine="0" shrinkToFit="0" readingOrder="0"/>
    </dxf>
    <dxf>
      <font>
        <b val="0"/>
        <i val="0"/>
        <strike val="0"/>
        <condense val="0"/>
        <extend val="0"/>
        <outline val="0"/>
        <shadow val="0"/>
        <u val="none"/>
        <vertAlign val="baseline"/>
        <sz val="8"/>
        <color rgb="FF000000"/>
        <name val="Calibri"/>
        <family val="2"/>
        <scheme val="none"/>
      </font>
      <alignment horizontal="general" vertical="top" textRotation="0" wrapText="0" indent="0" justifyLastLine="0" shrinkToFit="0" readingOrder="0"/>
    </dxf>
    <dxf>
      <alignment horizontal="left" vertical="bottom" textRotation="0" wrapText="0" indent="1" justifyLastLine="0" shrinkToFit="0" readingOrder="0"/>
    </dxf>
    <dxf>
      <font>
        <color theme="0"/>
      </font>
      <fill>
        <patternFill>
          <bgColor rgb="FFFF0000"/>
        </patternFill>
      </fill>
    </dxf>
    <dxf>
      <font>
        <b val="0"/>
        <i val="0"/>
        <strike val="0"/>
        <condense val="0"/>
        <extend val="0"/>
        <outline val="0"/>
        <shadow val="0"/>
        <u val="none"/>
        <vertAlign val="baseline"/>
        <sz val="9"/>
        <color rgb="FF000000"/>
        <name val="Calibri"/>
        <family val="2"/>
        <scheme val="none"/>
      </font>
      <alignment horizontal="general" vertical="top" textRotation="0" wrapText="0" indent="0" justifyLastLine="0" shrinkToFit="0" readingOrder="0"/>
    </dxf>
    <dxf>
      <font>
        <b val="0"/>
        <i val="0"/>
        <strike val="0"/>
        <condense val="0"/>
        <extend val="0"/>
        <outline val="0"/>
        <shadow val="0"/>
        <u val="none"/>
        <vertAlign val="baseline"/>
        <sz val="9"/>
        <color rgb="FF000000"/>
        <name val="Calibri"/>
        <family val="2"/>
        <scheme val="none"/>
      </font>
      <alignment horizontal="center" vertical="top" textRotation="0" wrapText="0" indent="0" justifyLastLine="0" shrinkToFit="0" readingOrder="0"/>
    </dxf>
    <dxf>
      <font>
        <b val="0"/>
        <i val="0"/>
        <strike val="0"/>
        <condense val="0"/>
        <extend val="0"/>
        <outline val="0"/>
        <shadow val="0"/>
        <u val="none"/>
        <vertAlign val="baseline"/>
        <sz val="9"/>
        <color rgb="FF000000"/>
        <name val="Calibri"/>
        <family val="2"/>
        <scheme val="none"/>
      </font>
      <alignment vertical="top" textRotation="0" indent="0" justifyLastLine="0" shrinkToFit="0" readingOrder="0"/>
    </dxf>
    <dxf>
      <font>
        <b val="0"/>
        <i val="0"/>
        <strike val="0"/>
        <condense val="0"/>
        <extend val="0"/>
        <outline val="0"/>
        <shadow val="0"/>
        <u val="none"/>
        <vertAlign val="baseline"/>
        <sz val="9"/>
        <color rgb="FF000000"/>
        <name val="Calibri"/>
        <family val="2"/>
        <scheme val="none"/>
      </font>
      <alignment vertical="top" textRotation="0" indent="0" justifyLastLine="0" shrinkToFit="0" readingOrder="0"/>
    </dxf>
    <dxf>
      <font>
        <b val="0"/>
        <i val="0"/>
        <strike val="0"/>
        <condense val="0"/>
        <extend val="0"/>
        <outline val="0"/>
        <shadow val="0"/>
        <u val="none"/>
        <vertAlign val="baseline"/>
        <sz val="9"/>
        <color rgb="FF000000"/>
        <name val="Calibri"/>
        <family val="2"/>
        <scheme val="none"/>
      </font>
      <alignment vertical="top" textRotation="0" indent="0" justifyLastLine="0" shrinkToFit="0" readingOrder="0"/>
    </dxf>
    <dxf>
      <font>
        <b val="0"/>
        <i val="0"/>
        <strike val="0"/>
        <condense val="0"/>
        <extend val="0"/>
        <outline val="0"/>
        <shadow val="0"/>
        <u val="none"/>
        <vertAlign val="baseline"/>
        <sz val="9"/>
        <color rgb="FF000000"/>
        <name val="Calibri"/>
        <family val="2"/>
        <scheme val="none"/>
      </font>
      <alignment vertical="top" textRotation="0" indent="0" justifyLastLine="0" shrinkToFit="0" readingOrder="0"/>
    </dxf>
    <dxf>
      <font>
        <b val="0"/>
        <i val="0"/>
        <strike val="0"/>
        <condense val="0"/>
        <extend val="0"/>
        <outline val="0"/>
        <shadow val="0"/>
        <u val="none"/>
        <vertAlign val="baseline"/>
        <sz val="9"/>
        <color rgb="FF000000"/>
        <name val="Calibri"/>
        <family val="2"/>
        <scheme val="none"/>
      </font>
      <alignment horizontal="general" vertical="top" textRotation="0" wrapText="0" indent="0" justifyLastLine="0" shrinkToFit="0" readingOrder="0"/>
    </dxf>
    <dxf>
      <font>
        <b val="0"/>
        <i val="0"/>
        <strike val="0"/>
        <condense val="0"/>
        <extend val="0"/>
        <outline val="0"/>
        <shadow val="0"/>
        <u val="none"/>
        <vertAlign val="baseline"/>
        <sz val="9"/>
        <color rgb="FF000000"/>
        <name val="Calibri"/>
        <family val="2"/>
        <scheme val="none"/>
      </font>
      <numFmt numFmtId="0" formatCode="General"/>
      <alignment vertical="top" textRotation="0" indent="0" justifyLastLine="0" shrinkToFit="0" readingOrder="0"/>
    </dxf>
    <dxf>
      <font>
        <b val="0"/>
        <i val="0"/>
        <strike val="0"/>
        <condense val="0"/>
        <extend val="0"/>
        <outline val="0"/>
        <shadow val="0"/>
        <u val="none"/>
        <vertAlign val="baseline"/>
        <sz val="10"/>
        <color rgb="FF000000"/>
        <name val="Calibri"/>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vertical="top" textRotation="0"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top" textRotation="0" wrapText="0" indent="0" justifyLastLine="0" shrinkToFit="0" readingOrder="0"/>
    </dxf>
    <dxf>
      <alignment horizontal="center" vertical="top"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top" textRotation="0" wrapText="0" indent="0" justifyLastLine="0" shrinkToFit="0" readingOrder="0"/>
    </dxf>
    <dxf>
      <numFmt numFmtId="0" formatCode="General"/>
      <alignment horizontal="center" vertical="top" textRotation="0" wrapText="0" indent="0" justifyLastLine="0" shrinkToFit="0" readingOrder="0"/>
    </dxf>
    <dxf>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9"/>
        <color theme="1"/>
        <name val="Calibri"/>
        <family val="2"/>
        <scheme val="minor"/>
      </font>
      <alignment vertical="top" textRotation="0" indent="0" justifyLastLine="0" shrinkToFit="0" readingOrder="0"/>
    </dxf>
    <dxf>
      <font>
        <b val="0"/>
        <i val="0"/>
        <strike val="0"/>
        <condense val="0"/>
        <extend val="0"/>
        <outline val="0"/>
        <shadow val="0"/>
        <u val="none"/>
        <vertAlign val="baseline"/>
        <sz val="9"/>
        <color theme="1"/>
        <name val="Calibri"/>
        <family val="2"/>
        <scheme val="minor"/>
      </font>
      <alignment vertical="top" textRotation="0" indent="0" justifyLastLine="0" shrinkToFit="0" readingOrder="0"/>
    </dxf>
    <dxf>
      <font>
        <b/>
        <i val="0"/>
        <strike val="0"/>
        <condense val="0"/>
        <extend val="0"/>
        <outline val="0"/>
        <shadow val="0"/>
        <u val="none"/>
        <vertAlign val="baseline"/>
        <sz val="9"/>
        <color theme="1"/>
        <name val="Calibri"/>
        <family val="2"/>
        <scheme val="minor"/>
      </font>
      <alignment vertical="top" textRotation="0" indent="0" justifyLastLine="0" shrinkToFit="0" readingOrder="0"/>
    </dxf>
    <dxf>
      <font>
        <b/>
        <i val="0"/>
        <strike val="0"/>
        <condense val="0"/>
        <extend val="0"/>
        <outline val="0"/>
        <shadow val="0"/>
        <u val="none"/>
        <vertAlign val="baseline"/>
        <sz val="9"/>
        <color theme="1"/>
        <name val="Courier New"/>
        <family val="3"/>
        <scheme val="none"/>
      </font>
      <numFmt numFmtId="1" formatCode="0"/>
      <alignment horizontal="general" vertical="top" textRotation="0" wrapText="0" indent="0" justifyLastLine="0" shrinkToFit="0" readingOrder="0"/>
    </dxf>
    <dxf>
      <font>
        <b val="0"/>
        <i val="0"/>
        <strike val="0"/>
        <condense val="0"/>
        <extend val="0"/>
        <outline val="0"/>
        <shadow val="0"/>
        <u val="none"/>
        <vertAlign val="baseline"/>
        <sz val="9"/>
        <color theme="1"/>
        <name val="Courier New"/>
        <family val="3"/>
        <scheme val="none"/>
      </font>
      <numFmt numFmtId="1" formatCode="0"/>
      <alignment horizontal="left" vertical="top" textRotation="0" wrapText="0" indent="0" justifyLastLine="0" shrinkToFit="0" readingOrder="0"/>
    </dxf>
    <dxf>
      <font>
        <b val="0"/>
        <i val="0"/>
        <strike val="0"/>
        <condense val="0"/>
        <extend val="0"/>
        <outline val="0"/>
        <shadow val="0"/>
        <u val="none"/>
        <vertAlign val="baseline"/>
        <sz val="9"/>
        <color rgb="FF000000"/>
        <name val="Calibri"/>
        <family val="2"/>
        <scheme val="none"/>
      </font>
      <alignment vertical="top" textRotation="0" indent="0" justifyLastLine="0" shrinkToFit="0" readingOrder="0"/>
    </dxf>
    <dxf>
      <font>
        <b val="0"/>
        <i val="0"/>
        <strike val="0"/>
        <condense val="0"/>
        <extend val="0"/>
        <outline val="0"/>
        <shadow val="0"/>
        <u val="none"/>
        <vertAlign val="baseline"/>
        <sz val="9"/>
        <color theme="1"/>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0" indent="0" justifyLastLine="0" shrinkToFit="0" readingOrder="0"/>
    </dxf>
    <dxf>
      <font>
        <strike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sz val="9"/>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9"/>
        <color rgb="FF000000"/>
        <name val="Calibri"/>
        <family val="2"/>
        <scheme val="none"/>
      </font>
      <numFmt numFmtId="0" formatCode="General"/>
      <alignment vertical="top" textRotation="0" indent="0" justifyLastLine="0" shrinkToFit="0" readingOrder="0"/>
    </dxf>
    <dxf>
      <font>
        <b val="0"/>
        <i val="0"/>
        <strike val="0"/>
        <condense val="0"/>
        <extend val="0"/>
        <outline val="0"/>
        <shadow val="0"/>
        <u val="none"/>
        <vertAlign val="baseline"/>
        <sz val="9"/>
        <color rgb="FF000000"/>
        <name val="Calibri"/>
        <family val="2"/>
        <scheme val="none"/>
      </font>
      <numFmt numFmtId="0" formatCode="General"/>
      <alignment horizontal="center" vertical="top" textRotation="0" indent="0" justifyLastLine="0" shrinkToFit="0" readingOrder="0"/>
    </dxf>
    <dxf>
      <font>
        <b val="0"/>
        <i val="0"/>
        <strike val="0"/>
        <condense val="0"/>
        <extend val="0"/>
        <outline val="0"/>
        <shadow val="0"/>
        <u val="none"/>
        <vertAlign val="baseline"/>
        <sz val="9"/>
        <color rgb="FF000000"/>
        <name val="Calibri"/>
        <family val="2"/>
        <scheme val="none"/>
      </font>
      <numFmt numFmtId="0" formatCode="General"/>
      <alignment horizontal="center" vertical="top" textRotation="0" indent="0" justifyLastLine="0" shrinkToFit="0" readingOrder="0"/>
    </dxf>
    <dxf>
      <font>
        <b val="0"/>
        <i val="0"/>
        <strike val="0"/>
        <condense val="0"/>
        <extend val="0"/>
        <outline val="0"/>
        <shadow val="0"/>
        <u val="none"/>
        <vertAlign val="baseline"/>
        <sz val="9"/>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9"/>
        <color theme="1"/>
        <name val="Calibri"/>
        <family val="2"/>
        <scheme val="minor"/>
      </font>
      <alignment vertical="top" textRotation="0" indent="0" justifyLastLine="0" shrinkToFit="0" readingOrder="0"/>
    </dxf>
    <dxf>
      <font>
        <b val="0"/>
        <i val="0"/>
        <strike val="0"/>
        <condense val="0"/>
        <extend val="0"/>
        <outline val="0"/>
        <shadow val="0"/>
        <u val="none"/>
        <vertAlign val="baseline"/>
        <sz val="9"/>
        <color theme="1"/>
        <name val="Calibri"/>
        <family val="2"/>
        <scheme val="minor"/>
      </font>
      <alignment vertical="top" textRotation="0" indent="0" justifyLastLine="0" shrinkToFit="0" readingOrder="0"/>
    </dxf>
    <dxf>
      <font>
        <b/>
        <i val="0"/>
        <strike val="0"/>
        <condense val="0"/>
        <extend val="0"/>
        <outline val="0"/>
        <shadow val="0"/>
        <u val="none"/>
        <vertAlign val="baseline"/>
        <sz val="9"/>
        <color theme="1"/>
        <name val="Calibri"/>
        <family val="2"/>
        <scheme val="minor"/>
      </font>
      <alignment vertical="top" textRotation="0" indent="0" justifyLastLine="0" shrinkToFit="0" readingOrder="0"/>
    </dxf>
    <dxf>
      <font>
        <b/>
        <i val="0"/>
        <strike val="0"/>
        <condense val="0"/>
        <extend val="0"/>
        <outline val="0"/>
        <shadow val="0"/>
        <u val="none"/>
        <vertAlign val="baseline"/>
        <sz val="9"/>
        <color theme="1"/>
        <name val="Courier New"/>
        <family val="3"/>
        <scheme val="none"/>
      </font>
      <numFmt numFmtId="1" formatCode="0"/>
      <alignment horizontal="center" vertical="top" textRotation="0" wrapText="0" indent="0" justifyLastLine="0" shrinkToFit="0" readingOrder="0"/>
    </dxf>
    <dxf>
      <font>
        <b val="0"/>
        <i val="0"/>
        <strike val="0"/>
        <condense val="0"/>
        <extend val="0"/>
        <outline val="0"/>
        <shadow val="0"/>
        <u val="none"/>
        <vertAlign val="baseline"/>
        <sz val="9"/>
        <color theme="1"/>
        <name val="Courier New"/>
        <family val="3"/>
        <scheme val="none"/>
      </font>
      <numFmt numFmtId="1" formatCode="0"/>
      <alignment horizontal="left" vertical="top" textRotation="0" wrapText="0" indent="0" justifyLastLine="0" shrinkToFit="0" readingOrder="0"/>
    </dxf>
    <dxf>
      <font>
        <b val="0"/>
        <i val="0"/>
        <strike val="0"/>
        <condense val="0"/>
        <extend val="0"/>
        <outline val="0"/>
        <shadow val="0"/>
        <u val="none"/>
        <vertAlign val="baseline"/>
        <sz val="9"/>
        <color rgb="FF000000"/>
        <name val="Calibri"/>
        <family val="2"/>
        <scheme val="none"/>
      </font>
      <alignment vertical="top" textRotation="0" indent="0" justifyLastLine="0" shrinkToFit="0" readingOrder="0"/>
    </dxf>
    <dxf>
      <font>
        <b val="0"/>
        <i val="0"/>
        <strike val="0"/>
        <condense val="0"/>
        <extend val="0"/>
        <outline val="0"/>
        <shadow val="0"/>
        <u val="none"/>
        <vertAlign val="baseline"/>
        <sz val="9"/>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Century Gothic"/>
        <family val="2"/>
        <scheme val="none"/>
      </font>
      <alignment horizontal="left" vertical="top"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0"/>
        <color theme="1"/>
        <name val="Century Gothic"/>
        <family val="2"/>
        <scheme val="none"/>
      </font>
      <numFmt numFmtId="19" formatCode="m/d/yyyy"/>
      <alignment horizontal="center" vertical="top"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Century Gothic"/>
        <family val="2"/>
        <scheme val="none"/>
      </font>
      <numFmt numFmtId="19" formatCode="m/d/yyyy"/>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entury Gothic"/>
        <family val="2"/>
        <scheme val="none"/>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top" textRotation="0" indent="0" justifyLastLine="0" shrinkToFit="0" readingOrder="0"/>
    </dxf>
    <dxf>
      <border outline="0">
        <bottom style="thin">
          <color indexed="64"/>
        </bottom>
      </border>
    </dxf>
    <dxf>
      <border outline="0">
        <left style="thin">
          <color indexed="64"/>
        </left>
        <right style="thin">
          <color indexed="64"/>
        </right>
        <top style="thin">
          <color indexed="64"/>
        </top>
      </border>
    </dxf>
    <dxf>
      <font>
        <b/>
        <i val="0"/>
        <strike val="0"/>
        <condense val="0"/>
        <extend val="0"/>
        <outline val="0"/>
        <shadow val="0"/>
        <u val="none"/>
        <vertAlign val="baseline"/>
        <sz val="10"/>
        <color theme="1"/>
        <name val="Century Gothic"/>
        <family val="2"/>
        <scheme val="none"/>
      </font>
      <fill>
        <patternFill patternType="solid">
          <fgColor indexed="64"/>
          <bgColor theme="8"/>
        </patternFill>
      </fill>
      <alignment horizontal="center" vertical="top"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00FF00"/>
      <color rgb="FF99FF66"/>
      <color rgb="FF99CC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2</xdr:col>
      <xdr:colOff>30134</xdr:colOff>
      <xdr:row>5</xdr:row>
      <xdr:rowOff>116973</xdr:rowOff>
    </xdr:from>
    <xdr:ext cx="6054799" cy="1782924"/>
    <xdr:sp macro="" textlink="">
      <xdr:nvSpPr>
        <xdr:cNvPr id="45" name="Rectangle 1">
          <a:extLst>
            <a:ext uri="{FF2B5EF4-FFF2-40B4-BE49-F238E27FC236}">
              <a16:creationId xmlns:a16="http://schemas.microsoft.com/office/drawing/2014/main" id="{B00E8441-A2AD-2937-7D53-36A3704FE8AE}"/>
            </a:ext>
          </a:extLst>
        </xdr:cNvPr>
        <xdr:cNvSpPr/>
      </xdr:nvSpPr>
      <xdr:spPr>
        <a:xfrm>
          <a:off x="1554134" y="1069473"/>
          <a:ext cx="6054799" cy="1782924"/>
        </a:xfrm>
        <a:prstGeom prst="rect">
          <a:avLst/>
        </a:prstGeom>
        <a:solidFill>
          <a:schemeClr val="accent6">
            <a:lumMod val="20000"/>
            <a:lumOff val="80000"/>
          </a:schemeClr>
        </a:solidFill>
      </xdr:spPr>
      <xdr:style>
        <a:lnRef idx="2">
          <a:schemeClr val="accent2"/>
        </a:lnRef>
        <a:fillRef idx="1">
          <a:schemeClr val="lt1"/>
        </a:fillRef>
        <a:effectRef idx="0">
          <a:schemeClr val="accent2"/>
        </a:effectRef>
        <a:fontRef idx="minor">
          <a:schemeClr val="dk1"/>
        </a:fontRef>
      </xdr:style>
      <xdr:txBody>
        <a:bodyPr wrap="none" lIns="91440" tIns="45720" rIns="91440" bIns="45720">
          <a:spAutoFit/>
        </a:bodyPr>
        <a:lstStyle/>
        <a:p>
          <a:pPr algn="ctr"/>
          <a:r>
            <a:rPr lang="fr-FR" sz="5400" b="1" cap="none" spc="0">
              <a:ln w="22225">
                <a:solidFill>
                  <a:schemeClr val="accent2"/>
                </a:solidFill>
                <a:prstDash val="solid"/>
              </a:ln>
              <a:solidFill>
                <a:schemeClr val="accent2">
                  <a:lumMod val="40000"/>
                  <a:lumOff val="60000"/>
                </a:schemeClr>
              </a:solidFill>
              <a:effectLst/>
            </a:rPr>
            <a:t>Les</a:t>
          </a:r>
          <a:r>
            <a:rPr lang="fr-FR" sz="5400" b="1" cap="none" spc="0" baseline="0">
              <a:ln w="22225">
                <a:solidFill>
                  <a:schemeClr val="accent2"/>
                </a:solidFill>
                <a:prstDash val="solid"/>
              </a:ln>
              <a:solidFill>
                <a:schemeClr val="accent2">
                  <a:lumMod val="40000"/>
                  <a:lumOff val="60000"/>
                </a:schemeClr>
              </a:solidFill>
              <a:effectLst/>
            </a:rPr>
            <a:t> o</a:t>
          </a:r>
          <a:r>
            <a:rPr lang="fr-FR" sz="5400" b="1" cap="none" spc="0">
              <a:ln w="22225">
                <a:solidFill>
                  <a:schemeClr val="accent2"/>
                </a:solidFill>
                <a:prstDash val="solid"/>
              </a:ln>
              <a:solidFill>
                <a:schemeClr val="accent2">
                  <a:lumMod val="40000"/>
                  <a:lumOff val="60000"/>
                </a:schemeClr>
              </a:solidFill>
              <a:effectLst/>
            </a:rPr>
            <a:t>nglets suivants </a:t>
          </a:r>
        </a:p>
        <a:p>
          <a:pPr algn="ctr"/>
          <a:r>
            <a:rPr lang="fr-FR" sz="5400" b="1" cap="none" spc="0">
              <a:ln w="22225">
                <a:solidFill>
                  <a:schemeClr val="accent2"/>
                </a:solidFill>
                <a:prstDash val="solid"/>
              </a:ln>
              <a:solidFill>
                <a:schemeClr val="accent2">
                  <a:lumMod val="40000"/>
                  <a:lumOff val="60000"/>
                </a:schemeClr>
              </a:solidFill>
              <a:effectLst/>
            </a:rPr>
            <a:t>sont des Annexes</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artecis.lan\filers\_Patrimoine_Partecis\Documentation\@Transverse\DicoInterneFront\RepertoireDeTravail\DicoRefFOCommTibco-v2.26.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H:\Etudes\R&#232;glementaire\Autres%20sujets\ISO20022-Etude\PCS_CIFO_AUTOR_5.45_VT05_TRAVAIL_ISO20022.xlsx" TargetMode="External"/><Relationship Id="rId1" Type="http://schemas.openxmlformats.org/officeDocument/2006/relationships/externalLinkPath" Target="file:///H:\Etudes\R&#232;glementaire\Autres%20sujets\ISO20022-Etude\PCS_CIFO_AUTOR_5.45_VT05_TRAVAIL_ISO2002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partecis-my.sharepoint.com/personal/081943_partecis_com/Documents/profil/081943/Documents/00-Travail-Tempo/240718_ISO20022/PCS_CIFO_AUTOR_5.45_VT05.xlsx" TargetMode="External"/><Relationship Id="rId1" Type="http://schemas.openxmlformats.org/officeDocument/2006/relationships/externalLinkPath" Target="/personal/081943_partecis_com/Documents/profil/081943/Documents/00-Travail-Tempo/240718_ISO20022/PCS_CIFO_AUTOR_5.45_VT05.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_Patrimoine_Partecis\Documentation\@Transverse\DicoInterneFront\RepertoireDeTravail\DicoRefFOCommTibcoEncours.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partecis.sharepoint.com/sites/DataServicesExploit/Documents%20partages/Etudes/ISO20022/DICO_JV_v240809_NePlusModifier.xlsx" TargetMode="External"/><Relationship Id="rId1" Type="http://schemas.openxmlformats.org/officeDocument/2006/relationships/externalLinkPath" Target="/sites/DataServicesExploit/Documents%20partages/Etudes/ISO20022/DICO_JV_v240809_NePlusModifi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olutions"/>
      <sheetName val="DicoRefFO"/>
      <sheetName val="TypeEntite"/>
      <sheetName val="Dictionnaire"/>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isto"/>
      <sheetName val=" ListeMessages"/>
      <sheetName val="DicoRefFO"/>
      <sheetName val="DicoRefFOTibco"/>
      <sheetName val="DA-PMT-Q"/>
      <sheetName val="DA-PMT-R"/>
      <sheetName val="REDR-PMT-Q"/>
      <sheetName val="REDR-PMT-R"/>
      <sheetName val="AVIS-PMT-Q"/>
      <sheetName val="AVIS-PMT-R"/>
      <sheetName val="DA-RET-Q"/>
      <sheetName val="DA-RET-R"/>
      <sheetName val="REDR-RET-Q"/>
      <sheetName val="REDR-RET-R"/>
      <sheetName val="AVIS-RET-Q"/>
      <sheetName val="AVIS-RET-R"/>
      <sheetName val="AUTH-Q"/>
      <sheetName val="AUTH-R"/>
      <sheetName val="DA-PME-Q"/>
      <sheetName val="DA-PME-R"/>
      <sheetName val="REDR-PME-Q"/>
      <sheetName val="REDR-PME-R"/>
      <sheetName val="AVIS-PME-Q"/>
      <sheetName val="AVIS-PME-R"/>
      <sheetName val="OPPO-Q"/>
      <sheetName val="OPPO-R"/>
      <sheetName val="AVIS-OPPO-Q"/>
      <sheetName val="AVIS-OPPO-R"/>
      <sheetName val="AVIS-CAPT-Q"/>
      <sheetName val="AVIS-CAPT-R"/>
      <sheetName val="RESTI-Q"/>
      <sheetName val="RESTI-R"/>
      <sheetName val="AVIS_RESTI_Q"/>
      <sheetName val="AVIS_RESTI_R"/>
      <sheetName val="IED-Q"/>
      <sheetName val="IED-R"/>
      <sheetName val="ACTIV-CART-Q"/>
      <sheetName val="ACTIV-CART-R"/>
      <sheetName val="INFOPAN-Q"/>
      <sheetName val="INFOPAN-R"/>
      <sheetName val="RISQ-Q"/>
      <sheetName val="RISQ-R"/>
      <sheetName val="FILEUPDT-Q"/>
      <sheetName val="FILEUPDT-R"/>
      <sheetName val="CARD-MGT-Q"/>
      <sheetName val="CARD-MGT-R"/>
      <sheetName val="TDF-DA-Q"/>
      <sheetName val="TDF-DA-R"/>
      <sheetName val="ERREUR"/>
      <sheetName val="FP-MP"/>
      <sheetName val="AUT36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isto"/>
      <sheetName val=" ListeMessages"/>
      <sheetName val="DicoRefFO"/>
      <sheetName val="DA-PMT-Q"/>
      <sheetName val="DA-PMT-R"/>
      <sheetName val="REDR-PMT-Q"/>
      <sheetName val="REDR-PMT-R"/>
      <sheetName val="AVIS-PMT-Q"/>
      <sheetName val="AVIS-PMT-R"/>
      <sheetName val="DA-RET-Q"/>
      <sheetName val="DA-RET-R"/>
      <sheetName val="REDR-RET-Q"/>
      <sheetName val="REDR-RET-R"/>
      <sheetName val="AVIS-RET-Q"/>
      <sheetName val="AVIS-RET-R"/>
      <sheetName val="AUTH-Q"/>
      <sheetName val="AUTH-R"/>
      <sheetName val="DA-PME-Q"/>
      <sheetName val="DA-PME-R"/>
      <sheetName val="REDR-PME-Q"/>
      <sheetName val="REDR-PME-R"/>
      <sheetName val="AVIS-PME-Q"/>
      <sheetName val="AVIS-PME-R"/>
      <sheetName val="OPPO-Q"/>
      <sheetName val="OPPO-R"/>
      <sheetName val="AVIS-OPPO-Q"/>
      <sheetName val="AVIS-OPPO-R"/>
      <sheetName val="AVIS-CAPT-Q"/>
      <sheetName val="AVIS-CAPT-R"/>
      <sheetName val="RESTI-Q"/>
      <sheetName val="RESTI-R"/>
      <sheetName val="AVIS_RESTI_Q"/>
      <sheetName val="AVIS_RESTI_R"/>
      <sheetName val="IED-Q"/>
      <sheetName val="IED-R"/>
      <sheetName val="ACTIV-CART-Q"/>
      <sheetName val="ACTIV-CART-R"/>
      <sheetName val="INFOPAN-Q"/>
      <sheetName val="INFOPAN-R"/>
      <sheetName val="RISQ-Q"/>
      <sheetName val="RISQ-R"/>
      <sheetName val="FILEUPDT-Q"/>
      <sheetName val="FILEUPDT-R"/>
      <sheetName val="CARD-MGT-Q"/>
      <sheetName val="CARD-MGT-R"/>
      <sheetName val="TDF-DA-Q"/>
      <sheetName val="TDF-DA-R"/>
      <sheetName val="ERREUR"/>
      <sheetName val="FP-MP"/>
      <sheetName val="AUT368"/>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olutions"/>
      <sheetName val="DicoRefFO"/>
      <sheetName val="TypeEntite"/>
      <sheetName val="Dictionnaire"/>
    </sheetNames>
    <sheetDataSet>
      <sheetData sheetId="0"/>
      <sheetData sheetId="1"/>
      <sheetData sheetId="2"/>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estion"/>
      <sheetName val="CIFO_Travail"/>
      <sheetName val="STATS"/>
      <sheetName val="CAPE_ATICA_Travail"/>
      <sheetName val="CIFO-SMSAA-240721"/>
      <sheetName val="Complement"/>
      <sheetName val="Type Glossaire"/>
      <sheetName val="Reserves"/>
      <sheetName val="CIFO_DICO_REF"/>
      <sheetName val="CIFO_REF_DA_Q"/>
      <sheetName val="CIFO_REF_DA_R"/>
      <sheetName val="Data Elements Spreadsheet-GS"/>
      <sheetName val="ATICA-CAPE-Expand-GS"/>
      <sheetName val="Archives"/>
      <sheetName val="Exemple_Message 100 CB2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2601E58-8428-49B5-8128-3D2BF2A51B26}" name="Tableau9" displayName="Tableau9" ref="A2:E787" totalsRowShown="0" headerRowDxfId="63" headerRowBorderDxfId="61" tableBorderDxfId="62">
  <autoFilter ref="A2:E787" xr:uid="{C2601E58-8428-49B5-8128-3D2BF2A51B26}"/>
  <tableColumns count="5">
    <tableColumn id="1" xr3:uid="{7C882A44-A4AC-41FD-812B-AADC5B0FEF82}" name="Version" dataDxfId="60"/>
    <tableColumn id="2" xr3:uid="{6095DB6A-6844-4498-8A1A-45466F992122}" name="Auteur" dataDxfId="59"/>
    <tableColumn id="3" xr3:uid="{CF283423-1927-4102-8BE2-A43603C008F8}" name="Date" dataDxfId="58"/>
    <tableColumn id="5" xr3:uid="{E42740F9-8DC8-4EA0-B1C7-B2E6736EE2B2}" name="Origine" dataDxfId="57"/>
    <tableColumn id="4" xr3:uid="{C4AC0EA1-36D5-45D2-B9A6-01D8969BB9E2}" name="Description" dataDxfId="56"/>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5998B1D-C431-4171-B973-8EC8329D0862}" name="Tableau1619" displayName="Tableau1619" ref="A2:R896" totalsRowShown="0" headerRowDxfId="55" dataDxfId="54">
  <autoFilter ref="A2:R896" xr:uid="{35998B1D-C431-4171-B973-8EC8329D0862}"/>
  <sortState xmlns:xlrd2="http://schemas.microsoft.com/office/spreadsheetml/2017/richdata2" ref="A3:R896">
    <sortCondition ref="C2:C896"/>
    <sortCondition ref="D2:D896"/>
    <sortCondition ref="E2:E896"/>
  </sortState>
  <tableColumns count="18">
    <tableColumn id="8" xr3:uid="{26DD0F2D-959D-4AFE-B5A7-55205255B6E8}" name="Référence" dataDxfId="53"/>
    <tableColumn id="15" xr3:uid="{52C68FFB-871F-4582-9584-DECFC8B3E26B}" name="O/N" dataDxfId="52"/>
    <tableColumn id="22" xr3:uid="{E69634FB-C8D1-4925-BB12-472BB664A5BA}" name="Segment_x000a_Message" dataDxfId="51">
      <calculatedColumnFormula>VLOOKUP($A3,DICO_Complet!$A$3:$U$983,3,FALSE)</calculatedColumnFormula>
    </tableColumn>
    <tableColumn id="3" xr3:uid="{0FAA05EE-2D05-454D-AFD1-D25762F82EE7}" name="Object" dataDxfId="50">
      <calculatedColumnFormula>VLOOKUP($A3,DICO_Complet!$A$3:$U$983,4,FALSE)</calculatedColumnFormula>
    </tableColumn>
    <tableColumn id="7" xr3:uid="{6F23FBB5-5D1D-4798-8455-171B6D071319}" name="Attribute" dataDxfId="49">
      <calculatedColumnFormula>VLOOKUP($A3,DICO_Complet!$A$3:$U$983,5,FALSE)</calculatedColumnFormula>
    </tableColumn>
    <tableColumn id="1" xr3:uid="{32E4A6BF-439D-4FC0-943F-54394F71CA8F}" name="Type" dataDxfId="48">
      <calculatedColumnFormula>VLOOKUP($A3,DICO_Complet!$A$3:$U$983,6,FALSE)</calculatedColumnFormula>
    </tableColumn>
    <tableColumn id="16" xr3:uid="{FF49EEE4-875E-4596-B936-591AC243FD5A}" name="MinO" dataDxfId="47">
      <calculatedColumnFormula>VLOOKUP($A3,DICO_Complet!$A$3:$U$983,7,FALSE)</calculatedColumnFormula>
    </tableColumn>
    <tableColumn id="17" xr3:uid="{32CA22D4-30EE-4882-8689-5D932F0043AA}" name="MaxO" dataDxfId="46">
      <calculatedColumnFormula>VLOOKUP($A3,DICO_Complet!$A$3:$U$983,8,FALSE)</calculatedColumnFormula>
    </tableColumn>
    <tableColumn id="2" xr3:uid="{F3195C4A-3727-4562-86C6-585F9E224639}" name="Obsoletes" dataDxfId="45">
      <calculatedColumnFormula>IF(VLOOKUP($A3,DICO_Complet!$A$3:$U$983,9,FALSE)&lt;&gt;0,VLOOKUP($A3,DICO_Complet!$A$3:$U$983,9,FALSE),"")</calculatedColumnFormula>
    </tableColumn>
    <tableColumn id="18" xr3:uid="{C5C6DB79-D3A8-47DD-9A4F-D066C7271886}" name="Libellé" dataDxfId="44">
      <calculatedColumnFormula>VLOOKUP($A3,DICO_Complet!$A$3:$U$983,10,FALSE)</calculatedColumnFormula>
    </tableColumn>
    <tableColumn id="14" xr3:uid="{ED685B98-9695-42AA-AD00-20CBFF4F8B9D}" name="CIFO" dataDxfId="43">
      <calculatedColumnFormula>IF(VLOOKUP($A3,DICO_Complet!$A$3:$U$983,12,FALSE)=0,"",VLOOKUP($A3,DICO_Complet!$A$3:$U$983,12,FALSE))</calculatedColumnFormula>
    </tableColumn>
    <tableColumn id="13" xr3:uid="{A9F4EF1D-730A-4C3E-AF83-32739BF4F928}" name="CBAE" dataDxfId="42">
      <calculatedColumnFormula>IF(VLOOKUP($A3,DICO_Complet!$A$3:$U$983,13,FALSE)=0,"",VLOOKUP($A3,DICO_Complet!$A$3:$U$983,13,FALSE))</calculatedColumnFormula>
    </tableColumn>
    <tableColumn id="10" xr3:uid="{4685FA37-E35E-4A73-A4C9-8875EE9DE32D}" name="CB2AF" dataDxfId="41">
      <calculatedColumnFormula>IF(VLOOKUP($A3,DICO_Complet!$A$3:$U$983,14,FALSE)=0,"",VLOOKUP($A3,DICO_Complet!$A$3:$U$983,14,FALSE))</calculatedColumnFormula>
    </tableColumn>
    <tableColumn id="23" xr3:uid="{126023A2-8522-406A-97B1-F67027402881}" name="CB2A" dataDxfId="40">
      <calculatedColumnFormula>IF(VLOOKUP($A3,DICO_Complet!$A$3:$U$983,15,FALSE)=0,"",VLOOKUP($A3,DICO_Complet!$A$3:$U$983,15,FALSE))</calculatedColumnFormula>
    </tableColumn>
    <tableColumn id="21" xr3:uid="{22F83A4E-1226-4D6F-A677-14A931836097}" name="VISA" dataDxfId="39">
      <calculatedColumnFormula>IF(VLOOKUP($A3,DICO_Complet!$A$3:$U$983,16,FALSE)=0,"",VLOOKUP($A3,DICO_Complet!$A$3:$U$983,16,FALSE))</calculatedColumnFormula>
    </tableColumn>
    <tableColumn id="20" xr3:uid="{30BE6072-D71A-49E5-8DF4-8C797615951B}" name="MCD" dataDxfId="38">
      <calculatedColumnFormula>IF(VLOOKUP($A3,DICO_Complet!$A$3:$U$983,17,FALSE)=0,"",VLOOKUP($A3,DICO_Complet!$A$3:$U$983,17,FALSE))</calculatedColumnFormula>
    </tableColumn>
    <tableColumn id="19" xr3:uid="{D3ACCC0D-A381-4CF1-BEB1-15819EDF1C1A}" name="Mainframe" dataDxfId="37">
      <calculatedColumnFormula>IF(VLOOKUP($A3,DICO_Complet!$A$3:$U$983,18,FALSE)=0,"",VLOOKUP($A3,DICO_Complet!$A$3:$U$983,18,FALSE))</calculatedColumnFormula>
    </tableColumn>
    <tableColumn id="11" xr3:uid="{9B03E695-F908-465B-B577-50C56234EF4B}" name="." dataDxfId="36"/>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5DCB133-8D2C-49CA-A943-33CDDC58EF75}" name="Tableau161318" displayName="Tableau161318" ref="A2:T896" totalsRowShown="0" headerRowDxfId="35" dataDxfId="34">
  <autoFilter ref="A2:T896" xr:uid="{A5DCB133-8D2C-49CA-A943-33CDDC58EF75}">
    <filterColumn colId="3">
      <filters>
        <filter val="merchant"/>
      </filters>
    </filterColumn>
    <filterColumn colId="4">
      <filters>
        <filter val="merchantIdentification"/>
      </filters>
    </filterColumn>
  </autoFilter>
  <sortState xmlns:xlrd2="http://schemas.microsoft.com/office/spreadsheetml/2017/richdata2" ref="A3:T896">
    <sortCondition ref="C2:C896"/>
    <sortCondition ref="D2:D896"/>
    <sortCondition ref="E2:E896"/>
  </sortState>
  <tableColumns count="20">
    <tableColumn id="8" xr3:uid="{FCCE167B-E88E-47B2-94BB-1FBC16355FF8}" name="Référence" dataDxfId="33"/>
    <tableColumn id="15" xr3:uid="{C0AF18D4-B37B-415E-A395-464D1D2EE924}" name="N/A" dataDxfId="32"/>
    <tableColumn id="22" xr3:uid="{CD15613D-0223-4D52-AA55-66920932ACF7}" name="Segment_x000a_Message" dataDxfId="31"/>
    <tableColumn id="3" xr3:uid="{E0F63DFF-972D-49E2-BC62-BD75B110047E}" name="Object" dataDxfId="30"/>
    <tableColumn id="7" xr3:uid="{629E2A1A-1700-433F-8A51-D2906907E0B9}" name="Attribute" dataDxfId="29"/>
    <tableColumn id="17" xr3:uid="{6482F923-3466-4B78-9C85-F77835F71C9C}" name="Type" dataDxfId="28"/>
    <tableColumn id="16" xr3:uid="{9295B0BB-26C0-4B19-8A41-D127722104F9}" name="N/A2" dataDxfId="27"/>
    <tableColumn id="2" xr3:uid="{D85E4080-DDB0-4FD8-9C69-8D9EE32B4C01}" name="N/A3" dataDxfId="26"/>
    <tableColumn id="18" xr3:uid="{04E435BE-6635-4229-A4FC-A73497747E9E}" name="Obsolète" dataDxfId="25"/>
    <tableColumn id="1" xr3:uid="{F3F24A63-21A9-4ACB-B908-C4F17B3A6622}" name="Libellé" dataDxfId="24"/>
    <tableColumn id="4" xr3:uid="{436FFB3A-2E30-472C-9618-448C865A8AA9}" name="Commentaire" dataDxfId="23"/>
    <tableColumn id="9" xr3:uid="{E5EE2BEA-DFE8-4EBC-9834-6216F42572FD}" name="CIFO" dataDxfId="22"/>
    <tableColumn id="11" xr3:uid="{38501B68-3CF9-4B6F-B02D-36182B761DDE}" name="CBAE" dataDxfId="21"/>
    <tableColumn id="21" xr3:uid="{59F5910A-1B2A-46E4-B037-49BC5CA37413}" name="CB2AF" dataDxfId="20"/>
    <tableColumn id="13" xr3:uid="{4F9F1DBF-63FF-4326-816B-F0E68971746B}" name="CB2A" dataDxfId="19"/>
    <tableColumn id="19" xr3:uid="{D5FC8410-C64B-4B1D-AF6E-AF9FF76BF74A}" name="VISA " dataDxfId="18"/>
    <tableColumn id="20" xr3:uid="{5EEF173E-4343-4D5B-96CB-32CC03A26F91}" name="MCD" dataDxfId="17"/>
    <tableColumn id="23" xr3:uid="{2EC4C7D4-A33E-432F-90F9-22C183956067}" name="Mainframe" dataDxfId="16"/>
    <tableColumn id="12" xr3:uid="{4E622989-A644-45B4-9707-888D96454F95}" name="temp_ Data" dataDxfId="15"/>
    <tableColumn id="10" xr3:uid="{06FB8724-62A1-48F0-B2B3-6CB3BDB88971}" name="Demander PAR" dataDxfId="14"/>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35E3A0A-CCC6-4B27-ABFB-EDCFA2E2B26C}" name="Tableau3" displayName="Tableau3" ref="A1:E80" totalsRowShown="0">
  <autoFilter ref="A1:E80" xr:uid="{F35E3A0A-CCC6-4B27-ABFB-EDCFA2E2B26C}"/>
  <sortState xmlns:xlrd2="http://schemas.microsoft.com/office/spreadsheetml/2017/richdata2" ref="A2:E80">
    <sortCondition ref="A1:A80"/>
    <sortCondition ref="B1:B80"/>
    <sortCondition ref="C1:C80"/>
  </sortState>
  <tableColumns count="5">
    <tableColumn id="1" xr3:uid="{6253C83E-A75E-4025-8C71-7BA386D39BEA}" name="Structure"/>
    <tableColumn id="2" xr3:uid="{C27EF083-6233-432B-911F-35A055BE0C1A}" name="Attributes"/>
    <tableColumn id="4" xr3:uid="{0B3838B4-B0E2-4239-8604-92617F1ABD78}" name="Typologie" dataDxfId="12"/>
    <tableColumn id="3" xr3:uid="{64574244-F848-4E50-8884-0B9E1DE28742}" name="Explication"/>
    <tableColumn id="5" xr3:uid="{BF21895E-3C62-4EB7-AAC2-990A27CC8C27}" name="Commentaires" dataDxfId="11"/>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DC22B24-1D20-4D3A-BB27-F6DAB5FE0CD8}" name="Tableau115" displayName="Tableau115" ref="A1:I169" totalsRowShown="0" headerRowDxfId="10" dataDxfId="9">
  <autoFilter ref="A1:I169" xr:uid="{4F2BB366-8E58-4E28-AAA3-6AAE0263F32D}"/>
  <sortState xmlns:xlrd2="http://schemas.microsoft.com/office/spreadsheetml/2017/richdata2" ref="A2:I169">
    <sortCondition ref="A1:A169"/>
  </sortState>
  <tableColumns count="9">
    <tableColumn id="8" xr3:uid="{9101C192-D516-4F1A-9342-99B6AF390FD0}" name=" Libellés" dataDxfId="8"/>
    <tableColumn id="2" xr3:uid="{B45AD0F1-B723-42F0-BBAB-3521C292EB56}" name="Définiton" dataDxfId="7"/>
    <tableColumn id="3" xr3:uid="{6C48AA7F-140E-4AA5-A985-F881E8D48A31}" name="Type" dataDxfId="6"/>
    <tableColumn id="4" xr3:uid="{779FABFC-1368-43E1-8424-BD92A7C49061}" name="Pattern" dataDxfId="5"/>
    <tableColumn id="1" xr3:uid="{91632737-3F9F-4720-8602-3DA499DDF754}" name="FractionD" dataDxfId="4"/>
    <tableColumn id="9" xr3:uid="{8A663C44-95E3-4492-9676-485A5D3790AB}" name="TotalD" dataDxfId="3"/>
    <tableColumn id="5" xr3:uid="{4F774B61-5BE8-42B0-85A6-DD9B3842AFFD}" name="minLength /mininclusive" dataDxfId="2"/>
    <tableColumn id="6" xr3:uid="{B5D670D0-B9FD-423D-914E-36613BCEAEBC}" name="maxLength" dataDxfId="1"/>
    <tableColumn id="7" xr3:uid="{7680A874-B197-42F2-B9BF-372A1EDD32F6}" name="Commentaire" dataDxfId="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077619C-21BE-4603-A67B-A5026609A413}" name="Tableau2" displayName="Tableau2" ref="A2:D888" totalsRowShown="0">
  <autoFilter ref="A2:D888" xr:uid="{8077619C-21BE-4603-A67B-A5026609A413}"/>
  <sortState xmlns:xlrd2="http://schemas.microsoft.com/office/spreadsheetml/2017/richdata2" ref="A3:D890">
    <sortCondition ref="A2:A890"/>
  </sortState>
  <tableColumns count="4">
    <tableColumn id="1" xr3:uid="{224C4F1E-4780-4420-B995-94A9E8494D2A}" name="Code Set"/>
    <tableColumn id="2" xr3:uid="{90FEF1F5-7C8A-41E7-826A-D030512D3A17}" name="Format"/>
    <tableColumn id="3" xr3:uid="{7BB3774A-C6D9-40B3-A0E3-D922140BD570}" name="Data"/>
    <tableColumn id="4" xr3:uid="{702F0922-5779-4F3A-AEF6-353B55AF3C09}" name="Data Comment"/>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B1178E0-C163-4872-BAB4-F1009302F71B}" name="Tableau4" displayName="Tableau4" ref="A2:H731" totalsRowShown="0">
  <autoFilter ref="A2:H731" xr:uid="{3B1178E0-C163-4872-BAB4-F1009302F71B}"/>
  <tableColumns count="8">
    <tableColumn id="1" xr3:uid="{EBFCBDBB-277E-4700-A754-88FC0B70B641}" name="Objet-N0 - Nom long">
      <calculatedColumnFormula>DICO_Export!D3</calculatedColumnFormula>
    </tableColumn>
    <tableColumn id="2" xr3:uid="{99A8CAF8-237F-416B-BBDB-414FC1859157}" name="Objet-N1 - Nom long">
      <calculatedColumnFormula>DICO_Export!E3</calculatedColumnFormula>
    </tableColumn>
    <tableColumn id="3" xr3:uid="{AD95189D-861E-40B4-87F9-FEE3A700CE3C}" name="Objet-N2 - Nom long">
      <calculatedColumnFormula>#REF!</calculatedColumnFormula>
    </tableColumn>
    <tableColumn id="4" xr3:uid="{5D89888B-FB01-40D7-B7A9-F362782586F8}" name="Objet-N3 - Nom long">
      <calculatedColumnFormula>#REF!</calculatedColumnFormula>
    </tableColumn>
    <tableColumn id="5" xr3:uid="{2BD91442-1371-4EBE-B3A9-6EBCBB8C4DE9}" name="Objet_N0 - Nom Court">
      <calculatedColumnFormula>LEFT(A3,1)&amp;SUBSTITUTE(SUBSTITUTE(SUBSTITUTE(SUBSTITUTE(SUBSTITUTE(SUBSTITUTE(SUBSTITUTE(RIGHT(A3,LEN(A3)-1),"a"," "),"e"," "),"i"," "),"o"," "),"u"," "),"y"," ")," ","")</calculatedColumnFormula>
    </tableColumn>
    <tableColumn id="6" xr3:uid="{5551B0AE-F0F6-4358-B1FE-684BDF1E4EE5}" name="Objet_N1 - Nom Court">
      <calculatedColumnFormula>LEFT(B3,1)&amp;SUBSTITUTE(SUBSTITUTE(SUBSTITUTE(SUBSTITUTE(SUBSTITUTE(SUBSTITUTE(SUBSTITUTE(RIGHT(B3,LEN(B3)-1),"a"," "),"e"," "),"i"," "),"o"," "),"u"," "),"y"," ")," ","")</calculatedColumnFormula>
    </tableColumn>
    <tableColumn id="7" xr3:uid="{0C332EEC-9CA1-45D5-BD37-1A91815E4F63}" name="Objet_N2 - Nom Court">
      <calculatedColumnFormula>LEFT(C3,1)&amp;SUBSTITUTE(SUBSTITUTE(SUBSTITUTE(SUBSTITUTE(SUBSTITUTE(SUBSTITUTE(SUBSTITUTE(RIGHT(C3,LEN(C3)-1),"a"," "),"e"," "),"i"," "),"o"," "),"u"," "),"y"," ")," ","")</calculatedColumnFormula>
    </tableColumn>
    <tableColumn id="8" xr3:uid="{82F5037C-B8E3-42BE-AC40-37A5844B674F}" name="Objet_N3 - Nom Court">
      <calculatedColumnFormula>LEFT(D3,1)&amp;SUBSTITUTE(SUBSTITUTE(SUBSTITUTE(SUBSTITUTE(SUBSTITUTE(SUBSTITUTE(SUBSTITUTE(RIGHT(D3,LEN(D3)-1),"a"," "),"e"," "),"i"," "),"o"," "),"u"," "),"y"," ")," ","")</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w3.org/TR/xmlschema-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F45DE-DC37-4B3C-8EAA-4937E32C82CF}">
  <sheetPr codeName="Feuil1"/>
  <dimension ref="A1:J787"/>
  <sheetViews>
    <sheetView workbookViewId="0">
      <selection activeCell="H7" sqref="H7"/>
    </sheetView>
  </sheetViews>
  <sheetFormatPr defaultColWidth="9.28515625" defaultRowHeight="13.15"/>
  <cols>
    <col min="1" max="1" width="12.42578125" style="25" bestFit="1" customWidth="1"/>
    <col min="2" max="2" width="21.42578125" style="25" bestFit="1" customWidth="1"/>
    <col min="3" max="3" width="10.5703125" style="103" bestFit="1" customWidth="1"/>
    <col min="4" max="4" width="35.7109375" style="25" customWidth="1"/>
    <col min="5" max="5" width="90.28515625" style="25" customWidth="1"/>
    <col min="6" max="8" width="9.28515625" style="23"/>
    <col min="9" max="9" width="6.7109375" style="23" customWidth="1"/>
    <col min="10" max="10" width="27.5703125" style="23" bestFit="1" customWidth="1"/>
    <col min="11" max="16384" width="9.28515625" style="23"/>
  </cols>
  <sheetData>
    <row r="1" spans="1:5">
      <c r="A1" s="160" t="s">
        <v>0</v>
      </c>
      <c r="B1" s="160"/>
      <c r="C1" s="160"/>
      <c r="D1" s="160"/>
      <c r="E1" s="160"/>
    </row>
    <row r="2" spans="1:5">
      <c r="A2" s="33" t="s">
        <v>1</v>
      </c>
      <c r="B2" s="34" t="s">
        <v>2</v>
      </c>
      <c r="C2" s="102" t="s">
        <v>3</v>
      </c>
      <c r="D2" s="35" t="s">
        <v>4</v>
      </c>
      <c r="E2" s="35" t="s">
        <v>5</v>
      </c>
    </row>
    <row r="3" spans="1:5">
      <c r="A3" s="144" t="s">
        <v>6</v>
      </c>
      <c r="B3" s="24" t="s">
        <v>7</v>
      </c>
      <c r="C3" s="30">
        <v>45777</v>
      </c>
      <c r="D3" s="77" t="s">
        <v>8</v>
      </c>
      <c r="E3" s="96" t="s">
        <v>9</v>
      </c>
    </row>
    <row r="4" spans="1:5" ht="26.45">
      <c r="A4" s="144" t="s">
        <v>6</v>
      </c>
      <c r="B4" s="24" t="s">
        <v>10</v>
      </c>
      <c r="C4" s="30">
        <v>45777</v>
      </c>
      <c r="D4" s="77" t="s">
        <v>11</v>
      </c>
      <c r="E4" s="96" t="s">
        <v>12</v>
      </c>
    </row>
    <row r="5" spans="1:5">
      <c r="A5" s="144" t="s">
        <v>6</v>
      </c>
      <c r="B5" s="24" t="s">
        <v>10</v>
      </c>
      <c r="C5" s="30">
        <v>45777</v>
      </c>
      <c r="D5" s="77" t="s">
        <v>13</v>
      </c>
      <c r="E5" s="96" t="s">
        <v>14</v>
      </c>
    </row>
    <row r="6" spans="1:5">
      <c r="A6" s="144"/>
      <c r="B6" s="24"/>
      <c r="C6" s="30"/>
      <c r="D6" s="77"/>
      <c r="E6" s="96"/>
    </row>
    <row r="7" spans="1:5" ht="192" customHeight="1">
      <c r="A7" s="144" t="s">
        <v>6</v>
      </c>
      <c r="B7" s="24" t="s">
        <v>15</v>
      </c>
      <c r="C7" s="30">
        <v>45777</v>
      </c>
      <c r="D7" s="77" t="s">
        <v>16</v>
      </c>
      <c r="E7" s="111" t="s">
        <v>17</v>
      </c>
    </row>
    <row r="8" spans="1:5">
      <c r="A8" s="144" t="s">
        <v>6</v>
      </c>
      <c r="B8" s="24" t="s">
        <v>7</v>
      </c>
      <c r="C8" s="30">
        <v>45777</v>
      </c>
      <c r="D8" s="77" t="s">
        <v>8</v>
      </c>
      <c r="E8" s="96" t="s">
        <v>18</v>
      </c>
    </row>
    <row r="9" spans="1:5">
      <c r="A9" s="144" t="s">
        <v>6</v>
      </c>
      <c r="B9" s="24" t="s">
        <v>10</v>
      </c>
      <c r="C9" s="30">
        <v>45777</v>
      </c>
      <c r="D9" s="77" t="s">
        <v>11</v>
      </c>
      <c r="E9" s="96" t="s">
        <v>19</v>
      </c>
    </row>
    <row r="10" spans="1:5">
      <c r="A10" s="144" t="s">
        <v>6</v>
      </c>
      <c r="B10" s="24" t="s">
        <v>10</v>
      </c>
      <c r="C10" s="30">
        <v>45777</v>
      </c>
      <c r="D10" s="77" t="s">
        <v>13</v>
      </c>
      <c r="E10" s="96" t="s">
        <v>20</v>
      </c>
    </row>
    <row r="11" spans="1:5">
      <c r="A11" s="144" t="s">
        <v>6</v>
      </c>
      <c r="B11" s="24" t="s">
        <v>10</v>
      </c>
      <c r="C11" s="30">
        <v>45777</v>
      </c>
      <c r="D11" s="77" t="s">
        <v>13</v>
      </c>
      <c r="E11" s="96" t="s">
        <v>21</v>
      </c>
    </row>
    <row r="12" spans="1:5">
      <c r="A12" s="144" t="s">
        <v>6</v>
      </c>
      <c r="B12" s="24" t="s">
        <v>10</v>
      </c>
      <c r="C12" s="30">
        <v>45777</v>
      </c>
      <c r="D12" s="77" t="s">
        <v>13</v>
      </c>
      <c r="E12" s="96" t="s">
        <v>22</v>
      </c>
    </row>
    <row r="13" spans="1:5" ht="26.45">
      <c r="A13" s="144" t="s">
        <v>6</v>
      </c>
      <c r="B13" s="24" t="s">
        <v>23</v>
      </c>
      <c r="C13" s="30">
        <v>45776</v>
      </c>
      <c r="D13" s="77" t="s">
        <v>8</v>
      </c>
      <c r="E13" s="96" t="s">
        <v>24</v>
      </c>
    </row>
    <row r="14" spans="1:5">
      <c r="A14" s="144" t="s">
        <v>6</v>
      </c>
      <c r="B14" s="24" t="s">
        <v>23</v>
      </c>
      <c r="C14" s="30">
        <v>45776</v>
      </c>
      <c r="D14" s="77" t="s">
        <v>8</v>
      </c>
      <c r="E14" s="96" t="s">
        <v>25</v>
      </c>
    </row>
    <row r="15" spans="1:5" ht="66">
      <c r="A15" s="144" t="s">
        <v>6</v>
      </c>
      <c r="B15" s="24" t="s">
        <v>26</v>
      </c>
      <c r="C15" s="30">
        <v>45776</v>
      </c>
      <c r="D15" s="77" t="s">
        <v>27</v>
      </c>
      <c r="E15" s="96" t="s">
        <v>28</v>
      </c>
    </row>
    <row r="16" spans="1:5">
      <c r="A16" s="144" t="s">
        <v>6</v>
      </c>
      <c r="B16" s="24" t="s">
        <v>23</v>
      </c>
      <c r="C16" s="30">
        <v>45776</v>
      </c>
      <c r="D16" s="77" t="s">
        <v>29</v>
      </c>
      <c r="E16" s="96" t="s">
        <v>30</v>
      </c>
    </row>
    <row r="17" spans="1:5" ht="39.75" customHeight="1">
      <c r="A17" s="144" t="s">
        <v>6</v>
      </c>
      <c r="B17" s="24" t="s">
        <v>23</v>
      </c>
      <c r="C17" s="30">
        <v>45776</v>
      </c>
      <c r="D17" s="77" t="s">
        <v>31</v>
      </c>
      <c r="E17" s="96" t="s">
        <v>32</v>
      </c>
    </row>
    <row r="18" spans="1:5">
      <c r="A18" s="144" t="s">
        <v>6</v>
      </c>
      <c r="B18" s="24" t="s">
        <v>10</v>
      </c>
      <c r="C18" s="30">
        <v>45776</v>
      </c>
      <c r="D18" s="77" t="s">
        <v>11</v>
      </c>
      <c r="E18" s="96" t="s">
        <v>33</v>
      </c>
    </row>
    <row r="19" spans="1:5" ht="13.9" thickBot="1">
      <c r="A19" s="120" t="s">
        <v>6</v>
      </c>
      <c r="B19" s="61" t="s">
        <v>10</v>
      </c>
      <c r="C19" s="62" t="s">
        <v>34</v>
      </c>
      <c r="D19" s="95" t="s">
        <v>11</v>
      </c>
      <c r="E19" s="63" t="s">
        <v>35</v>
      </c>
    </row>
    <row r="20" spans="1:5">
      <c r="A20" s="144" t="s">
        <v>36</v>
      </c>
      <c r="B20" s="24" t="s">
        <v>10</v>
      </c>
      <c r="C20" s="30">
        <v>45775</v>
      </c>
      <c r="D20" s="77" t="s">
        <v>11</v>
      </c>
      <c r="E20" s="96" t="s">
        <v>37</v>
      </c>
    </row>
    <row r="21" spans="1:5">
      <c r="A21" s="144" t="s">
        <v>36</v>
      </c>
      <c r="B21" s="24" t="s">
        <v>10</v>
      </c>
      <c r="C21" s="30">
        <v>45775</v>
      </c>
      <c r="D21" s="77" t="s">
        <v>11</v>
      </c>
      <c r="E21" s="96" t="s">
        <v>38</v>
      </c>
    </row>
    <row r="22" spans="1:5">
      <c r="A22" s="144" t="s">
        <v>36</v>
      </c>
      <c r="B22" s="24" t="s">
        <v>10</v>
      </c>
      <c r="C22" s="30">
        <v>45775</v>
      </c>
      <c r="D22" s="77" t="s">
        <v>11</v>
      </c>
      <c r="E22" s="96" t="s">
        <v>39</v>
      </c>
    </row>
    <row r="23" spans="1:5">
      <c r="A23" s="144" t="s">
        <v>36</v>
      </c>
      <c r="B23" s="24" t="s">
        <v>10</v>
      </c>
      <c r="C23" s="30">
        <v>45775</v>
      </c>
      <c r="D23" s="77" t="s">
        <v>11</v>
      </c>
      <c r="E23" s="96" t="s">
        <v>40</v>
      </c>
    </row>
    <row r="24" spans="1:5">
      <c r="A24" s="144" t="s">
        <v>36</v>
      </c>
      <c r="B24" s="24" t="s">
        <v>10</v>
      </c>
      <c r="C24" s="30">
        <v>45775</v>
      </c>
      <c r="D24" s="77" t="s">
        <v>11</v>
      </c>
      <c r="E24" s="96" t="s">
        <v>41</v>
      </c>
    </row>
    <row r="25" spans="1:5">
      <c r="A25" s="144" t="s">
        <v>36</v>
      </c>
      <c r="B25" s="24" t="s">
        <v>10</v>
      </c>
      <c r="C25" s="30">
        <v>45775</v>
      </c>
      <c r="D25" s="77" t="s">
        <v>11</v>
      </c>
      <c r="E25" s="96" t="s">
        <v>42</v>
      </c>
    </row>
    <row r="26" spans="1:5">
      <c r="A26" s="144" t="s">
        <v>36</v>
      </c>
      <c r="B26" s="24" t="s">
        <v>10</v>
      </c>
      <c r="C26" s="30">
        <v>45775</v>
      </c>
      <c r="D26" s="77" t="s">
        <v>11</v>
      </c>
      <c r="E26" s="96" t="s">
        <v>43</v>
      </c>
    </row>
    <row r="27" spans="1:5">
      <c r="A27" s="144" t="s">
        <v>36</v>
      </c>
      <c r="B27" s="24" t="s">
        <v>10</v>
      </c>
      <c r="C27" s="30">
        <v>45775</v>
      </c>
      <c r="D27" s="77" t="s">
        <v>11</v>
      </c>
      <c r="E27" s="96" t="s">
        <v>44</v>
      </c>
    </row>
    <row r="28" spans="1:5">
      <c r="A28" s="144" t="s">
        <v>36</v>
      </c>
      <c r="B28" s="24" t="s">
        <v>10</v>
      </c>
      <c r="C28" s="30">
        <v>45775</v>
      </c>
      <c r="D28" s="77" t="s">
        <v>11</v>
      </c>
      <c r="E28" s="96" t="s">
        <v>45</v>
      </c>
    </row>
    <row r="29" spans="1:5">
      <c r="A29" s="144" t="s">
        <v>36</v>
      </c>
      <c r="B29" s="24" t="s">
        <v>10</v>
      </c>
      <c r="C29" s="30">
        <v>45775</v>
      </c>
      <c r="D29" s="77" t="s">
        <v>11</v>
      </c>
      <c r="E29" s="96" t="s">
        <v>46</v>
      </c>
    </row>
    <row r="30" spans="1:5">
      <c r="A30" s="144" t="s">
        <v>36</v>
      </c>
      <c r="B30" s="24" t="s">
        <v>10</v>
      </c>
      <c r="C30" s="30">
        <v>45775</v>
      </c>
      <c r="D30" s="77" t="s">
        <v>11</v>
      </c>
      <c r="E30" s="96" t="s">
        <v>47</v>
      </c>
    </row>
    <row r="31" spans="1:5" ht="26.45">
      <c r="A31" s="144" t="s">
        <v>36</v>
      </c>
      <c r="B31" s="24" t="s">
        <v>48</v>
      </c>
      <c r="C31" s="30">
        <v>45775</v>
      </c>
      <c r="D31" s="77" t="s">
        <v>49</v>
      </c>
      <c r="E31" s="96" t="s">
        <v>50</v>
      </c>
    </row>
    <row r="32" spans="1:5">
      <c r="A32" s="144" t="s">
        <v>36</v>
      </c>
      <c r="B32" s="24" t="s">
        <v>48</v>
      </c>
      <c r="C32" s="30">
        <v>45775</v>
      </c>
      <c r="D32" s="77" t="s">
        <v>49</v>
      </c>
      <c r="E32" s="96" t="s">
        <v>51</v>
      </c>
    </row>
    <row r="33" spans="1:5">
      <c r="A33" s="144" t="s">
        <v>36</v>
      </c>
      <c r="B33" s="24" t="s">
        <v>48</v>
      </c>
      <c r="C33" s="30">
        <v>45775</v>
      </c>
      <c r="D33" s="77" t="s">
        <v>49</v>
      </c>
      <c r="E33" s="96" t="s">
        <v>52</v>
      </c>
    </row>
    <row r="34" spans="1:5" ht="66">
      <c r="A34" s="144" t="s">
        <v>36</v>
      </c>
      <c r="B34" s="24" t="s">
        <v>15</v>
      </c>
      <c r="C34" s="30">
        <v>45775</v>
      </c>
      <c r="D34" s="77" t="s">
        <v>16</v>
      </c>
      <c r="E34" s="96" t="s">
        <v>53</v>
      </c>
    </row>
    <row r="35" spans="1:5">
      <c r="A35" s="144" t="s">
        <v>36</v>
      </c>
      <c r="B35" s="24" t="s">
        <v>10</v>
      </c>
      <c r="C35" s="30">
        <v>45775</v>
      </c>
      <c r="D35" s="77" t="s">
        <v>11</v>
      </c>
      <c r="E35" s="96" t="s">
        <v>54</v>
      </c>
    </row>
    <row r="36" spans="1:5">
      <c r="A36" s="144" t="s">
        <v>36</v>
      </c>
      <c r="B36" s="24" t="s">
        <v>10</v>
      </c>
      <c r="C36" s="30">
        <v>45775</v>
      </c>
      <c r="D36" s="77" t="s">
        <v>11</v>
      </c>
      <c r="E36" s="96" t="s">
        <v>55</v>
      </c>
    </row>
    <row r="37" spans="1:5">
      <c r="A37" s="144" t="s">
        <v>36</v>
      </c>
      <c r="B37" s="24" t="s">
        <v>10</v>
      </c>
      <c r="C37" s="30">
        <v>45775</v>
      </c>
      <c r="D37" s="77" t="s">
        <v>11</v>
      </c>
      <c r="E37" s="96" t="s">
        <v>56</v>
      </c>
    </row>
    <row r="38" spans="1:5">
      <c r="A38" s="144" t="s">
        <v>36</v>
      </c>
      <c r="B38" s="24" t="s">
        <v>10</v>
      </c>
      <c r="C38" s="30">
        <v>45775</v>
      </c>
      <c r="D38" s="77" t="s">
        <v>11</v>
      </c>
      <c r="E38" s="96" t="s">
        <v>57</v>
      </c>
    </row>
    <row r="39" spans="1:5">
      <c r="A39" s="144" t="s">
        <v>36</v>
      </c>
      <c r="B39" s="24" t="s">
        <v>10</v>
      </c>
      <c r="C39" s="30">
        <v>45775</v>
      </c>
      <c r="D39" s="77" t="s">
        <v>11</v>
      </c>
      <c r="E39" s="96" t="s">
        <v>58</v>
      </c>
    </row>
    <row r="40" spans="1:5">
      <c r="A40" s="144" t="s">
        <v>36</v>
      </c>
      <c r="B40" s="24" t="s">
        <v>10</v>
      </c>
      <c r="C40" s="30">
        <v>45775</v>
      </c>
      <c r="D40" s="77" t="s">
        <v>11</v>
      </c>
      <c r="E40" s="96" t="s">
        <v>59</v>
      </c>
    </row>
    <row r="41" spans="1:5">
      <c r="A41" s="144" t="s">
        <v>36</v>
      </c>
      <c r="B41" s="24" t="s">
        <v>10</v>
      </c>
      <c r="C41" s="30">
        <v>45775</v>
      </c>
      <c r="D41" s="77" t="s">
        <v>11</v>
      </c>
      <c r="E41" s="96" t="s">
        <v>60</v>
      </c>
    </row>
    <row r="42" spans="1:5">
      <c r="A42" s="144" t="s">
        <v>36</v>
      </c>
      <c r="B42" s="24" t="s">
        <v>10</v>
      </c>
      <c r="C42" s="30">
        <v>45775</v>
      </c>
      <c r="D42" s="77" t="s">
        <v>11</v>
      </c>
      <c r="E42" s="96" t="s">
        <v>61</v>
      </c>
    </row>
    <row r="43" spans="1:5">
      <c r="A43" s="144" t="s">
        <v>36</v>
      </c>
      <c r="B43" s="24" t="s">
        <v>10</v>
      </c>
      <c r="C43" s="30">
        <v>45775</v>
      </c>
      <c r="D43" s="77" t="s">
        <v>11</v>
      </c>
      <c r="E43" s="96" t="s">
        <v>62</v>
      </c>
    </row>
    <row r="44" spans="1:5">
      <c r="A44" s="144" t="s">
        <v>36</v>
      </c>
      <c r="B44" s="24" t="s">
        <v>10</v>
      </c>
      <c r="C44" s="30">
        <v>45775</v>
      </c>
      <c r="D44" s="77" t="s">
        <v>11</v>
      </c>
      <c r="E44" s="96" t="s">
        <v>63</v>
      </c>
    </row>
    <row r="45" spans="1:5">
      <c r="A45" s="144" t="s">
        <v>36</v>
      </c>
      <c r="B45" s="24" t="s">
        <v>10</v>
      </c>
      <c r="C45" s="30">
        <v>45775</v>
      </c>
      <c r="D45" s="77" t="s">
        <v>11</v>
      </c>
      <c r="E45" s="96" t="s">
        <v>64</v>
      </c>
    </row>
    <row r="46" spans="1:5">
      <c r="A46" s="144" t="s">
        <v>36</v>
      </c>
      <c r="B46" s="24" t="s">
        <v>10</v>
      </c>
      <c r="C46" s="30">
        <v>45775</v>
      </c>
      <c r="D46" s="77" t="s">
        <v>11</v>
      </c>
      <c r="E46" s="96" t="s">
        <v>65</v>
      </c>
    </row>
    <row r="47" spans="1:5">
      <c r="A47" s="144" t="s">
        <v>36</v>
      </c>
      <c r="B47" s="24" t="s">
        <v>10</v>
      </c>
      <c r="C47" s="30">
        <v>45775</v>
      </c>
      <c r="D47" s="77" t="s">
        <v>11</v>
      </c>
      <c r="E47" s="96" t="s">
        <v>66</v>
      </c>
    </row>
    <row r="48" spans="1:5">
      <c r="A48" s="144" t="s">
        <v>36</v>
      </c>
      <c r="B48" s="24" t="s">
        <v>10</v>
      </c>
      <c r="C48" s="30">
        <v>45775</v>
      </c>
      <c r="D48" s="77" t="s">
        <v>11</v>
      </c>
      <c r="E48" s="96" t="s">
        <v>67</v>
      </c>
    </row>
    <row r="49" spans="1:5">
      <c r="A49" s="144" t="s">
        <v>36</v>
      </c>
      <c r="B49" s="24" t="s">
        <v>10</v>
      </c>
      <c r="C49" s="30">
        <v>45775</v>
      </c>
      <c r="D49" s="77" t="s">
        <v>11</v>
      </c>
      <c r="E49" s="96" t="s">
        <v>68</v>
      </c>
    </row>
    <row r="50" spans="1:5">
      <c r="A50" s="144" t="s">
        <v>36</v>
      </c>
      <c r="B50" s="24" t="s">
        <v>10</v>
      </c>
      <c r="C50" s="30">
        <v>45775</v>
      </c>
      <c r="D50" s="77" t="s">
        <v>11</v>
      </c>
      <c r="E50" s="96" t="s">
        <v>69</v>
      </c>
    </row>
    <row r="51" spans="1:5">
      <c r="A51" s="144" t="s">
        <v>36</v>
      </c>
      <c r="B51" s="24" t="s">
        <v>10</v>
      </c>
      <c r="C51" s="30">
        <v>45775</v>
      </c>
      <c r="D51" s="77" t="s">
        <v>11</v>
      </c>
      <c r="E51" s="96" t="s">
        <v>70</v>
      </c>
    </row>
    <row r="52" spans="1:5">
      <c r="A52" s="144" t="s">
        <v>36</v>
      </c>
      <c r="B52" s="24" t="s">
        <v>7</v>
      </c>
      <c r="C52" s="151">
        <v>45775</v>
      </c>
      <c r="D52" s="77" t="s">
        <v>71</v>
      </c>
      <c r="E52" s="96" t="s">
        <v>72</v>
      </c>
    </row>
    <row r="53" spans="1:5">
      <c r="A53" s="144" t="s">
        <v>36</v>
      </c>
      <c r="B53" s="24" t="s">
        <v>23</v>
      </c>
      <c r="C53" s="151">
        <v>45775</v>
      </c>
      <c r="D53" s="77" t="s">
        <v>73</v>
      </c>
      <c r="E53" s="96" t="s">
        <v>74</v>
      </c>
    </row>
    <row r="54" spans="1:5">
      <c r="A54" s="144" t="s">
        <v>36</v>
      </c>
      <c r="B54" s="24" t="s">
        <v>23</v>
      </c>
      <c r="C54" s="151">
        <v>45775</v>
      </c>
      <c r="D54" s="77" t="s">
        <v>73</v>
      </c>
      <c r="E54" s="96" t="s">
        <v>75</v>
      </c>
    </row>
    <row r="55" spans="1:5">
      <c r="A55" s="144" t="s">
        <v>36</v>
      </c>
      <c r="B55" s="24" t="s">
        <v>23</v>
      </c>
      <c r="C55" s="151">
        <v>45775</v>
      </c>
      <c r="D55" s="77" t="s">
        <v>73</v>
      </c>
      <c r="E55" s="96" t="s">
        <v>76</v>
      </c>
    </row>
    <row r="56" spans="1:5">
      <c r="A56" s="144" t="s">
        <v>36</v>
      </c>
      <c r="B56" s="24" t="s">
        <v>48</v>
      </c>
      <c r="C56" s="151">
        <v>45775</v>
      </c>
      <c r="D56" s="77" t="s">
        <v>49</v>
      </c>
      <c r="E56" s="96" t="s">
        <v>77</v>
      </c>
    </row>
    <row r="57" spans="1:5">
      <c r="A57" s="144" t="s">
        <v>36</v>
      </c>
      <c r="B57" s="24" t="s">
        <v>48</v>
      </c>
      <c r="C57" s="151">
        <v>45775</v>
      </c>
      <c r="D57" s="77" t="s">
        <v>49</v>
      </c>
      <c r="E57" s="96" t="s">
        <v>78</v>
      </c>
    </row>
    <row r="58" spans="1:5">
      <c r="A58" s="144" t="s">
        <v>36</v>
      </c>
      <c r="B58" s="24" t="s">
        <v>48</v>
      </c>
      <c r="C58" s="151">
        <v>45775</v>
      </c>
      <c r="D58" s="77" t="s">
        <v>49</v>
      </c>
      <c r="E58" s="96" t="s">
        <v>79</v>
      </c>
    </row>
    <row r="59" spans="1:5">
      <c r="A59" s="144" t="s">
        <v>36</v>
      </c>
      <c r="B59" s="24" t="s">
        <v>48</v>
      </c>
      <c r="C59" s="151">
        <v>45775</v>
      </c>
      <c r="D59" s="77" t="s">
        <v>49</v>
      </c>
      <c r="E59" s="96" t="s">
        <v>80</v>
      </c>
    </row>
    <row r="60" spans="1:5">
      <c r="A60" s="144" t="s">
        <v>36</v>
      </c>
      <c r="B60" s="24" t="s">
        <v>48</v>
      </c>
      <c r="C60" s="151">
        <v>45775</v>
      </c>
      <c r="D60" s="77" t="s">
        <v>49</v>
      </c>
      <c r="E60" s="96" t="s">
        <v>81</v>
      </c>
    </row>
    <row r="61" spans="1:5">
      <c r="A61" s="144" t="s">
        <v>36</v>
      </c>
      <c r="B61" s="24" t="s">
        <v>48</v>
      </c>
      <c r="C61" s="151">
        <v>45775</v>
      </c>
      <c r="D61" s="77" t="s">
        <v>49</v>
      </c>
      <c r="E61" s="96" t="s">
        <v>82</v>
      </c>
    </row>
    <row r="62" spans="1:5">
      <c r="A62" s="144" t="s">
        <v>36</v>
      </c>
      <c r="B62" s="24" t="s">
        <v>48</v>
      </c>
      <c r="C62" s="151">
        <v>45775</v>
      </c>
      <c r="D62" s="77" t="s">
        <v>49</v>
      </c>
      <c r="E62" s="96" t="s">
        <v>83</v>
      </c>
    </row>
    <row r="63" spans="1:5">
      <c r="A63" s="144" t="s">
        <v>36</v>
      </c>
      <c r="B63" s="24" t="s">
        <v>48</v>
      </c>
      <c r="C63" s="151">
        <v>45775</v>
      </c>
      <c r="D63" s="77" t="s">
        <v>49</v>
      </c>
      <c r="E63" s="96" t="s">
        <v>84</v>
      </c>
    </row>
    <row r="64" spans="1:5">
      <c r="A64" s="144" t="s">
        <v>36</v>
      </c>
      <c r="B64" s="24" t="s">
        <v>48</v>
      </c>
      <c r="C64" s="151">
        <v>45775</v>
      </c>
      <c r="D64" s="77" t="s">
        <v>49</v>
      </c>
      <c r="E64" s="96" t="s">
        <v>85</v>
      </c>
    </row>
    <row r="65" spans="1:5">
      <c r="A65" s="144" t="s">
        <v>36</v>
      </c>
      <c r="B65" s="24" t="s">
        <v>48</v>
      </c>
      <c r="C65" s="151">
        <v>45775</v>
      </c>
      <c r="D65" s="77" t="s">
        <v>49</v>
      </c>
      <c r="E65" s="96" t="s">
        <v>86</v>
      </c>
    </row>
    <row r="66" spans="1:5">
      <c r="A66" s="144" t="s">
        <v>36</v>
      </c>
      <c r="B66" s="24" t="s">
        <v>48</v>
      </c>
      <c r="C66" s="151">
        <v>45775</v>
      </c>
      <c r="D66" s="77" t="s">
        <v>49</v>
      </c>
      <c r="E66" s="96" t="s">
        <v>87</v>
      </c>
    </row>
    <row r="67" spans="1:5">
      <c r="A67" s="144" t="s">
        <v>36</v>
      </c>
      <c r="B67" s="24" t="s">
        <v>48</v>
      </c>
      <c r="C67" s="151">
        <v>45775</v>
      </c>
      <c r="D67" s="77" t="s">
        <v>49</v>
      </c>
      <c r="E67" s="96" t="s">
        <v>88</v>
      </c>
    </row>
    <row r="68" spans="1:5">
      <c r="A68" s="144" t="s">
        <v>36</v>
      </c>
      <c r="B68" s="24" t="s">
        <v>48</v>
      </c>
      <c r="C68" s="151">
        <v>45775</v>
      </c>
      <c r="D68" s="77" t="s">
        <v>49</v>
      </c>
      <c r="E68" s="96" t="s">
        <v>89</v>
      </c>
    </row>
    <row r="69" spans="1:5">
      <c r="A69" s="144" t="s">
        <v>36</v>
      </c>
      <c r="B69" s="24" t="s">
        <v>48</v>
      </c>
      <c r="C69" s="151">
        <v>45775</v>
      </c>
      <c r="D69" s="77" t="s">
        <v>49</v>
      </c>
      <c r="E69" s="96" t="s">
        <v>90</v>
      </c>
    </row>
    <row r="70" spans="1:5">
      <c r="A70" s="144" t="s">
        <v>36</v>
      </c>
      <c r="B70" s="24" t="s">
        <v>48</v>
      </c>
      <c r="C70" s="151">
        <v>45775</v>
      </c>
      <c r="D70" s="77" t="s">
        <v>49</v>
      </c>
      <c r="E70" s="96" t="s">
        <v>91</v>
      </c>
    </row>
    <row r="71" spans="1:5">
      <c r="A71" s="144" t="s">
        <v>36</v>
      </c>
      <c r="B71" s="24" t="s">
        <v>48</v>
      </c>
      <c r="C71" s="151">
        <v>45775</v>
      </c>
      <c r="D71" s="77" t="s">
        <v>49</v>
      </c>
      <c r="E71" s="96" t="s">
        <v>92</v>
      </c>
    </row>
    <row r="72" spans="1:5">
      <c r="A72" s="144" t="s">
        <v>36</v>
      </c>
      <c r="B72" s="24" t="s">
        <v>48</v>
      </c>
      <c r="C72" s="151">
        <v>45775</v>
      </c>
      <c r="D72" s="77" t="s">
        <v>49</v>
      </c>
      <c r="E72" s="96" t="s">
        <v>93</v>
      </c>
    </row>
    <row r="73" spans="1:5">
      <c r="A73" s="144" t="s">
        <v>36</v>
      </c>
      <c r="B73" s="24" t="s">
        <v>48</v>
      </c>
      <c r="C73" s="151">
        <v>45775</v>
      </c>
      <c r="D73" s="77" t="s">
        <v>49</v>
      </c>
      <c r="E73" s="96" t="s">
        <v>94</v>
      </c>
    </row>
    <row r="74" spans="1:5">
      <c r="A74" s="144" t="s">
        <v>36</v>
      </c>
      <c r="B74" s="24" t="s">
        <v>48</v>
      </c>
      <c r="C74" s="151">
        <v>45775</v>
      </c>
      <c r="D74" s="77" t="s">
        <v>49</v>
      </c>
      <c r="E74" s="96" t="s">
        <v>95</v>
      </c>
    </row>
    <row r="75" spans="1:5">
      <c r="A75" s="144" t="s">
        <v>36</v>
      </c>
      <c r="B75" s="24" t="s">
        <v>48</v>
      </c>
      <c r="C75" s="151">
        <v>45775</v>
      </c>
      <c r="D75" s="77" t="s">
        <v>49</v>
      </c>
      <c r="E75" s="96" t="s">
        <v>96</v>
      </c>
    </row>
    <row r="76" spans="1:5" ht="26.45">
      <c r="A76" s="145" t="s">
        <v>36</v>
      </c>
      <c r="B76" s="153" t="s">
        <v>48</v>
      </c>
      <c r="C76" s="151">
        <v>45775</v>
      </c>
      <c r="D76" s="154" t="s">
        <v>49</v>
      </c>
      <c r="E76" s="96" t="s">
        <v>97</v>
      </c>
    </row>
    <row r="77" spans="1:5" ht="26.45">
      <c r="A77" s="145" t="s">
        <v>36</v>
      </c>
      <c r="B77" s="153" t="s">
        <v>48</v>
      </c>
      <c r="C77" s="151">
        <v>45775</v>
      </c>
      <c r="D77" s="154" t="s">
        <v>49</v>
      </c>
      <c r="E77" s="96" t="s">
        <v>98</v>
      </c>
    </row>
    <row r="78" spans="1:5" ht="26.45">
      <c r="A78" s="145" t="s">
        <v>36</v>
      </c>
      <c r="B78" s="153" t="s">
        <v>48</v>
      </c>
      <c r="C78" s="151">
        <v>45775</v>
      </c>
      <c r="D78" s="154" t="s">
        <v>49</v>
      </c>
      <c r="E78" s="96" t="s">
        <v>99</v>
      </c>
    </row>
    <row r="79" spans="1:5" ht="26.45">
      <c r="A79" s="145" t="s">
        <v>36</v>
      </c>
      <c r="B79" s="153" t="s">
        <v>48</v>
      </c>
      <c r="C79" s="151">
        <v>45775</v>
      </c>
      <c r="D79" s="154" t="s">
        <v>49</v>
      </c>
      <c r="E79" s="96" t="s">
        <v>100</v>
      </c>
    </row>
    <row r="80" spans="1:5">
      <c r="A80" s="145" t="s">
        <v>36</v>
      </c>
      <c r="B80" s="153" t="s">
        <v>48</v>
      </c>
      <c r="C80" s="151">
        <v>45775</v>
      </c>
      <c r="D80" s="154" t="s">
        <v>49</v>
      </c>
      <c r="E80" s="96" t="s">
        <v>101</v>
      </c>
    </row>
    <row r="81" spans="1:5">
      <c r="A81" s="145" t="s">
        <v>36</v>
      </c>
      <c r="B81" s="153" t="s">
        <v>48</v>
      </c>
      <c r="C81" s="151">
        <v>45775</v>
      </c>
      <c r="D81" s="154" t="s">
        <v>49</v>
      </c>
      <c r="E81" s="96" t="s">
        <v>102</v>
      </c>
    </row>
    <row r="82" spans="1:5">
      <c r="A82" s="145" t="s">
        <v>36</v>
      </c>
      <c r="B82" s="153" t="s">
        <v>48</v>
      </c>
      <c r="C82" s="151">
        <v>45775</v>
      </c>
      <c r="D82" s="154" t="s">
        <v>49</v>
      </c>
      <c r="E82" s="96" t="s">
        <v>103</v>
      </c>
    </row>
    <row r="83" spans="1:5">
      <c r="A83" s="144" t="s">
        <v>36</v>
      </c>
      <c r="B83" s="24" t="s">
        <v>10</v>
      </c>
      <c r="C83" s="151">
        <v>45771</v>
      </c>
      <c r="D83" s="77" t="s">
        <v>13</v>
      </c>
      <c r="E83" s="96"/>
    </row>
    <row r="84" spans="1:5">
      <c r="A84" s="144" t="s">
        <v>36</v>
      </c>
      <c r="B84" s="24" t="s">
        <v>10</v>
      </c>
      <c r="C84" s="152">
        <v>45771</v>
      </c>
      <c r="D84" s="77" t="s">
        <v>13</v>
      </c>
      <c r="E84" s="96"/>
    </row>
    <row r="85" spans="1:5">
      <c r="A85" s="144" t="s">
        <v>36</v>
      </c>
      <c r="B85" s="24" t="s">
        <v>10</v>
      </c>
      <c r="C85" s="152">
        <v>45771</v>
      </c>
      <c r="D85" s="77" t="s">
        <v>13</v>
      </c>
      <c r="E85" s="96" t="s">
        <v>104</v>
      </c>
    </row>
    <row r="86" spans="1:5">
      <c r="A86" s="144" t="s">
        <v>36</v>
      </c>
      <c r="B86" s="24" t="s">
        <v>10</v>
      </c>
      <c r="C86" s="152">
        <v>45771</v>
      </c>
      <c r="D86" s="77" t="s">
        <v>13</v>
      </c>
      <c r="E86" s="96" t="s">
        <v>105</v>
      </c>
    </row>
    <row r="87" spans="1:5">
      <c r="A87" s="144" t="s">
        <v>36</v>
      </c>
      <c r="B87" s="24" t="s">
        <v>10</v>
      </c>
      <c r="C87" s="152">
        <v>45771</v>
      </c>
      <c r="D87" s="77" t="s">
        <v>13</v>
      </c>
      <c r="E87" s="96" t="s">
        <v>106</v>
      </c>
    </row>
    <row r="88" spans="1:5">
      <c r="A88" s="144" t="s">
        <v>36</v>
      </c>
      <c r="B88" s="24" t="s">
        <v>10</v>
      </c>
      <c r="C88" s="152">
        <v>45771</v>
      </c>
      <c r="D88" s="77" t="s">
        <v>13</v>
      </c>
      <c r="E88" s="96" t="s">
        <v>107</v>
      </c>
    </row>
    <row r="89" spans="1:5">
      <c r="A89" s="144" t="s">
        <v>36</v>
      </c>
      <c r="B89" s="24" t="s">
        <v>10</v>
      </c>
      <c r="C89" s="152">
        <v>45771</v>
      </c>
      <c r="D89" s="77" t="s">
        <v>13</v>
      </c>
      <c r="E89" s="96" t="s">
        <v>108</v>
      </c>
    </row>
    <row r="90" spans="1:5">
      <c r="A90" s="144" t="s">
        <v>36</v>
      </c>
      <c r="B90" s="24" t="s">
        <v>10</v>
      </c>
      <c r="C90" s="152">
        <v>45771</v>
      </c>
      <c r="D90" s="77" t="s">
        <v>13</v>
      </c>
      <c r="E90" s="96" t="s">
        <v>109</v>
      </c>
    </row>
    <row r="91" spans="1:5">
      <c r="A91" s="144" t="s">
        <v>36</v>
      </c>
      <c r="B91" s="24" t="s">
        <v>10</v>
      </c>
      <c r="C91" s="152">
        <v>45771</v>
      </c>
      <c r="D91" s="77" t="s">
        <v>13</v>
      </c>
      <c r="E91" s="96" t="s">
        <v>110</v>
      </c>
    </row>
    <row r="92" spans="1:5">
      <c r="A92" s="144" t="s">
        <v>36</v>
      </c>
      <c r="B92" s="24" t="s">
        <v>10</v>
      </c>
      <c r="C92" s="152">
        <v>45771</v>
      </c>
      <c r="D92" s="77" t="s">
        <v>13</v>
      </c>
      <c r="E92" s="96" t="s">
        <v>111</v>
      </c>
    </row>
    <row r="93" spans="1:5">
      <c r="A93" s="144" t="s">
        <v>36</v>
      </c>
      <c r="B93" s="24" t="s">
        <v>10</v>
      </c>
      <c r="C93" s="152">
        <v>45771</v>
      </c>
      <c r="D93" s="77" t="s">
        <v>13</v>
      </c>
      <c r="E93" s="96" t="s">
        <v>112</v>
      </c>
    </row>
    <row r="94" spans="1:5">
      <c r="A94" s="144" t="s">
        <v>36</v>
      </c>
      <c r="B94" s="24" t="s">
        <v>10</v>
      </c>
      <c r="C94" s="152">
        <v>45771</v>
      </c>
      <c r="D94" s="77" t="s">
        <v>13</v>
      </c>
      <c r="E94" s="96" t="s">
        <v>113</v>
      </c>
    </row>
    <row r="95" spans="1:5">
      <c r="A95" s="144" t="s">
        <v>36</v>
      </c>
      <c r="B95" s="24" t="s">
        <v>10</v>
      </c>
      <c r="C95" s="152">
        <v>45771</v>
      </c>
      <c r="D95" s="77" t="s">
        <v>13</v>
      </c>
      <c r="E95" s="96" t="s">
        <v>114</v>
      </c>
    </row>
    <row r="96" spans="1:5">
      <c r="A96" s="144" t="s">
        <v>36</v>
      </c>
      <c r="B96" s="24" t="s">
        <v>10</v>
      </c>
      <c r="C96" s="152">
        <v>45771</v>
      </c>
      <c r="D96" s="77" t="s">
        <v>13</v>
      </c>
      <c r="E96" s="96" t="s">
        <v>115</v>
      </c>
    </row>
    <row r="97" spans="1:5">
      <c r="A97" s="144" t="s">
        <v>36</v>
      </c>
      <c r="B97" s="24" t="s">
        <v>10</v>
      </c>
      <c r="C97" s="152">
        <v>45771</v>
      </c>
      <c r="D97" s="77" t="s">
        <v>13</v>
      </c>
      <c r="E97" s="96" t="s">
        <v>116</v>
      </c>
    </row>
    <row r="98" spans="1:5">
      <c r="A98" s="144" t="s">
        <v>36</v>
      </c>
      <c r="B98" s="24" t="s">
        <v>10</v>
      </c>
      <c r="C98" s="152">
        <v>45771</v>
      </c>
      <c r="D98" s="77" t="s">
        <v>13</v>
      </c>
      <c r="E98" s="96" t="s">
        <v>117</v>
      </c>
    </row>
    <row r="99" spans="1:5">
      <c r="A99" s="144" t="s">
        <v>36</v>
      </c>
      <c r="B99" s="24" t="s">
        <v>10</v>
      </c>
      <c r="C99" s="152">
        <v>45771</v>
      </c>
      <c r="D99" s="77" t="s">
        <v>13</v>
      </c>
      <c r="E99" s="96" t="s">
        <v>118</v>
      </c>
    </row>
    <row r="100" spans="1:5">
      <c r="A100" s="144" t="s">
        <v>36</v>
      </c>
      <c r="B100" s="24" t="s">
        <v>10</v>
      </c>
      <c r="C100" s="30">
        <v>45771</v>
      </c>
      <c r="D100" s="77" t="s">
        <v>13</v>
      </c>
      <c r="E100" s="96" t="s">
        <v>119</v>
      </c>
    </row>
    <row r="101" spans="1:5">
      <c r="A101" s="144" t="s">
        <v>36</v>
      </c>
      <c r="B101" s="24" t="s">
        <v>10</v>
      </c>
      <c r="C101" s="30">
        <v>45771</v>
      </c>
      <c r="D101" s="77" t="s">
        <v>13</v>
      </c>
      <c r="E101" s="96" t="s">
        <v>120</v>
      </c>
    </row>
    <row r="102" spans="1:5">
      <c r="A102" s="144" t="s">
        <v>36</v>
      </c>
      <c r="B102" s="24" t="s">
        <v>10</v>
      </c>
      <c r="C102" s="30">
        <v>45771</v>
      </c>
      <c r="D102" s="77" t="s">
        <v>13</v>
      </c>
      <c r="E102" s="96" t="s">
        <v>121</v>
      </c>
    </row>
    <row r="103" spans="1:5">
      <c r="A103" s="144" t="s">
        <v>36</v>
      </c>
      <c r="B103" s="24" t="s">
        <v>10</v>
      </c>
      <c r="C103" s="30">
        <v>45771</v>
      </c>
      <c r="D103" s="77" t="s">
        <v>13</v>
      </c>
      <c r="E103" s="96" t="s">
        <v>122</v>
      </c>
    </row>
    <row r="104" spans="1:5">
      <c r="A104" s="144" t="s">
        <v>36</v>
      </c>
      <c r="B104" s="24" t="s">
        <v>10</v>
      </c>
      <c r="C104" s="30">
        <v>45771</v>
      </c>
      <c r="D104" s="77" t="s">
        <v>13</v>
      </c>
      <c r="E104" s="96" t="s">
        <v>123</v>
      </c>
    </row>
    <row r="105" spans="1:5">
      <c r="A105" s="144" t="s">
        <v>36</v>
      </c>
      <c r="B105" s="24" t="s">
        <v>10</v>
      </c>
      <c r="C105" s="30">
        <v>45771</v>
      </c>
      <c r="D105" s="77" t="s">
        <v>13</v>
      </c>
      <c r="E105" s="96" t="s">
        <v>124</v>
      </c>
    </row>
    <row r="106" spans="1:5">
      <c r="A106" s="144" t="s">
        <v>36</v>
      </c>
      <c r="B106" s="24" t="s">
        <v>10</v>
      </c>
      <c r="C106" s="30">
        <v>45771</v>
      </c>
      <c r="D106" s="77" t="s">
        <v>13</v>
      </c>
      <c r="E106" s="96" t="s">
        <v>125</v>
      </c>
    </row>
    <row r="107" spans="1:5">
      <c r="A107" s="144" t="s">
        <v>36</v>
      </c>
      <c r="B107" s="24" t="s">
        <v>10</v>
      </c>
      <c r="C107" s="30">
        <v>45771</v>
      </c>
      <c r="D107" s="77" t="s">
        <v>13</v>
      </c>
      <c r="E107" s="96" t="s">
        <v>126</v>
      </c>
    </row>
    <row r="108" spans="1:5">
      <c r="A108" s="144" t="s">
        <v>36</v>
      </c>
      <c r="B108" s="24" t="s">
        <v>10</v>
      </c>
      <c r="C108" s="30">
        <v>45771</v>
      </c>
      <c r="D108" s="77" t="s">
        <v>13</v>
      </c>
      <c r="E108" s="96" t="s">
        <v>127</v>
      </c>
    </row>
    <row r="109" spans="1:5">
      <c r="A109" s="144" t="s">
        <v>36</v>
      </c>
      <c r="B109" s="24" t="s">
        <v>10</v>
      </c>
      <c r="C109" s="30">
        <v>45771</v>
      </c>
      <c r="D109" s="77" t="s">
        <v>13</v>
      </c>
      <c r="E109" s="96" t="s">
        <v>128</v>
      </c>
    </row>
    <row r="110" spans="1:5">
      <c r="A110" s="144" t="s">
        <v>36</v>
      </c>
      <c r="B110" s="24" t="s">
        <v>10</v>
      </c>
      <c r="C110" s="30">
        <v>45771</v>
      </c>
      <c r="D110" s="77" t="s">
        <v>13</v>
      </c>
      <c r="E110" s="96" t="s">
        <v>129</v>
      </c>
    </row>
    <row r="111" spans="1:5">
      <c r="A111" s="144" t="s">
        <v>36</v>
      </c>
      <c r="B111" s="24" t="s">
        <v>10</v>
      </c>
      <c r="C111" s="30">
        <v>45771</v>
      </c>
      <c r="D111" s="77" t="s">
        <v>13</v>
      </c>
      <c r="E111" s="96" t="s">
        <v>130</v>
      </c>
    </row>
    <row r="112" spans="1:5">
      <c r="A112" s="144" t="s">
        <v>36</v>
      </c>
      <c r="B112" s="24" t="s">
        <v>10</v>
      </c>
      <c r="C112" s="30">
        <v>45771</v>
      </c>
      <c r="D112" s="77" t="s">
        <v>13</v>
      </c>
      <c r="E112" s="96" t="s">
        <v>131</v>
      </c>
    </row>
    <row r="113" spans="1:5">
      <c r="A113" s="144" t="s">
        <v>36</v>
      </c>
      <c r="B113" s="24" t="s">
        <v>10</v>
      </c>
      <c r="C113" s="30">
        <v>45771</v>
      </c>
      <c r="D113" s="77" t="s">
        <v>13</v>
      </c>
      <c r="E113" s="96" t="s">
        <v>132</v>
      </c>
    </row>
    <row r="114" spans="1:5">
      <c r="A114" s="144" t="s">
        <v>36</v>
      </c>
      <c r="B114" s="24" t="s">
        <v>10</v>
      </c>
      <c r="C114" s="30">
        <v>45771</v>
      </c>
      <c r="D114" s="77" t="s">
        <v>13</v>
      </c>
      <c r="E114" s="96" t="s">
        <v>133</v>
      </c>
    </row>
    <row r="115" spans="1:5">
      <c r="A115" s="144" t="s">
        <v>36</v>
      </c>
      <c r="B115" s="24" t="s">
        <v>10</v>
      </c>
      <c r="C115" s="30">
        <v>45771</v>
      </c>
      <c r="D115" s="77" t="s">
        <v>13</v>
      </c>
      <c r="E115" s="96" t="s">
        <v>134</v>
      </c>
    </row>
    <row r="116" spans="1:5">
      <c r="A116" s="144" t="s">
        <v>36</v>
      </c>
      <c r="B116" s="24" t="s">
        <v>10</v>
      </c>
      <c r="C116" s="30">
        <v>45771</v>
      </c>
      <c r="D116" s="77" t="s">
        <v>13</v>
      </c>
      <c r="E116" s="96" t="s">
        <v>135</v>
      </c>
    </row>
    <row r="117" spans="1:5">
      <c r="A117" s="144" t="s">
        <v>36</v>
      </c>
      <c r="B117" s="24" t="s">
        <v>10</v>
      </c>
      <c r="C117" s="30">
        <v>45771</v>
      </c>
      <c r="D117" s="77" t="s">
        <v>13</v>
      </c>
      <c r="E117" s="96" t="s">
        <v>136</v>
      </c>
    </row>
    <row r="118" spans="1:5">
      <c r="A118" s="144" t="s">
        <v>36</v>
      </c>
      <c r="B118" s="24" t="s">
        <v>10</v>
      </c>
      <c r="C118" s="30">
        <v>45771</v>
      </c>
      <c r="D118" s="77" t="s">
        <v>13</v>
      </c>
      <c r="E118" s="96" t="s">
        <v>137</v>
      </c>
    </row>
    <row r="119" spans="1:5">
      <c r="A119" s="144" t="s">
        <v>36</v>
      </c>
      <c r="B119" s="24" t="s">
        <v>10</v>
      </c>
      <c r="C119" s="30">
        <v>45771</v>
      </c>
      <c r="D119" s="77" t="s">
        <v>13</v>
      </c>
      <c r="E119" s="96" t="s">
        <v>138</v>
      </c>
    </row>
    <row r="120" spans="1:5">
      <c r="A120" s="144" t="s">
        <v>36</v>
      </c>
      <c r="B120" s="24" t="s">
        <v>10</v>
      </c>
      <c r="C120" s="30">
        <v>45771</v>
      </c>
      <c r="D120" s="77" t="s">
        <v>13</v>
      </c>
      <c r="E120" s="96" t="s">
        <v>139</v>
      </c>
    </row>
    <row r="121" spans="1:5">
      <c r="A121" s="144" t="s">
        <v>36</v>
      </c>
      <c r="B121" s="24" t="s">
        <v>10</v>
      </c>
      <c r="C121" s="30">
        <v>45771</v>
      </c>
      <c r="D121" s="77" t="s">
        <v>13</v>
      </c>
      <c r="E121" s="96" t="s">
        <v>140</v>
      </c>
    </row>
    <row r="122" spans="1:5">
      <c r="A122" s="144" t="s">
        <v>36</v>
      </c>
      <c r="B122" s="24" t="s">
        <v>10</v>
      </c>
      <c r="C122" s="30">
        <v>45771</v>
      </c>
      <c r="D122" s="77" t="s">
        <v>13</v>
      </c>
      <c r="E122" s="96" t="s">
        <v>141</v>
      </c>
    </row>
    <row r="123" spans="1:5">
      <c r="A123" s="144" t="s">
        <v>36</v>
      </c>
      <c r="B123" s="24" t="s">
        <v>10</v>
      </c>
      <c r="C123" s="30">
        <v>45771</v>
      </c>
      <c r="D123" s="77" t="s">
        <v>13</v>
      </c>
      <c r="E123" s="96" t="s">
        <v>142</v>
      </c>
    </row>
    <row r="124" spans="1:5">
      <c r="A124" s="144" t="s">
        <v>36</v>
      </c>
      <c r="B124" s="24" t="s">
        <v>10</v>
      </c>
      <c r="C124" s="30">
        <v>45771</v>
      </c>
      <c r="D124" s="77" t="s">
        <v>13</v>
      </c>
      <c r="E124" s="96" t="s">
        <v>143</v>
      </c>
    </row>
    <row r="125" spans="1:5">
      <c r="A125" s="144" t="s">
        <v>36</v>
      </c>
      <c r="B125" s="24" t="s">
        <v>10</v>
      </c>
      <c r="C125" s="30">
        <v>45771</v>
      </c>
      <c r="D125" s="77" t="s">
        <v>13</v>
      </c>
      <c r="E125" s="96" t="s">
        <v>144</v>
      </c>
    </row>
    <row r="126" spans="1:5">
      <c r="A126" s="144" t="s">
        <v>36</v>
      </c>
      <c r="B126" s="24" t="s">
        <v>10</v>
      </c>
      <c r="C126" s="30">
        <v>45771</v>
      </c>
      <c r="D126" s="77" t="s">
        <v>13</v>
      </c>
      <c r="E126" s="96" t="s">
        <v>145</v>
      </c>
    </row>
    <row r="127" spans="1:5">
      <c r="A127" s="144" t="s">
        <v>36</v>
      </c>
      <c r="B127" s="24" t="s">
        <v>10</v>
      </c>
      <c r="C127" s="30">
        <v>45771</v>
      </c>
      <c r="D127" s="77" t="s">
        <v>13</v>
      </c>
      <c r="E127" s="96" t="s">
        <v>146</v>
      </c>
    </row>
    <row r="128" spans="1:5">
      <c r="A128" s="144" t="s">
        <v>36</v>
      </c>
      <c r="B128" s="24" t="s">
        <v>10</v>
      </c>
      <c r="C128" s="30">
        <v>45771</v>
      </c>
      <c r="D128" s="77" t="s">
        <v>13</v>
      </c>
      <c r="E128" s="96" t="s">
        <v>147</v>
      </c>
    </row>
    <row r="129" spans="1:5">
      <c r="A129" s="144" t="s">
        <v>36</v>
      </c>
      <c r="B129" s="24" t="s">
        <v>10</v>
      </c>
      <c r="C129" s="30">
        <v>45771</v>
      </c>
      <c r="D129" s="77" t="s">
        <v>13</v>
      </c>
      <c r="E129" s="96" t="s">
        <v>148</v>
      </c>
    </row>
    <row r="130" spans="1:5">
      <c r="A130" s="144" t="s">
        <v>36</v>
      </c>
      <c r="B130" s="24" t="s">
        <v>10</v>
      </c>
      <c r="C130" s="30">
        <v>45771</v>
      </c>
      <c r="D130" s="77" t="s">
        <v>13</v>
      </c>
      <c r="E130" s="96" t="s">
        <v>149</v>
      </c>
    </row>
    <row r="131" spans="1:5">
      <c r="A131" s="144" t="s">
        <v>36</v>
      </c>
      <c r="B131" s="24" t="s">
        <v>10</v>
      </c>
      <c r="C131" s="30">
        <v>45771</v>
      </c>
      <c r="D131" s="77" t="s">
        <v>13</v>
      </c>
      <c r="E131" s="96" t="s">
        <v>150</v>
      </c>
    </row>
    <row r="132" spans="1:5">
      <c r="A132" s="144" t="s">
        <v>36</v>
      </c>
      <c r="B132" s="24" t="s">
        <v>10</v>
      </c>
      <c r="C132" s="30">
        <v>45771</v>
      </c>
      <c r="D132" s="77" t="s">
        <v>13</v>
      </c>
      <c r="E132" s="96" t="s">
        <v>151</v>
      </c>
    </row>
    <row r="133" spans="1:5">
      <c r="A133" s="144" t="s">
        <v>36</v>
      </c>
      <c r="B133" s="24" t="s">
        <v>10</v>
      </c>
      <c r="C133" s="30">
        <v>45771</v>
      </c>
      <c r="D133" s="77" t="s">
        <v>13</v>
      </c>
      <c r="E133" s="96" t="s">
        <v>152</v>
      </c>
    </row>
    <row r="134" spans="1:5">
      <c r="A134" s="144" t="s">
        <v>36</v>
      </c>
      <c r="B134" s="24" t="s">
        <v>10</v>
      </c>
      <c r="C134" s="30">
        <v>45771</v>
      </c>
      <c r="D134" s="77" t="s">
        <v>13</v>
      </c>
      <c r="E134" s="96" t="s">
        <v>153</v>
      </c>
    </row>
    <row r="135" spans="1:5">
      <c r="A135" s="144" t="s">
        <v>36</v>
      </c>
      <c r="B135" s="24" t="s">
        <v>10</v>
      </c>
      <c r="C135" s="30">
        <v>45771</v>
      </c>
      <c r="D135" s="77" t="s">
        <v>13</v>
      </c>
      <c r="E135" s="96" t="s">
        <v>154</v>
      </c>
    </row>
    <row r="136" spans="1:5">
      <c r="A136" s="144" t="s">
        <v>36</v>
      </c>
      <c r="B136" s="24" t="s">
        <v>10</v>
      </c>
      <c r="C136" s="30">
        <v>45771</v>
      </c>
      <c r="D136" s="77" t="s">
        <v>13</v>
      </c>
      <c r="E136" s="96" t="s">
        <v>155</v>
      </c>
    </row>
    <row r="137" spans="1:5">
      <c r="A137" s="144" t="s">
        <v>36</v>
      </c>
      <c r="B137" s="24" t="s">
        <v>10</v>
      </c>
      <c r="C137" s="30">
        <v>45771</v>
      </c>
      <c r="D137" s="77" t="s">
        <v>13</v>
      </c>
      <c r="E137" s="96" t="s">
        <v>156</v>
      </c>
    </row>
    <row r="138" spans="1:5">
      <c r="A138" s="144" t="s">
        <v>36</v>
      </c>
      <c r="B138" s="24" t="s">
        <v>10</v>
      </c>
      <c r="C138" s="30">
        <v>45771</v>
      </c>
      <c r="D138" s="77" t="s">
        <v>13</v>
      </c>
      <c r="E138" s="96" t="s">
        <v>157</v>
      </c>
    </row>
    <row r="139" spans="1:5">
      <c r="A139" s="144" t="s">
        <v>36</v>
      </c>
      <c r="B139" s="24" t="s">
        <v>10</v>
      </c>
      <c r="C139" s="30">
        <v>45771</v>
      </c>
      <c r="D139" s="77" t="s">
        <v>13</v>
      </c>
      <c r="E139" s="96" t="s">
        <v>158</v>
      </c>
    </row>
    <row r="140" spans="1:5">
      <c r="A140" s="144" t="s">
        <v>36</v>
      </c>
      <c r="B140" s="24" t="s">
        <v>10</v>
      </c>
      <c r="C140" s="30">
        <v>45771</v>
      </c>
      <c r="D140" s="77" t="s">
        <v>13</v>
      </c>
      <c r="E140" s="96" t="s">
        <v>153</v>
      </c>
    </row>
    <row r="141" spans="1:5">
      <c r="A141" s="144" t="s">
        <v>36</v>
      </c>
      <c r="B141" s="24" t="s">
        <v>10</v>
      </c>
      <c r="C141" s="30">
        <v>45771</v>
      </c>
      <c r="D141" s="77" t="s">
        <v>13</v>
      </c>
      <c r="E141" s="96" t="s">
        <v>159</v>
      </c>
    </row>
    <row r="142" spans="1:5">
      <c r="A142" s="144" t="s">
        <v>36</v>
      </c>
      <c r="B142" s="24" t="s">
        <v>10</v>
      </c>
      <c r="C142" s="30">
        <v>45771</v>
      </c>
      <c r="D142" s="77" t="s">
        <v>13</v>
      </c>
      <c r="E142" s="96" t="s">
        <v>160</v>
      </c>
    </row>
    <row r="143" spans="1:5">
      <c r="A143" s="144" t="s">
        <v>36</v>
      </c>
      <c r="B143" s="24" t="s">
        <v>10</v>
      </c>
      <c r="C143" s="30">
        <v>45771</v>
      </c>
      <c r="D143" s="77" t="s">
        <v>13</v>
      </c>
      <c r="E143" s="96" t="s">
        <v>161</v>
      </c>
    </row>
    <row r="144" spans="1:5">
      <c r="A144" s="144" t="s">
        <v>36</v>
      </c>
      <c r="B144" s="24" t="s">
        <v>10</v>
      </c>
      <c r="C144" s="30">
        <v>45771</v>
      </c>
      <c r="D144" s="77" t="s">
        <v>13</v>
      </c>
      <c r="E144" s="96" t="s">
        <v>162</v>
      </c>
    </row>
    <row r="145" spans="1:5">
      <c r="A145" s="144" t="s">
        <v>36</v>
      </c>
      <c r="B145" s="24" t="s">
        <v>10</v>
      </c>
      <c r="C145" s="30">
        <v>45771</v>
      </c>
      <c r="D145" s="77" t="s">
        <v>13</v>
      </c>
      <c r="E145" s="96" t="s">
        <v>163</v>
      </c>
    </row>
    <row r="146" spans="1:5">
      <c r="A146" s="144" t="s">
        <v>36</v>
      </c>
      <c r="B146" s="24" t="s">
        <v>10</v>
      </c>
      <c r="C146" s="30">
        <v>45771</v>
      </c>
      <c r="D146" s="77" t="s">
        <v>13</v>
      </c>
      <c r="E146" s="96" t="s">
        <v>164</v>
      </c>
    </row>
    <row r="147" spans="1:5">
      <c r="A147" s="144" t="s">
        <v>36</v>
      </c>
      <c r="B147" s="24" t="s">
        <v>10</v>
      </c>
      <c r="C147" s="30">
        <v>45771</v>
      </c>
      <c r="D147" s="77" t="s">
        <v>13</v>
      </c>
      <c r="E147" s="96" t="s">
        <v>165</v>
      </c>
    </row>
    <row r="148" spans="1:5">
      <c r="A148" s="144" t="s">
        <v>36</v>
      </c>
      <c r="B148" s="24" t="s">
        <v>10</v>
      </c>
      <c r="C148" s="30">
        <v>45771</v>
      </c>
      <c r="D148" s="77" t="s">
        <v>13</v>
      </c>
      <c r="E148" s="96" t="s">
        <v>166</v>
      </c>
    </row>
    <row r="149" spans="1:5">
      <c r="A149" s="144" t="s">
        <v>36</v>
      </c>
      <c r="B149" s="24" t="s">
        <v>10</v>
      </c>
      <c r="C149" s="30">
        <v>45771</v>
      </c>
      <c r="D149" s="77" t="s">
        <v>13</v>
      </c>
      <c r="E149" s="96" t="s">
        <v>167</v>
      </c>
    </row>
    <row r="150" spans="1:5">
      <c r="A150" s="144" t="s">
        <v>36</v>
      </c>
      <c r="B150" s="24" t="s">
        <v>10</v>
      </c>
      <c r="C150" s="30">
        <v>45771</v>
      </c>
      <c r="D150" s="77" t="s">
        <v>13</v>
      </c>
      <c r="E150" s="96" t="s">
        <v>168</v>
      </c>
    </row>
    <row r="151" spans="1:5">
      <c r="A151" s="144" t="s">
        <v>36</v>
      </c>
      <c r="B151" s="24" t="s">
        <v>10</v>
      </c>
      <c r="C151" s="30">
        <v>45771</v>
      </c>
      <c r="D151" s="77" t="s">
        <v>13</v>
      </c>
      <c r="E151" s="96" t="s">
        <v>169</v>
      </c>
    </row>
    <row r="152" spans="1:5">
      <c r="A152" s="144" t="s">
        <v>36</v>
      </c>
      <c r="B152" s="24" t="s">
        <v>10</v>
      </c>
      <c r="C152" s="30">
        <v>45771</v>
      </c>
      <c r="D152" s="77" t="s">
        <v>13</v>
      </c>
      <c r="E152" s="96" t="s">
        <v>170</v>
      </c>
    </row>
    <row r="153" spans="1:5">
      <c r="A153" s="144" t="s">
        <v>36</v>
      </c>
      <c r="B153" s="24" t="s">
        <v>10</v>
      </c>
      <c r="C153" s="30">
        <v>45771</v>
      </c>
      <c r="D153" s="77" t="s">
        <v>13</v>
      </c>
      <c r="E153" s="96" t="s">
        <v>171</v>
      </c>
    </row>
    <row r="154" spans="1:5">
      <c r="A154" s="144" t="s">
        <v>36</v>
      </c>
      <c r="B154" s="24" t="s">
        <v>10</v>
      </c>
      <c r="C154" s="30">
        <v>45771</v>
      </c>
      <c r="D154" s="77" t="s">
        <v>13</v>
      </c>
      <c r="E154" s="96" t="s">
        <v>172</v>
      </c>
    </row>
    <row r="155" spans="1:5">
      <c r="A155" s="144" t="s">
        <v>36</v>
      </c>
      <c r="B155" s="24" t="s">
        <v>10</v>
      </c>
      <c r="C155" s="30">
        <v>45771</v>
      </c>
      <c r="D155" s="77" t="s">
        <v>13</v>
      </c>
      <c r="E155" s="96" t="s">
        <v>173</v>
      </c>
    </row>
    <row r="156" spans="1:5">
      <c r="A156" s="144" t="s">
        <v>36</v>
      </c>
      <c r="B156" s="24" t="s">
        <v>10</v>
      </c>
      <c r="C156" s="30">
        <v>45771</v>
      </c>
      <c r="D156" s="77" t="s">
        <v>13</v>
      </c>
      <c r="E156" s="96" t="s">
        <v>174</v>
      </c>
    </row>
    <row r="157" spans="1:5">
      <c r="A157" s="144" t="s">
        <v>36</v>
      </c>
      <c r="B157" s="24" t="s">
        <v>10</v>
      </c>
      <c r="C157" s="30">
        <v>45771</v>
      </c>
      <c r="D157" s="77" t="s">
        <v>13</v>
      </c>
      <c r="E157" s="96" t="s">
        <v>175</v>
      </c>
    </row>
    <row r="158" spans="1:5">
      <c r="A158" s="144" t="s">
        <v>36</v>
      </c>
      <c r="B158" s="24" t="s">
        <v>10</v>
      </c>
      <c r="C158" s="30">
        <v>45771</v>
      </c>
      <c r="D158" s="77" t="s">
        <v>13</v>
      </c>
      <c r="E158" s="96" t="s">
        <v>176</v>
      </c>
    </row>
    <row r="159" spans="1:5">
      <c r="A159" s="144" t="s">
        <v>36</v>
      </c>
      <c r="B159" s="24" t="s">
        <v>10</v>
      </c>
      <c r="C159" s="30">
        <v>45771</v>
      </c>
      <c r="D159" s="77" t="s">
        <v>13</v>
      </c>
      <c r="E159" s="96" t="s">
        <v>177</v>
      </c>
    </row>
    <row r="160" spans="1:5">
      <c r="A160" s="144" t="s">
        <v>36</v>
      </c>
      <c r="B160" s="24" t="s">
        <v>10</v>
      </c>
      <c r="C160" s="30">
        <v>45771</v>
      </c>
      <c r="D160" s="77" t="s">
        <v>13</v>
      </c>
      <c r="E160" s="96" t="s">
        <v>178</v>
      </c>
    </row>
    <row r="161" spans="1:5">
      <c r="A161" s="144" t="s">
        <v>36</v>
      </c>
      <c r="B161" s="24" t="s">
        <v>10</v>
      </c>
      <c r="C161" s="30">
        <v>45771</v>
      </c>
      <c r="D161" s="77" t="s">
        <v>13</v>
      </c>
      <c r="E161" s="96" t="s">
        <v>179</v>
      </c>
    </row>
    <row r="162" spans="1:5">
      <c r="A162" s="144" t="s">
        <v>36</v>
      </c>
      <c r="B162" s="24" t="s">
        <v>10</v>
      </c>
      <c r="C162" s="30">
        <v>45771</v>
      </c>
      <c r="D162" s="77" t="s">
        <v>13</v>
      </c>
      <c r="E162" s="96" t="s">
        <v>180</v>
      </c>
    </row>
    <row r="163" spans="1:5">
      <c r="A163" s="144" t="s">
        <v>36</v>
      </c>
      <c r="B163" s="24" t="s">
        <v>10</v>
      </c>
      <c r="C163" s="30">
        <v>45771</v>
      </c>
      <c r="D163" s="77" t="s">
        <v>13</v>
      </c>
      <c r="E163" s="96" t="s">
        <v>181</v>
      </c>
    </row>
    <row r="164" spans="1:5">
      <c r="A164" s="144" t="s">
        <v>36</v>
      </c>
      <c r="B164" s="24" t="s">
        <v>10</v>
      </c>
      <c r="C164" s="30">
        <v>45771</v>
      </c>
      <c r="D164" s="77" t="s">
        <v>13</v>
      </c>
      <c r="E164" s="96" t="s">
        <v>182</v>
      </c>
    </row>
    <row r="165" spans="1:5">
      <c r="A165" s="144" t="s">
        <v>36</v>
      </c>
      <c r="B165" s="24" t="s">
        <v>10</v>
      </c>
      <c r="C165" s="30">
        <v>45771</v>
      </c>
      <c r="D165" s="77" t="s">
        <v>13</v>
      </c>
      <c r="E165" s="96" t="s">
        <v>183</v>
      </c>
    </row>
    <row r="166" spans="1:5">
      <c r="A166" s="144" t="s">
        <v>36</v>
      </c>
      <c r="B166" s="24" t="s">
        <v>10</v>
      </c>
      <c r="C166" s="30">
        <v>45771</v>
      </c>
      <c r="D166" s="77" t="s">
        <v>13</v>
      </c>
      <c r="E166" s="96" t="s">
        <v>184</v>
      </c>
    </row>
    <row r="167" spans="1:5">
      <c r="A167" s="144" t="s">
        <v>36</v>
      </c>
      <c r="B167" s="24" t="s">
        <v>10</v>
      </c>
      <c r="C167" s="30">
        <v>45771</v>
      </c>
      <c r="D167" s="77" t="s">
        <v>13</v>
      </c>
      <c r="E167" s="96" t="s">
        <v>185</v>
      </c>
    </row>
    <row r="168" spans="1:5">
      <c r="A168" s="144" t="s">
        <v>36</v>
      </c>
      <c r="B168" s="24" t="s">
        <v>10</v>
      </c>
      <c r="C168" s="30">
        <v>45771</v>
      </c>
      <c r="D168" s="77" t="s">
        <v>13</v>
      </c>
      <c r="E168" s="96" t="s">
        <v>186</v>
      </c>
    </row>
    <row r="169" spans="1:5">
      <c r="A169" s="144" t="s">
        <v>36</v>
      </c>
      <c r="B169" s="24" t="s">
        <v>10</v>
      </c>
      <c r="C169" s="30">
        <v>45771</v>
      </c>
      <c r="D169" s="77" t="s">
        <v>13</v>
      </c>
      <c r="E169" s="96" t="s">
        <v>187</v>
      </c>
    </row>
    <row r="170" spans="1:5">
      <c r="A170" s="144" t="s">
        <v>36</v>
      </c>
      <c r="B170" s="24" t="s">
        <v>10</v>
      </c>
      <c r="C170" s="30">
        <v>45771</v>
      </c>
      <c r="D170" s="77" t="s">
        <v>13</v>
      </c>
      <c r="E170" s="96" t="s">
        <v>188</v>
      </c>
    </row>
    <row r="171" spans="1:5">
      <c r="A171" s="144" t="s">
        <v>36</v>
      </c>
      <c r="B171" s="24" t="s">
        <v>10</v>
      </c>
      <c r="C171" s="30">
        <v>45771</v>
      </c>
      <c r="D171" s="77" t="s">
        <v>13</v>
      </c>
      <c r="E171" s="96" t="s">
        <v>189</v>
      </c>
    </row>
    <row r="172" spans="1:5">
      <c r="A172" s="144" t="s">
        <v>36</v>
      </c>
      <c r="B172" s="24" t="s">
        <v>10</v>
      </c>
      <c r="C172" s="30">
        <v>45771</v>
      </c>
      <c r="D172" s="77" t="s">
        <v>13</v>
      </c>
      <c r="E172" s="96" t="s">
        <v>190</v>
      </c>
    </row>
    <row r="173" spans="1:5">
      <c r="A173" s="144" t="s">
        <v>36</v>
      </c>
      <c r="B173" s="24" t="s">
        <v>10</v>
      </c>
      <c r="C173" s="30">
        <v>45771</v>
      </c>
      <c r="D173" s="77" t="s">
        <v>13</v>
      </c>
      <c r="E173" s="96" t="s">
        <v>191</v>
      </c>
    </row>
    <row r="174" spans="1:5">
      <c r="A174" s="144" t="s">
        <v>36</v>
      </c>
      <c r="B174" s="24" t="s">
        <v>10</v>
      </c>
      <c r="C174" s="30">
        <v>45771</v>
      </c>
      <c r="D174" s="77" t="s">
        <v>13</v>
      </c>
      <c r="E174" s="96" t="s">
        <v>192</v>
      </c>
    </row>
    <row r="175" spans="1:5">
      <c r="A175" s="144" t="s">
        <v>36</v>
      </c>
      <c r="B175" s="24" t="s">
        <v>10</v>
      </c>
      <c r="C175" s="30">
        <v>45771</v>
      </c>
      <c r="D175" s="77" t="s">
        <v>13</v>
      </c>
      <c r="E175" s="96" t="s">
        <v>193</v>
      </c>
    </row>
    <row r="176" spans="1:5">
      <c r="A176" s="144" t="s">
        <v>36</v>
      </c>
      <c r="B176" s="24" t="s">
        <v>10</v>
      </c>
      <c r="C176" s="30">
        <v>45771</v>
      </c>
      <c r="D176" s="77" t="s">
        <v>13</v>
      </c>
      <c r="E176" s="96" t="s">
        <v>194</v>
      </c>
    </row>
    <row r="177" spans="1:5">
      <c r="A177" s="144" t="s">
        <v>36</v>
      </c>
      <c r="B177" s="24" t="s">
        <v>10</v>
      </c>
      <c r="C177" s="30">
        <v>45771</v>
      </c>
      <c r="D177" s="77" t="s">
        <v>13</v>
      </c>
      <c r="E177" s="96" t="s">
        <v>195</v>
      </c>
    </row>
    <row r="178" spans="1:5">
      <c r="A178" s="144" t="s">
        <v>36</v>
      </c>
      <c r="B178" s="24" t="s">
        <v>10</v>
      </c>
      <c r="C178" s="30">
        <v>45771</v>
      </c>
      <c r="D178" s="77" t="s">
        <v>13</v>
      </c>
      <c r="E178" s="96" t="s">
        <v>196</v>
      </c>
    </row>
    <row r="179" spans="1:5">
      <c r="A179" s="144" t="s">
        <v>36</v>
      </c>
      <c r="B179" s="24" t="s">
        <v>10</v>
      </c>
      <c r="C179" s="30">
        <v>45771</v>
      </c>
      <c r="D179" s="77" t="s">
        <v>13</v>
      </c>
      <c r="E179" s="96" t="s">
        <v>157</v>
      </c>
    </row>
    <row r="180" spans="1:5">
      <c r="A180" s="144" t="s">
        <v>36</v>
      </c>
      <c r="B180" s="24" t="s">
        <v>10</v>
      </c>
      <c r="C180" s="30">
        <v>45771</v>
      </c>
      <c r="D180" s="77" t="s">
        <v>13</v>
      </c>
      <c r="E180" s="96" t="s">
        <v>197</v>
      </c>
    </row>
    <row r="181" spans="1:5">
      <c r="A181" s="144" t="s">
        <v>36</v>
      </c>
      <c r="B181" s="24" t="s">
        <v>10</v>
      </c>
      <c r="C181" s="30">
        <v>45771</v>
      </c>
      <c r="D181" s="77" t="s">
        <v>13</v>
      </c>
      <c r="E181" s="96" t="s">
        <v>198</v>
      </c>
    </row>
    <row r="182" spans="1:5">
      <c r="A182" s="144" t="s">
        <v>36</v>
      </c>
      <c r="B182" s="24" t="s">
        <v>10</v>
      </c>
      <c r="C182" s="30">
        <v>45771</v>
      </c>
      <c r="D182" s="77" t="s">
        <v>13</v>
      </c>
      <c r="E182" s="96" t="s">
        <v>199</v>
      </c>
    </row>
    <row r="183" spans="1:5">
      <c r="A183" s="144" t="s">
        <v>36</v>
      </c>
      <c r="B183" s="24" t="s">
        <v>10</v>
      </c>
      <c r="C183" s="30">
        <v>45771</v>
      </c>
      <c r="D183" s="77" t="s">
        <v>13</v>
      </c>
      <c r="E183" s="96" t="s">
        <v>200</v>
      </c>
    </row>
    <row r="184" spans="1:5">
      <c r="A184" s="144" t="s">
        <v>36</v>
      </c>
      <c r="B184" s="24" t="s">
        <v>10</v>
      </c>
      <c r="C184" s="30">
        <v>45771</v>
      </c>
      <c r="D184" s="77" t="s">
        <v>13</v>
      </c>
      <c r="E184" s="96" t="s">
        <v>201</v>
      </c>
    </row>
    <row r="185" spans="1:5">
      <c r="A185" s="144" t="s">
        <v>36</v>
      </c>
      <c r="B185" s="24" t="s">
        <v>10</v>
      </c>
      <c r="C185" s="30">
        <v>45771</v>
      </c>
      <c r="D185" s="77" t="s">
        <v>13</v>
      </c>
      <c r="E185" s="96" t="s">
        <v>202</v>
      </c>
    </row>
    <row r="186" spans="1:5">
      <c r="A186" s="144" t="s">
        <v>36</v>
      </c>
      <c r="B186" s="24" t="s">
        <v>10</v>
      </c>
      <c r="C186" s="30">
        <v>45771</v>
      </c>
      <c r="D186" s="77" t="s">
        <v>13</v>
      </c>
      <c r="E186" s="96" t="s">
        <v>203</v>
      </c>
    </row>
    <row r="187" spans="1:5">
      <c r="A187" s="144" t="s">
        <v>36</v>
      </c>
      <c r="B187" s="24" t="s">
        <v>10</v>
      </c>
      <c r="C187" s="30">
        <v>45771</v>
      </c>
      <c r="D187" s="77" t="s">
        <v>13</v>
      </c>
      <c r="E187" s="96" t="s">
        <v>204</v>
      </c>
    </row>
    <row r="188" spans="1:5">
      <c r="A188" s="144" t="s">
        <v>36</v>
      </c>
      <c r="B188" s="24" t="s">
        <v>10</v>
      </c>
      <c r="C188" s="30">
        <v>45771</v>
      </c>
      <c r="D188" s="77" t="s">
        <v>13</v>
      </c>
      <c r="E188" s="96" t="s">
        <v>205</v>
      </c>
    </row>
    <row r="189" spans="1:5">
      <c r="A189" s="144" t="s">
        <v>36</v>
      </c>
      <c r="B189" s="24" t="s">
        <v>10</v>
      </c>
      <c r="C189" s="30">
        <v>45771</v>
      </c>
      <c r="D189" s="77" t="s">
        <v>13</v>
      </c>
      <c r="E189" s="96" t="s">
        <v>206</v>
      </c>
    </row>
    <row r="190" spans="1:5">
      <c r="A190" s="144" t="s">
        <v>36</v>
      </c>
      <c r="B190" s="24" t="s">
        <v>10</v>
      </c>
      <c r="C190" s="30">
        <v>45771</v>
      </c>
      <c r="D190" s="77" t="s">
        <v>13</v>
      </c>
      <c r="E190" s="96" t="s">
        <v>207</v>
      </c>
    </row>
    <row r="191" spans="1:5">
      <c r="A191" s="144" t="s">
        <v>36</v>
      </c>
      <c r="B191" s="24" t="s">
        <v>10</v>
      </c>
      <c r="C191" s="30">
        <v>45771</v>
      </c>
      <c r="D191" s="77" t="s">
        <v>13</v>
      </c>
      <c r="E191" s="96" t="s">
        <v>208</v>
      </c>
    </row>
    <row r="192" spans="1:5">
      <c r="A192" s="144" t="s">
        <v>36</v>
      </c>
      <c r="B192" s="24" t="s">
        <v>10</v>
      </c>
      <c r="C192" s="30">
        <v>45771</v>
      </c>
      <c r="D192" s="77" t="s">
        <v>13</v>
      </c>
      <c r="E192" s="96" t="s">
        <v>209</v>
      </c>
    </row>
    <row r="193" spans="1:5">
      <c r="A193" s="144" t="s">
        <v>36</v>
      </c>
      <c r="B193" s="24" t="s">
        <v>10</v>
      </c>
      <c r="C193" s="30">
        <v>45771</v>
      </c>
      <c r="D193" s="77" t="s">
        <v>13</v>
      </c>
      <c r="E193" s="96" t="s">
        <v>210</v>
      </c>
    </row>
    <row r="194" spans="1:5">
      <c r="A194" s="144" t="s">
        <v>36</v>
      </c>
      <c r="B194" s="24" t="s">
        <v>10</v>
      </c>
      <c r="C194" s="30">
        <v>45771</v>
      </c>
      <c r="D194" s="77" t="s">
        <v>13</v>
      </c>
      <c r="E194" s="96" t="s">
        <v>211</v>
      </c>
    </row>
    <row r="195" spans="1:5">
      <c r="A195" s="144" t="s">
        <v>36</v>
      </c>
      <c r="B195" s="24" t="s">
        <v>10</v>
      </c>
      <c r="C195" s="30">
        <v>45771</v>
      </c>
      <c r="D195" s="77" t="s">
        <v>13</v>
      </c>
      <c r="E195" s="96" t="s">
        <v>212</v>
      </c>
    </row>
    <row r="196" spans="1:5">
      <c r="A196" s="144" t="s">
        <v>36</v>
      </c>
      <c r="B196" s="24" t="s">
        <v>10</v>
      </c>
      <c r="C196" s="30">
        <v>45771</v>
      </c>
      <c r="D196" s="77" t="s">
        <v>13</v>
      </c>
      <c r="E196" s="96" t="s">
        <v>213</v>
      </c>
    </row>
    <row r="197" spans="1:5">
      <c r="A197" s="144" t="s">
        <v>36</v>
      </c>
      <c r="B197" s="24" t="s">
        <v>10</v>
      </c>
      <c r="C197" s="30">
        <v>45771</v>
      </c>
      <c r="D197" s="77" t="s">
        <v>13</v>
      </c>
      <c r="E197" s="96" t="s">
        <v>214</v>
      </c>
    </row>
    <row r="198" spans="1:5">
      <c r="A198" s="144" t="s">
        <v>36</v>
      </c>
      <c r="B198" s="24" t="s">
        <v>10</v>
      </c>
      <c r="C198" s="30">
        <v>45771</v>
      </c>
      <c r="D198" s="77" t="s">
        <v>13</v>
      </c>
      <c r="E198" s="96" t="s">
        <v>215</v>
      </c>
    </row>
    <row r="199" spans="1:5">
      <c r="A199" s="144" t="s">
        <v>36</v>
      </c>
      <c r="B199" s="24" t="s">
        <v>10</v>
      </c>
      <c r="C199" s="30">
        <v>45771</v>
      </c>
      <c r="D199" s="77" t="s">
        <v>13</v>
      </c>
      <c r="E199" s="96" t="s">
        <v>216</v>
      </c>
    </row>
    <row r="200" spans="1:5">
      <c r="A200" s="144" t="s">
        <v>36</v>
      </c>
      <c r="B200" s="24" t="s">
        <v>10</v>
      </c>
      <c r="C200" s="30">
        <v>45771</v>
      </c>
      <c r="D200" s="77" t="s">
        <v>13</v>
      </c>
      <c r="E200" s="96" t="s">
        <v>217</v>
      </c>
    </row>
    <row r="201" spans="1:5">
      <c r="A201" s="144" t="s">
        <v>36</v>
      </c>
      <c r="B201" s="24" t="s">
        <v>10</v>
      </c>
      <c r="C201" s="30">
        <v>45771</v>
      </c>
      <c r="D201" s="77" t="s">
        <v>13</v>
      </c>
      <c r="E201" s="96" t="s">
        <v>218</v>
      </c>
    </row>
    <row r="202" spans="1:5">
      <c r="A202" s="144" t="s">
        <v>36</v>
      </c>
      <c r="B202" s="24" t="s">
        <v>10</v>
      </c>
      <c r="C202" s="30">
        <v>45771</v>
      </c>
      <c r="D202" s="77" t="s">
        <v>13</v>
      </c>
      <c r="E202" s="96" t="s">
        <v>219</v>
      </c>
    </row>
    <row r="203" spans="1:5">
      <c r="A203" s="144" t="s">
        <v>36</v>
      </c>
      <c r="B203" s="24" t="s">
        <v>10</v>
      </c>
      <c r="C203" s="30">
        <v>45771</v>
      </c>
      <c r="D203" s="77" t="s">
        <v>13</v>
      </c>
      <c r="E203" s="96" t="s">
        <v>220</v>
      </c>
    </row>
    <row r="204" spans="1:5">
      <c r="A204" s="144" t="s">
        <v>36</v>
      </c>
      <c r="B204" s="24" t="s">
        <v>10</v>
      </c>
      <c r="C204" s="30">
        <v>45771</v>
      </c>
      <c r="D204" s="77" t="s">
        <v>13</v>
      </c>
      <c r="E204" s="96" t="s">
        <v>221</v>
      </c>
    </row>
    <row r="205" spans="1:5">
      <c r="A205" s="144" t="s">
        <v>36</v>
      </c>
      <c r="B205" s="24" t="s">
        <v>10</v>
      </c>
      <c r="C205" s="30">
        <v>45771</v>
      </c>
      <c r="D205" s="77" t="s">
        <v>13</v>
      </c>
      <c r="E205" s="96" t="s">
        <v>222</v>
      </c>
    </row>
    <row r="206" spans="1:5">
      <c r="A206" s="144" t="s">
        <v>36</v>
      </c>
      <c r="B206" s="24" t="s">
        <v>10</v>
      </c>
      <c r="C206" s="30">
        <v>45771</v>
      </c>
      <c r="D206" s="77" t="s">
        <v>13</v>
      </c>
      <c r="E206" s="96" t="s">
        <v>223</v>
      </c>
    </row>
    <row r="207" spans="1:5">
      <c r="A207" s="144" t="s">
        <v>36</v>
      </c>
      <c r="B207" s="24" t="s">
        <v>10</v>
      </c>
      <c r="C207" s="30">
        <v>45771</v>
      </c>
      <c r="D207" s="77" t="s">
        <v>13</v>
      </c>
      <c r="E207" s="96" t="s">
        <v>224</v>
      </c>
    </row>
    <row r="208" spans="1:5">
      <c r="A208" s="144" t="s">
        <v>36</v>
      </c>
      <c r="B208" s="24" t="s">
        <v>10</v>
      </c>
      <c r="C208" s="30">
        <v>45771</v>
      </c>
      <c r="D208" s="77" t="s">
        <v>13</v>
      </c>
      <c r="E208" s="96" t="s">
        <v>225</v>
      </c>
    </row>
    <row r="209" spans="1:5">
      <c r="A209" s="144" t="s">
        <v>36</v>
      </c>
      <c r="B209" s="24" t="s">
        <v>10</v>
      </c>
      <c r="C209" s="30">
        <v>45771</v>
      </c>
      <c r="D209" s="77" t="s">
        <v>13</v>
      </c>
      <c r="E209" s="96" t="s">
        <v>226</v>
      </c>
    </row>
    <row r="210" spans="1:5">
      <c r="A210" s="144" t="s">
        <v>36</v>
      </c>
      <c r="B210" s="24" t="s">
        <v>10</v>
      </c>
      <c r="C210" s="30">
        <v>45771</v>
      </c>
      <c r="D210" s="77" t="s">
        <v>13</v>
      </c>
      <c r="E210" s="96" t="s">
        <v>227</v>
      </c>
    </row>
    <row r="211" spans="1:5">
      <c r="A211" s="144" t="s">
        <v>36</v>
      </c>
      <c r="B211" s="24" t="s">
        <v>10</v>
      </c>
      <c r="C211" s="30">
        <v>45771</v>
      </c>
      <c r="D211" s="77" t="s">
        <v>13</v>
      </c>
      <c r="E211" s="96" t="s">
        <v>228</v>
      </c>
    </row>
    <row r="212" spans="1:5">
      <c r="A212" s="144" t="s">
        <v>36</v>
      </c>
      <c r="B212" s="24" t="s">
        <v>10</v>
      </c>
      <c r="C212" s="30">
        <v>45771</v>
      </c>
      <c r="D212" s="77" t="s">
        <v>13</v>
      </c>
      <c r="E212" s="96" t="s">
        <v>229</v>
      </c>
    </row>
    <row r="213" spans="1:5">
      <c r="A213" s="144" t="s">
        <v>36</v>
      </c>
      <c r="B213" s="24" t="s">
        <v>10</v>
      </c>
      <c r="C213" s="30">
        <v>45771</v>
      </c>
      <c r="D213" s="77" t="s">
        <v>13</v>
      </c>
      <c r="E213" s="96" t="s">
        <v>230</v>
      </c>
    </row>
    <row r="214" spans="1:5">
      <c r="A214" s="144" t="s">
        <v>36</v>
      </c>
      <c r="B214" s="24" t="s">
        <v>10</v>
      </c>
      <c r="C214" s="30">
        <v>45771</v>
      </c>
      <c r="D214" s="77" t="s">
        <v>13</v>
      </c>
      <c r="E214" s="96" t="s">
        <v>231</v>
      </c>
    </row>
    <row r="215" spans="1:5">
      <c r="A215" s="144" t="s">
        <v>36</v>
      </c>
      <c r="B215" s="24" t="s">
        <v>10</v>
      </c>
      <c r="C215" s="30">
        <v>45771</v>
      </c>
      <c r="D215" s="77" t="s">
        <v>11</v>
      </c>
      <c r="E215" s="96" t="s">
        <v>232</v>
      </c>
    </row>
    <row r="216" spans="1:5">
      <c r="A216" s="144" t="s">
        <v>36</v>
      </c>
      <c r="B216" s="24" t="s">
        <v>10</v>
      </c>
      <c r="C216" s="30">
        <v>45771</v>
      </c>
      <c r="D216" s="77" t="s">
        <v>11</v>
      </c>
      <c r="E216" s="96" t="s">
        <v>233</v>
      </c>
    </row>
    <row r="217" spans="1:5">
      <c r="A217" s="144" t="s">
        <v>36</v>
      </c>
      <c r="B217" s="24" t="s">
        <v>10</v>
      </c>
      <c r="C217" s="134">
        <v>45771</v>
      </c>
      <c r="D217" s="77" t="s">
        <v>11</v>
      </c>
      <c r="E217" s="96" t="s">
        <v>234</v>
      </c>
    </row>
    <row r="218" spans="1:5">
      <c r="A218" s="144" t="s">
        <v>36</v>
      </c>
      <c r="B218" s="24" t="s">
        <v>10</v>
      </c>
      <c r="C218" s="134">
        <v>45771</v>
      </c>
      <c r="D218" s="77" t="s">
        <v>11</v>
      </c>
      <c r="E218" s="96" t="s">
        <v>235</v>
      </c>
    </row>
    <row r="219" spans="1:5">
      <c r="A219" s="144" t="s">
        <v>36</v>
      </c>
      <c r="B219" s="24" t="s">
        <v>10</v>
      </c>
      <c r="C219" s="134">
        <v>45771</v>
      </c>
      <c r="D219" s="77" t="s">
        <v>11</v>
      </c>
      <c r="E219" s="96" t="s">
        <v>236</v>
      </c>
    </row>
    <row r="220" spans="1:5">
      <c r="A220" s="144" t="s">
        <v>36</v>
      </c>
      <c r="B220" s="24" t="s">
        <v>10</v>
      </c>
      <c r="C220" s="134">
        <v>45771</v>
      </c>
      <c r="D220" s="77" t="s">
        <v>11</v>
      </c>
      <c r="E220" s="96" t="s">
        <v>237</v>
      </c>
    </row>
    <row r="221" spans="1:5">
      <c r="A221" s="144" t="s">
        <v>36</v>
      </c>
      <c r="B221" s="24" t="s">
        <v>10</v>
      </c>
      <c r="C221" s="134">
        <v>45771</v>
      </c>
      <c r="D221" s="77" t="s">
        <v>11</v>
      </c>
      <c r="E221" s="96" t="s">
        <v>238</v>
      </c>
    </row>
    <row r="222" spans="1:5">
      <c r="A222" s="144" t="s">
        <v>36</v>
      </c>
      <c r="B222" s="24" t="s">
        <v>10</v>
      </c>
      <c r="C222" s="134">
        <v>45771</v>
      </c>
      <c r="D222" s="77" t="s">
        <v>11</v>
      </c>
      <c r="E222" s="96" t="s">
        <v>239</v>
      </c>
    </row>
    <row r="223" spans="1:5">
      <c r="A223" s="144" t="s">
        <v>36</v>
      </c>
      <c r="B223" s="24" t="s">
        <v>10</v>
      </c>
      <c r="C223" s="134">
        <v>45771</v>
      </c>
      <c r="D223" s="77" t="s">
        <v>11</v>
      </c>
      <c r="E223" s="96" t="s">
        <v>240</v>
      </c>
    </row>
    <row r="224" spans="1:5">
      <c r="A224" s="144" t="s">
        <v>36</v>
      </c>
      <c r="B224" s="24" t="s">
        <v>10</v>
      </c>
      <c r="C224" s="134">
        <v>45771</v>
      </c>
      <c r="D224" s="77" t="s">
        <v>11</v>
      </c>
      <c r="E224" s="96" t="s">
        <v>241</v>
      </c>
    </row>
    <row r="225" spans="1:5">
      <c r="A225" s="144" t="s">
        <v>36</v>
      </c>
      <c r="B225" s="24" t="s">
        <v>10</v>
      </c>
      <c r="C225" s="134">
        <v>45771</v>
      </c>
      <c r="D225" s="77" t="s">
        <v>11</v>
      </c>
      <c r="E225" s="96" t="s">
        <v>242</v>
      </c>
    </row>
    <row r="226" spans="1:5">
      <c r="A226" s="144" t="s">
        <v>36</v>
      </c>
      <c r="B226" s="24" t="s">
        <v>10</v>
      </c>
      <c r="C226" s="134">
        <v>45771</v>
      </c>
      <c r="D226" s="77" t="s">
        <v>11</v>
      </c>
      <c r="E226" s="96" t="s">
        <v>243</v>
      </c>
    </row>
    <row r="227" spans="1:5">
      <c r="A227" s="144" t="s">
        <v>36</v>
      </c>
      <c r="B227" s="24" t="s">
        <v>10</v>
      </c>
      <c r="C227" s="134">
        <v>45771</v>
      </c>
      <c r="D227" s="77" t="s">
        <v>11</v>
      </c>
      <c r="E227" s="96" t="s">
        <v>244</v>
      </c>
    </row>
    <row r="228" spans="1:5">
      <c r="A228" s="144" t="s">
        <v>36</v>
      </c>
      <c r="B228" s="24" t="s">
        <v>10</v>
      </c>
      <c r="C228" s="134">
        <v>45771</v>
      </c>
      <c r="D228" s="77" t="s">
        <v>11</v>
      </c>
      <c r="E228" s="96" t="s">
        <v>245</v>
      </c>
    </row>
    <row r="229" spans="1:5">
      <c r="A229" s="144" t="s">
        <v>36</v>
      </c>
      <c r="B229" s="24" t="s">
        <v>10</v>
      </c>
      <c r="C229" s="134">
        <v>45771</v>
      </c>
      <c r="D229" s="77" t="s">
        <v>11</v>
      </c>
      <c r="E229" s="96" t="s">
        <v>246</v>
      </c>
    </row>
    <row r="230" spans="1:5">
      <c r="A230" s="144" t="s">
        <v>36</v>
      </c>
      <c r="B230" s="24" t="s">
        <v>10</v>
      </c>
      <c r="C230" s="134">
        <v>45771</v>
      </c>
      <c r="D230" s="77" t="s">
        <v>11</v>
      </c>
      <c r="E230" s="96" t="s">
        <v>247</v>
      </c>
    </row>
    <row r="231" spans="1:5">
      <c r="A231" s="144" t="s">
        <v>36</v>
      </c>
      <c r="B231" s="24" t="s">
        <v>10</v>
      </c>
      <c r="C231" s="134">
        <v>45771</v>
      </c>
      <c r="D231" s="77" t="s">
        <v>11</v>
      </c>
      <c r="E231" s="96" t="s">
        <v>248</v>
      </c>
    </row>
    <row r="232" spans="1:5">
      <c r="A232" s="144" t="s">
        <v>36</v>
      </c>
      <c r="B232" s="24" t="s">
        <v>10</v>
      </c>
      <c r="C232" s="134">
        <v>45771</v>
      </c>
      <c r="D232" s="77" t="s">
        <v>11</v>
      </c>
      <c r="E232" s="96" t="s">
        <v>249</v>
      </c>
    </row>
    <row r="233" spans="1:5">
      <c r="A233" s="144" t="s">
        <v>36</v>
      </c>
      <c r="B233" s="24" t="s">
        <v>10</v>
      </c>
      <c r="C233" s="134">
        <v>45771</v>
      </c>
      <c r="D233" s="77" t="s">
        <v>11</v>
      </c>
      <c r="E233" s="96" t="s">
        <v>250</v>
      </c>
    </row>
    <row r="234" spans="1:5">
      <c r="A234" s="144" t="s">
        <v>36</v>
      </c>
      <c r="B234" s="24" t="s">
        <v>251</v>
      </c>
      <c r="C234" s="134">
        <v>45771</v>
      </c>
      <c r="D234" s="93" t="s">
        <v>31</v>
      </c>
      <c r="E234" s="96" t="s">
        <v>252</v>
      </c>
    </row>
    <row r="235" spans="1:5" ht="26.45">
      <c r="A235" s="144" t="s">
        <v>36</v>
      </c>
      <c r="B235" s="24" t="s">
        <v>251</v>
      </c>
      <c r="C235" s="134">
        <v>45771</v>
      </c>
      <c r="D235" s="93" t="s">
        <v>253</v>
      </c>
      <c r="E235" s="96" t="s">
        <v>254</v>
      </c>
    </row>
    <row r="236" spans="1:5" ht="39.6">
      <c r="A236" s="144" t="s">
        <v>36</v>
      </c>
      <c r="B236" s="24" t="s">
        <v>251</v>
      </c>
      <c r="C236" s="134">
        <v>45771</v>
      </c>
      <c r="D236" s="93" t="s">
        <v>255</v>
      </c>
      <c r="E236" s="96" t="s">
        <v>256</v>
      </c>
    </row>
    <row r="237" spans="1:5" ht="26.45">
      <c r="A237" s="144" t="s">
        <v>36</v>
      </c>
      <c r="B237" s="24" t="s">
        <v>26</v>
      </c>
      <c r="C237" s="134">
        <v>45772</v>
      </c>
      <c r="D237" s="77" t="s">
        <v>27</v>
      </c>
      <c r="E237" s="96" t="s">
        <v>257</v>
      </c>
    </row>
    <row r="238" spans="1:5" ht="26.45">
      <c r="A238" s="144" t="s">
        <v>36</v>
      </c>
      <c r="B238" s="24" t="s">
        <v>251</v>
      </c>
      <c r="C238" s="134">
        <v>45771</v>
      </c>
      <c r="D238" s="77" t="s">
        <v>258</v>
      </c>
      <c r="E238" s="96" t="s">
        <v>259</v>
      </c>
    </row>
    <row r="239" spans="1:5">
      <c r="A239" s="144" t="s">
        <v>36</v>
      </c>
      <c r="B239" s="24" t="s">
        <v>251</v>
      </c>
      <c r="C239" s="134">
        <v>45771</v>
      </c>
      <c r="D239" s="77" t="s">
        <v>258</v>
      </c>
      <c r="E239" s="96" t="s">
        <v>260</v>
      </c>
    </row>
    <row r="240" spans="1:5" ht="79.900000000000006" thickBot="1">
      <c r="A240" s="120" t="s">
        <v>36</v>
      </c>
      <c r="B240" s="61" t="s">
        <v>251</v>
      </c>
      <c r="C240" s="62">
        <v>45771</v>
      </c>
      <c r="D240" s="95" t="s">
        <v>261</v>
      </c>
      <c r="E240" s="63" t="s">
        <v>262</v>
      </c>
    </row>
    <row r="241" spans="1:5">
      <c r="A241" s="144" t="s">
        <v>263</v>
      </c>
      <c r="B241" s="24" t="s">
        <v>7</v>
      </c>
      <c r="C241" s="134">
        <v>45770</v>
      </c>
      <c r="D241" s="77" t="s">
        <v>71</v>
      </c>
      <c r="E241" s="96" t="s">
        <v>264</v>
      </c>
    </row>
    <row r="242" spans="1:5" ht="26.45">
      <c r="A242" s="144" t="s">
        <v>263</v>
      </c>
      <c r="B242" s="24" t="s">
        <v>7</v>
      </c>
      <c r="C242" s="134">
        <v>45770</v>
      </c>
      <c r="D242" s="77" t="s">
        <v>71</v>
      </c>
      <c r="E242" s="96" t="s">
        <v>265</v>
      </c>
    </row>
    <row r="243" spans="1:5">
      <c r="A243" s="144" t="s">
        <v>263</v>
      </c>
      <c r="B243" s="24" t="s">
        <v>10</v>
      </c>
      <c r="C243" s="134">
        <v>45769</v>
      </c>
      <c r="D243" s="77" t="s">
        <v>13</v>
      </c>
      <c r="E243" s="96" t="s">
        <v>266</v>
      </c>
    </row>
    <row r="244" spans="1:5">
      <c r="A244" s="144" t="s">
        <v>263</v>
      </c>
      <c r="B244" s="24" t="s">
        <v>10</v>
      </c>
      <c r="C244" s="134">
        <v>45769</v>
      </c>
      <c r="D244" s="77" t="s">
        <v>13</v>
      </c>
      <c r="E244" s="96" t="s">
        <v>267</v>
      </c>
    </row>
    <row r="245" spans="1:5">
      <c r="A245" s="144" t="s">
        <v>263</v>
      </c>
      <c r="B245" s="24" t="s">
        <v>10</v>
      </c>
      <c r="C245" s="134">
        <v>45769</v>
      </c>
      <c r="D245" s="77" t="s">
        <v>13</v>
      </c>
      <c r="E245" s="96" t="s">
        <v>268</v>
      </c>
    </row>
    <row r="246" spans="1:5">
      <c r="A246" s="144" t="s">
        <v>263</v>
      </c>
      <c r="B246" s="24" t="s">
        <v>10</v>
      </c>
      <c r="C246" s="134">
        <v>45769</v>
      </c>
      <c r="D246" s="77" t="s">
        <v>13</v>
      </c>
      <c r="E246" s="96" t="s">
        <v>269</v>
      </c>
    </row>
    <row r="247" spans="1:5">
      <c r="A247" s="144" t="s">
        <v>263</v>
      </c>
      <c r="B247" s="24" t="s">
        <v>10</v>
      </c>
      <c r="C247" s="134">
        <v>45769</v>
      </c>
      <c r="D247" s="77" t="s">
        <v>13</v>
      </c>
      <c r="E247" s="96" t="s">
        <v>270</v>
      </c>
    </row>
    <row r="248" spans="1:5">
      <c r="A248" s="144" t="s">
        <v>263</v>
      </c>
      <c r="B248" s="24" t="s">
        <v>10</v>
      </c>
      <c r="C248" s="134">
        <v>45769</v>
      </c>
      <c r="D248" s="77" t="s">
        <v>13</v>
      </c>
      <c r="E248" s="96" t="s">
        <v>271</v>
      </c>
    </row>
    <row r="249" spans="1:5">
      <c r="A249" s="144" t="s">
        <v>263</v>
      </c>
      <c r="B249" s="24" t="s">
        <v>10</v>
      </c>
      <c r="C249" s="134">
        <v>45769</v>
      </c>
      <c r="D249" s="77" t="s">
        <v>13</v>
      </c>
      <c r="E249" s="96" t="s">
        <v>272</v>
      </c>
    </row>
    <row r="250" spans="1:5">
      <c r="A250" s="144" t="s">
        <v>263</v>
      </c>
      <c r="B250" s="24" t="s">
        <v>10</v>
      </c>
      <c r="C250" s="134">
        <v>45769</v>
      </c>
      <c r="D250" s="77" t="s">
        <v>13</v>
      </c>
      <c r="E250" s="96" t="s">
        <v>273</v>
      </c>
    </row>
    <row r="251" spans="1:5">
      <c r="A251" s="144" t="s">
        <v>263</v>
      </c>
      <c r="B251" s="24" t="s">
        <v>10</v>
      </c>
      <c r="C251" s="134">
        <v>45769</v>
      </c>
      <c r="D251" s="77" t="s">
        <v>13</v>
      </c>
      <c r="E251" s="96" t="s">
        <v>274</v>
      </c>
    </row>
    <row r="252" spans="1:5">
      <c r="A252" s="144" t="s">
        <v>263</v>
      </c>
      <c r="B252" s="24" t="s">
        <v>10</v>
      </c>
      <c r="C252" s="134">
        <v>45769</v>
      </c>
      <c r="D252" s="77" t="s">
        <v>13</v>
      </c>
      <c r="E252" s="96" t="s">
        <v>275</v>
      </c>
    </row>
    <row r="253" spans="1:5">
      <c r="A253" s="144" t="s">
        <v>263</v>
      </c>
      <c r="B253" s="24" t="s">
        <v>10</v>
      </c>
      <c r="C253" s="134">
        <v>45769</v>
      </c>
      <c r="D253" s="77" t="s">
        <v>13</v>
      </c>
      <c r="E253" s="96" t="s">
        <v>276</v>
      </c>
    </row>
    <row r="254" spans="1:5">
      <c r="A254" s="144" t="s">
        <v>263</v>
      </c>
      <c r="B254" s="24" t="s">
        <v>10</v>
      </c>
      <c r="C254" s="134">
        <v>45769</v>
      </c>
      <c r="D254" s="77" t="s">
        <v>13</v>
      </c>
      <c r="E254" s="96" t="s">
        <v>277</v>
      </c>
    </row>
    <row r="255" spans="1:5">
      <c r="A255" s="144" t="s">
        <v>263</v>
      </c>
      <c r="B255" s="24" t="s">
        <v>10</v>
      </c>
      <c r="C255" s="134">
        <v>45769</v>
      </c>
      <c r="D255" s="77" t="s">
        <v>13</v>
      </c>
      <c r="E255" s="96" t="s">
        <v>278</v>
      </c>
    </row>
    <row r="256" spans="1:5">
      <c r="A256" s="144" t="s">
        <v>263</v>
      </c>
      <c r="B256" s="24" t="s">
        <v>10</v>
      </c>
      <c r="C256" s="134">
        <v>45769</v>
      </c>
      <c r="D256" s="77" t="s">
        <v>13</v>
      </c>
      <c r="E256" s="96" t="s">
        <v>279</v>
      </c>
    </row>
    <row r="257" spans="1:5">
      <c r="A257" s="144" t="s">
        <v>263</v>
      </c>
      <c r="B257" s="24" t="s">
        <v>10</v>
      </c>
      <c r="C257" s="134">
        <v>45769</v>
      </c>
      <c r="D257" s="77" t="s">
        <v>13</v>
      </c>
      <c r="E257" s="96" t="s">
        <v>280</v>
      </c>
    </row>
    <row r="258" spans="1:5">
      <c r="A258" s="144" t="s">
        <v>263</v>
      </c>
      <c r="B258" s="24" t="s">
        <v>10</v>
      </c>
      <c r="C258" s="134">
        <v>45769</v>
      </c>
      <c r="D258" s="77" t="s">
        <v>13</v>
      </c>
      <c r="E258" s="96" t="s">
        <v>281</v>
      </c>
    </row>
    <row r="259" spans="1:5">
      <c r="A259" s="144" t="s">
        <v>263</v>
      </c>
      <c r="B259" s="24" t="s">
        <v>10</v>
      </c>
      <c r="C259" s="134">
        <v>45769</v>
      </c>
      <c r="D259" s="77" t="s">
        <v>13</v>
      </c>
      <c r="E259" s="96" t="s">
        <v>282</v>
      </c>
    </row>
    <row r="260" spans="1:5">
      <c r="A260" s="144" t="s">
        <v>263</v>
      </c>
      <c r="B260" s="24" t="s">
        <v>10</v>
      </c>
      <c r="C260" s="134">
        <v>45769</v>
      </c>
      <c r="D260" s="77" t="s">
        <v>13</v>
      </c>
      <c r="E260" s="96" t="s">
        <v>283</v>
      </c>
    </row>
    <row r="261" spans="1:5">
      <c r="A261" s="144" t="s">
        <v>263</v>
      </c>
      <c r="B261" s="24" t="s">
        <v>10</v>
      </c>
      <c r="C261" s="134">
        <v>45769</v>
      </c>
      <c r="D261" s="77" t="s">
        <v>13</v>
      </c>
      <c r="E261" s="96" t="s">
        <v>284</v>
      </c>
    </row>
    <row r="262" spans="1:5">
      <c r="A262" s="144" t="s">
        <v>263</v>
      </c>
      <c r="B262" s="24" t="s">
        <v>10</v>
      </c>
      <c r="C262" s="134">
        <v>45769</v>
      </c>
      <c r="D262" s="77" t="s">
        <v>13</v>
      </c>
      <c r="E262" s="96" t="s">
        <v>112</v>
      </c>
    </row>
    <row r="263" spans="1:5">
      <c r="A263" s="144" t="s">
        <v>263</v>
      </c>
      <c r="B263" s="24" t="s">
        <v>10</v>
      </c>
      <c r="C263" s="134">
        <v>45769</v>
      </c>
      <c r="D263" s="77" t="s">
        <v>13</v>
      </c>
      <c r="E263" s="96" t="s">
        <v>285</v>
      </c>
    </row>
    <row r="264" spans="1:5">
      <c r="A264" s="144" t="s">
        <v>263</v>
      </c>
      <c r="B264" s="24" t="s">
        <v>10</v>
      </c>
      <c r="C264" s="134">
        <v>45769</v>
      </c>
      <c r="D264" s="77" t="s">
        <v>13</v>
      </c>
      <c r="E264" s="96" t="s">
        <v>286</v>
      </c>
    </row>
    <row r="265" spans="1:5">
      <c r="A265" s="144" t="s">
        <v>263</v>
      </c>
      <c r="B265" s="24" t="s">
        <v>10</v>
      </c>
      <c r="C265" s="134">
        <v>45769</v>
      </c>
      <c r="D265" s="77" t="s">
        <v>13</v>
      </c>
      <c r="E265" s="96" t="s">
        <v>287</v>
      </c>
    </row>
    <row r="266" spans="1:5">
      <c r="A266" s="144" t="s">
        <v>263</v>
      </c>
      <c r="B266" s="24" t="s">
        <v>10</v>
      </c>
      <c r="C266" s="134">
        <v>45769</v>
      </c>
      <c r="D266" s="77" t="s">
        <v>13</v>
      </c>
      <c r="E266" s="96" t="s">
        <v>288</v>
      </c>
    </row>
    <row r="267" spans="1:5">
      <c r="A267" s="144" t="s">
        <v>263</v>
      </c>
      <c r="B267" s="24" t="s">
        <v>10</v>
      </c>
      <c r="C267" s="134">
        <v>45769</v>
      </c>
      <c r="D267" s="77" t="s">
        <v>13</v>
      </c>
      <c r="E267" s="96" t="s">
        <v>289</v>
      </c>
    </row>
    <row r="268" spans="1:5">
      <c r="A268" s="144" t="s">
        <v>263</v>
      </c>
      <c r="B268" s="24" t="s">
        <v>10</v>
      </c>
      <c r="C268" s="134">
        <v>45769</v>
      </c>
      <c r="D268" s="77" t="s">
        <v>13</v>
      </c>
      <c r="E268" s="96" t="s">
        <v>290</v>
      </c>
    </row>
    <row r="269" spans="1:5">
      <c r="A269" s="144" t="s">
        <v>263</v>
      </c>
      <c r="B269" s="24" t="s">
        <v>10</v>
      </c>
      <c r="C269" s="134">
        <v>45769</v>
      </c>
      <c r="D269" s="77" t="s">
        <v>13</v>
      </c>
      <c r="E269" s="96" t="s">
        <v>291</v>
      </c>
    </row>
    <row r="270" spans="1:5">
      <c r="A270" s="144" t="s">
        <v>263</v>
      </c>
      <c r="B270" s="24" t="s">
        <v>10</v>
      </c>
      <c r="C270" s="134">
        <v>45769</v>
      </c>
      <c r="D270" s="77" t="s">
        <v>13</v>
      </c>
      <c r="E270" s="96" t="s">
        <v>292</v>
      </c>
    </row>
    <row r="271" spans="1:5">
      <c r="A271" s="144" t="s">
        <v>263</v>
      </c>
      <c r="B271" s="24" t="s">
        <v>10</v>
      </c>
      <c r="C271" s="134">
        <v>45769</v>
      </c>
      <c r="D271" s="77" t="s">
        <v>11</v>
      </c>
      <c r="E271" s="96" t="s">
        <v>293</v>
      </c>
    </row>
    <row r="272" spans="1:5">
      <c r="A272" s="144" t="s">
        <v>263</v>
      </c>
      <c r="B272" s="24" t="s">
        <v>10</v>
      </c>
      <c r="C272" s="134">
        <v>45769</v>
      </c>
      <c r="D272" s="77" t="s">
        <v>11</v>
      </c>
      <c r="E272" s="96" t="s">
        <v>294</v>
      </c>
    </row>
    <row r="273" spans="1:5">
      <c r="A273" s="144" t="s">
        <v>263</v>
      </c>
      <c r="B273" s="24" t="s">
        <v>10</v>
      </c>
      <c r="C273" s="134">
        <v>45769</v>
      </c>
      <c r="D273" s="77" t="s">
        <v>11</v>
      </c>
      <c r="E273" s="96" t="s">
        <v>295</v>
      </c>
    </row>
    <row r="274" spans="1:5">
      <c r="A274" s="145" t="s">
        <v>263</v>
      </c>
      <c r="B274" s="24" t="s">
        <v>10</v>
      </c>
      <c r="C274" s="134">
        <v>45769</v>
      </c>
      <c r="D274" s="77" t="s">
        <v>11</v>
      </c>
      <c r="E274" s="96" t="s">
        <v>296</v>
      </c>
    </row>
    <row r="275" spans="1:5">
      <c r="A275" s="145" t="s">
        <v>263</v>
      </c>
      <c r="B275" s="24" t="s">
        <v>10</v>
      </c>
      <c r="C275" s="134">
        <v>45769</v>
      </c>
      <c r="D275" s="77" t="s">
        <v>11</v>
      </c>
      <c r="E275" s="96" t="s">
        <v>297</v>
      </c>
    </row>
    <row r="276" spans="1:5">
      <c r="A276" s="146" t="s">
        <v>263</v>
      </c>
      <c r="B276" s="24" t="s">
        <v>10</v>
      </c>
      <c r="C276" s="134">
        <v>45769</v>
      </c>
      <c r="D276" s="77" t="s">
        <v>11</v>
      </c>
      <c r="E276" s="96" t="s">
        <v>298</v>
      </c>
    </row>
    <row r="277" spans="1:5">
      <c r="A277" s="146" t="s">
        <v>263</v>
      </c>
      <c r="B277" s="24" t="s">
        <v>10</v>
      </c>
      <c r="C277" s="134">
        <v>45769</v>
      </c>
      <c r="D277" s="77" t="s">
        <v>11</v>
      </c>
      <c r="E277" s="96" t="s">
        <v>299</v>
      </c>
    </row>
    <row r="278" spans="1:5">
      <c r="A278" s="146" t="s">
        <v>263</v>
      </c>
      <c r="B278" s="24" t="s">
        <v>10</v>
      </c>
      <c r="C278" s="134">
        <v>45769</v>
      </c>
      <c r="D278" s="77" t="s">
        <v>11</v>
      </c>
      <c r="E278" s="96" t="s">
        <v>300</v>
      </c>
    </row>
    <row r="279" spans="1:5">
      <c r="A279" s="146" t="s">
        <v>263</v>
      </c>
      <c r="B279" s="24" t="s">
        <v>10</v>
      </c>
      <c r="C279" s="134">
        <v>45769</v>
      </c>
      <c r="D279" s="77" t="s">
        <v>11</v>
      </c>
      <c r="E279" s="96" t="s">
        <v>301</v>
      </c>
    </row>
    <row r="280" spans="1:5">
      <c r="A280" s="146" t="s">
        <v>263</v>
      </c>
      <c r="B280" s="24" t="s">
        <v>10</v>
      </c>
      <c r="C280" s="134">
        <v>45769</v>
      </c>
      <c r="D280" s="77" t="s">
        <v>11</v>
      </c>
      <c r="E280" s="96" t="s">
        <v>235</v>
      </c>
    </row>
    <row r="281" spans="1:5">
      <c r="A281" s="146" t="s">
        <v>263</v>
      </c>
      <c r="B281" s="24" t="s">
        <v>10</v>
      </c>
      <c r="C281" s="134">
        <v>45769</v>
      </c>
      <c r="D281" s="77" t="s">
        <v>11</v>
      </c>
      <c r="E281" s="96" t="s">
        <v>302</v>
      </c>
    </row>
    <row r="282" spans="1:5">
      <c r="A282" s="146" t="s">
        <v>263</v>
      </c>
      <c r="B282" s="24" t="s">
        <v>10</v>
      </c>
      <c r="C282" s="134">
        <v>45769</v>
      </c>
      <c r="D282" s="77" t="s">
        <v>11</v>
      </c>
      <c r="E282" s="96" t="s">
        <v>303</v>
      </c>
    </row>
    <row r="283" spans="1:5">
      <c r="A283" s="146" t="s">
        <v>263</v>
      </c>
      <c r="B283" s="24" t="s">
        <v>10</v>
      </c>
      <c r="C283" s="134">
        <v>45769</v>
      </c>
      <c r="D283" s="77" t="s">
        <v>11</v>
      </c>
      <c r="E283" s="96" t="s">
        <v>304</v>
      </c>
    </row>
    <row r="284" spans="1:5">
      <c r="A284" s="146" t="s">
        <v>263</v>
      </c>
      <c r="B284" s="24" t="s">
        <v>10</v>
      </c>
      <c r="C284" s="134">
        <v>45769</v>
      </c>
      <c r="D284" s="77" t="s">
        <v>11</v>
      </c>
      <c r="E284" s="96" t="s">
        <v>305</v>
      </c>
    </row>
    <row r="285" spans="1:5">
      <c r="A285" s="146" t="s">
        <v>263</v>
      </c>
      <c r="B285" s="24" t="s">
        <v>10</v>
      </c>
      <c r="C285" s="134">
        <v>45769</v>
      </c>
      <c r="D285" s="77" t="s">
        <v>11</v>
      </c>
      <c r="E285" s="96" t="s">
        <v>306</v>
      </c>
    </row>
    <row r="286" spans="1:5">
      <c r="A286" s="146" t="s">
        <v>263</v>
      </c>
      <c r="B286" s="24" t="s">
        <v>10</v>
      </c>
      <c r="C286" s="134">
        <v>45769</v>
      </c>
      <c r="D286" s="77" t="s">
        <v>11</v>
      </c>
      <c r="E286" s="96" t="s">
        <v>307</v>
      </c>
    </row>
    <row r="287" spans="1:5">
      <c r="A287" s="146" t="s">
        <v>263</v>
      </c>
      <c r="B287" s="24" t="s">
        <v>10</v>
      </c>
      <c r="C287" s="134">
        <v>45769</v>
      </c>
      <c r="D287" s="77" t="s">
        <v>11</v>
      </c>
      <c r="E287" s="96" t="s">
        <v>308</v>
      </c>
    </row>
    <row r="288" spans="1:5">
      <c r="A288" s="146" t="s">
        <v>263</v>
      </c>
      <c r="B288" s="24" t="s">
        <v>10</v>
      </c>
      <c r="C288" s="134">
        <v>45769</v>
      </c>
      <c r="D288" s="77" t="s">
        <v>11</v>
      </c>
      <c r="E288" s="96" t="s">
        <v>309</v>
      </c>
    </row>
    <row r="289" spans="1:5">
      <c r="A289" s="146" t="s">
        <v>263</v>
      </c>
      <c r="B289" s="24" t="s">
        <v>10</v>
      </c>
      <c r="C289" s="134">
        <v>45769</v>
      </c>
      <c r="D289" s="77" t="s">
        <v>11</v>
      </c>
      <c r="E289" s="96" t="s">
        <v>310</v>
      </c>
    </row>
    <row r="290" spans="1:5">
      <c r="A290" s="146" t="s">
        <v>263</v>
      </c>
      <c r="B290" s="24" t="s">
        <v>10</v>
      </c>
      <c r="C290" s="134">
        <v>45769</v>
      </c>
      <c r="D290" s="77" t="s">
        <v>11</v>
      </c>
      <c r="E290" s="96" t="s">
        <v>311</v>
      </c>
    </row>
    <row r="291" spans="1:5">
      <c r="A291" s="132" t="s">
        <v>263</v>
      </c>
      <c r="B291" s="24" t="s">
        <v>10</v>
      </c>
      <c r="C291" s="134">
        <v>45769</v>
      </c>
      <c r="D291" s="77" t="s">
        <v>11</v>
      </c>
      <c r="E291" s="96" t="s">
        <v>312</v>
      </c>
    </row>
    <row r="292" spans="1:5">
      <c r="A292" s="132">
        <v>25.11</v>
      </c>
      <c r="B292" s="24" t="s">
        <v>15</v>
      </c>
      <c r="C292" s="134">
        <v>45769</v>
      </c>
      <c r="D292" s="77" t="s">
        <v>16</v>
      </c>
      <c r="E292" s="96" t="s">
        <v>313</v>
      </c>
    </row>
    <row r="293" spans="1:5">
      <c r="A293" s="132">
        <v>25.11</v>
      </c>
      <c r="B293" s="24" t="s">
        <v>15</v>
      </c>
      <c r="C293" s="134">
        <v>45769</v>
      </c>
      <c r="D293" s="77" t="s">
        <v>16</v>
      </c>
      <c r="E293" s="96" t="s">
        <v>314</v>
      </c>
    </row>
    <row r="294" spans="1:5">
      <c r="A294" s="132">
        <v>25.11</v>
      </c>
      <c r="B294" s="24" t="s">
        <v>15</v>
      </c>
      <c r="C294" s="134">
        <v>45769</v>
      </c>
      <c r="D294" s="77" t="s">
        <v>16</v>
      </c>
      <c r="E294" s="96" t="s">
        <v>315</v>
      </c>
    </row>
    <row r="295" spans="1:5">
      <c r="A295" s="132">
        <v>25.11</v>
      </c>
      <c r="B295" s="24" t="s">
        <v>15</v>
      </c>
      <c r="C295" s="134">
        <v>45769</v>
      </c>
      <c r="D295" s="77" t="s">
        <v>16</v>
      </c>
      <c r="E295" s="96" t="s">
        <v>316</v>
      </c>
    </row>
    <row r="296" spans="1:5">
      <c r="A296" s="132">
        <v>25.11</v>
      </c>
      <c r="B296" s="24" t="s">
        <v>15</v>
      </c>
      <c r="C296" s="134">
        <v>45769</v>
      </c>
      <c r="D296" s="77" t="s">
        <v>16</v>
      </c>
      <c r="E296" s="96" t="s">
        <v>317</v>
      </c>
    </row>
    <row r="297" spans="1:5">
      <c r="A297" s="132">
        <v>25.11</v>
      </c>
      <c r="B297" s="24" t="s">
        <v>15</v>
      </c>
      <c r="C297" s="134">
        <v>45769</v>
      </c>
      <c r="D297" s="77" t="s">
        <v>16</v>
      </c>
      <c r="E297" s="96" t="s">
        <v>318</v>
      </c>
    </row>
    <row r="298" spans="1:5">
      <c r="A298" s="132">
        <v>25.11</v>
      </c>
      <c r="B298" s="24" t="s">
        <v>15</v>
      </c>
      <c r="C298" s="134">
        <v>45769</v>
      </c>
      <c r="D298" s="77" t="s">
        <v>16</v>
      </c>
      <c r="E298" s="96" t="s">
        <v>319</v>
      </c>
    </row>
    <row r="299" spans="1:5">
      <c r="A299" s="132">
        <v>25.11</v>
      </c>
      <c r="B299" s="24" t="s">
        <v>15</v>
      </c>
      <c r="C299" s="134">
        <v>45769</v>
      </c>
      <c r="D299" s="77" t="s">
        <v>16</v>
      </c>
      <c r="E299" s="96" t="s">
        <v>320</v>
      </c>
    </row>
    <row r="300" spans="1:5">
      <c r="A300" s="132">
        <v>25.11</v>
      </c>
      <c r="B300" s="24" t="s">
        <v>15</v>
      </c>
      <c r="C300" s="134">
        <v>45769</v>
      </c>
      <c r="D300" s="77" t="s">
        <v>16</v>
      </c>
      <c r="E300" s="96" t="s">
        <v>321</v>
      </c>
    </row>
    <row r="301" spans="1:5">
      <c r="A301" s="132">
        <v>25.11</v>
      </c>
      <c r="B301" s="24" t="s">
        <v>15</v>
      </c>
      <c r="C301" s="134">
        <v>45769</v>
      </c>
      <c r="D301" s="77" t="s">
        <v>16</v>
      </c>
      <c r="E301" s="96" t="s">
        <v>322</v>
      </c>
    </row>
    <row r="302" spans="1:5">
      <c r="A302" s="132">
        <v>25.11</v>
      </c>
      <c r="B302" s="24" t="s">
        <v>15</v>
      </c>
      <c r="C302" s="134">
        <v>45769</v>
      </c>
      <c r="D302" s="77" t="s">
        <v>16</v>
      </c>
      <c r="E302" s="96" t="s">
        <v>323</v>
      </c>
    </row>
    <row r="303" spans="1:5">
      <c r="A303" s="132">
        <v>25.11</v>
      </c>
      <c r="B303" s="24" t="s">
        <v>15</v>
      </c>
      <c r="C303" s="134">
        <v>45769</v>
      </c>
      <c r="D303" s="77" t="s">
        <v>16</v>
      </c>
      <c r="E303" s="96" t="s">
        <v>324</v>
      </c>
    </row>
    <row r="304" spans="1:5" ht="13.5" customHeight="1">
      <c r="A304" s="132">
        <v>25.11</v>
      </c>
      <c r="B304" s="24" t="s">
        <v>15</v>
      </c>
      <c r="C304" s="134">
        <v>45769</v>
      </c>
      <c r="D304" s="77" t="s">
        <v>16</v>
      </c>
      <c r="E304" s="96" t="s">
        <v>325</v>
      </c>
    </row>
    <row r="305" spans="1:5">
      <c r="A305" s="132">
        <v>25.11</v>
      </c>
      <c r="B305" s="24" t="s">
        <v>15</v>
      </c>
      <c r="C305" s="134">
        <v>45769</v>
      </c>
      <c r="D305" s="77" t="s">
        <v>16</v>
      </c>
      <c r="E305" s="96" t="s">
        <v>326</v>
      </c>
    </row>
    <row r="306" spans="1:5">
      <c r="A306" s="132">
        <v>25.11</v>
      </c>
      <c r="B306" s="24" t="s">
        <v>15</v>
      </c>
      <c r="C306" s="134">
        <v>45769</v>
      </c>
      <c r="D306" s="77" t="s">
        <v>16</v>
      </c>
      <c r="E306" s="96" t="s">
        <v>327</v>
      </c>
    </row>
    <row r="307" spans="1:5">
      <c r="A307" s="132">
        <v>25.11</v>
      </c>
      <c r="B307" s="24" t="s">
        <v>15</v>
      </c>
      <c r="C307" s="134">
        <v>45769</v>
      </c>
      <c r="D307" s="77" t="s">
        <v>16</v>
      </c>
      <c r="E307" s="96" t="s">
        <v>328</v>
      </c>
    </row>
    <row r="308" spans="1:5">
      <c r="A308" s="132">
        <v>25.11</v>
      </c>
      <c r="B308" s="24" t="s">
        <v>15</v>
      </c>
      <c r="C308" s="134">
        <v>45769</v>
      </c>
      <c r="D308" s="77" t="s">
        <v>16</v>
      </c>
      <c r="E308" s="96" t="s">
        <v>329</v>
      </c>
    </row>
    <row r="309" spans="1:5">
      <c r="A309" s="132">
        <v>25.11</v>
      </c>
      <c r="B309" s="24" t="s">
        <v>15</v>
      </c>
      <c r="C309" s="134">
        <v>45769</v>
      </c>
      <c r="D309" s="77" t="s">
        <v>16</v>
      </c>
      <c r="E309" s="96" t="s">
        <v>330</v>
      </c>
    </row>
    <row r="310" spans="1:5">
      <c r="A310" s="132">
        <v>25.11</v>
      </c>
      <c r="B310" s="24" t="s">
        <v>15</v>
      </c>
      <c r="C310" s="134">
        <v>45769</v>
      </c>
      <c r="D310" s="77" t="s">
        <v>16</v>
      </c>
      <c r="E310" s="96" t="s">
        <v>331</v>
      </c>
    </row>
    <row r="311" spans="1:5" ht="92.45">
      <c r="A311" s="132">
        <v>25.11</v>
      </c>
      <c r="B311" s="24" t="s">
        <v>15</v>
      </c>
      <c r="C311" s="134">
        <v>45769</v>
      </c>
      <c r="D311" s="77" t="s">
        <v>16</v>
      </c>
      <c r="E311" s="143" t="s">
        <v>332</v>
      </c>
    </row>
    <row r="312" spans="1:5" ht="26.45">
      <c r="A312" s="132">
        <v>25.11</v>
      </c>
      <c r="B312" s="24" t="s">
        <v>15</v>
      </c>
      <c r="C312" s="134">
        <v>45769</v>
      </c>
      <c r="D312" s="77" t="s">
        <v>16</v>
      </c>
      <c r="E312" s="96" t="s">
        <v>333</v>
      </c>
    </row>
    <row r="313" spans="1:5" ht="26.45">
      <c r="A313" s="132" t="s">
        <v>263</v>
      </c>
      <c r="B313" s="24" t="s">
        <v>251</v>
      </c>
      <c r="C313" s="134">
        <v>45768</v>
      </c>
      <c r="D313" s="77" t="s">
        <v>334</v>
      </c>
      <c r="E313" s="96" t="s">
        <v>335</v>
      </c>
    </row>
    <row r="314" spans="1:5" ht="66">
      <c r="A314" s="132" t="s">
        <v>263</v>
      </c>
      <c r="B314" s="24" t="s">
        <v>251</v>
      </c>
      <c r="C314" s="134">
        <v>45768</v>
      </c>
      <c r="D314" s="77" t="s">
        <v>258</v>
      </c>
      <c r="E314" s="96" t="s">
        <v>336</v>
      </c>
    </row>
    <row r="315" spans="1:5" ht="39.6">
      <c r="A315" s="132" t="s">
        <v>263</v>
      </c>
      <c r="B315" s="24" t="s">
        <v>251</v>
      </c>
      <c r="C315" s="134">
        <v>45768</v>
      </c>
      <c r="D315" s="77" t="s">
        <v>258</v>
      </c>
      <c r="E315" s="96" t="s">
        <v>337</v>
      </c>
    </row>
    <row r="316" spans="1:5" ht="39.6">
      <c r="A316" s="132" t="s">
        <v>263</v>
      </c>
      <c r="B316" s="24" t="s">
        <v>251</v>
      </c>
      <c r="C316" s="134">
        <v>45768</v>
      </c>
      <c r="D316" s="77" t="s">
        <v>258</v>
      </c>
      <c r="E316" s="96" t="s">
        <v>338</v>
      </c>
    </row>
    <row r="317" spans="1:5" ht="39.6">
      <c r="A317" s="132" t="s">
        <v>263</v>
      </c>
      <c r="B317" s="24" t="s">
        <v>251</v>
      </c>
      <c r="C317" s="134">
        <v>45768</v>
      </c>
      <c r="D317" s="77" t="s">
        <v>258</v>
      </c>
      <c r="E317" s="96" t="s">
        <v>339</v>
      </c>
    </row>
    <row r="318" spans="1:5" ht="26.45">
      <c r="A318" s="132" t="s">
        <v>263</v>
      </c>
      <c r="B318" s="24" t="s">
        <v>251</v>
      </c>
      <c r="C318" s="134">
        <v>45768</v>
      </c>
      <c r="D318" s="77" t="s">
        <v>258</v>
      </c>
      <c r="E318" s="96" t="s">
        <v>340</v>
      </c>
    </row>
    <row r="319" spans="1:5" ht="26.45">
      <c r="A319" s="132" t="s">
        <v>263</v>
      </c>
      <c r="B319" s="24" t="s">
        <v>251</v>
      </c>
      <c r="C319" s="134">
        <v>45768</v>
      </c>
      <c r="D319" s="77" t="s">
        <v>258</v>
      </c>
      <c r="E319" s="96" t="s">
        <v>341</v>
      </c>
    </row>
    <row r="320" spans="1:5" ht="26.45">
      <c r="A320" s="132" t="s">
        <v>263</v>
      </c>
      <c r="B320" s="24" t="s">
        <v>251</v>
      </c>
      <c r="C320" s="134">
        <v>45768</v>
      </c>
      <c r="D320" s="77" t="s">
        <v>258</v>
      </c>
      <c r="E320" s="96" t="s">
        <v>342</v>
      </c>
    </row>
    <row r="321" spans="1:5" ht="26.45">
      <c r="A321" s="132" t="s">
        <v>263</v>
      </c>
      <c r="B321" s="24" t="s">
        <v>251</v>
      </c>
      <c r="C321" s="134">
        <v>45768</v>
      </c>
      <c r="D321" s="77" t="s">
        <v>258</v>
      </c>
      <c r="E321" s="96" t="s">
        <v>343</v>
      </c>
    </row>
    <row r="322" spans="1:5" ht="26.45">
      <c r="A322" s="132" t="s">
        <v>263</v>
      </c>
      <c r="B322" s="24" t="s">
        <v>251</v>
      </c>
      <c r="C322" s="134">
        <v>45768</v>
      </c>
      <c r="D322" s="77" t="s">
        <v>258</v>
      </c>
      <c r="E322" s="96" t="s">
        <v>344</v>
      </c>
    </row>
    <row r="323" spans="1:5" ht="26.45">
      <c r="A323" s="132" t="s">
        <v>263</v>
      </c>
      <c r="B323" s="24" t="s">
        <v>251</v>
      </c>
      <c r="C323" s="134">
        <v>45768</v>
      </c>
      <c r="D323" s="77" t="s">
        <v>258</v>
      </c>
      <c r="E323" s="96" t="s">
        <v>345</v>
      </c>
    </row>
    <row r="324" spans="1:5">
      <c r="A324" s="132" t="s">
        <v>263</v>
      </c>
      <c r="B324" s="24" t="s">
        <v>251</v>
      </c>
      <c r="C324" s="134">
        <v>45768</v>
      </c>
      <c r="D324" s="77" t="s">
        <v>258</v>
      </c>
      <c r="E324" s="96" t="s">
        <v>346</v>
      </c>
    </row>
    <row r="325" spans="1:5" ht="26.45">
      <c r="A325" s="132" t="s">
        <v>263</v>
      </c>
      <c r="B325" s="24" t="s">
        <v>251</v>
      </c>
      <c r="C325" s="134">
        <v>45768</v>
      </c>
      <c r="D325" s="77" t="s">
        <v>258</v>
      </c>
      <c r="E325" s="96" t="s">
        <v>347</v>
      </c>
    </row>
    <row r="326" spans="1:5" ht="26.45">
      <c r="A326" s="132" t="s">
        <v>263</v>
      </c>
      <c r="B326" s="24" t="s">
        <v>251</v>
      </c>
      <c r="C326" s="134">
        <v>45768</v>
      </c>
      <c r="D326" s="77" t="s">
        <v>258</v>
      </c>
      <c r="E326" s="96" t="s">
        <v>348</v>
      </c>
    </row>
    <row r="327" spans="1:5" ht="26.45">
      <c r="A327" s="132" t="s">
        <v>263</v>
      </c>
      <c r="B327" s="24" t="s">
        <v>251</v>
      </c>
      <c r="C327" s="134">
        <v>45768</v>
      </c>
      <c r="D327" s="77" t="s">
        <v>258</v>
      </c>
      <c r="E327" s="96" t="s">
        <v>349</v>
      </c>
    </row>
    <row r="328" spans="1:5" ht="26.45">
      <c r="A328" s="132" t="s">
        <v>263</v>
      </c>
      <c r="B328" s="24" t="s">
        <v>251</v>
      </c>
      <c r="C328" s="134">
        <v>45768</v>
      </c>
      <c r="D328" s="77" t="s">
        <v>258</v>
      </c>
      <c r="E328" s="96" t="s">
        <v>350</v>
      </c>
    </row>
    <row r="329" spans="1:5" ht="26.45">
      <c r="A329" s="132" t="s">
        <v>263</v>
      </c>
      <c r="B329" s="24" t="s">
        <v>251</v>
      </c>
      <c r="C329" s="134">
        <v>45768</v>
      </c>
      <c r="D329" s="77" t="s">
        <v>258</v>
      </c>
      <c r="E329" s="96" t="s">
        <v>351</v>
      </c>
    </row>
    <row r="330" spans="1:5" ht="26.45">
      <c r="A330" s="132" t="s">
        <v>263</v>
      </c>
      <c r="B330" s="24" t="s">
        <v>251</v>
      </c>
      <c r="C330" s="134">
        <v>45768</v>
      </c>
      <c r="D330" s="77" t="s">
        <v>258</v>
      </c>
      <c r="E330" s="96" t="s">
        <v>352</v>
      </c>
    </row>
    <row r="331" spans="1:5" ht="26.45">
      <c r="A331" s="132" t="s">
        <v>263</v>
      </c>
      <c r="B331" s="24" t="s">
        <v>251</v>
      </c>
      <c r="C331" s="134">
        <v>45768</v>
      </c>
      <c r="D331" s="77" t="s">
        <v>258</v>
      </c>
      <c r="E331" s="96" t="s">
        <v>353</v>
      </c>
    </row>
    <row r="332" spans="1:5" ht="26.45">
      <c r="A332" s="132" t="s">
        <v>263</v>
      </c>
      <c r="B332" s="24" t="s">
        <v>251</v>
      </c>
      <c r="C332" s="134">
        <v>45768</v>
      </c>
      <c r="D332" s="77" t="s">
        <v>258</v>
      </c>
      <c r="E332" s="96" t="s">
        <v>354</v>
      </c>
    </row>
    <row r="333" spans="1:5" ht="39.6">
      <c r="A333" s="132" t="s">
        <v>263</v>
      </c>
      <c r="B333" s="24" t="s">
        <v>251</v>
      </c>
      <c r="C333" s="134">
        <v>45768</v>
      </c>
      <c r="D333" s="77" t="s">
        <v>258</v>
      </c>
      <c r="E333" s="96" t="s">
        <v>355</v>
      </c>
    </row>
    <row r="334" spans="1:5" ht="26.45">
      <c r="A334" s="132" t="s">
        <v>263</v>
      </c>
      <c r="B334" s="24" t="s">
        <v>251</v>
      </c>
      <c r="C334" s="134">
        <v>45768</v>
      </c>
      <c r="D334" s="77" t="s">
        <v>258</v>
      </c>
      <c r="E334" s="96" t="s">
        <v>356</v>
      </c>
    </row>
    <row r="335" spans="1:5" ht="26.45">
      <c r="A335" s="132" t="s">
        <v>263</v>
      </c>
      <c r="B335" s="24" t="s">
        <v>251</v>
      </c>
      <c r="C335" s="134">
        <v>45768</v>
      </c>
      <c r="D335" s="77" t="s">
        <v>258</v>
      </c>
      <c r="E335" s="96" t="s">
        <v>357</v>
      </c>
    </row>
    <row r="336" spans="1:5" ht="39.6">
      <c r="A336" s="132" t="s">
        <v>263</v>
      </c>
      <c r="B336" s="24" t="s">
        <v>251</v>
      </c>
      <c r="C336" s="134">
        <v>45768</v>
      </c>
      <c r="D336" s="77" t="s">
        <v>258</v>
      </c>
      <c r="E336" s="96" t="s">
        <v>358</v>
      </c>
    </row>
    <row r="337" spans="1:5" ht="39.6">
      <c r="A337" s="132" t="s">
        <v>263</v>
      </c>
      <c r="B337" s="24" t="s">
        <v>251</v>
      </c>
      <c r="C337" s="134">
        <v>45768</v>
      </c>
      <c r="D337" s="77" t="s">
        <v>258</v>
      </c>
      <c r="E337" s="96" t="s">
        <v>359</v>
      </c>
    </row>
    <row r="338" spans="1:5" ht="26.45">
      <c r="A338" s="132" t="s">
        <v>263</v>
      </c>
      <c r="B338" s="24" t="s">
        <v>251</v>
      </c>
      <c r="C338" s="134">
        <v>45768</v>
      </c>
      <c r="D338" s="77" t="s">
        <v>258</v>
      </c>
      <c r="E338" s="96" t="s">
        <v>360</v>
      </c>
    </row>
    <row r="339" spans="1:5">
      <c r="A339" s="132" t="s">
        <v>263</v>
      </c>
      <c r="B339" s="24" t="s">
        <v>251</v>
      </c>
      <c r="C339" s="134">
        <v>45768</v>
      </c>
      <c r="D339" s="77" t="s">
        <v>258</v>
      </c>
      <c r="E339" s="96" t="s">
        <v>361</v>
      </c>
    </row>
    <row r="340" spans="1:5" ht="26.45">
      <c r="A340" s="132" t="s">
        <v>263</v>
      </c>
      <c r="B340" s="24" t="s">
        <v>251</v>
      </c>
      <c r="C340" s="134">
        <v>45768</v>
      </c>
      <c r="D340" s="77" t="s">
        <v>258</v>
      </c>
      <c r="E340" s="96" t="s">
        <v>362</v>
      </c>
    </row>
    <row r="341" spans="1:5" ht="39.6">
      <c r="A341" s="132" t="s">
        <v>263</v>
      </c>
      <c r="B341" s="24" t="s">
        <v>251</v>
      </c>
      <c r="C341" s="134">
        <v>45768</v>
      </c>
      <c r="D341" s="77" t="s">
        <v>258</v>
      </c>
      <c r="E341" s="96" t="s">
        <v>363</v>
      </c>
    </row>
    <row r="342" spans="1:5" ht="26.45">
      <c r="A342" s="132" t="s">
        <v>263</v>
      </c>
      <c r="B342" s="24" t="s">
        <v>251</v>
      </c>
      <c r="C342" s="134">
        <v>45768</v>
      </c>
      <c r="D342" s="77" t="s">
        <v>258</v>
      </c>
      <c r="E342" s="96" t="s">
        <v>364</v>
      </c>
    </row>
    <row r="343" spans="1:5" ht="26.45">
      <c r="A343" s="132" t="s">
        <v>263</v>
      </c>
      <c r="B343" s="24" t="s">
        <v>251</v>
      </c>
      <c r="C343" s="134">
        <v>45768</v>
      </c>
      <c r="D343" s="77" t="s">
        <v>258</v>
      </c>
      <c r="E343" s="96" t="s">
        <v>365</v>
      </c>
    </row>
    <row r="344" spans="1:5" ht="39.6">
      <c r="A344" s="132" t="s">
        <v>263</v>
      </c>
      <c r="B344" s="24" t="s">
        <v>251</v>
      </c>
      <c r="C344" s="134">
        <v>45768</v>
      </c>
      <c r="D344" s="77" t="s">
        <v>258</v>
      </c>
      <c r="E344" s="96" t="s">
        <v>366</v>
      </c>
    </row>
    <row r="345" spans="1:5" ht="39.6">
      <c r="A345" s="132" t="s">
        <v>263</v>
      </c>
      <c r="B345" s="24" t="s">
        <v>251</v>
      </c>
      <c r="C345" s="134">
        <v>45768</v>
      </c>
      <c r="D345" s="77" t="s">
        <v>258</v>
      </c>
      <c r="E345" s="96" t="s">
        <v>367</v>
      </c>
    </row>
    <row r="346" spans="1:5" ht="39.6">
      <c r="A346" s="132" t="s">
        <v>263</v>
      </c>
      <c r="B346" s="24" t="s">
        <v>251</v>
      </c>
      <c r="C346" s="134">
        <v>45768</v>
      </c>
      <c r="D346" s="77" t="s">
        <v>258</v>
      </c>
      <c r="E346" s="96" t="s">
        <v>368</v>
      </c>
    </row>
    <row r="347" spans="1:5" ht="39.6">
      <c r="A347" s="132" t="s">
        <v>263</v>
      </c>
      <c r="B347" s="24" t="s">
        <v>251</v>
      </c>
      <c r="C347" s="134">
        <v>45768</v>
      </c>
      <c r="D347" s="77" t="s">
        <v>258</v>
      </c>
      <c r="E347" s="96" t="s">
        <v>369</v>
      </c>
    </row>
    <row r="348" spans="1:5" ht="26.45">
      <c r="A348" s="132" t="s">
        <v>263</v>
      </c>
      <c r="B348" s="24" t="s">
        <v>251</v>
      </c>
      <c r="C348" s="134">
        <v>45768</v>
      </c>
      <c r="D348" s="77" t="s">
        <v>258</v>
      </c>
      <c r="E348" s="96" t="s">
        <v>370</v>
      </c>
    </row>
    <row r="349" spans="1:5" ht="26.45">
      <c r="A349" s="132" t="s">
        <v>263</v>
      </c>
      <c r="B349" s="24" t="s">
        <v>251</v>
      </c>
      <c r="C349" s="134">
        <v>45768</v>
      </c>
      <c r="D349" s="77" t="s">
        <v>258</v>
      </c>
      <c r="E349" s="96" t="s">
        <v>371</v>
      </c>
    </row>
    <row r="350" spans="1:5" ht="26.45">
      <c r="A350" s="132" t="s">
        <v>263</v>
      </c>
      <c r="B350" s="24" t="s">
        <v>251</v>
      </c>
      <c r="C350" s="134">
        <v>45768</v>
      </c>
      <c r="D350" s="77" t="s">
        <v>258</v>
      </c>
      <c r="E350" s="96" t="s">
        <v>372</v>
      </c>
    </row>
    <row r="351" spans="1:5" ht="26.45">
      <c r="A351" s="132" t="s">
        <v>263</v>
      </c>
      <c r="B351" s="24" t="s">
        <v>251</v>
      </c>
      <c r="C351" s="134">
        <v>45768</v>
      </c>
      <c r="D351" s="77" t="s">
        <v>258</v>
      </c>
      <c r="E351" s="96" t="s">
        <v>373</v>
      </c>
    </row>
    <row r="352" spans="1:5">
      <c r="A352" s="132" t="s">
        <v>263</v>
      </c>
      <c r="B352" s="24" t="s">
        <v>251</v>
      </c>
      <c r="C352" s="134">
        <v>45768</v>
      </c>
      <c r="D352" s="77" t="s">
        <v>258</v>
      </c>
      <c r="E352" s="96" t="s">
        <v>374</v>
      </c>
    </row>
    <row r="353" spans="1:5" ht="26.45">
      <c r="A353" s="132" t="s">
        <v>263</v>
      </c>
      <c r="B353" s="24" t="s">
        <v>251</v>
      </c>
      <c r="C353" s="134">
        <v>45768</v>
      </c>
      <c r="D353" s="77" t="s">
        <v>258</v>
      </c>
      <c r="E353" s="96" t="s">
        <v>375</v>
      </c>
    </row>
    <row r="354" spans="1:5" ht="26.45">
      <c r="A354" s="132" t="s">
        <v>263</v>
      </c>
      <c r="B354" s="24" t="s">
        <v>251</v>
      </c>
      <c r="C354" s="134">
        <v>45768</v>
      </c>
      <c r="D354" s="77" t="s">
        <v>258</v>
      </c>
      <c r="E354" s="96" t="s">
        <v>376</v>
      </c>
    </row>
    <row r="355" spans="1:5" ht="26.45">
      <c r="A355" s="132" t="s">
        <v>263</v>
      </c>
      <c r="B355" s="24" t="s">
        <v>251</v>
      </c>
      <c r="C355" s="134">
        <v>45768</v>
      </c>
      <c r="D355" s="77" t="s">
        <v>258</v>
      </c>
      <c r="E355" s="96" t="s">
        <v>377</v>
      </c>
    </row>
    <row r="356" spans="1:5" ht="26.45">
      <c r="A356" s="132" t="s">
        <v>263</v>
      </c>
      <c r="B356" s="24" t="s">
        <v>251</v>
      </c>
      <c r="C356" s="134">
        <v>45768</v>
      </c>
      <c r="D356" s="77" t="s">
        <v>258</v>
      </c>
      <c r="E356" s="96" t="s">
        <v>378</v>
      </c>
    </row>
    <row r="357" spans="1:5" ht="26.45">
      <c r="A357" s="132" t="s">
        <v>263</v>
      </c>
      <c r="B357" s="24" t="s">
        <v>251</v>
      </c>
      <c r="C357" s="134">
        <v>45768</v>
      </c>
      <c r="D357" s="77" t="s">
        <v>258</v>
      </c>
      <c r="E357" s="96" t="s">
        <v>379</v>
      </c>
    </row>
    <row r="358" spans="1:5" ht="26.45">
      <c r="A358" s="132" t="s">
        <v>263</v>
      </c>
      <c r="B358" s="24" t="s">
        <v>251</v>
      </c>
      <c r="C358" s="134">
        <v>45768</v>
      </c>
      <c r="D358" s="77" t="s">
        <v>258</v>
      </c>
      <c r="E358" s="96" t="s">
        <v>380</v>
      </c>
    </row>
    <row r="359" spans="1:5" ht="26.45">
      <c r="A359" s="132" t="s">
        <v>263</v>
      </c>
      <c r="B359" s="24" t="s">
        <v>251</v>
      </c>
      <c r="C359" s="134">
        <v>45768</v>
      </c>
      <c r="D359" s="77" t="s">
        <v>258</v>
      </c>
      <c r="E359" s="96" t="s">
        <v>381</v>
      </c>
    </row>
    <row r="360" spans="1:5" ht="26.45">
      <c r="A360" s="132" t="s">
        <v>263</v>
      </c>
      <c r="B360" s="24" t="s">
        <v>251</v>
      </c>
      <c r="C360" s="134">
        <v>45768</v>
      </c>
      <c r="D360" s="77" t="s">
        <v>258</v>
      </c>
      <c r="E360" s="96" t="s">
        <v>382</v>
      </c>
    </row>
    <row r="361" spans="1:5" ht="39.6">
      <c r="A361" s="132" t="s">
        <v>263</v>
      </c>
      <c r="B361" s="24" t="s">
        <v>251</v>
      </c>
      <c r="C361" s="134">
        <v>45768</v>
      </c>
      <c r="D361" s="77" t="s">
        <v>258</v>
      </c>
      <c r="E361" s="96" t="s">
        <v>383</v>
      </c>
    </row>
    <row r="362" spans="1:5" ht="39.6">
      <c r="A362" s="132" t="s">
        <v>263</v>
      </c>
      <c r="B362" s="24" t="s">
        <v>251</v>
      </c>
      <c r="C362" s="134">
        <v>45768</v>
      </c>
      <c r="D362" s="77" t="s">
        <v>258</v>
      </c>
      <c r="E362" s="96" t="s">
        <v>384</v>
      </c>
    </row>
    <row r="363" spans="1:5" ht="26.45">
      <c r="A363" s="132" t="s">
        <v>263</v>
      </c>
      <c r="B363" s="24" t="s">
        <v>251</v>
      </c>
      <c r="C363" s="134">
        <v>45768</v>
      </c>
      <c r="D363" s="77" t="s">
        <v>258</v>
      </c>
      <c r="E363" s="96" t="s">
        <v>385</v>
      </c>
    </row>
    <row r="364" spans="1:5" ht="26.45">
      <c r="A364" s="132" t="s">
        <v>263</v>
      </c>
      <c r="B364" s="24" t="s">
        <v>251</v>
      </c>
      <c r="C364" s="134">
        <v>45768</v>
      </c>
      <c r="D364" s="77" t="s">
        <v>258</v>
      </c>
      <c r="E364" s="96" t="s">
        <v>386</v>
      </c>
    </row>
    <row r="365" spans="1:5" ht="39.6">
      <c r="A365" s="132" t="s">
        <v>263</v>
      </c>
      <c r="B365" s="24" t="s">
        <v>251</v>
      </c>
      <c r="C365" s="134">
        <v>45768</v>
      </c>
      <c r="D365" s="77" t="s">
        <v>258</v>
      </c>
      <c r="E365" s="96" t="s">
        <v>387</v>
      </c>
    </row>
    <row r="366" spans="1:5" ht="39.6">
      <c r="A366" s="132" t="s">
        <v>263</v>
      </c>
      <c r="B366" s="24" t="s">
        <v>251</v>
      </c>
      <c r="C366" s="134">
        <v>45768</v>
      </c>
      <c r="D366" s="77" t="s">
        <v>258</v>
      </c>
      <c r="E366" s="96" t="s">
        <v>388</v>
      </c>
    </row>
    <row r="367" spans="1:5" ht="26.45">
      <c r="A367" s="132" t="s">
        <v>263</v>
      </c>
      <c r="B367" s="24" t="s">
        <v>251</v>
      </c>
      <c r="C367" s="134">
        <v>45768</v>
      </c>
      <c r="D367" s="77" t="s">
        <v>258</v>
      </c>
      <c r="E367" s="96" t="s">
        <v>389</v>
      </c>
    </row>
    <row r="368" spans="1:5">
      <c r="A368" s="132" t="s">
        <v>263</v>
      </c>
      <c r="B368" s="24" t="s">
        <v>251</v>
      </c>
      <c r="C368" s="134">
        <v>45768</v>
      </c>
      <c r="D368" s="77" t="s">
        <v>258</v>
      </c>
      <c r="E368" s="96" t="s">
        <v>390</v>
      </c>
    </row>
    <row r="369" spans="1:5" ht="26.45">
      <c r="A369" s="132" t="s">
        <v>263</v>
      </c>
      <c r="B369" s="24" t="s">
        <v>251</v>
      </c>
      <c r="C369" s="134">
        <v>45768</v>
      </c>
      <c r="D369" s="77" t="s">
        <v>258</v>
      </c>
      <c r="E369" s="96" t="s">
        <v>391</v>
      </c>
    </row>
    <row r="370" spans="1:5" ht="26.45">
      <c r="A370" s="132" t="s">
        <v>263</v>
      </c>
      <c r="B370" s="24" t="s">
        <v>251</v>
      </c>
      <c r="C370" s="134">
        <v>45768</v>
      </c>
      <c r="D370" s="77" t="s">
        <v>258</v>
      </c>
      <c r="E370" s="96" t="s">
        <v>392</v>
      </c>
    </row>
    <row r="371" spans="1:5" ht="26.45">
      <c r="A371" s="132" t="s">
        <v>263</v>
      </c>
      <c r="B371" s="24" t="s">
        <v>251</v>
      </c>
      <c r="C371" s="134">
        <v>45768</v>
      </c>
      <c r="D371" s="77" t="s">
        <v>258</v>
      </c>
      <c r="E371" s="96" t="s">
        <v>393</v>
      </c>
    </row>
    <row r="372" spans="1:5" ht="26.45">
      <c r="A372" s="132" t="s">
        <v>263</v>
      </c>
      <c r="B372" s="24" t="s">
        <v>251</v>
      </c>
      <c r="C372" s="134">
        <v>45768</v>
      </c>
      <c r="D372" s="77" t="s">
        <v>258</v>
      </c>
      <c r="E372" s="96" t="s">
        <v>394</v>
      </c>
    </row>
    <row r="373" spans="1:5">
      <c r="A373" s="132" t="s">
        <v>263</v>
      </c>
      <c r="B373" s="24" t="s">
        <v>251</v>
      </c>
      <c r="C373" s="134">
        <v>45768</v>
      </c>
      <c r="D373" s="77" t="s">
        <v>258</v>
      </c>
      <c r="E373" s="96" t="s">
        <v>395</v>
      </c>
    </row>
    <row r="374" spans="1:5" ht="26.45">
      <c r="A374" s="132" t="s">
        <v>263</v>
      </c>
      <c r="B374" s="24" t="s">
        <v>251</v>
      </c>
      <c r="C374" s="134">
        <v>45768</v>
      </c>
      <c r="D374" s="77" t="s">
        <v>258</v>
      </c>
      <c r="E374" s="96" t="s">
        <v>396</v>
      </c>
    </row>
    <row r="375" spans="1:5" ht="39.6">
      <c r="A375" s="132" t="s">
        <v>263</v>
      </c>
      <c r="B375" s="24" t="s">
        <v>251</v>
      </c>
      <c r="C375" s="134">
        <v>45768</v>
      </c>
      <c r="D375" s="77" t="s">
        <v>258</v>
      </c>
      <c r="E375" s="96" t="s">
        <v>397</v>
      </c>
    </row>
    <row r="376" spans="1:5" ht="26.45">
      <c r="A376" s="132" t="s">
        <v>263</v>
      </c>
      <c r="B376" s="24" t="s">
        <v>251</v>
      </c>
      <c r="C376" s="134">
        <v>45768</v>
      </c>
      <c r="D376" s="77" t="s">
        <v>258</v>
      </c>
      <c r="E376" s="96" t="s">
        <v>398</v>
      </c>
    </row>
    <row r="377" spans="1:5" ht="39.6">
      <c r="A377" s="132" t="s">
        <v>263</v>
      </c>
      <c r="B377" s="24" t="s">
        <v>251</v>
      </c>
      <c r="C377" s="134">
        <v>45768</v>
      </c>
      <c r="D377" s="77" t="s">
        <v>258</v>
      </c>
      <c r="E377" s="96" t="s">
        <v>399</v>
      </c>
    </row>
    <row r="378" spans="1:5" ht="26.45">
      <c r="A378" s="132" t="s">
        <v>263</v>
      </c>
      <c r="B378" s="24" t="s">
        <v>251</v>
      </c>
      <c r="C378" s="134">
        <v>45768</v>
      </c>
      <c r="D378" s="77" t="s">
        <v>258</v>
      </c>
      <c r="E378" s="96" t="s">
        <v>400</v>
      </c>
    </row>
    <row r="379" spans="1:5" ht="26.45">
      <c r="A379" s="132" t="s">
        <v>263</v>
      </c>
      <c r="B379" s="24" t="s">
        <v>251</v>
      </c>
      <c r="C379" s="134">
        <v>45768</v>
      </c>
      <c r="D379" s="77" t="s">
        <v>258</v>
      </c>
      <c r="E379" s="96" t="s">
        <v>401</v>
      </c>
    </row>
    <row r="380" spans="1:5" ht="26.45">
      <c r="A380" s="132" t="s">
        <v>263</v>
      </c>
      <c r="B380" s="24" t="s">
        <v>251</v>
      </c>
      <c r="C380" s="134">
        <v>45768</v>
      </c>
      <c r="D380" s="77" t="s">
        <v>258</v>
      </c>
      <c r="E380" s="96" t="s">
        <v>402</v>
      </c>
    </row>
    <row r="381" spans="1:5" ht="26.45">
      <c r="A381" s="132" t="s">
        <v>263</v>
      </c>
      <c r="B381" s="24" t="s">
        <v>251</v>
      </c>
      <c r="C381" s="134">
        <v>45768</v>
      </c>
      <c r="D381" s="77" t="s">
        <v>258</v>
      </c>
      <c r="E381" s="96" t="s">
        <v>403</v>
      </c>
    </row>
    <row r="382" spans="1:5" ht="39.6">
      <c r="A382" s="132" t="s">
        <v>263</v>
      </c>
      <c r="B382" s="24" t="s">
        <v>251</v>
      </c>
      <c r="C382" s="134">
        <v>45768</v>
      </c>
      <c r="D382" s="77" t="s">
        <v>258</v>
      </c>
      <c r="E382" s="96" t="s">
        <v>404</v>
      </c>
    </row>
    <row r="383" spans="1:5" ht="26.45">
      <c r="A383" s="132" t="s">
        <v>263</v>
      </c>
      <c r="B383" s="24" t="s">
        <v>251</v>
      </c>
      <c r="C383" s="134">
        <v>45768</v>
      </c>
      <c r="D383" s="77" t="s">
        <v>258</v>
      </c>
      <c r="E383" s="96" t="s">
        <v>405</v>
      </c>
    </row>
    <row r="384" spans="1:5" ht="39.6">
      <c r="A384" s="132" t="s">
        <v>263</v>
      </c>
      <c r="B384" s="24" t="s">
        <v>251</v>
      </c>
      <c r="C384" s="134">
        <v>45768</v>
      </c>
      <c r="D384" s="77" t="s">
        <v>258</v>
      </c>
      <c r="E384" s="96" t="s">
        <v>406</v>
      </c>
    </row>
    <row r="385" spans="1:5" ht="26.45">
      <c r="A385" s="132" t="s">
        <v>263</v>
      </c>
      <c r="B385" s="24" t="s">
        <v>251</v>
      </c>
      <c r="C385" s="134">
        <v>45768</v>
      </c>
      <c r="D385" s="77" t="s">
        <v>258</v>
      </c>
      <c r="E385" s="96" t="s">
        <v>407</v>
      </c>
    </row>
    <row r="386" spans="1:5" ht="26.45">
      <c r="A386" s="132" t="s">
        <v>263</v>
      </c>
      <c r="B386" s="24" t="s">
        <v>251</v>
      </c>
      <c r="C386" s="134">
        <v>45768</v>
      </c>
      <c r="D386" s="77" t="s">
        <v>258</v>
      </c>
      <c r="E386" s="96" t="s">
        <v>408</v>
      </c>
    </row>
    <row r="387" spans="1:5" ht="39.6">
      <c r="A387" s="132" t="s">
        <v>263</v>
      </c>
      <c r="B387" s="24" t="s">
        <v>251</v>
      </c>
      <c r="C387" s="134">
        <v>45768</v>
      </c>
      <c r="D387" s="77" t="s">
        <v>258</v>
      </c>
      <c r="E387" s="96" t="s">
        <v>409</v>
      </c>
    </row>
    <row r="388" spans="1:5" ht="26.45">
      <c r="A388" s="132" t="s">
        <v>263</v>
      </c>
      <c r="B388" s="24" t="s">
        <v>251</v>
      </c>
      <c r="C388" s="134">
        <v>45768</v>
      </c>
      <c r="D388" s="77" t="s">
        <v>258</v>
      </c>
      <c r="E388" s="96" t="s">
        <v>410</v>
      </c>
    </row>
    <row r="389" spans="1:5" ht="26.45">
      <c r="A389" s="132" t="s">
        <v>263</v>
      </c>
      <c r="B389" s="24" t="s">
        <v>251</v>
      </c>
      <c r="C389" s="134">
        <v>45768</v>
      </c>
      <c r="D389" s="77" t="s">
        <v>258</v>
      </c>
      <c r="E389" s="96" t="s">
        <v>411</v>
      </c>
    </row>
    <row r="390" spans="1:5" ht="26.45">
      <c r="A390" s="132" t="s">
        <v>263</v>
      </c>
      <c r="B390" s="24" t="s">
        <v>251</v>
      </c>
      <c r="C390" s="134">
        <v>45768</v>
      </c>
      <c r="D390" s="77" t="s">
        <v>258</v>
      </c>
      <c r="E390" s="96" t="s">
        <v>412</v>
      </c>
    </row>
    <row r="391" spans="1:5" ht="26.45">
      <c r="A391" s="132" t="s">
        <v>263</v>
      </c>
      <c r="B391" s="24" t="s">
        <v>251</v>
      </c>
      <c r="C391" s="134">
        <v>45768</v>
      </c>
      <c r="D391" s="77" t="s">
        <v>258</v>
      </c>
      <c r="E391" s="96" t="s">
        <v>413</v>
      </c>
    </row>
    <row r="392" spans="1:5" ht="26.45">
      <c r="A392" s="132" t="s">
        <v>263</v>
      </c>
      <c r="B392" s="24" t="s">
        <v>251</v>
      </c>
      <c r="C392" s="134">
        <v>45768</v>
      </c>
      <c r="D392" s="77" t="s">
        <v>258</v>
      </c>
      <c r="E392" s="96" t="s">
        <v>414</v>
      </c>
    </row>
    <row r="393" spans="1:5" ht="39.6">
      <c r="A393" s="132" t="s">
        <v>263</v>
      </c>
      <c r="B393" s="24" t="s">
        <v>251</v>
      </c>
      <c r="C393" s="134">
        <v>45768</v>
      </c>
      <c r="D393" s="77" t="s">
        <v>258</v>
      </c>
      <c r="E393" s="96" t="s">
        <v>415</v>
      </c>
    </row>
    <row r="394" spans="1:5" ht="26.45">
      <c r="A394" s="132" t="s">
        <v>263</v>
      </c>
      <c r="B394" s="24" t="s">
        <v>251</v>
      </c>
      <c r="C394" s="134">
        <v>45768</v>
      </c>
      <c r="D394" s="77" t="s">
        <v>258</v>
      </c>
      <c r="E394" s="96" t="s">
        <v>416</v>
      </c>
    </row>
    <row r="395" spans="1:5" ht="26.45">
      <c r="A395" s="132" t="s">
        <v>263</v>
      </c>
      <c r="B395" s="24" t="s">
        <v>251</v>
      </c>
      <c r="C395" s="134">
        <v>45768</v>
      </c>
      <c r="D395" s="77" t="s">
        <v>258</v>
      </c>
      <c r="E395" s="96" t="s">
        <v>417</v>
      </c>
    </row>
    <row r="396" spans="1:5" ht="18" customHeight="1">
      <c r="A396" s="132" t="s">
        <v>263</v>
      </c>
      <c r="B396" s="24" t="s">
        <v>251</v>
      </c>
      <c r="C396" s="134">
        <v>45768</v>
      </c>
      <c r="D396" s="77" t="s">
        <v>258</v>
      </c>
      <c r="E396" s="96" t="s">
        <v>418</v>
      </c>
    </row>
    <row r="397" spans="1:5" ht="32.25" customHeight="1">
      <c r="A397" s="132" t="s">
        <v>263</v>
      </c>
      <c r="B397" s="24" t="s">
        <v>251</v>
      </c>
      <c r="C397" s="134">
        <v>45768</v>
      </c>
      <c r="D397" s="77" t="s">
        <v>258</v>
      </c>
      <c r="E397" s="96" t="s">
        <v>419</v>
      </c>
    </row>
    <row r="398" spans="1:5" ht="39.6">
      <c r="A398" s="132" t="s">
        <v>263</v>
      </c>
      <c r="B398" s="24" t="s">
        <v>251</v>
      </c>
      <c r="C398" s="134">
        <v>45768</v>
      </c>
      <c r="D398" s="77" t="s">
        <v>258</v>
      </c>
      <c r="E398" s="96" t="s">
        <v>420</v>
      </c>
    </row>
    <row r="399" spans="1:5" ht="39.6">
      <c r="A399" s="132" t="s">
        <v>263</v>
      </c>
      <c r="B399" s="24" t="s">
        <v>251</v>
      </c>
      <c r="C399" s="134">
        <v>45768</v>
      </c>
      <c r="D399" s="77" t="s">
        <v>258</v>
      </c>
      <c r="E399" s="96" t="s">
        <v>421</v>
      </c>
    </row>
    <row r="400" spans="1:5" ht="26.45">
      <c r="A400" s="132" t="s">
        <v>263</v>
      </c>
      <c r="B400" s="24" t="s">
        <v>251</v>
      </c>
      <c r="C400" s="134">
        <v>45768</v>
      </c>
      <c r="D400" s="77" t="s">
        <v>334</v>
      </c>
      <c r="E400" s="96" t="s">
        <v>422</v>
      </c>
    </row>
    <row r="401" spans="1:5" ht="26.45">
      <c r="A401" s="132" t="s">
        <v>263</v>
      </c>
      <c r="B401" s="24" t="s">
        <v>251</v>
      </c>
      <c r="C401" s="134">
        <v>45768</v>
      </c>
      <c r="D401" s="77" t="s">
        <v>334</v>
      </c>
      <c r="E401" s="96" t="s">
        <v>423</v>
      </c>
    </row>
    <row r="402" spans="1:5">
      <c r="A402" s="132" t="s">
        <v>263</v>
      </c>
      <c r="B402" s="24" t="s">
        <v>251</v>
      </c>
      <c r="C402" s="134">
        <v>45765</v>
      </c>
      <c r="D402" s="77" t="s">
        <v>424</v>
      </c>
      <c r="E402" s="96" t="s">
        <v>425</v>
      </c>
    </row>
    <row r="403" spans="1:5" ht="26.45">
      <c r="A403" s="132" t="s">
        <v>263</v>
      </c>
      <c r="B403" s="24" t="s">
        <v>251</v>
      </c>
      <c r="C403" s="134">
        <v>45765</v>
      </c>
      <c r="D403" s="77" t="s">
        <v>424</v>
      </c>
      <c r="E403" s="96" t="s">
        <v>426</v>
      </c>
    </row>
    <row r="404" spans="1:5" ht="39.6">
      <c r="A404" s="136" t="s">
        <v>263</v>
      </c>
      <c r="B404" s="137" t="s">
        <v>251</v>
      </c>
      <c r="C404" s="138">
        <v>45765</v>
      </c>
      <c r="D404" s="139" t="s">
        <v>334</v>
      </c>
      <c r="E404" s="140" t="s">
        <v>427</v>
      </c>
    </row>
    <row r="405" spans="1:5" ht="159" thickBot="1">
      <c r="A405" s="120" t="s">
        <v>263</v>
      </c>
      <c r="B405" s="61" t="s">
        <v>26</v>
      </c>
      <c r="C405" s="62">
        <v>45765</v>
      </c>
      <c r="D405" s="95" t="s">
        <v>428</v>
      </c>
      <c r="E405" s="63" t="s">
        <v>429</v>
      </c>
    </row>
    <row r="406" spans="1:5" ht="39.6">
      <c r="A406" s="132" t="s">
        <v>430</v>
      </c>
      <c r="B406" s="24" t="s">
        <v>7</v>
      </c>
      <c r="C406" s="134">
        <v>45762</v>
      </c>
      <c r="D406" s="77" t="s">
        <v>431</v>
      </c>
      <c r="E406" s="96" t="s">
        <v>432</v>
      </c>
    </row>
    <row r="407" spans="1:5" ht="66">
      <c r="A407" s="132" t="s">
        <v>430</v>
      </c>
      <c r="B407" s="24" t="s">
        <v>7</v>
      </c>
      <c r="C407" s="134">
        <v>45762</v>
      </c>
      <c r="D407" s="77" t="s">
        <v>433</v>
      </c>
      <c r="E407" s="96" t="s">
        <v>434</v>
      </c>
    </row>
    <row r="408" spans="1:5">
      <c r="A408" s="118" t="s">
        <v>430</v>
      </c>
      <c r="B408" s="24" t="s">
        <v>48</v>
      </c>
      <c r="C408" s="134">
        <v>45762</v>
      </c>
      <c r="D408" s="77" t="s">
        <v>49</v>
      </c>
      <c r="E408" s="96" t="s">
        <v>435</v>
      </c>
    </row>
    <row r="409" spans="1:5">
      <c r="A409" s="118" t="s">
        <v>430</v>
      </c>
      <c r="B409" s="24" t="s">
        <v>48</v>
      </c>
      <c r="C409" s="134">
        <v>45762</v>
      </c>
      <c r="D409" s="77" t="s">
        <v>49</v>
      </c>
      <c r="E409" s="96" t="s">
        <v>436</v>
      </c>
    </row>
    <row r="410" spans="1:5">
      <c r="A410" s="118" t="s">
        <v>430</v>
      </c>
      <c r="B410" s="24" t="s">
        <v>48</v>
      </c>
      <c r="C410" s="134">
        <v>45762</v>
      </c>
      <c r="D410" s="77" t="s">
        <v>49</v>
      </c>
      <c r="E410" s="96" t="s">
        <v>437</v>
      </c>
    </row>
    <row r="411" spans="1:5">
      <c r="A411" s="118" t="s">
        <v>430</v>
      </c>
      <c r="B411" s="24" t="s">
        <v>48</v>
      </c>
      <c r="C411" s="134">
        <v>45762</v>
      </c>
      <c r="D411" s="77" t="s">
        <v>49</v>
      </c>
      <c r="E411" s="85" t="s">
        <v>438</v>
      </c>
    </row>
    <row r="412" spans="1:5">
      <c r="A412" s="118" t="s">
        <v>430</v>
      </c>
      <c r="B412" s="24" t="s">
        <v>48</v>
      </c>
      <c r="C412" s="134">
        <v>45762</v>
      </c>
      <c r="D412" s="77" t="s">
        <v>49</v>
      </c>
      <c r="E412" s="85" t="s">
        <v>439</v>
      </c>
    </row>
    <row r="413" spans="1:5">
      <c r="A413" s="118" t="s">
        <v>430</v>
      </c>
      <c r="B413" s="24" t="s">
        <v>48</v>
      </c>
      <c r="C413" s="134">
        <v>45762</v>
      </c>
      <c r="D413" s="77" t="s">
        <v>49</v>
      </c>
      <c r="E413" s="85" t="s">
        <v>440</v>
      </c>
    </row>
    <row r="414" spans="1:5">
      <c r="A414" s="118" t="s">
        <v>430</v>
      </c>
      <c r="B414" s="24" t="s">
        <v>48</v>
      </c>
      <c r="C414" s="134">
        <v>45762</v>
      </c>
      <c r="D414" s="77" t="s">
        <v>49</v>
      </c>
      <c r="E414" s="85" t="s">
        <v>441</v>
      </c>
    </row>
    <row r="415" spans="1:5">
      <c r="A415" s="118" t="s">
        <v>430</v>
      </c>
      <c r="B415" s="24" t="s">
        <v>48</v>
      </c>
      <c r="C415" s="134">
        <v>45762</v>
      </c>
      <c r="D415" s="77" t="s">
        <v>49</v>
      </c>
      <c r="E415" s="85" t="s">
        <v>442</v>
      </c>
    </row>
    <row r="416" spans="1:5">
      <c r="A416" s="118" t="s">
        <v>430</v>
      </c>
      <c r="B416" s="24" t="s">
        <v>48</v>
      </c>
      <c r="C416" s="134">
        <v>45762</v>
      </c>
      <c r="D416" s="77" t="s">
        <v>49</v>
      </c>
      <c r="E416" s="85" t="s">
        <v>443</v>
      </c>
    </row>
    <row r="417" spans="1:5">
      <c r="A417" s="118" t="s">
        <v>430</v>
      </c>
      <c r="B417" s="24" t="s">
        <v>48</v>
      </c>
      <c r="C417" s="134">
        <v>45762</v>
      </c>
      <c r="D417" s="77" t="s">
        <v>49</v>
      </c>
      <c r="E417" s="85" t="s">
        <v>444</v>
      </c>
    </row>
    <row r="418" spans="1:5">
      <c r="A418" s="118" t="s">
        <v>430</v>
      </c>
      <c r="B418" s="24" t="s">
        <v>48</v>
      </c>
      <c r="C418" s="134">
        <v>45762</v>
      </c>
      <c r="D418" s="77" t="s">
        <v>49</v>
      </c>
      <c r="E418" s="85" t="s">
        <v>445</v>
      </c>
    </row>
    <row r="419" spans="1:5">
      <c r="A419" s="118" t="s">
        <v>430</v>
      </c>
      <c r="B419" s="24" t="s">
        <v>48</v>
      </c>
      <c r="C419" s="134">
        <v>45762</v>
      </c>
      <c r="D419" s="77" t="s">
        <v>49</v>
      </c>
      <c r="E419" s="85" t="s">
        <v>446</v>
      </c>
    </row>
    <row r="420" spans="1:5">
      <c r="A420" s="118" t="s">
        <v>430</v>
      </c>
      <c r="B420" s="24" t="s">
        <v>48</v>
      </c>
      <c r="C420" s="134">
        <v>45762</v>
      </c>
      <c r="D420" s="77" t="s">
        <v>49</v>
      </c>
      <c r="E420" s="85" t="s">
        <v>447</v>
      </c>
    </row>
    <row r="421" spans="1:5">
      <c r="A421" s="118" t="s">
        <v>430</v>
      </c>
      <c r="B421" s="24" t="s">
        <v>48</v>
      </c>
      <c r="C421" s="134">
        <v>45762</v>
      </c>
      <c r="D421" s="77" t="s">
        <v>49</v>
      </c>
      <c r="E421" s="85" t="s">
        <v>448</v>
      </c>
    </row>
    <row r="422" spans="1:5">
      <c r="A422" s="118" t="s">
        <v>430</v>
      </c>
      <c r="B422" s="24" t="s">
        <v>48</v>
      </c>
      <c r="C422" s="134">
        <v>45762</v>
      </c>
      <c r="D422" s="77" t="s">
        <v>49</v>
      </c>
      <c r="E422" s="85" t="s">
        <v>449</v>
      </c>
    </row>
    <row r="423" spans="1:5">
      <c r="A423" s="118" t="s">
        <v>430</v>
      </c>
      <c r="B423" s="24" t="s">
        <v>48</v>
      </c>
      <c r="C423" s="134">
        <v>45762</v>
      </c>
      <c r="D423" s="77" t="s">
        <v>49</v>
      </c>
      <c r="E423" s="85" t="s">
        <v>450</v>
      </c>
    </row>
    <row r="424" spans="1:5">
      <c r="A424" s="118" t="s">
        <v>430</v>
      </c>
      <c r="B424" s="24" t="s">
        <v>48</v>
      </c>
      <c r="C424" s="134">
        <v>45762</v>
      </c>
      <c r="D424" s="77" t="s">
        <v>49</v>
      </c>
      <c r="E424" s="85" t="s">
        <v>451</v>
      </c>
    </row>
    <row r="425" spans="1:5">
      <c r="A425" s="118" t="s">
        <v>430</v>
      </c>
      <c r="B425" s="24" t="s">
        <v>48</v>
      </c>
      <c r="C425" s="134">
        <v>45762</v>
      </c>
      <c r="D425" s="77" t="s">
        <v>49</v>
      </c>
      <c r="E425" s="85" t="s">
        <v>452</v>
      </c>
    </row>
    <row r="426" spans="1:5">
      <c r="A426" s="118" t="s">
        <v>430</v>
      </c>
      <c r="B426" s="24" t="s">
        <v>48</v>
      </c>
      <c r="C426" s="134">
        <v>45762</v>
      </c>
      <c r="D426" s="77" t="s">
        <v>49</v>
      </c>
      <c r="E426" s="85" t="s">
        <v>453</v>
      </c>
    </row>
    <row r="427" spans="1:5">
      <c r="A427" s="118" t="s">
        <v>430</v>
      </c>
      <c r="B427" s="24" t="s">
        <v>48</v>
      </c>
      <c r="C427" s="134">
        <v>45762</v>
      </c>
      <c r="D427" s="77" t="s">
        <v>49</v>
      </c>
      <c r="E427" s="85" t="s">
        <v>454</v>
      </c>
    </row>
    <row r="428" spans="1:5">
      <c r="A428" s="118" t="s">
        <v>430</v>
      </c>
      <c r="B428" s="24" t="s">
        <v>48</v>
      </c>
      <c r="C428" s="134">
        <v>45762</v>
      </c>
      <c r="D428" s="77" t="s">
        <v>49</v>
      </c>
      <c r="E428" s="85" t="s">
        <v>455</v>
      </c>
    </row>
    <row r="429" spans="1:5">
      <c r="A429" s="118" t="s">
        <v>430</v>
      </c>
      <c r="B429" s="24" t="s">
        <v>48</v>
      </c>
      <c r="C429" s="134">
        <v>45762</v>
      </c>
      <c r="D429" s="77" t="s">
        <v>49</v>
      </c>
      <c r="E429" s="85" t="s">
        <v>456</v>
      </c>
    </row>
    <row r="430" spans="1:5">
      <c r="A430" s="118" t="s">
        <v>430</v>
      </c>
      <c r="B430" s="24" t="s">
        <v>48</v>
      </c>
      <c r="C430" s="134">
        <v>45762</v>
      </c>
      <c r="D430" s="77" t="s">
        <v>49</v>
      </c>
      <c r="E430" s="85" t="s">
        <v>457</v>
      </c>
    </row>
    <row r="431" spans="1:5">
      <c r="A431" s="118" t="s">
        <v>430</v>
      </c>
      <c r="B431" s="24" t="s">
        <v>48</v>
      </c>
      <c r="C431" s="134">
        <v>45762</v>
      </c>
      <c r="D431" s="77" t="s">
        <v>49</v>
      </c>
      <c r="E431" s="85" t="s">
        <v>458</v>
      </c>
    </row>
    <row r="432" spans="1:5">
      <c r="A432" s="118" t="s">
        <v>430</v>
      </c>
      <c r="B432" s="24" t="s">
        <v>48</v>
      </c>
      <c r="C432" s="134">
        <v>45762</v>
      </c>
      <c r="D432" s="77" t="s">
        <v>49</v>
      </c>
      <c r="E432" s="85" t="s">
        <v>459</v>
      </c>
    </row>
    <row r="433" spans="1:10">
      <c r="A433" s="118" t="s">
        <v>430</v>
      </c>
      <c r="B433" s="24" t="s">
        <v>48</v>
      </c>
      <c r="C433" s="134">
        <v>45762</v>
      </c>
      <c r="D433" s="77" t="s">
        <v>49</v>
      </c>
      <c r="E433" s="85" t="s">
        <v>460</v>
      </c>
    </row>
    <row r="434" spans="1:10">
      <c r="A434" s="118" t="s">
        <v>430</v>
      </c>
      <c r="B434" s="24" t="s">
        <v>48</v>
      </c>
      <c r="C434" s="134">
        <v>45762</v>
      </c>
      <c r="D434" s="77" t="s">
        <v>49</v>
      </c>
      <c r="E434" s="85" t="s">
        <v>461</v>
      </c>
    </row>
    <row r="435" spans="1:10">
      <c r="A435" s="118" t="s">
        <v>430</v>
      </c>
      <c r="B435" s="24" t="s">
        <v>48</v>
      </c>
      <c r="C435" s="134">
        <v>45762</v>
      </c>
      <c r="D435" s="77" t="s">
        <v>49</v>
      </c>
      <c r="E435" s="85" t="s">
        <v>462</v>
      </c>
    </row>
    <row r="436" spans="1:10">
      <c r="A436" s="118" t="s">
        <v>430</v>
      </c>
      <c r="B436" s="24" t="s">
        <v>48</v>
      </c>
      <c r="C436" s="134">
        <v>45762</v>
      </c>
      <c r="D436" s="77" t="s">
        <v>49</v>
      </c>
      <c r="E436" s="85" t="s">
        <v>463</v>
      </c>
    </row>
    <row r="437" spans="1:10">
      <c r="A437" s="132" t="s">
        <v>430</v>
      </c>
      <c r="B437" s="24" t="s">
        <v>10</v>
      </c>
      <c r="C437" s="134">
        <v>45761</v>
      </c>
      <c r="D437" s="77" t="s">
        <v>11</v>
      </c>
      <c r="E437" s="96" t="s">
        <v>464</v>
      </c>
    </row>
    <row r="438" spans="1:10">
      <c r="A438" s="132" t="s">
        <v>430</v>
      </c>
      <c r="B438" s="24" t="s">
        <v>10</v>
      </c>
      <c r="C438" s="134">
        <v>45762</v>
      </c>
      <c r="D438" s="77" t="s">
        <v>11</v>
      </c>
      <c r="E438" s="96" t="s">
        <v>465</v>
      </c>
    </row>
    <row r="439" spans="1:10">
      <c r="A439" s="132" t="s">
        <v>430</v>
      </c>
      <c r="B439" s="24" t="s">
        <v>10</v>
      </c>
      <c r="C439" s="134">
        <v>45763</v>
      </c>
      <c r="D439" s="77" t="s">
        <v>11</v>
      </c>
      <c r="E439" s="96" t="s">
        <v>466</v>
      </c>
    </row>
    <row r="440" spans="1:10">
      <c r="A440" s="132" t="s">
        <v>430</v>
      </c>
      <c r="B440" s="24" t="s">
        <v>10</v>
      </c>
      <c r="C440" s="134">
        <v>45764</v>
      </c>
      <c r="D440" s="77" t="s">
        <v>11</v>
      </c>
      <c r="E440" s="96" t="s">
        <v>467</v>
      </c>
    </row>
    <row r="441" spans="1:10" ht="14.45">
      <c r="A441" s="132" t="s">
        <v>430</v>
      </c>
      <c r="B441" s="24" t="s">
        <v>10</v>
      </c>
      <c r="C441" s="134">
        <v>45765</v>
      </c>
      <c r="D441" s="77" t="s">
        <v>11</v>
      </c>
      <c r="E441" s="96" t="s">
        <v>468</v>
      </c>
      <c r="J441" s="113"/>
    </row>
    <row r="442" spans="1:10" ht="14.45">
      <c r="A442" s="132" t="s">
        <v>430</v>
      </c>
      <c r="B442" s="24" t="s">
        <v>10</v>
      </c>
      <c r="C442" s="134">
        <v>45766</v>
      </c>
      <c r="D442" s="77" t="s">
        <v>11</v>
      </c>
      <c r="E442" s="96" t="s">
        <v>469</v>
      </c>
      <c r="J442" s="113"/>
    </row>
    <row r="443" spans="1:10">
      <c r="A443" s="132" t="s">
        <v>430</v>
      </c>
      <c r="B443" s="24" t="s">
        <v>10</v>
      </c>
      <c r="C443" s="134">
        <v>45761</v>
      </c>
      <c r="D443" s="77" t="s">
        <v>11</v>
      </c>
      <c r="E443" s="96" t="s">
        <v>470</v>
      </c>
    </row>
    <row r="444" spans="1:10">
      <c r="A444" s="132" t="s">
        <v>430</v>
      </c>
      <c r="B444" s="24" t="s">
        <v>10</v>
      </c>
      <c r="C444" s="134">
        <v>45761</v>
      </c>
      <c r="D444" s="77" t="s">
        <v>11</v>
      </c>
      <c r="E444" s="96" t="s">
        <v>471</v>
      </c>
    </row>
    <row r="445" spans="1:10" ht="14.45">
      <c r="A445" s="132" t="s">
        <v>430</v>
      </c>
      <c r="B445" s="85" t="s">
        <v>10</v>
      </c>
      <c r="C445" s="134">
        <v>45761</v>
      </c>
      <c r="D445" s="132" t="s">
        <v>11</v>
      </c>
      <c r="E445" s="85" t="s">
        <v>472</v>
      </c>
      <c r="J445" s="113"/>
    </row>
    <row r="446" spans="1:10" ht="14.45">
      <c r="A446" s="132" t="s">
        <v>430</v>
      </c>
      <c r="B446" s="85" t="s">
        <v>10</v>
      </c>
      <c r="C446" s="134">
        <v>45761</v>
      </c>
      <c r="D446" s="132" t="s">
        <v>11</v>
      </c>
      <c r="E446" s="85" t="s">
        <v>473</v>
      </c>
      <c r="J446" s="113"/>
    </row>
    <row r="447" spans="1:10">
      <c r="A447" s="132" t="s">
        <v>430</v>
      </c>
      <c r="B447" s="85" t="s">
        <v>10</v>
      </c>
      <c r="C447" s="134">
        <v>45762</v>
      </c>
      <c r="D447" s="132" t="s">
        <v>11</v>
      </c>
      <c r="E447" s="85" t="s">
        <v>474</v>
      </c>
    </row>
    <row r="448" spans="1:10">
      <c r="A448" s="132" t="s">
        <v>430</v>
      </c>
      <c r="B448" s="85" t="s">
        <v>10</v>
      </c>
      <c r="C448" s="134">
        <v>45763</v>
      </c>
      <c r="D448" s="132" t="s">
        <v>11</v>
      </c>
      <c r="E448" s="85" t="s">
        <v>475</v>
      </c>
    </row>
    <row r="449" spans="1:5">
      <c r="A449" s="132" t="s">
        <v>430</v>
      </c>
      <c r="B449" s="85" t="s">
        <v>10</v>
      </c>
      <c r="C449" s="134">
        <v>45764</v>
      </c>
      <c r="D449" s="132" t="s">
        <v>11</v>
      </c>
      <c r="E449" s="85" t="s">
        <v>476</v>
      </c>
    </row>
    <row r="450" spans="1:5">
      <c r="A450" s="132" t="s">
        <v>430</v>
      </c>
      <c r="B450" s="85" t="s">
        <v>10</v>
      </c>
      <c r="C450" s="134">
        <v>45765</v>
      </c>
      <c r="D450" s="132" t="s">
        <v>11</v>
      </c>
      <c r="E450" s="85" t="s">
        <v>477</v>
      </c>
    </row>
    <row r="451" spans="1:5">
      <c r="A451" s="132" t="s">
        <v>430</v>
      </c>
      <c r="B451" s="85" t="s">
        <v>10</v>
      </c>
      <c r="C451" s="134">
        <v>45766</v>
      </c>
      <c r="D451" s="132" t="s">
        <v>11</v>
      </c>
      <c r="E451" s="85" t="s">
        <v>478</v>
      </c>
    </row>
    <row r="452" spans="1:5">
      <c r="A452" s="132" t="s">
        <v>430</v>
      </c>
      <c r="B452" s="85" t="s">
        <v>10</v>
      </c>
      <c r="C452" s="134">
        <v>45767</v>
      </c>
      <c r="D452" s="132" t="s">
        <v>11</v>
      </c>
      <c r="E452" s="85" t="s">
        <v>479</v>
      </c>
    </row>
    <row r="453" spans="1:5">
      <c r="A453" s="132" t="s">
        <v>430</v>
      </c>
      <c r="B453" s="85" t="s">
        <v>10</v>
      </c>
      <c r="C453" s="134">
        <v>45768</v>
      </c>
      <c r="D453" s="132" t="s">
        <v>11</v>
      </c>
      <c r="E453" s="85" t="s">
        <v>480</v>
      </c>
    </row>
    <row r="454" spans="1:5">
      <c r="A454" s="132" t="s">
        <v>430</v>
      </c>
      <c r="B454" s="85" t="s">
        <v>10</v>
      </c>
      <c r="C454" s="134">
        <v>45769</v>
      </c>
      <c r="D454" s="132" t="s">
        <v>11</v>
      </c>
      <c r="E454" s="85" t="s">
        <v>481</v>
      </c>
    </row>
    <row r="455" spans="1:5">
      <c r="A455" s="132" t="s">
        <v>430</v>
      </c>
      <c r="B455" s="85" t="s">
        <v>10</v>
      </c>
      <c r="C455" s="134">
        <v>45770</v>
      </c>
      <c r="D455" s="132" t="s">
        <v>11</v>
      </c>
      <c r="E455" s="85" t="s">
        <v>482</v>
      </c>
    </row>
    <row r="456" spans="1:5">
      <c r="A456" s="132" t="s">
        <v>430</v>
      </c>
      <c r="B456" s="85" t="s">
        <v>10</v>
      </c>
      <c r="C456" s="134">
        <v>45761</v>
      </c>
      <c r="D456" s="132" t="s">
        <v>11</v>
      </c>
      <c r="E456" s="85" t="s">
        <v>483</v>
      </c>
    </row>
    <row r="457" spans="1:5">
      <c r="A457" s="118" t="s">
        <v>430</v>
      </c>
      <c r="B457" s="85" t="s">
        <v>10</v>
      </c>
      <c r="C457" s="134">
        <v>45761</v>
      </c>
      <c r="D457" s="132" t="s">
        <v>11</v>
      </c>
      <c r="E457" s="85" t="s">
        <v>484</v>
      </c>
    </row>
    <row r="458" spans="1:5">
      <c r="A458" s="118" t="s">
        <v>430</v>
      </c>
      <c r="B458" s="85" t="s">
        <v>10</v>
      </c>
      <c r="C458" s="134">
        <v>45761</v>
      </c>
      <c r="D458" s="132" t="s">
        <v>11</v>
      </c>
      <c r="E458" s="85" t="s">
        <v>485</v>
      </c>
    </row>
    <row r="459" spans="1:5">
      <c r="A459" s="118" t="s">
        <v>430</v>
      </c>
      <c r="B459" s="85" t="s">
        <v>10</v>
      </c>
      <c r="C459" s="134">
        <v>45761</v>
      </c>
      <c r="D459" s="132" t="s">
        <v>11</v>
      </c>
      <c r="E459" s="85" t="s">
        <v>486</v>
      </c>
    </row>
    <row r="460" spans="1:5">
      <c r="A460" s="118" t="s">
        <v>430</v>
      </c>
      <c r="B460" s="85" t="s">
        <v>10</v>
      </c>
      <c r="C460" s="134">
        <v>45761</v>
      </c>
      <c r="D460" s="132" t="s">
        <v>11</v>
      </c>
      <c r="E460" s="85" t="s">
        <v>487</v>
      </c>
    </row>
    <row r="461" spans="1:5">
      <c r="A461" s="118" t="s">
        <v>430</v>
      </c>
      <c r="B461" s="85" t="s">
        <v>10</v>
      </c>
      <c r="C461" s="134">
        <v>45761</v>
      </c>
      <c r="D461" s="132" t="s">
        <v>11</v>
      </c>
      <c r="E461" s="85" t="s">
        <v>488</v>
      </c>
    </row>
    <row r="462" spans="1:5">
      <c r="A462" s="118" t="s">
        <v>430</v>
      </c>
      <c r="B462" s="85" t="s">
        <v>10</v>
      </c>
      <c r="C462" s="134">
        <v>45761</v>
      </c>
      <c r="D462" s="132" t="s">
        <v>11</v>
      </c>
      <c r="E462" s="85" t="s">
        <v>489</v>
      </c>
    </row>
    <row r="463" spans="1:5">
      <c r="A463" s="118" t="s">
        <v>430</v>
      </c>
      <c r="B463" s="85" t="s">
        <v>10</v>
      </c>
      <c r="C463" s="134">
        <v>45761</v>
      </c>
      <c r="D463" s="132" t="s">
        <v>11</v>
      </c>
      <c r="E463" s="85" t="s">
        <v>490</v>
      </c>
    </row>
    <row r="464" spans="1:5">
      <c r="A464" s="118" t="s">
        <v>430</v>
      </c>
      <c r="B464" s="85" t="s">
        <v>10</v>
      </c>
      <c r="C464" s="134">
        <v>45761</v>
      </c>
      <c r="D464" s="132" t="s">
        <v>11</v>
      </c>
      <c r="E464" s="85" t="s">
        <v>491</v>
      </c>
    </row>
    <row r="465" spans="1:5">
      <c r="A465" s="118" t="s">
        <v>430</v>
      </c>
      <c r="B465" s="85" t="s">
        <v>10</v>
      </c>
      <c r="C465" s="134">
        <v>45761</v>
      </c>
      <c r="D465" s="132" t="s">
        <v>11</v>
      </c>
      <c r="E465" s="85" t="s">
        <v>492</v>
      </c>
    </row>
    <row r="466" spans="1:5">
      <c r="A466" s="118" t="s">
        <v>430</v>
      </c>
      <c r="B466" s="85" t="s">
        <v>10</v>
      </c>
      <c r="C466" s="134">
        <v>45761</v>
      </c>
      <c r="D466" s="132" t="s">
        <v>11</v>
      </c>
      <c r="E466" s="85" t="s">
        <v>493</v>
      </c>
    </row>
    <row r="467" spans="1:5">
      <c r="A467" s="118" t="s">
        <v>430</v>
      </c>
      <c r="B467" s="85" t="s">
        <v>10</v>
      </c>
      <c r="C467" s="134">
        <v>45761</v>
      </c>
      <c r="D467" s="132" t="s">
        <v>11</v>
      </c>
      <c r="E467" s="85" t="s">
        <v>494</v>
      </c>
    </row>
    <row r="468" spans="1:5">
      <c r="A468" s="118" t="s">
        <v>430</v>
      </c>
      <c r="B468" s="85" t="s">
        <v>10</v>
      </c>
      <c r="C468" s="134">
        <v>45761</v>
      </c>
      <c r="D468" s="132" t="s">
        <v>11</v>
      </c>
      <c r="E468" s="85" t="s">
        <v>495</v>
      </c>
    </row>
    <row r="469" spans="1:5">
      <c r="A469" s="118" t="s">
        <v>430</v>
      </c>
      <c r="B469" s="85" t="s">
        <v>10</v>
      </c>
      <c r="C469" s="134">
        <v>45761</v>
      </c>
      <c r="D469" s="132" t="s">
        <v>11</v>
      </c>
      <c r="E469" s="85" t="s">
        <v>496</v>
      </c>
    </row>
    <row r="470" spans="1:5" ht="26.45">
      <c r="A470" s="118" t="s">
        <v>430</v>
      </c>
      <c r="B470" s="85" t="s">
        <v>10</v>
      </c>
      <c r="C470" s="134">
        <v>45761</v>
      </c>
      <c r="D470" s="132" t="s">
        <v>11</v>
      </c>
      <c r="E470" s="85" t="s">
        <v>497</v>
      </c>
    </row>
    <row r="471" spans="1:5">
      <c r="A471" s="118" t="s">
        <v>430</v>
      </c>
      <c r="B471" s="85" t="s">
        <v>10</v>
      </c>
      <c r="C471" s="134">
        <v>45761</v>
      </c>
      <c r="D471" s="132" t="s">
        <v>11</v>
      </c>
      <c r="E471" s="85" t="s">
        <v>498</v>
      </c>
    </row>
    <row r="472" spans="1:5">
      <c r="A472" s="118" t="s">
        <v>430</v>
      </c>
      <c r="B472" s="85" t="s">
        <v>10</v>
      </c>
      <c r="C472" s="134">
        <v>45761</v>
      </c>
      <c r="D472" s="132" t="s">
        <v>11</v>
      </c>
      <c r="E472" s="85" t="s">
        <v>499</v>
      </c>
    </row>
    <row r="473" spans="1:5">
      <c r="A473" s="118" t="s">
        <v>430</v>
      </c>
      <c r="B473" s="85" t="s">
        <v>10</v>
      </c>
      <c r="C473" s="134">
        <v>45761</v>
      </c>
      <c r="D473" s="132" t="s">
        <v>11</v>
      </c>
      <c r="E473" s="85" t="s">
        <v>500</v>
      </c>
    </row>
    <row r="474" spans="1:5">
      <c r="A474" s="118" t="s">
        <v>430</v>
      </c>
      <c r="B474" s="85" t="s">
        <v>10</v>
      </c>
      <c r="C474" s="134">
        <v>45761</v>
      </c>
      <c r="D474" s="132" t="s">
        <v>11</v>
      </c>
      <c r="E474" s="85" t="s">
        <v>501</v>
      </c>
    </row>
    <row r="475" spans="1:5">
      <c r="A475" s="118" t="s">
        <v>430</v>
      </c>
      <c r="B475" s="85" t="s">
        <v>10</v>
      </c>
      <c r="C475" s="134">
        <v>45761</v>
      </c>
      <c r="D475" s="132" t="s">
        <v>11</v>
      </c>
      <c r="E475" s="85" t="s">
        <v>502</v>
      </c>
    </row>
    <row r="476" spans="1:5">
      <c r="A476" s="118" t="s">
        <v>430</v>
      </c>
      <c r="B476" s="85" t="s">
        <v>10</v>
      </c>
      <c r="C476" s="134">
        <v>45761</v>
      </c>
      <c r="D476" s="132" t="s">
        <v>11</v>
      </c>
      <c r="E476" s="85" t="s">
        <v>503</v>
      </c>
    </row>
    <row r="477" spans="1:5">
      <c r="A477" s="118" t="s">
        <v>430</v>
      </c>
      <c r="B477" s="85" t="s">
        <v>10</v>
      </c>
      <c r="C477" s="134">
        <v>45761</v>
      </c>
      <c r="D477" s="132" t="s">
        <v>11</v>
      </c>
      <c r="E477" s="85" t="s">
        <v>504</v>
      </c>
    </row>
    <row r="478" spans="1:5">
      <c r="A478" s="118" t="s">
        <v>430</v>
      </c>
      <c r="B478" s="85" t="s">
        <v>10</v>
      </c>
      <c r="C478" s="134">
        <v>45761</v>
      </c>
      <c r="D478" s="132" t="s">
        <v>11</v>
      </c>
      <c r="E478" s="85" t="s">
        <v>505</v>
      </c>
    </row>
    <row r="479" spans="1:5">
      <c r="A479" s="118" t="s">
        <v>430</v>
      </c>
      <c r="B479" s="85" t="s">
        <v>10</v>
      </c>
      <c r="C479" s="134">
        <v>45761</v>
      </c>
      <c r="D479" s="132" t="s">
        <v>11</v>
      </c>
      <c r="E479" s="85" t="s">
        <v>506</v>
      </c>
    </row>
    <row r="480" spans="1:5">
      <c r="A480" s="118" t="s">
        <v>430</v>
      </c>
      <c r="B480" s="85" t="s">
        <v>10</v>
      </c>
      <c r="C480" s="134">
        <v>45761</v>
      </c>
      <c r="D480" s="132" t="s">
        <v>11</v>
      </c>
      <c r="E480" s="85" t="s">
        <v>507</v>
      </c>
    </row>
    <row r="481" spans="1:5">
      <c r="A481" s="118" t="s">
        <v>430</v>
      </c>
      <c r="B481" s="85" t="s">
        <v>10</v>
      </c>
      <c r="C481" s="134">
        <v>45761</v>
      </c>
      <c r="D481" s="132" t="s">
        <v>11</v>
      </c>
      <c r="E481" s="85" t="s">
        <v>508</v>
      </c>
    </row>
    <row r="482" spans="1:5">
      <c r="A482" s="118" t="s">
        <v>430</v>
      </c>
      <c r="B482" s="85" t="s">
        <v>10</v>
      </c>
      <c r="C482" s="134">
        <v>45761</v>
      </c>
      <c r="D482" s="132" t="s">
        <v>11</v>
      </c>
      <c r="E482" s="85" t="s">
        <v>509</v>
      </c>
    </row>
    <row r="483" spans="1:5" ht="26.45">
      <c r="A483" s="118" t="s">
        <v>430</v>
      </c>
      <c r="B483" s="85" t="s">
        <v>10</v>
      </c>
      <c r="C483" s="134">
        <v>45761</v>
      </c>
      <c r="D483" s="132" t="s">
        <v>11</v>
      </c>
      <c r="E483" s="85" t="s">
        <v>510</v>
      </c>
    </row>
    <row r="484" spans="1:5" ht="39.6">
      <c r="A484" s="118" t="s">
        <v>430</v>
      </c>
      <c r="B484" s="85" t="s">
        <v>10</v>
      </c>
      <c r="C484" s="134">
        <v>45761</v>
      </c>
      <c r="D484" s="132" t="s">
        <v>11</v>
      </c>
      <c r="E484" s="85" t="s">
        <v>511</v>
      </c>
    </row>
    <row r="485" spans="1:5">
      <c r="A485" s="118" t="s">
        <v>430</v>
      </c>
      <c r="B485" s="85" t="s">
        <v>10</v>
      </c>
      <c r="C485" s="134">
        <v>45761</v>
      </c>
      <c r="D485" s="132" t="s">
        <v>11</v>
      </c>
      <c r="E485" s="85" t="s">
        <v>512</v>
      </c>
    </row>
    <row r="486" spans="1:5">
      <c r="A486" s="118" t="s">
        <v>430</v>
      </c>
      <c r="B486" s="85" t="s">
        <v>10</v>
      </c>
      <c r="C486" s="134">
        <v>45761</v>
      </c>
      <c r="D486" s="132" t="s">
        <v>11</v>
      </c>
      <c r="E486" s="85" t="s">
        <v>513</v>
      </c>
    </row>
    <row r="487" spans="1:5">
      <c r="A487" s="118" t="s">
        <v>430</v>
      </c>
      <c r="B487" s="85" t="s">
        <v>10</v>
      </c>
      <c r="C487" s="134">
        <v>45761</v>
      </c>
      <c r="D487" s="132" t="s">
        <v>11</v>
      </c>
      <c r="E487" s="85" t="s">
        <v>514</v>
      </c>
    </row>
    <row r="488" spans="1:5" ht="26.45">
      <c r="A488" s="118" t="s">
        <v>430</v>
      </c>
      <c r="B488" s="24" t="s">
        <v>251</v>
      </c>
      <c r="C488" s="30">
        <v>45758</v>
      </c>
      <c r="D488" s="77" t="s">
        <v>515</v>
      </c>
      <c r="E488" s="96" t="s">
        <v>516</v>
      </c>
    </row>
    <row r="489" spans="1:5" ht="26.45">
      <c r="A489" s="118" t="s">
        <v>430</v>
      </c>
      <c r="B489" s="24" t="s">
        <v>251</v>
      </c>
      <c r="C489" s="30">
        <v>45758</v>
      </c>
      <c r="D489" s="77" t="s">
        <v>71</v>
      </c>
      <c r="E489" s="96" t="s">
        <v>517</v>
      </c>
    </row>
    <row r="490" spans="1:5" ht="26.45">
      <c r="A490" s="118" t="s">
        <v>430</v>
      </c>
      <c r="B490" s="24" t="s">
        <v>26</v>
      </c>
      <c r="C490" s="30">
        <v>45761</v>
      </c>
      <c r="D490" s="77" t="s">
        <v>27</v>
      </c>
      <c r="E490" s="96" t="s">
        <v>518</v>
      </c>
    </row>
    <row r="491" spans="1:5" ht="92.45">
      <c r="A491" s="118" t="s">
        <v>430</v>
      </c>
      <c r="B491" s="24" t="s">
        <v>251</v>
      </c>
      <c r="C491" s="30">
        <v>45757</v>
      </c>
      <c r="D491" s="77" t="s">
        <v>71</v>
      </c>
      <c r="E491" s="96" t="s">
        <v>519</v>
      </c>
    </row>
    <row r="492" spans="1:5" ht="26.45">
      <c r="A492" s="118" t="s">
        <v>430</v>
      </c>
      <c r="B492" s="24" t="s">
        <v>7</v>
      </c>
      <c r="C492" s="30">
        <v>45756</v>
      </c>
      <c r="D492" s="77" t="s">
        <v>71</v>
      </c>
      <c r="E492" s="96" t="s">
        <v>520</v>
      </c>
    </row>
    <row r="493" spans="1:5" ht="39.6">
      <c r="A493" s="118" t="s">
        <v>430</v>
      </c>
      <c r="B493" s="24" t="s">
        <v>251</v>
      </c>
      <c r="C493" s="30">
        <v>45756</v>
      </c>
      <c r="D493" s="77" t="s">
        <v>515</v>
      </c>
      <c r="E493" s="96" t="s">
        <v>521</v>
      </c>
    </row>
    <row r="494" spans="1:5" ht="39.6">
      <c r="A494" s="118" t="s">
        <v>430</v>
      </c>
      <c r="B494" s="24" t="s">
        <v>251</v>
      </c>
      <c r="C494" s="30">
        <v>45756</v>
      </c>
      <c r="D494" s="77" t="s">
        <v>515</v>
      </c>
      <c r="E494" s="96" t="s">
        <v>522</v>
      </c>
    </row>
    <row r="495" spans="1:5">
      <c r="A495" s="118" t="s">
        <v>430</v>
      </c>
      <c r="B495" s="24" t="s">
        <v>15</v>
      </c>
      <c r="C495" s="30">
        <v>45756</v>
      </c>
      <c r="D495" s="77" t="s">
        <v>16</v>
      </c>
      <c r="E495" s="96" t="s">
        <v>523</v>
      </c>
    </row>
    <row r="496" spans="1:5" ht="27" thickBot="1">
      <c r="A496" s="120" t="s">
        <v>430</v>
      </c>
      <c r="B496" s="61" t="s">
        <v>251</v>
      </c>
      <c r="C496" s="62">
        <v>45756</v>
      </c>
      <c r="D496" s="95" t="s">
        <v>524</v>
      </c>
      <c r="E496" s="63" t="s">
        <v>525</v>
      </c>
    </row>
    <row r="497" spans="1:5">
      <c r="A497" s="118" t="s">
        <v>526</v>
      </c>
      <c r="B497" s="24" t="s">
        <v>48</v>
      </c>
      <c r="C497" s="30">
        <v>45755</v>
      </c>
      <c r="D497" s="77" t="s">
        <v>49</v>
      </c>
      <c r="E497" s="96" t="s">
        <v>527</v>
      </c>
    </row>
    <row r="498" spans="1:5">
      <c r="A498" s="118" t="s">
        <v>526</v>
      </c>
      <c r="B498" s="24" t="s">
        <v>48</v>
      </c>
      <c r="C498" s="30">
        <v>45755</v>
      </c>
      <c r="D498" s="77" t="s">
        <v>49</v>
      </c>
      <c r="E498" s="96" t="s">
        <v>528</v>
      </c>
    </row>
    <row r="499" spans="1:5">
      <c r="A499" s="118" t="s">
        <v>526</v>
      </c>
      <c r="B499" s="24" t="s">
        <v>48</v>
      </c>
      <c r="C499" s="30">
        <v>45755</v>
      </c>
      <c r="D499" s="77" t="s">
        <v>49</v>
      </c>
      <c r="E499" s="96" t="s">
        <v>529</v>
      </c>
    </row>
    <row r="500" spans="1:5">
      <c r="A500" s="118" t="s">
        <v>526</v>
      </c>
      <c r="B500" s="24" t="s">
        <v>48</v>
      </c>
      <c r="C500" s="30">
        <v>45755</v>
      </c>
      <c r="D500" s="77" t="s">
        <v>49</v>
      </c>
      <c r="E500" s="96" t="s">
        <v>66</v>
      </c>
    </row>
    <row r="501" spans="1:5">
      <c r="A501" s="118" t="s">
        <v>526</v>
      </c>
      <c r="B501" s="24" t="s">
        <v>48</v>
      </c>
      <c r="C501" s="30">
        <v>45755</v>
      </c>
      <c r="D501" s="77" t="s">
        <v>49</v>
      </c>
      <c r="E501" s="96" t="s">
        <v>530</v>
      </c>
    </row>
    <row r="502" spans="1:5">
      <c r="A502" s="118" t="s">
        <v>526</v>
      </c>
      <c r="B502" s="24" t="s">
        <v>48</v>
      </c>
      <c r="C502" s="30">
        <v>45755</v>
      </c>
      <c r="D502" s="77" t="s">
        <v>49</v>
      </c>
      <c r="E502" s="96" t="s">
        <v>531</v>
      </c>
    </row>
    <row r="503" spans="1:5">
      <c r="A503" s="118" t="s">
        <v>526</v>
      </c>
      <c r="B503" s="24" t="s">
        <v>48</v>
      </c>
      <c r="C503" s="30">
        <v>45755</v>
      </c>
      <c r="D503" s="77" t="s">
        <v>49</v>
      </c>
      <c r="E503" s="96" t="s">
        <v>532</v>
      </c>
    </row>
    <row r="504" spans="1:5">
      <c r="A504" s="118" t="s">
        <v>526</v>
      </c>
      <c r="B504" s="24" t="s">
        <v>48</v>
      </c>
      <c r="C504" s="30">
        <v>45755</v>
      </c>
      <c r="D504" s="77" t="s">
        <v>49</v>
      </c>
      <c r="E504" s="96" t="s">
        <v>533</v>
      </c>
    </row>
    <row r="505" spans="1:5">
      <c r="A505" s="118" t="s">
        <v>526</v>
      </c>
      <c r="B505" s="24" t="s">
        <v>48</v>
      </c>
      <c r="C505" s="30">
        <v>45755</v>
      </c>
      <c r="D505" s="77" t="s">
        <v>49</v>
      </c>
      <c r="E505" s="96" t="s">
        <v>534</v>
      </c>
    </row>
    <row r="506" spans="1:5">
      <c r="A506" s="118" t="s">
        <v>526</v>
      </c>
      <c r="B506" s="24" t="s">
        <v>48</v>
      </c>
      <c r="C506" s="30">
        <v>45755</v>
      </c>
      <c r="D506" s="77" t="s">
        <v>49</v>
      </c>
      <c r="E506" s="96" t="s">
        <v>535</v>
      </c>
    </row>
    <row r="507" spans="1:5">
      <c r="A507" s="118" t="s">
        <v>526</v>
      </c>
      <c r="B507" s="24" t="s">
        <v>48</v>
      </c>
      <c r="C507" s="30">
        <v>45755</v>
      </c>
      <c r="D507" s="77" t="s">
        <v>49</v>
      </c>
      <c r="E507" s="96" t="s">
        <v>536</v>
      </c>
    </row>
    <row r="508" spans="1:5">
      <c r="A508" s="118" t="s">
        <v>526</v>
      </c>
      <c r="B508" s="24" t="s">
        <v>48</v>
      </c>
      <c r="C508" s="30">
        <v>45755</v>
      </c>
      <c r="D508" s="77" t="s">
        <v>49</v>
      </c>
      <c r="E508" s="96" t="s">
        <v>537</v>
      </c>
    </row>
    <row r="509" spans="1:5">
      <c r="A509" s="118" t="s">
        <v>526</v>
      </c>
      <c r="B509" s="24" t="s">
        <v>48</v>
      </c>
      <c r="C509" s="30">
        <v>45755</v>
      </c>
      <c r="D509" s="77" t="s">
        <v>49</v>
      </c>
      <c r="E509" s="96" t="s">
        <v>538</v>
      </c>
    </row>
    <row r="510" spans="1:5">
      <c r="A510" s="118" t="s">
        <v>526</v>
      </c>
      <c r="B510" s="24" t="s">
        <v>48</v>
      </c>
      <c r="C510" s="30">
        <v>45755</v>
      </c>
      <c r="D510" s="77" t="s">
        <v>49</v>
      </c>
      <c r="E510" s="96" t="s">
        <v>539</v>
      </c>
    </row>
    <row r="511" spans="1:5">
      <c r="A511" s="118" t="s">
        <v>526</v>
      </c>
      <c r="B511" s="24" t="s">
        <v>48</v>
      </c>
      <c r="C511" s="30">
        <v>45755</v>
      </c>
      <c r="D511" s="77" t="s">
        <v>49</v>
      </c>
      <c r="E511" s="96" t="s">
        <v>540</v>
      </c>
    </row>
    <row r="512" spans="1:5">
      <c r="A512" s="118" t="s">
        <v>526</v>
      </c>
      <c r="B512" s="24" t="s">
        <v>48</v>
      </c>
      <c r="C512" s="30">
        <v>45755</v>
      </c>
      <c r="D512" s="77" t="s">
        <v>49</v>
      </c>
      <c r="E512" s="96" t="s">
        <v>541</v>
      </c>
    </row>
    <row r="513" spans="1:5">
      <c r="A513" s="118" t="s">
        <v>526</v>
      </c>
      <c r="B513" s="24" t="s">
        <v>48</v>
      </c>
      <c r="C513" s="30">
        <v>45755</v>
      </c>
      <c r="D513" s="77" t="s">
        <v>49</v>
      </c>
      <c r="E513" s="96" t="s">
        <v>542</v>
      </c>
    </row>
    <row r="514" spans="1:5">
      <c r="A514" s="118" t="s">
        <v>526</v>
      </c>
      <c r="B514" s="24" t="s">
        <v>48</v>
      </c>
      <c r="C514" s="30">
        <v>45755</v>
      </c>
      <c r="D514" s="77" t="s">
        <v>49</v>
      </c>
      <c r="E514" s="96" t="s">
        <v>543</v>
      </c>
    </row>
    <row r="515" spans="1:5" ht="145.15">
      <c r="A515" s="118" t="s">
        <v>526</v>
      </c>
      <c r="B515" s="24" t="s">
        <v>7</v>
      </c>
      <c r="C515" s="30">
        <v>45755</v>
      </c>
      <c r="D515" s="77" t="s">
        <v>544</v>
      </c>
      <c r="E515" s="96" t="s">
        <v>545</v>
      </c>
    </row>
    <row r="516" spans="1:5">
      <c r="A516" s="118" t="s">
        <v>526</v>
      </c>
      <c r="B516" s="24" t="s">
        <v>7</v>
      </c>
      <c r="C516" s="30">
        <v>45754</v>
      </c>
      <c r="D516" s="77" t="s">
        <v>428</v>
      </c>
      <c r="E516" s="96" t="s">
        <v>546</v>
      </c>
    </row>
    <row r="517" spans="1:5" ht="52.9">
      <c r="A517" s="118" t="s">
        <v>526</v>
      </c>
      <c r="B517" s="24" t="s">
        <v>251</v>
      </c>
      <c r="C517" s="30">
        <v>45751</v>
      </c>
      <c r="D517" s="77" t="s">
        <v>524</v>
      </c>
      <c r="E517" s="96" t="s">
        <v>547</v>
      </c>
    </row>
    <row r="518" spans="1:5">
      <c r="A518" s="118" t="s">
        <v>526</v>
      </c>
      <c r="B518" s="24" t="s">
        <v>251</v>
      </c>
      <c r="C518" s="30">
        <v>45751</v>
      </c>
      <c r="D518" s="77" t="s">
        <v>524</v>
      </c>
      <c r="E518" s="96" t="s">
        <v>548</v>
      </c>
    </row>
    <row r="519" spans="1:5" ht="39.6">
      <c r="A519" s="118" t="s">
        <v>526</v>
      </c>
      <c r="B519" s="24" t="s">
        <v>251</v>
      </c>
      <c r="C519" s="30">
        <v>45751</v>
      </c>
      <c r="D519" s="77" t="s">
        <v>524</v>
      </c>
      <c r="E519" s="96" t="s">
        <v>549</v>
      </c>
    </row>
    <row r="520" spans="1:5" ht="92.45">
      <c r="A520" s="118" t="s">
        <v>526</v>
      </c>
      <c r="B520" s="24" t="s">
        <v>251</v>
      </c>
      <c r="C520" s="30">
        <v>45751</v>
      </c>
      <c r="D520" s="77" t="s">
        <v>524</v>
      </c>
      <c r="E520" s="96" t="s">
        <v>550</v>
      </c>
    </row>
    <row r="521" spans="1:5">
      <c r="A521" s="118" t="s">
        <v>526</v>
      </c>
      <c r="B521" s="24" t="s">
        <v>251</v>
      </c>
      <c r="C521" s="30">
        <v>45751</v>
      </c>
      <c r="D521" s="77" t="s">
        <v>334</v>
      </c>
      <c r="E521" s="96" t="s">
        <v>551</v>
      </c>
    </row>
    <row r="522" spans="1:5">
      <c r="A522" s="118" t="s">
        <v>526</v>
      </c>
      <c r="B522" s="24" t="s">
        <v>251</v>
      </c>
      <c r="C522" s="30">
        <v>45751</v>
      </c>
      <c r="D522" s="77" t="s">
        <v>334</v>
      </c>
      <c r="E522" s="96" t="s">
        <v>552</v>
      </c>
    </row>
    <row r="523" spans="1:5">
      <c r="A523" s="118" t="s">
        <v>526</v>
      </c>
      <c r="B523" s="24" t="s">
        <v>15</v>
      </c>
      <c r="C523" s="30">
        <v>45750</v>
      </c>
      <c r="D523" s="77" t="s">
        <v>16</v>
      </c>
      <c r="E523" s="96" t="s">
        <v>553</v>
      </c>
    </row>
    <row r="524" spans="1:5">
      <c r="A524" s="118" t="s">
        <v>526</v>
      </c>
      <c r="B524" s="24" t="s">
        <v>15</v>
      </c>
      <c r="C524" s="30">
        <v>45750</v>
      </c>
      <c r="D524" s="77" t="s">
        <v>16</v>
      </c>
      <c r="E524" s="96" t="s">
        <v>554</v>
      </c>
    </row>
    <row r="525" spans="1:5">
      <c r="A525" s="118" t="s">
        <v>526</v>
      </c>
      <c r="B525" s="24" t="s">
        <v>15</v>
      </c>
      <c r="C525" s="30">
        <v>45750</v>
      </c>
      <c r="D525" s="77" t="s">
        <v>16</v>
      </c>
      <c r="E525" s="96" t="s">
        <v>555</v>
      </c>
    </row>
    <row r="526" spans="1:5">
      <c r="A526" s="118" t="s">
        <v>526</v>
      </c>
      <c r="B526" s="24" t="s">
        <v>15</v>
      </c>
      <c r="C526" s="30">
        <v>45750</v>
      </c>
      <c r="D526" s="77" t="s">
        <v>16</v>
      </c>
      <c r="E526" s="96" t="s">
        <v>556</v>
      </c>
    </row>
    <row r="527" spans="1:5">
      <c r="A527" s="118" t="s">
        <v>526</v>
      </c>
      <c r="B527" s="24" t="s">
        <v>15</v>
      </c>
      <c r="C527" s="30">
        <v>45750</v>
      </c>
      <c r="D527" s="77" t="s">
        <v>16</v>
      </c>
      <c r="E527" s="96" t="s">
        <v>557</v>
      </c>
    </row>
    <row r="528" spans="1:5">
      <c r="A528" s="118" t="s">
        <v>526</v>
      </c>
      <c r="B528" s="24" t="s">
        <v>15</v>
      </c>
      <c r="C528" s="30">
        <v>45750</v>
      </c>
      <c r="D528" s="77" t="s">
        <v>16</v>
      </c>
      <c r="E528" s="111" t="s">
        <v>558</v>
      </c>
    </row>
    <row r="529" spans="1:5">
      <c r="A529" s="118" t="s">
        <v>526</v>
      </c>
      <c r="B529" s="24" t="s">
        <v>15</v>
      </c>
      <c r="C529" s="30">
        <v>45750</v>
      </c>
      <c r="D529" s="77" t="s">
        <v>16</v>
      </c>
      <c r="E529" s="96" t="s">
        <v>559</v>
      </c>
    </row>
    <row r="530" spans="1:5">
      <c r="A530" s="118" t="s">
        <v>526</v>
      </c>
      <c r="B530" s="24" t="s">
        <v>15</v>
      </c>
      <c r="C530" s="30">
        <v>45750</v>
      </c>
      <c r="D530" s="77" t="s">
        <v>16</v>
      </c>
      <c r="E530" s="96" t="s">
        <v>560</v>
      </c>
    </row>
    <row r="531" spans="1:5">
      <c r="A531" s="118" t="s">
        <v>526</v>
      </c>
      <c r="B531" s="24" t="s">
        <v>15</v>
      </c>
      <c r="C531" s="30">
        <v>45750</v>
      </c>
      <c r="D531" s="77" t="s">
        <v>16</v>
      </c>
      <c r="E531" s="96" t="s">
        <v>561</v>
      </c>
    </row>
    <row r="532" spans="1:5">
      <c r="A532" s="118" t="s">
        <v>526</v>
      </c>
      <c r="B532" s="24" t="s">
        <v>15</v>
      </c>
      <c r="C532" s="30">
        <v>45750</v>
      </c>
      <c r="D532" s="77" t="s">
        <v>16</v>
      </c>
      <c r="E532" s="96" t="s">
        <v>562</v>
      </c>
    </row>
    <row r="533" spans="1:5">
      <c r="A533" s="118" t="s">
        <v>526</v>
      </c>
      <c r="B533" s="24" t="s">
        <v>15</v>
      </c>
      <c r="C533" s="30">
        <v>45750</v>
      </c>
      <c r="D533" s="77" t="s">
        <v>16</v>
      </c>
      <c r="E533" s="96" t="s">
        <v>563</v>
      </c>
    </row>
    <row r="534" spans="1:5">
      <c r="A534" s="118" t="s">
        <v>526</v>
      </c>
      <c r="B534" s="24" t="s">
        <v>15</v>
      </c>
      <c r="C534" s="30">
        <v>45750</v>
      </c>
      <c r="D534" s="77" t="s">
        <v>16</v>
      </c>
      <c r="E534" s="96" t="s">
        <v>564</v>
      </c>
    </row>
    <row r="535" spans="1:5">
      <c r="A535" s="118" t="s">
        <v>526</v>
      </c>
      <c r="B535" s="24" t="s">
        <v>15</v>
      </c>
      <c r="C535" s="30">
        <v>45750</v>
      </c>
      <c r="D535" s="77" t="s">
        <v>16</v>
      </c>
      <c r="E535" s="96" t="s">
        <v>565</v>
      </c>
    </row>
    <row r="536" spans="1:5" ht="26.45">
      <c r="A536" s="118" t="s">
        <v>526</v>
      </c>
      <c r="B536" s="24" t="s">
        <v>15</v>
      </c>
      <c r="C536" s="30">
        <v>45750</v>
      </c>
      <c r="D536" s="77" t="s">
        <v>16</v>
      </c>
      <c r="E536" s="96" t="s">
        <v>566</v>
      </c>
    </row>
    <row r="537" spans="1:5" ht="40.15" thickBot="1">
      <c r="A537" s="120" t="s">
        <v>526</v>
      </c>
      <c r="B537" s="61" t="s">
        <v>251</v>
      </c>
      <c r="C537" s="62">
        <v>45749</v>
      </c>
      <c r="D537" s="95" t="s">
        <v>334</v>
      </c>
      <c r="E537" s="63" t="s">
        <v>567</v>
      </c>
    </row>
    <row r="538" spans="1:5" ht="26.45">
      <c r="A538" s="119" t="s">
        <v>568</v>
      </c>
      <c r="B538" s="24" t="s">
        <v>569</v>
      </c>
      <c r="C538" s="30">
        <v>45748</v>
      </c>
      <c r="D538" s="77" t="s">
        <v>49</v>
      </c>
      <c r="E538" s="96" t="s">
        <v>570</v>
      </c>
    </row>
    <row r="539" spans="1:5">
      <c r="A539" s="119" t="s">
        <v>568</v>
      </c>
      <c r="B539" s="24" t="s">
        <v>569</v>
      </c>
      <c r="C539" s="30">
        <v>45748</v>
      </c>
      <c r="D539" s="77" t="s">
        <v>49</v>
      </c>
      <c r="E539" s="96" t="s">
        <v>571</v>
      </c>
    </row>
    <row r="540" spans="1:5">
      <c r="A540" s="119" t="s">
        <v>568</v>
      </c>
      <c r="B540" s="24" t="s">
        <v>569</v>
      </c>
      <c r="C540" s="30">
        <v>45748</v>
      </c>
      <c r="D540" s="77" t="s">
        <v>49</v>
      </c>
      <c r="E540" s="96" t="s">
        <v>572</v>
      </c>
    </row>
    <row r="541" spans="1:5">
      <c r="A541" s="119" t="s">
        <v>568</v>
      </c>
      <c r="B541" s="24" t="s">
        <v>569</v>
      </c>
      <c r="C541" s="30">
        <v>45748</v>
      </c>
      <c r="D541" s="77" t="s">
        <v>49</v>
      </c>
      <c r="E541" s="96" t="s">
        <v>573</v>
      </c>
    </row>
    <row r="542" spans="1:5">
      <c r="A542" s="119" t="s">
        <v>568</v>
      </c>
      <c r="B542" s="24" t="s">
        <v>569</v>
      </c>
      <c r="C542" s="30">
        <v>45748</v>
      </c>
      <c r="D542" s="77" t="s">
        <v>49</v>
      </c>
      <c r="E542" s="96" t="s">
        <v>574</v>
      </c>
    </row>
    <row r="543" spans="1:5">
      <c r="A543" s="119" t="s">
        <v>568</v>
      </c>
      <c r="B543" s="24" t="s">
        <v>569</v>
      </c>
      <c r="C543" s="30">
        <v>45748</v>
      </c>
      <c r="D543" s="77" t="s">
        <v>49</v>
      </c>
      <c r="E543" s="96" t="s">
        <v>575</v>
      </c>
    </row>
    <row r="544" spans="1:5">
      <c r="A544" s="119" t="s">
        <v>568</v>
      </c>
      <c r="B544" s="24" t="s">
        <v>569</v>
      </c>
      <c r="C544" s="30">
        <v>45748</v>
      </c>
      <c r="D544" s="77" t="s">
        <v>49</v>
      </c>
      <c r="E544" s="96" t="s">
        <v>576</v>
      </c>
    </row>
    <row r="545" spans="1:5">
      <c r="A545" s="119" t="s">
        <v>568</v>
      </c>
      <c r="B545" s="24" t="s">
        <v>569</v>
      </c>
      <c r="C545" s="30">
        <v>45748</v>
      </c>
      <c r="D545" s="77" t="s">
        <v>49</v>
      </c>
      <c r="E545" s="96" t="s">
        <v>577</v>
      </c>
    </row>
    <row r="546" spans="1:5">
      <c r="A546" s="119" t="s">
        <v>568</v>
      </c>
      <c r="B546" s="24" t="s">
        <v>569</v>
      </c>
      <c r="C546" s="30">
        <v>45748</v>
      </c>
      <c r="D546" s="77" t="s">
        <v>49</v>
      </c>
      <c r="E546" s="96" t="s">
        <v>578</v>
      </c>
    </row>
    <row r="547" spans="1:5">
      <c r="A547" s="119" t="s">
        <v>568</v>
      </c>
      <c r="B547" s="24" t="s">
        <v>569</v>
      </c>
      <c r="C547" s="30">
        <v>45748</v>
      </c>
      <c r="D547" s="77" t="s">
        <v>49</v>
      </c>
      <c r="E547" s="96" t="s">
        <v>579</v>
      </c>
    </row>
    <row r="548" spans="1:5">
      <c r="A548" s="119" t="s">
        <v>568</v>
      </c>
      <c r="B548" s="24" t="s">
        <v>569</v>
      </c>
      <c r="C548" s="30">
        <v>45748</v>
      </c>
      <c r="D548" s="77" t="s">
        <v>49</v>
      </c>
      <c r="E548" s="96" t="s">
        <v>580</v>
      </c>
    </row>
    <row r="549" spans="1:5">
      <c r="A549" s="119" t="s">
        <v>568</v>
      </c>
      <c r="B549" s="24" t="s">
        <v>569</v>
      </c>
      <c r="C549" s="30">
        <v>45748</v>
      </c>
      <c r="D549" s="77" t="s">
        <v>49</v>
      </c>
      <c r="E549" s="96" t="s">
        <v>581</v>
      </c>
    </row>
    <row r="550" spans="1:5">
      <c r="A550" s="119" t="s">
        <v>568</v>
      </c>
      <c r="B550" s="24" t="s">
        <v>569</v>
      </c>
      <c r="C550" s="30">
        <v>45748</v>
      </c>
      <c r="D550" s="77" t="s">
        <v>49</v>
      </c>
      <c r="E550" s="96" t="s">
        <v>582</v>
      </c>
    </row>
    <row r="551" spans="1:5">
      <c r="A551" s="119" t="s">
        <v>568</v>
      </c>
      <c r="B551" s="24" t="s">
        <v>569</v>
      </c>
      <c r="C551" s="30">
        <v>45748</v>
      </c>
      <c r="D551" s="77" t="s">
        <v>49</v>
      </c>
      <c r="E551" s="96" t="s">
        <v>583</v>
      </c>
    </row>
    <row r="552" spans="1:5">
      <c r="A552" s="119" t="s">
        <v>568</v>
      </c>
      <c r="B552" s="24" t="s">
        <v>569</v>
      </c>
      <c r="C552" s="30">
        <v>45748</v>
      </c>
      <c r="D552" s="77" t="s">
        <v>49</v>
      </c>
      <c r="E552" s="96" t="s">
        <v>584</v>
      </c>
    </row>
    <row r="553" spans="1:5">
      <c r="A553" s="119" t="s">
        <v>568</v>
      </c>
      <c r="B553" s="24" t="s">
        <v>569</v>
      </c>
      <c r="C553" s="30">
        <v>45748</v>
      </c>
      <c r="D553" s="77" t="s">
        <v>49</v>
      </c>
      <c r="E553" s="96" t="s">
        <v>585</v>
      </c>
    </row>
    <row r="554" spans="1:5">
      <c r="A554" s="119" t="s">
        <v>568</v>
      </c>
      <c r="B554" s="24" t="s">
        <v>569</v>
      </c>
      <c r="C554" s="30">
        <v>45748</v>
      </c>
      <c r="D554" s="77" t="s">
        <v>49</v>
      </c>
      <c r="E554" s="96" t="s">
        <v>586</v>
      </c>
    </row>
    <row r="555" spans="1:5">
      <c r="A555" s="119" t="s">
        <v>568</v>
      </c>
      <c r="B555" s="24" t="s">
        <v>569</v>
      </c>
      <c r="C555" s="30">
        <v>45748</v>
      </c>
      <c r="D555" s="77" t="s">
        <v>49</v>
      </c>
      <c r="E555" s="96" t="s">
        <v>587</v>
      </c>
    </row>
    <row r="556" spans="1:5">
      <c r="A556" s="119" t="s">
        <v>568</v>
      </c>
      <c r="B556" s="24" t="s">
        <v>569</v>
      </c>
      <c r="C556" s="30">
        <v>45748</v>
      </c>
      <c r="D556" s="77" t="s">
        <v>49</v>
      </c>
      <c r="E556" s="96" t="s">
        <v>588</v>
      </c>
    </row>
    <row r="557" spans="1:5">
      <c r="A557" s="119">
        <v>25.08</v>
      </c>
      <c r="B557" s="24" t="s">
        <v>589</v>
      </c>
      <c r="C557" s="30">
        <v>45717</v>
      </c>
      <c r="D557" s="77" t="s">
        <v>11</v>
      </c>
      <c r="E557" s="96" t="s">
        <v>590</v>
      </c>
    </row>
    <row r="558" spans="1:5">
      <c r="A558" s="119">
        <v>25.08</v>
      </c>
      <c r="B558" s="24" t="s">
        <v>589</v>
      </c>
      <c r="C558" s="30">
        <v>45747</v>
      </c>
      <c r="D558" s="77" t="s">
        <v>11</v>
      </c>
      <c r="E558" s="96" t="s">
        <v>591</v>
      </c>
    </row>
    <row r="559" spans="1:5">
      <c r="A559" s="119">
        <v>25.08</v>
      </c>
      <c r="B559" s="24" t="s">
        <v>589</v>
      </c>
      <c r="C559" s="30">
        <v>45747</v>
      </c>
      <c r="D559" s="77" t="s">
        <v>11</v>
      </c>
      <c r="E559" s="96" t="s">
        <v>592</v>
      </c>
    </row>
    <row r="560" spans="1:5">
      <c r="A560" s="119" t="s">
        <v>568</v>
      </c>
      <c r="B560" s="24" t="s">
        <v>10</v>
      </c>
      <c r="C560" s="30">
        <v>45747</v>
      </c>
      <c r="D560" s="77" t="s">
        <v>11</v>
      </c>
      <c r="E560" s="96" t="s">
        <v>593</v>
      </c>
    </row>
    <row r="561" spans="1:5">
      <c r="A561" s="119" t="s">
        <v>568</v>
      </c>
      <c r="B561" s="24" t="s">
        <v>10</v>
      </c>
      <c r="C561" s="30">
        <v>45747</v>
      </c>
      <c r="D561" s="77" t="s">
        <v>11</v>
      </c>
      <c r="E561" s="96" t="s">
        <v>594</v>
      </c>
    </row>
    <row r="562" spans="1:5">
      <c r="A562" s="119" t="s">
        <v>568</v>
      </c>
      <c r="B562" s="24" t="s">
        <v>10</v>
      </c>
      <c r="C562" s="30">
        <v>45747</v>
      </c>
      <c r="D562" s="77" t="s">
        <v>11</v>
      </c>
      <c r="E562" s="96" t="s">
        <v>595</v>
      </c>
    </row>
    <row r="563" spans="1:5">
      <c r="A563" s="119" t="s">
        <v>568</v>
      </c>
      <c r="B563" s="24" t="s">
        <v>10</v>
      </c>
      <c r="C563" s="30">
        <v>45747</v>
      </c>
      <c r="D563" s="77" t="s">
        <v>11</v>
      </c>
      <c r="E563" s="96" t="s">
        <v>596</v>
      </c>
    </row>
    <row r="564" spans="1:5">
      <c r="A564" s="119" t="s">
        <v>568</v>
      </c>
      <c r="B564" s="24" t="s">
        <v>10</v>
      </c>
      <c r="C564" s="30">
        <v>45747</v>
      </c>
      <c r="D564" s="77" t="s">
        <v>11</v>
      </c>
      <c r="E564" s="96" t="s">
        <v>597</v>
      </c>
    </row>
    <row r="565" spans="1:5">
      <c r="A565" s="119" t="s">
        <v>568</v>
      </c>
      <c r="B565" s="24" t="s">
        <v>10</v>
      </c>
      <c r="C565" s="30">
        <v>45747</v>
      </c>
      <c r="D565" s="77" t="s">
        <v>11</v>
      </c>
      <c r="E565" s="96" t="s">
        <v>598</v>
      </c>
    </row>
    <row r="566" spans="1:5">
      <c r="A566" s="119" t="s">
        <v>568</v>
      </c>
      <c r="B566" s="24" t="s">
        <v>10</v>
      </c>
      <c r="C566" s="30">
        <v>45747</v>
      </c>
      <c r="D566" s="77" t="s">
        <v>11</v>
      </c>
      <c r="E566" s="96" t="s">
        <v>599</v>
      </c>
    </row>
    <row r="567" spans="1:5">
      <c r="A567" s="119" t="s">
        <v>568</v>
      </c>
      <c r="B567" s="24" t="s">
        <v>10</v>
      </c>
      <c r="C567" s="30">
        <v>45747</v>
      </c>
      <c r="D567" s="77" t="s">
        <v>11</v>
      </c>
      <c r="E567" s="96" t="s">
        <v>600</v>
      </c>
    </row>
    <row r="568" spans="1:5">
      <c r="A568" s="119" t="s">
        <v>568</v>
      </c>
      <c r="B568" s="24" t="s">
        <v>10</v>
      </c>
      <c r="C568" s="30">
        <v>45747</v>
      </c>
      <c r="D568" s="77" t="s">
        <v>11</v>
      </c>
      <c r="E568" s="96" t="s">
        <v>601</v>
      </c>
    </row>
    <row r="569" spans="1:5">
      <c r="A569" s="119" t="s">
        <v>568</v>
      </c>
      <c r="B569" s="24" t="s">
        <v>10</v>
      </c>
      <c r="C569" s="30">
        <v>45747</v>
      </c>
      <c r="D569" s="77" t="s">
        <v>11</v>
      </c>
      <c r="E569" s="96" t="s">
        <v>602</v>
      </c>
    </row>
    <row r="570" spans="1:5">
      <c r="A570" s="119" t="s">
        <v>568</v>
      </c>
      <c r="B570" s="24" t="s">
        <v>10</v>
      </c>
      <c r="C570" s="30">
        <v>45747</v>
      </c>
      <c r="D570" s="77" t="s">
        <v>11</v>
      </c>
      <c r="E570" s="96" t="s">
        <v>603</v>
      </c>
    </row>
    <row r="571" spans="1:5">
      <c r="A571" s="119" t="s">
        <v>568</v>
      </c>
      <c r="B571" s="24" t="s">
        <v>10</v>
      </c>
      <c r="C571" s="30">
        <v>45747</v>
      </c>
      <c r="D571" s="77" t="s">
        <v>11</v>
      </c>
      <c r="E571" s="96" t="s">
        <v>604</v>
      </c>
    </row>
    <row r="572" spans="1:5">
      <c r="A572" s="119" t="s">
        <v>568</v>
      </c>
      <c r="B572" s="24" t="s">
        <v>10</v>
      </c>
      <c r="C572" s="30">
        <v>45747</v>
      </c>
      <c r="D572" s="77" t="s">
        <v>11</v>
      </c>
      <c r="E572" s="96" t="s">
        <v>605</v>
      </c>
    </row>
    <row r="573" spans="1:5">
      <c r="A573" s="119" t="s">
        <v>568</v>
      </c>
      <c r="B573" s="24" t="s">
        <v>10</v>
      </c>
      <c r="C573" s="30">
        <v>45747</v>
      </c>
      <c r="D573" s="77" t="s">
        <v>11</v>
      </c>
      <c r="E573" s="96" t="s">
        <v>606</v>
      </c>
    </row>
    <row r="574" spans="1:5">
      <c r="A574" s="119" t="s">
        <v>568</v>
      </c>
      <c r="B574" s="24" t="s">
        <v>10</v>
      </c>
      <c r="C574" s="30">
        <v>45747</v>
      </c>
      <c r="D574" s="77" t="s">
        <v>11</v>
      </c>
      <c r="E574" s="96" t="s">
        <v>607</v>
      </c>
    </row>
    <row r="575" spans="1:5">
      <c r="A575" s="119" t="s">
        <v>568</v>
      </c>
      <c r="B575" s="24" t="s">
        <v>10</v>
      </c>
      <c r="C575" s="30">
        <v>45747</v>
      </c>
      <c r="D575" s="77" t="s">
        <v>11</v>
      </c>
      <c r="E575" s="96" t="s">
        <v>608</v>
      </c>
    </row>
    <row r="576" spans="1:5">
      <c r="A576" s="119" t="s">
        <v>568</v>
      </c>
      <c r="B576" s="24" t="s">
        <v>10</v>
      </c>
      <c r="C576" s="30">
        <v>45747</v>
      </c>
      <c r="D576" s="77" t="s">
        <v>11</v>
      </c>
      <c r="E576" s="96" t="s">
        <v>609</v>
      </c>
    </row>
    <row r="577" spans="1:5">
      <c r="A577" s="119" t="s">
        <v>568</v>
      </c>
      <c r="B577" s="24" t="s">
        <v>10</v>
      </c>
      <c r="C577" s="30">
        <v>45747</v>
      </c>
      <c r="D577" s="77" t="s">
        <v>11</v>
      </c>
      <c r="E577" s="96" t="s">
        <v>610</v>
      </c>
    </row>
    <row r="578" spans="1:5">
      <c r="A578" s="119" t="s">
        <v>568</v>
      </c>
      <c r="B578" s="24" t="s">
        <v>10</v>
      </c>
      <c r="C578" s="30">
        <v>45747</v>
      </c>
      <c r="D578" s="77" t="s">
        <v>11</v>
      </c>
      <c r="E578" s="96" t="s">
        <v>611</v>
      </c>
    </row>
    <row r="579" spans="1:5">
      <c r="A579" s="119" t="s">
        <v>568</v>
      </c>
      <c r="B579" s="24" t="s">
        <v>10</v>
      </c>
      <c r="C579" s="30">
        <v>45747</v>
      </c>
      <c r="D579" s="77" t="s">
        <v>11</v>
      </c>
      <c r="E579" s="96" t="s">
        <v>612</v>
      </c>
    </row>
    <row r="580" spans="1:5">
      <c r="A580" s="119" t="s">
        <v>568</v>
      </c>
      <c r="B580" s="24" t="s">
        <v>10</v>
      </c>
      <c r="C580" s="30">
        <v>45747</v>
      </c>
      <c r="D580" s="77" t="s">
        <v>11</v>
      </c>
      <c r="E580" s="96" t="s">
        <v>613</v>
      </c>
    </row>
    <row r="581" spans="1:5">
      <c r="A581" s="119" t="s">
        <v>568</v>
      </c>
      <c r="B581" s="24" t="s">
        <v>10</v>
      </c>
      <c r="C581" s="30">
        <v>45747</v>
      </c>
      <c r="D581" s="77" t="s">
        <v>11</v>
      </c>
      <c r="E581" s="96" t="s">
        <v>614</v>
      </c>
    </row>
    <row r="582" spans="1:5">
      <c r="A582" s="119" t="s">
        <v>568</v>
      </c>
      <c r="B582" s="24" t="s">
        <v>10</v>
      </c>
      <c r="C582" s="30">
        <v>45747</v>
      </c>
      <c r="D582" s="77" t="s">
        <v>11</v>
      </c>
      <c r="E582" s="96" t="s">
        <v>615</v>
      </c>
    </row>
    <row r="583" spans="1:5">
      <c r="A583" s="119" t="s">
        <v>568</v>
      </c>
      <c r="B583" s="24" t="s">
        <v>10</v>
      </c>
      <c r="C583" s="30">
        <v>45747</v>
      </c>
      <c r="D583" s="77" t="s">
        <v>11</v>
      </c>
      <c r="E583" s="96" t="s">
        <v>616</v>
      </c>
    </row>
    <row r="584" spans="1:5">
      <c r="A584" s="119" t="s">
        <v>568</v>
      </c>
      <c r="B584" s="24" t="s">
        <v>10</v>
      </c>
      <c r="C584" s="30">
        <v>45747</v>
      </c>
      <c r="D584" s="77" t="s">
        <v>11</v>
      </c>
      <c r="E584" s="96" t="s">
        <v>617</v>
      </c>
    </row>
    <row r="585" spans="1:5">
      <c r="A585" s="119" t="s">
        <v>568</v>
      </c>
      <c r="B585" s="24" t="s">
        <v>10</v>
      </c>
      <c r="C585" s="30">
        <v>45747</v>
      </c>
      <c r="D585" s="77" t="s">
        <v>11</v>
      </c>
      <c r="E585" s="96" t="s">
        <v>618</v>
      </c>
    </row>
    <row r="586" spans="1:5">
      <c r="A586" s="119" t="s">
        <v>568</v>
      </c>
      <c r="B586" s="24" t="s">
        <v>10</v>
      </c>
      <c r="C586" s="30">
        <v>45747</v>
      </c>
      <c r="D586" s="77" t="s">
        <v>11</v>
      </c>
      <c r="E586" s="96" t="s">
        <v>619</v>
      </c>
    </row>
    <row r="587" spans="1:5">
      <c r="A587" s="119" t="s">
        <v>568</v>
      </c>
      <c r="B587" s="24" t="s">
        <v>10</v>
      </c>
      <c r="C587" s="30">
        <v>45747</v>
      </c>
      <c r="D587" s="77" t="s">
        <v>11</v>
      </c>
      <c r="E587" s="96" t="s">
        <v>620</v>
      </c>
    </row>
    <row r="588" spans="1:5">
      <c r="A588" s="119" t="s">
        <v>568</v>
      </c>
      <c r="B588" s="24" t="s">
        <v>10</v>
      </c>
      <c r="C588" s="30">
        <v>45747</v>
      </c>
      <c r="D588" s="77" t="s">
        <v>11</v>
      </c>
      <c r="E588" s="96" t="s">
        <v>621</v>
      </c>
    </row>
    <row r="589" spans="1:5">
      <c r="A589" s="119" t="s">
        <v>568</v>
      </c>
      <c r="B589" s="24" t="s">
        <v>10</v>
      </c>
      <c r="C589" s="30">
        <v>45747</v>
      </c>
      <c r="D589" s="77" t="s">
        <v>11</v>
      </c>
      <c r="E589" s="96" t="s">
        <v>622</v>
      </c>
    </row>
    <row r="590" spans="1:5">
      <c r="A590" s="119" t="s">
        <v>568</v>
      </c>
      <c r="B590" s="24" t="s">
        <v>10</v>
      </c>
      <c r="C590" s="30">
        <v>45747</v>
      </c>
      <c r="D590" s="77" t="s">
        <v>11</v>
      </c>
      <c r="E590" s="96" t="s">
        <v>623</v>
      </c>
    </row>
    <row r="591" spans="1:5">
      <c r="A591" s="119" t="s">
        <v>568</v>
      </c>
      <c r="B591" s="24" t="s">
        <v>10</v>
      </c>
      <c r="C591" s="30">
        <v>45747</v>
      </c>
      <c r="D591" s="77" t="s">
        <v>11</v>
      </c>
      <c r="E591" s="96" t="s">
        <v>624</v>
      </c>
    </row>
    <row r="592" spans="1:5">
      <c r="A592" s="119" t="s">
        <v>568</v>
      </c>
      <c r="B592" s="24" t="s">
        <v>10</v>
      </c>
      <c r="C592" s="30">
        <v>45747</v>
      </c>
      <c r="D592" s="77" t="s">
        <v>11</v>
      </c>
      <c r="E592" s="96" t="s">
        <v>625</v>
      </c>
    </row>
    <row r="593" spans="1:5">
      <c r="A593" s="119" t="s">
        <v>568</v>
      </c>
      <c r="B593" s="24" t="s">
        <v>10</v>
      </c>
      <c r="C593" s="30">
        <v>45747</v>
      </c>
      <c r="D593" s="77" t="s">
        <v>13</v>
      </c>
      <c r="E593" s="96" t="s">
        <v>626</v>
      </c>
    </row>
    <row r="594" spans="1:5">
      <c r="A594" s="119" t="s">
        <v>568</v>
      </c>
      <c r="B594" s="24" t="s">
        <v>10</v>
      </c>
      <c r="C594" s="30">
        <v>45747</v>
      </c>
      <c r="D594" s="77" t="s">
        <v>13</v>
      </c>
      <c r="E594" s="96" t="s">
        <v>627</v>
      </c>
    </row>
    <row r="595" spans="1:5">
      <c r="A595" s="119" t="s">
        <v>568</v>
      </c>
      <c r="B595" s="24" t="s">
        <v>10</v>
      </c>
      <c r="C595" s="30">
        <v>45747</v>
      </c>
      <c r="D595" s="77" t="s">
        <v>13</v>
      </c>
      <c r="E595" s="96" t="s">
        <v>628</v>
      </c>
    </row>
    <row r="596" spans="1:5">
      <c r="A596" s="119" t="s">
        <v>568</v>
      </c>
      <c r="B596" s="24" t="s">
        <v>10</v>
      </c>
      <c r="C596" s="30">
        <v>45747</v>
      </c>
      <c r="D596" s="77" t="s">
        <v>13</v>
      </c>
      <c r="E596" s="96" t="s">
        <v>629</v>
      </c>
    </row>
    <row r="597" spans="1:5">
      <c r="A597" s="119" t="s">
        <v>568</v>
      </c>
      <c r="B597" s="24" t="s">
        <v>10</v>
      </c>
      <c r="C597" s="30">
        <v>45747</v>
      </c>
      <c r="D597" s="77" t="s">
        <v>13</v>
      </c>
      <c r="E597" s="96" t="s">
        <v>630</v>
      </c>
    </row>
    <row r="598" spans="1:5">
      <c r="A598" s="119" t="s">
        <v>568</v>
      </c>
      <c r="B598" s="24" t="s">
        <v>10</v>
      </c>
      <c r="C598" s="30">
        <v>45747</v>
      </c>
      <c r="D598" s="77" t="s">
        <v>13</v>
      </c>
      <c r="E598" s="96" t="s">
        <v>631</v>
      </c>
    </row>
    <row r="599" spans="1:5">
      <c r="A599" s="119" t="s">
        <v>568</v>
      </c>
      <c r="B599" s="24" t="s">
        <v>10</v>
      </c>
      <c r="C599" s="30">
        <v>45747</v>
      </c>
      <c r="D599" s="77" t="s">
        <v>13</v>
      </c>
      <c r="E599" s="96" t="s">
        <v>631</v>
      </c>
    </row>
    <row r="600" spans="1:5">
      <c r="A600" s="119" t="s">
        <v>568</v>
      </c>
      <c r="B600" s="24" t="s">
        <v>10</v>
      </c>
      <c r="C600" s="30">
        <v>45747</v>
      </c>
      <c r="D600" s="77" t="s">
        <v>13</v>
      </c>
      <c r="E600" s="96" t="s">
        <v>632</v>
      </c>
    </row>
    <row r="601" spans="1:5">
      <c r="A601" s="119" t="s">
        <v>568</v>
      </c>
      <c r="B601" s="24" t="s">
        <v>10</v>
      </c>
      <c r="C601" s="30">
        <v>45747</v>
      </c>
      <c r="D601" s="77" t="s">
        <v>13</v>
      </c>
      <c r="E601" s="96" t="s">
        <v>632</v>
      </c>
    </row>
    <row r="602" spans="1:5">
      <c r="A602" s="119" t="s">
        <v>568</v>
      </c>
      <c r="B602" s="24" t="s">
        <v>10</v>
      </c>
      <c r="C602" s="30">
        <v>45747</v>
      </c>
      <c r="D602" s="77" t="s">
        <v>13</v>
      </c>
      <c r="E602" s="96" t="s">
        <v>632</v>
      </c>
    </row>
    <row r="603" spans="1:5">
      <c r="A603" s="119" t="s">
        <v>568</v>
      </c>
      <c r="B603" s="24" t="s">
        <v>10</v>
      </c>
      <c r="C603" s="30">
        <v>45747</v>
      </c>
      <c r="D603" s="77" t="s">
        <v>13</v>
      </c>
      <c r="E603" s="96" t="s">
        <v>632</v>
      </c>
    </row>
    <row r="604" spans="1:5">
      <c r="A604" s="119" t="s">
        <v>568</v>
      </c>
      <c r="B604" s="24" t="s">
        <v>10</v>
      </c>
      <c r="C604" s="30">
        <v>45747</v>
      </c>
      <c r="D604" s="77" t="s">
        <v>13</v>
      </c>
      <c r="E604" s="96" t="s">
        <v>632</v>
      </c>
    </row>
    <row r="605" spans="1:5">
      <c r="A605" s="119" t="s">
        <v>568</v>
      </c>
      <c r="B605" s="24" t="s">
        <v>10</v>
      </c>
      <c r="C605" s="30">
        <v>45747</v>
      </c>
      <c r="D605" s="77" t="s">
        <v>13</v>
      </c>
      <c r="E605" s="96" t="s">
        <v>632</v>
      </c>
    </row>
    <row r="606" spans="1:5">
      <c r="A606" s="119" t="s">
        <v>568</v>
      </c>
      <c r="B606" s="24" t="s">
        <v>10</v>
      </c>
      <c r="C606" s="30">
        <v>45747</v>
      </c>
      <c r="D606" s="77" t="s">
        <v>13</v>
      </c>
      <c r="E606" s="96" t="s">
        <v>632</v>
      </c>
    </row>
    <row r="607" spans="1:5">
      <c r="A607" s="119" t="s">
        <v>568</v>
      </c>
      <c r="B607" s="24" t="s">
        <v>10</v>
      </c>
      <c r="C607" s="30">
        <v>45747</v>
      </c>
      <c r="D607" s="77" t="s">
        <v>13</v>
      </c>
      <c r="E607" s="96" t="s">
        <v>632</v>
      </c>
    </row>
    <row r="608" spans="1:5">
      <c r="A608" s="119" t="s">
        <v>568</v>
      </c>
      <c r="B608" s="24" t="s">
        <v>10</v>
      </c>
      <c r="C608" s="30">
        <v>45747</v>
      </c>
      <c r="D608" s="77" t="s">
        <v>13</v>
      </c>
      <c r="E608" s="96" t="s">
        <v>632</v>
      </c>
    </row>
    <row r="609" spans="1:5" ht="52.9">
      <c r="A609" s="119" t="s">
        <v>568</v>
      </c>
      <c r="B609" s="24" t="s">
        <v>26</v>
      </c>
      <c r="C609" s="30">
        <v>45747</v>
      </c>
      <c r="D609" s="77" t="s">
        <v>27</v>
      </c>
      <c r="E609" s="85" t="s">
        <v>633</v>
      </c>
    </row>
    <row r="610" spans="1:5" ht="52.9">
      <c r="A610" s="119" t="s">
        <v>568</v>
      </c>
      <c r="B610" s="24" t="s">
        <v>251</v>
      </c>
      <c r="C610" s="30">
        <v>45747</v>
      </c>
      <c r="D610" s="77" t="s">
        <v>258</v>
      </c>
      <c r="E610" s="112" t="s">
        <v>634</v>
      </c>
    </row>
    <row r="611" spans="1:5" ht="26.45">
      <c r="A611" s="119" t="s">
        <v>568</v>
      </c>
      <c r="B611" s="24" t="s">
        <v>635</v>
      </c>
      <c r="C611" s="30">
        <v>45747</v>
      </c>
      <c r="D611" s="77" t="s">
        <v>11</v>
      </c>
      <c r="E611" s="96" t="s">
        <v>636</v>
      </c>
    </row>
    <row r="612" spans="1:5">
      <c r="A612" s="119" t="s">
        <v>568</v>
      </c>
      <c r="B612" s="24" t="s">
        <v>7</v>
      </c>
      <c r="C612" s="30">
        <v>45744</v>
      </c>
      <c r="D612" s="77" t="s">
        <v>431</v>
      </c>
      <c r="E612" s="96" t="s">
        <v>637</v>
      </c>
    </row>
    <row r="613" spans="1:5" ht="26.45">
      <c r="A613" s="119" t="s">
        <v>568</v>
      </c>
      <c r="B613" s="24" t="s">
        <v>7</v>
      </c>
      <c r="C613" s="30">
        <v>45744</v>
      </c>
      <c r="D613" s="93" t="s">
        <v>638</v>
      </c>
      <c r="E613" s="96" t="s">
        <v>639</v>
      </c>
    </row>
    <row r="614" spans="1:5" ht="26.45">
      <c r="A614" s="119" t="s">
        <v>568</v>
      </c>
      <c r="B614" s="24" t="s">
        <v>7</v>
      </c>
      <c r="C614" s="30">
        <v>45744</v>
      </c>
      <c r="D614" s="93" t="s">
        <v>640</v>
      </c>
      <c r="E614" s="96" t="s">
        <v>641</v>
      </c>
    </row>
    <row r="615" spans="1:5" ht="26.45">
      <c r="A615" s="119" t="s">
        <v>568</v>
      </c>
      <c r="B615" s="24" t="s">
        <v>7</v>
      </c>
      <c r="C615" s="30">
        <v>45743</v>
      </c>
      <c r="D615" s="93" t="s">
        <v>642</v>
      </c>
      <c r="E615" s="96" t="s">
        <v>643</v>
      </c>
    </row>
    <row r="616" spans="1:5" ht="132.6" thickBot="1">
      <c r="A616" s="120" t="s">
        <v>568</v>
      </c>
      <c r="B616" s="61" t="s">
        <v>7</v>
      </c>
      <c r="C616" s="62">
        <v>45743</v>
      </c>
      <c r="D616" s="95" t="s">
        <v>433</v>
      </c>
      <c r="E616" s="63" t="s">
        <v>644</v>
      </c>
    </row>
    <row r="617" spans="1:5" ht="184.9">
      <c r="A617" s="121" t="s">
        <v>645</v>
      </c>
      <c r="B617" s="24" t="s">
        <v>7</v>
      </c>
      <c r="C617" s="30">
        <v>45741</v>
      </c>
      <c r="D617" s="77" t="s">
        <v>433</v>
      </c>
      <c r="E617" s="96" t="s">
        <v>646</v>
      </c>
    </row>
    <row r="618" spans="1:5" ht="26.45">
      <c r="A618" s="119" t="s">
        <v>645</v>
      </c>
      <c r="B618" s="24" t="s">
        <v>7</v>
      </c>
      <c r="C618" s="30">
        <v>45741</v>
      </c>
      <c r="D618" s="77" t="s">
        <v>647</v>
      </c>
      <c r="E618" s="96" t="s">
        <v>648</v>
      </c>
    </row>
    <row r="619" spans="1:5" ht="39.6">
      <c r="A619" s="119" t="s">
        <v>645</v>
      </c>
      <c r="B619" s="24" t="s">
        <v>7</v>
      </c>
      <c r="C619" s="30">
        <v>45741</v>
      </c>
      <c r="D619" s="77" t="s">
        <v>431</v>
      </c>
      <c r="E619" s="96" t="s">
        <v>649</v>
      </c>
    </row>
    <row r="620" spans="1:5" ht="26.45">
      <c r="A620" s="119" t="s">
        <v>645</v>
      </c>
      <c r="B620" s="24" t="s">
        <v>7</v>
      </c>
      <c r="C620" s="30">
        <v>45741</v>
      </c>
      <c r="D620" s="77" t="s">
        <v>431</v>
      </c>
      <c r="E620" s="96" t="s">
        <v>650</v>
      </c>
    </row>
    <row r="621" spans="1:5" ht="52.9">
      <c r="A621" s="119" t="s">
        <v>645</v>
      </c>
      <c r="B621" s="24" t="s">
        <v>26</v>
      </c>
      <c r="C621" s="30">
        <v>45740</v>
      </c>
      <c r="D621" s="77" t="s">
        <v>27</v>
      </c>
      <c r="E621" s="96" t="s">
        <v>651</v>
      </c>
    </row>
    <row r="622" spans="1:5" ht="26.45">
      <c r="A622" s="119" t="s">
        <v>645</v>
      </c>
      <c r="B622" s="24" t="s">
        <v>26</v>
      </c>
      <c r="C622" s="30">
        <v>45740</v>
      </c>
      <c r="D622" s="93" t="s">
        <v>642</v>
      </c>
      <c r="E622" s="96" t="s">
        <v>652</v>
      </c>
    </row>
    <row r="623" spans="1:5">
      <c r="A623" s="119" t="s">
        <v>645</v>
      </c>
      <c r="B623" s="24" t="s">
        <v>569</v>
      </c>
      <c r="C623" s="30">
        <v>45740</v>
      </c>
      <c r="D623" s="77" t="s">
        <v>49</v>
      </c>
      <c r="E623" s="96" t="s">
        <v>653</v>
      </c>
    </row>
    <row r="624" spans="1:5">
      <c r="A624" s="119" t="s">
        <v>645</v>
      </c>
      <c r="B624" s="24" t="s">
        <v>569</v>
      </c>
      <c r="C624" s="30">
        <v>45740</v>
      </c>
      <c r="D624" s="77" t="s">
        <v>49</v>
      </c>
      <c r="E624" s="96" t="s">
        <v>654</v>
      </c>
    </row>
    <row r="625" spans="1:5">
      <c r="A625" s="119" t="s">
        <v>645</v>
      </c>
      <c r="B625" s="24" t="s">
        <v>569</v>
      </c>
      <c r="C625" s="30">
        <v>45740</v>
      </c>
      <c r="D625" s="77" t="s">
        <v>49</v>
      </c>
      <c r="E625" s="96" t="s">
        <v>655</v>
      </c>
    </row>
    <row r="626" spans="1:5">
      <c r="A626" s="119" t="s">
        <v>645</v>
      </c>
      <c r="B626" s="24" t="s">
        <v>569</v>
      </c>
      <c r="C626" s="30">
        <v>45740</v>
      </c>
      <c r="D626" s="77" t="s">
        <v>49</v>
      </c>
      <c r="E626" s="96" t="s">
        <v>656</v>
      </c>
    </row>
    <row r="627" spans="1:5">
      <c r="A627" s="119" t="s">
        <v>645</v>
      </c>
      <c r="B627" s="24" t="s">
        <v>569</v>
      </c>
      <c r="C627" s="30">
        <v>45740</v>
      </c>
      <c r="D627" s="77" t="s">
        <v>49</v>
      </c>
      <c r="E627" s="96" t="s">
        <v>657</v>
      </c>
    </row>
    <row r="628" spans="1:5">
      <c r="A628" s="119" t="s">
        <v>645</v>
      </c>
      <c r="B628" s="24" t="s">
        <v>569</v>
      </c>
      <c r="C628" s="30">
        <v>45740</v>
      </c>
      <c r="D628" s="77" t="s">
        <v>49</v>
      </c>
      <c r="E628" s="96" t="s">
        <v>658</v>
      </c>
    </row>
    <row r="629" spans="1:5">
      <c r="A629" s="119" t="s">
        <v>645</v>
      </c>
      <c r="B629" s="24" t="s">
        <v>569</v>
      </c>
      <c r="C629" s="30">
        <v>45740</v>
      </c>
      <c r="D629" s="77" t="s">
        <v>49</v>
      </c>
      <c r="E629" s="96" t="s">
        <v>659</v>
      </c>
    </row>
    <row r="630" spans="1:5">
      <c r="A630" s="119" t="s">
        <v>645</v>
      </c>
      <c r="B630" s="24" t="s">
        <v>569</v>
      </c>
      <c r="C630" s="30">
        <v>45740</v>
      </c>
      <c r="D630" s="77" t="s">
        <v>49</v>
      </c>
      <c r="E630" s="96" t="s">
        <v>660</v>
      </c>
    </row>
    <row r="631" spans="1:5">
      <c r="A631" s="119" t="s">
        <v>645</v>
      </c>
      <c r="B631" s="24" t="s">
        <v>569</v>
      </c>
      <c r="C631" s="30">
        <v>45740</v>
      </c>
      <c r="D631" s="77" t="s">
        <v>49</v>
      </c>
      <c r="E631" s="96" t="s">
        <v>659</v>
      </c>
    </row>
    <row r="632" spans="1:5" ht="26.45">
      <c r="A632" s="119" t="s">
        <v>645</v>
      </c>
      <c r="B632" s="24" t="s">
        <v>569</v>
      </c>
      <c r="C632" s="30">
        <v>45740</v>
      </c>
      <c r="D632" s="77" t="s">
        <v>49</v>
      </c>
      <c r="E632" s="96" t="s">
        <v>661</v>
      </c>
    </row>
    <row r="633" spans="1:5" ht="26.45">
      <c r="A633" s="119" t="s">
        <v>645</v>
      </c>
      <c r="B633" s="24" t="s">
        <v>251</v>
      </c>
      <c r="C633" s="30">
        <v>45737</v>
      </c>
      <c r="D633" s="93" t="s">
        <v>642</v>
      </c>
      <c r="E633" s="96" t="s">
        <v>662</v>
      </c>
    </row>
    <row r="634" spans="1:5" ht="26.45">
      <c r="A634" s="119" t="s">
        <v>645</v>
      </c>
      <c r="B634" s="24" t="s">
        <v>251</v>
      </c>
      <c r="C634" s="30">
        <v>45737</v>
      </c>
      <c r="D634" s="93" t="s">
        <v>642</v>
      </c>
      <c r="E634" s="96" t="s">
        <v>663</v>
      </c>
    </row>
    <row r="635" spans="1:5" ht="27" thickBot="1">
      <c r="A635" s="122" t="s">
        <v>645</v>
      </c>
      <c r="B635" s="104" t="s">
        <v>251</v>
      </c>
      <c r="C635" s="105">
        <v>45737</v>
      </c>
      <c r="D635" s="106" t="s">
        <v>664</v>
      </c>
      <c r="E635" s="107" t="s">
        <v>665</v>
      </c>
    </row>
    <row r="636" spans="1:5" ht="26.45">
      <c r="A636" s="119">
        <v>25.06</v>
      </c>
      <c r="B636" s="24" t="s">
        <v>7</v>
      </c>
      <c r="C636" s="30">
        <v>45734</v>
      </c>
      <c r="D636" s="93" t="s">
        <v>640</v>
      </c>
      <c r="E636" s="96" t="s">
        <v>666</v>
      </c>
    </row>
    <row r="637" spans="1:5" ht="26.45">
      <c r="A637" s="119">
        <v>25.06</v>
      </c>
      <c r="B637" s="24" t="s">
        <v>7</v>
      </c>
      <c r="C637" s="30">
        <v>45734</v>
      </c>
      <c r="D637" s="93" t="s">
        <v>642</v>
      </c>
      <c r="E637" s="96" t="s">
        <v>667</v>
      </c>
    </row>
    <row r="638" spans="1:5" ht="26.45">
      <c r="A638" s="119">
        <v>25.06</v>
      </c>
      <c r="B638" s="24" t="s">
        <v>7</v>
      </c>
      <c r="C638" s="30">
        <v>45734</v>
      </c>
      <c r="D638" s="93" t="s">
        <v>642</v>
      </c>
      <c r="E638" s="96" t="s">
        <v>668</v>
      </c>
    </row>
    <row r="639" spans="1:5" ht="26.45">
      <c r="A639" s="119">
        <v>25.06</v>
      </c>
      <c r="B639" s="24" t="s">
        <v>7</v>
      </c>
      <c r="C639" s="30">
        <v>45734</v>
      </c>
      <c r="D639" s="93" t="s">
        <v>642</v>
      </c>
      <c r="E639" s="96" t="s">
        <v>669</v>
      </c>
    </row>
    <row r="640" spans="1:5" ht="26.45">
      <c r="A640" s="119">
        <v>25.06</v>
      </c>
      <c r="B640" s="24" t="s">
        <v>7</v>
      </c>
      <c r="C640" s="30">
        <v>45734</v>
      </c>
      <c r="D640" s="93" t="s">
        <v>642</v>
      </c>
      <c r="E640" s="96" t="s">
        <v>670</v>
      </c>
    </row>
    <row r="641" spans="1:5">
      <c r="A641" s="119">
        <v>25.06</v>
      </c>
      <c r="B641" s="24" t="s">
        <v>7</v>
      </c>
      <c r="C641" s="30">
        <v>45734</v>
      </c>
      <c r="D641" s="77" t="s">
        <v>544</v>
      </c>
      <c r="E641" s="96" t="s">
        <v>671</v>
      </c>
    </row>
    <row r="642" spans="1:5" ht="26.45">
      <c r="A642" s="119" t="s">
        <v>672</v>
      </c>
      <c r="B642" s="24" t="s">
        <v>26</v>
      </c>
      <c r="C642" s="30">
        <v>45733</v>
      </c>
      <c r="D642" s="93" t="s">
        <v>642</v>
      </c>
      <c r="E642" s="96" t="s">
        <v>673</v>
      </c>
    </row>
    <row r="643" spans="1:5" ht="66">
      <c r="A643" s="119" t="s">
        <v>672</v>
      </c>
      <c r="B643" s="24" t="s">
        <v>26</v>
      </c>
      <c r="C643" s="30">
        <v>45733</v>
      </c>
      <c r="D643" s="77" t="s">
        <v>27</v>
      </c>
      <c r="E643" s="96" t="s">
        <v>674</v>
      </c>
    </row>
    <row r="644" spans="1:5">
      <c r="A644" s="119" t="s">
        <v>672</v>
      </c>
      <c r="B644" s="24" t="s">
        <v>7</v>
      </c>
      <c r="C644" s="30">
        <v>45733</v>
      </c>
      <c r="D644" s="77" t="s">
        <v>544</v>
      </c>
      <c r="E644" s="96" t="s">
        <v>675</v>
      </c>
    </row>
    <row r="645" spans="1:5">
      <c r="A645" s="119" t="s">
        <v>672</v>
      </c>
      <c r="B645" s="24" t="s">
        <v>7</v>
      </c>
      <c r="C645" s="30">
        <v>45733</v>
      </c>
      <c r="D645" s="77" t="s">
        <v>544</v>
      </c>
      <c r="E645" s="96" t="s">
        <v>676</v>
      </c>
    </row>
    <row r="646" spans="1:5">
      <c r="A646" s="119" t="s">
        <v>672</v>
      </c>
      <c r="B646" s="24" t="s">
        <v>7</v>
      </c>
      <c r="C646" s="30">
        <v>45733</v>
      </c>
      <c r="D646" s="77" t="s">
        <v>544</v>
      </c>
      <c r="E646" s="96" t="s">
        <v>677</v>
      </c>
    </row>
    <row r="647" spans="1:5">
      <c r="A647" s="119" t="s">
        <v>672</v>
      </c>
      <c r="B647" s="24" t="s">
        <v>251</v>
      </c>
      <c r="C647" s="30">
        <v>45733</v>
      </c>
      <c r="D647" s="77" t="s">
        <v>678</v>
      </c>
      <c r="E647" s="96" t="s">
        <v>679</v>
      </c>
    </row>
    <row r="648" spans="1:5" ht="26.45">
      <c r="A648" s="119" t="s">
        <v>672</v>
      </c>
      <c r="B648" s="24" t="s">
        <v>251</v>
      </c>
      <c r="C648" s="30">
        <v>45733</v>
      </c>
      <c r="D648" s="77" t="s">
        <v>678</v>
      </c>
      <c r="E648" s="96" t="s">
        <v>680</v>
      </c>
    </row>
    <row r="649" spans="1:5">
      <c r="A649" s="119" t="s">
        <v>672</v>
      </c>
      <c r="B649" s="24" t="s">
        <v>251</v>
      </c>
      <c r="C649" s="30">
        <v>45733</v>
      </c>
      <c r="D649" s="77" t="s">
        <v>678</v>
      </c>
      <c r="E649" s="96" t="s">
        <v>681</v>
      </c>
    </row>
    <row r="650" spans="1:5" ht="26.45">
      <c r="A650" s="119" t="s">
        <v>672</v>
      </c>
      <c r="B650" s="24" t="s">
        <v>251</v>
      </c>
      <c r="C650" s="30">
        <v>45733</v>
      </c>
      <c r="D650" s="77" t="s">
        <v>678</v>
      </c>
      <c r="E650" s="96" t="s">
        <v>682</v>
      </c>
    </row>
    <row r="651" spans="1:5" ht="26.45">
      <c r="A651" s="119" t="s">
        <v>672</v>
      </c>
      <c r="B651" s="24" t="s">
        <v>251</v>
      </c>
      <c r="C651" s="30">
        <v>45733</v>
      </c>
      <c r="D651" s="77" t="s">
        <v>678</v>
      </c>
      <c r="E651" s="96" t="s">
        <v>683</v>
      </c>
    </row>
    <row r="652" spans="1:5">
      <c r="A652" s="119" t="s">
        <v>672</v>
      </c>
      <c r="B652" s="24" t="s">
        <v>251</v>
      </c>
      <c r="C652" s="30">
        <v>45733</v>
      </c>
      <c r="D652" s="77" t="s">
        <v>678</v>
      </c>
      <c r="E652" s="96" t="s">
        <v>684</v>
      </c>
    </row>
    <row r="653" spans="1:5" ht="39.6">
      <c r="A653" s="119" t="s">
        <v>672</v>
      </c>
      <c r="B653" s="24" t="s">
        <v>251</v>
      </c>
      <c r="C653" s="30">
        <v>45733</v>
      </c>
      <c r="D653" s="77" t="s">
        <v>678</v>
      </c>
      <c r="E653" s="96" t="s">
        <v>685</v>
      </c>
    </row>
    <row r="654" spans="1:5">
      <c r="A654" s="119" t="s">
        <v>672</v>
      </c>
      <c r="B654" s="24" t="s">
        <v>251</v>
      </c>
      <c r="C654" s="30">
        <v>45733</v>
      </c>
      <c r="D654" s="77" t="s">
        <v>678</v>
      </c>
      <c r="E654" s="96" t="s">
        <v>686</v>
      </c>
    </row>
    <row r="655" spans="1:5" ht="26.45">
      <c r="A655" s="119" t="s">
        <v>672</v>
      </c>
      <c r="B655" s="24" t="s">
        <v>251</v>
      </c>
      <c r="C655" s="30">
        <v>45733</v>
      </c>
      <c r="D655" s="93" t="s">
        <v>687</v>
      </c>
      <c r="E655" s="96" t="s">
        <v>688</v>
      </c>
    </row>
    <row r="656" spans="1:5">
      <c r="A656" s="119">
        <v>25.06</v>
      </c>
      <c r="B656" s="24" t="s">
        <v>7</v>
      </c>
      <c r="C656" s="30">
        <v>45733</v>
      </c>
      <c r="D656" s="77" t="s">
        <v>433</v>
      </c>
      <c r="E656" s="96" t="s">
        <v>689</v>
      </c>
    </row>
    <row r="657" spans="1:5" ht="26.45">
      <c r="A657" s="119">
        <v>25.06</v>
      </c>
      <c r="B657" s="24" t="s">
        <v>7</v>
      </c>
      <c r="C657" s="30">
        <v>45730</v>
      </c>
      <c r="D657" s="97" t="s">
        <v>664</v>
      </c>
      <c r="E657" s="96" t="s">
        <v>690</v>
      </c>
    </row>
    <row r="658" spans="1:5" ht="26.45">
      <c r="A658" s="119">
        <v>25.06</v>
      </c>
      <c r="B658" s="24" t="s">
        <v>7</v>
      </c>
      <c r="C658" s="30">
        <v>45730</v>
      </c>
      <c r="D658" s="97" t="s">
        <v>664</v>
      </c>
      <c r="E658" s="96" t="s">
        <v>691</v>
      </c>
    </row>
    <row r="659" spans="1:5">
      <c r="A659" s="119" t="s">
        <v>672</v>
      </c>
      <c r="B659" s="24" t="s">
        <v>7</v>
      </c>
      <c r="C659" s="30">
        <v>45727</v>
      </c>
      <c r="D659" s="97" t="s">
        <v>664</v>
      </c>
      <c r="E659" s="96" t="s">
        <v>692</v>
      </c>
    </row>
    <row r="660" spans="1:5" ht="13.9" thickBot="1">
      <c r="A660" s="120" t="s">
        <v>672</v>
      </c>
      <c r="B660" s="61" t="s">
        <v>7</v>
      </c>
      <c r="C660" s="62">
        <v>45727</v>
      </c>
      <c r="D660" s="95" t="s">
        <v>664</v>
      </c>
      <c r="E660" s="63" t="s">
        <v>693</v>
      </c>
    </row>
    <row r="661" spans="1:5" ht="26.45">
      <c r="A661" s="119" t="s">
        <v>694</v>
      </c>
      <c r="B661" s="24" t="s">
        <v>7</v>
      </c>
      <c r="C661" s="30">
        <v>45726</v>
      </c>
      <c r="D661" s="98" t="s">
        <v>642</v>
      </c>
      <c r="E661" s="96" t="s">
        <v>695</v>
      </c>
    </row>
    <row r="662" spans="1:5" ht="26.45">
      <c r="A662" s="119" t="s">
        <v>694</v>
      </c>
      <c r="B662" s="24" t="s">
        <v>7</v>
      </c>
      <c r="C662" s="30">
        <v>45726</v>
      </c>
      <c r="D662" s="98" t="s">
        <v>642</v>
      </c>
      <c r="E662" s="96" t="s">
        <v>696</v>
      </c>
    </row>
    <row r="663" spans="1:5" ht="39.6">
      <c r="A663" s="119" t="s">
        <v>694</v>
      </c>
      <c r="B663" s="24" t="s">
        <v>7</v>
      </c>
      <c r="C663" s="30">
        <v>45726</v>
      </c>
      <c r="D663" s="98" t="s">
        <v>642</v>
      </c>
      <c r="E663" s="96" t="s">
        <v>697</v>
      </c>
    </row>
    <row r="664" spans="1:5">
      <c r="A664" s="119" t="s">
        <v>694</v>
      </c>
      <c r="B664" s="24" t="s">
        <v>7</v>
      </c>
      <c r="C664" s="30">
        <v>45723</v>
      </c>
      <c r="D664" s="97" t="s">
        <v>664</v>
      </c>
      <c r="E664" s="96" t="s">
        <v>698</v>
      </c>
    </row>
    <row r="665" spans="1:5">
      <c r="A665" s="119" t="s">
        <v>694</v>
      </c>
      <c r="B665" s="24" t="s">
        <v>7</v>
      </c>
      <c r="C665" s="30">
        <v>45723</v>
      </c>
      <c r="D665" s="77" t="s">
        <v>664</v>
      </c>
      <c r="E665" s="32" t="s">
        <v>699</v>
      </c>
    </row>
    <row r="666" spans="1:5" ht="27" thickBot="1">
      <c r="A666" s="120" t="s">
        <v>694</v>
      </c>
      <c r="B666" s="61" t="s">
        <v>7</v>
      </c>
      <c r="C666" s="62">
        <v>45715</v>
      </c>
      <c r="D666" s="95" t="s">
        <v>642</v>
      </c>
      <c r="E666" s="63" t="s">
        <v>700</v>
      </c>
    </row>
    <row r="667" spans="1:5" ht="26.45">
      <c r="A667" s="119" t="s">
        <v>701</v>
      </c>
      <c r="B667" s="24" t="s">
        <v>7</v>
      </c>
      <c r="C667" s="30">
        <v>45709</v>
      </c>
      <c r="D667" s="93" t="s">
        <v>642</v>
      </c>
      <c r="E667" s="32" t="s">
        <v>702</v>
      </c>
    </row>
    <row r="668" spans="1:5" ht="26.45">
      <c r="A668" s="119" t="s">
        <v>701</v>
      </c>
      <c r="B668" s="24" t="s">
        <v>7</v>
      </c>
      <c r="C668" s="30">
        <v>45709</v>
      </c>
      <c r="D668" s="93" t="s">
        <v>642</v>
      </c>
      <c r="E668" s="32" t="s">
        <v>703</v>
      </c>
    </row>
    <row r="669" spans="1:5" ht="66">
      <c r="A669" s="119" t="s">
        <v>701</v>
      </c>
      <c r="B669" s="24" t="s">
        <v>7</v>
      </c>
      <c r="C669" s="30">
        <v>45708</v>
      </c>
      <c r="D669" s="77" t="s">
        <v>704</v>
      </c>
      <c r="E669" s="32" t="s">
        <v>705</v>
      </c>
    </row>
    <row r="670" spans="1:5" ht="52.9">
      <c r="A670" s="119" t="s">
        <v>701</v>
      </c>
      <c r="B670" s="24" t="s">
        <v>251</v>
      </c>
      <c r="C670" s="30">
        <v>45706</v>
      </c>
      <c r="D670" s="93" t="s">
        <v>706</v>
      </c>
      <c r="E670" s="32" t="s">
        <v>707</v>
      </c>
    </row>
    <row r="671" spans="1:5" ht="40.15" thickBot="1">
      <c r="A671" s="120" t="s">
        <v>701</v>
      </c>
      <c r="B671" s="61" t="s">
        <v>251</v>
      </c>
      <c r="C671" s="62">
        <v>45706</v>
      </c>
      <c r="D671" s="78" t="s">
        <v>708</v>
      </c>
      <c r="E671" s="63" t="s">
        <v>709</v>
      </c>
    </row>
    <row r="672" spans="1:5" ht="26.45">
      <c r="A672" s="119" t="s">
        <v>710</v>
      </c>
      <c r="B672" s="24" t="s">
        <v>7</v>
      </c>
      <c r="C672" s="30">
        <v>45702</v>
      </c>
      <c r="D672" s="77"/>
      <c r="E672" s="32" t="s">
        <v>711</v>
      </c>
    </row>
    <row r="673" spans="1:5" ht="26.45">
      <c r="A673" s="119" t="s">
        <v>710</v>
      </c>
      <c r="B673" s="24" t="s">
        <v>7</v>
      </c>
      <c r="C673" s="30">
        <v>45702</v>
      </c>
      <c r="D673" s="77" t="s">
        <v>647</v>
      </c>
      <c r="E673" s="32" t="s">
        <v>712</v>
      </c>
    </row>
    <row r="674" spans="1:5" ht="26.45">
      <c r="A674" s="119" t="s">
        <v>710</v>
      </c>
      <c r="B674" s="24" t="s">
        <v>7</v>
      </c>
      <c r="C674" s="30">
        <v>45702</v>
      </c>
      <c r="D674" s="77"/>
      <c r="E674" s="32" t="s">
        <v>713</v>
      </c>
    </row>
    <row r="675" spans="1:5">
      <c r="A675" s="119" t="s">
        <v>710</v>
      </c>
      <c r="B675" s="24" t="s">
        <v>7</v>
      </c>
      <c r="C675" s="30">
        <v>45702</v>
      </c>
      <c r="D675" s="77" t="s">
        <v>714</v>
      </c>
      <c r="E675" s="32" t="s">
        <v>715</v>
      </c>
    </row>
    <row r="676" spans="1:5">
      <c r="A676" s="119" t="s">
        <v>710</v>
      </c>
      <c r="B676" s="24" t="s">
        <v>569</v>
      </c>
      <c r="C676" s="30">
        <v>45702</v>
      </c>
      <c r="D676" s="77" t="s">
        <v>716</v>
      </c>
      <c r="E676" s="37" t="s">
        <v>717</v>
      </c>
    </row>
    <row r="677" spans="1:5">
      <c r="A677" s="119" t="s">
        <v>710</v>
      </c>
      <c r="B677" s="24" t="s">
        <v>569</v>
      </c>
      <c r="C677" s="30">
        <v>45702</v>
      </c>
      <c r="D677" s="77" t="s">
        <v>716</v>
      </c>
      <c r="E677" s="85" t="s">
        <v>718</v>
      </c>
    </row>
    <row r="678" spans="1:5">
      <c r="A678" s="119" t="s">
        <v>710</v>
      </c>
      <c r="B678" s="24" t="s">
        <v>569</v>
      </c>
      <c r="C678" s="30">
        <v>45702</v>
      </c>
      <c r="D678" s="77" t="s">
        <v>716</v>
      </c>
      <c r="E678" s="85" t="s">
        <v>719</v>
      </c>
    </row>
    <row r="679" spans="1:5">
      <c r="A679" s="119" t="s">
        <v>710</v>
      </c>
      <c r="B679" s="24" t="s">
        <v>569</v>
      </c>
      <c r="C679" s="30">
        <v>45702</v>
      </c>
      <c r="D679" s="77" t="s">
        <v>716</v>
      </c>
      <c r="E679" s="85" t="s">
        <v>720</v>
      </c>
    </row>
    <row r="680" spans="1:5">
      <c r="A680" s="119" t="s">
        <v>710</v>
      </c>
      <c r="B680" s="24" t="s">
        <v>569</v>
      </c>
      <c r="C680" s="30">
        <v>45702</v>
      </c>
      <c r="D680" s="77" t="s">
        <v>716</v>
      </c>
      <c r="E680" s="85" t="s">
        <v>721</v>
      </c>
    </row>
    <row r="681" spans="1:5">
      <c r="A681" s="119" t="s">
        <v>710</v>
      </c>
      <c r="B681" s="24" t="s">
        <v>569</v>
      </c>
      <c r="C681" s="30">
        <v>45702</v>
      </c>
      <c r="D681" s="77" t="s">
        <v>716</v>
      </c>
      <c r="E681" s="85" t="s">
        <v>722</v>
      </c>
    </row>
    <row r="682" spans="1:5">
      <c r="A682" s="119" t="s">
        <v>710</v>
      </c>
      <c r="B682" s="24" t="s">
        <v>569</v>
      </c>
      <c r="C682" s="30">
        <v>45702</v>
      </c>
      <c r="D682" s="77" t="s">
        <v>716</v>
      </c>
      <c r="E682" s="39" t="s">
        <v>723</v>
      </c>
    </row>
    <row r="683" spans="1:5">
      <c r="A683" s="119" t="s">
        <v>710</v>
      </c>
      <c r="B683" s="24" t="s">
        <v>569</v>
      </c>
      <c r="C683" s="30">
        <v>45702</v>
      </c>
      <c r="D683" s="77" t="s">
        <v>716</v>
      </c>
      <c r="E683" s="32" t="s">
        <v>724</v>
      </c>
    </row>
    <row r="684" spans="1:5">
      <c r="A684" s="119" t="s">
        <v>710</v>
      </c>
      <c r="B684" s="24" t="s">
        <v>569</v>
      </c>
      <c r="C684" s="30">
        <v>45702</v>
      </c>
      <c r="D684" s="77" t="s">
        <v>716</v>
      </c>
      <c r="E684" s="32" t="s">
        <v>725</v>
      </c>
    </row>
    <row r="685" spans="1:5">
      <c r="A685" s="119" t="s">
        <v>710</v>
      </c>
      <c r="B685" s="24" t="s">
        <v>569</v>
      </c>
      <c r="C685" s="30">
        <v>45702</v>
      </c>
      <c r="D685" s="77" t="s">
        <v>716</v>
      </c>
      <c r="E685" s="32" t="s">
        <v>726</v>
      </c>
    </row>
    <row r="686" spans="1:5">
      <c r="A686" s="119" t="s">
        <v>710</v>
      </c>
      <c r="B686" s="24" t="s">
        <v>569</v>
      </c>
      <c r="C686" s="30">
        <v>45702</v>
      </c>
      <c r="D686" s="77" t="s">
        <v>716</v>
      </c>
      <c r="E686" s="32" t="s">
        <v>727</v>
      </c>
    </row>
    <row r="687" spans="1:5">
      <c r="A687" s="119" t="s">
        <v>710</v>
      </c>
      <c r="B687" s="24" t="s">
        <v>569</v>
      </c>
      <c r="C687" s="30">
        <v>45702</v>
      </c>
      <c r="D687" s="77" t="s">
        <v>716</v>
      </c>
      <c r="E687" s="32" t="s">
        <v>728</v>
      </c>
    </row>
    <row r="688" spans="1:5">
      <c r="A688" s="119" t="s">
        <v>710</v>
      </c>
      <c r="B688" s="24" t="s">
        <v>569</v>
      </c>
      <c r="C688" s="30">
        <v>45702</v>
      </c>
      <c r="D688" s="77" t="s">
        <v>716</v>
      </c>
      <c r="E688" s="32" t="s">
        <v>729</v>
      </c>
    </row>
    <row r="689" spans="1:5">
      <c r="A689" s="119" t="s">
        <v>710</v>
      </c>
      <c r="B689" s="24" t="s">
        <v>7</v>
      </c>
      <c r="C689" s="30">
        <v>45702</v>
      </c>
      <c r="D689" s="77" t="s">
        <v>714</v>
      </c>
      <c r="E689" s="32" t="s">
        <v>730</v>
      </c>
    </row>
    <row r="690" spans="1:5">
      <c r="A690" s="119" t="s">
        <v>710</v>
      </c>
      <c r="B690" s="24" t="s">
        <v>7</v>
      </c>
      <c r="C690" s="30">
        <v>45702</v>
      </c>
      <c r="D690" s="77" t="s">
        <v>714</v>
      </c>
      <c r="E690" s="32" t="s">
        <v>731</v>
      </c>
    </row>
    <row r="691" spans="1:5" ht="26.45">
      <c r="A691" s="119" t="s">
        <v>710</v>
      </c>
      <c r="B691" s="24" t="s">
        <v>251</v>
      </c>
      <c r="C691" s="30">
        <v>45701</v>
      </c>
      <c r="D691" s="77" t="s">
        <v>732</v>
      </c>
      <c r="E691" s="32" t="s">
        <v>733</v>
      </c>
    </row>
    <row r="692" spans="1:5">
      <c r="A692" s="119" t="s">
        <v>710</v>
      </c>
      <c r="B692" s="24" t="s">
        <v>7</v>
      </c>
      <c r="C692" s="30">
        <v>45701</v>
      </c>
      <c r="D692" s="77" t="s">
        <v>714</v>
      </c>
      <c r="E692" s="32" t="s">
        <v>734</v>
      </c>
    </row>
    <row r="693" spans="1:5" ht="66">
      <c r="A693" s="119" t="s">
        <v>710</v>
      </c>
      <c r="B693" s="24" t="s">
        <v>251</v>
      </c>
      <c r="C693" s="30">
        <v>45700</v>
      </c>
      <c r="D693" s="77" t="s">
        <v>732</v>
      </c>
      <c r="E693" s="32" t="s">
        <v>735</v>
      </c>
    </row>
    <row r="694" spans="1:5">
      <c r="A694" s="119" t="s">
        <v>710</v>
      </c>
      <c r="B694" s="24" t="s">
        <v>251</v>
      </c>
      <c r="C694" s="30">
        <v>45700</v>
      </c>
      <c r="D694" s="77" t="s">
        <v>732</v>
      </c>
      <c r="E694" s="32" t="s">
        <v>736</v>
      </c>
    </row>
    <row r="695" spans="1:5">
      <c r="A695" s="119" t="s">
        <v>710</v>
      </c>
      <c r="B695" s="24" t="s">
        <v>7</v>
      </c>
      <c r="C695" s="30">
        <v>45700</v>
      </c>
      <c r="D695" s="77"/>
      <c r="E695" s="32" t="s">
        <v>737</v>
      </c>
    </row>
    <row r="696" spans="1:5">
      <c r="A696" s="119" t="s">
        <v>710</v>
      </c>
      <c r="B696" s="24" t="s">
        <v>7</v>
      </c>
      <c r="C696" s="30">
        <v>45700</v>
      </c>
      <c r="D696" s="77"/>
      <c r="E696" s="32" t="s">
        <v>738</v>
      </c>
    </row>
    <row r="697" spans="1:5">
      <c r="A697" s="119" t="s">
        <v>710</v>
      </c>
      <c r="B697" s="24" t="s">
        <v>7</v>
      </c>
      <c r="C697" s="30">
        <v>45700</v>
      </c>
      <c r="D697" s="77" t="s">
        <v>714</v>
      </c>
      <c r="E697" s="32" t="s">
        <v>739</v>
      </c>
    </row>
    <row r="698" spans="1:5">
      <c r="A698" s="119" t="s">
        <v>710</v>
      </c>
      <c r="B698" s="24" t="s">
        <v>251</v>
      </c>
      <c r="C698" s="30">
        <v>45700</v>
      </c>
      <c r="D698" s="77" t="s">
        <v>716</v>
      </c>
      <c r="E698" s="32" t="s">
        <v>740</v>
      </c>
    </row>
    <row r="699" spans="1:5" ht="66">
      <c r="A699" s="119" t="s">
        <v>710</v>
      </c>
      <c r="B699" s="24" t="s">
        <v>251</v>
      </c>
      <c r="C699" s="30">
        <v>45700</v>
      </c>
      <c r="D699" s="77" t="s">
        <v>716</v>
      </c>
      <c r="E699" s="32" t="s">
        <v>741</v>
      </c>
    </row>
    <row r="700" spans="1:5" ht="26.45">
      <c r="A700" s="119" t="s">
        <v>710</v>
      </c>
      <c r="B700" s="24" t="s">
        <v>251</v>
      </c>
      <c r="C700" s="30">
        <v>45700</v>
      </c>
      <c r="D700" s="77" t="s">
        <v>716</v>
      </c>
      <c r="E700" s="32" t="s">
        <v>742</v>
      </c>
    </row>
    <row r="701" spans="1:5" ht="66">
      <c r="A701" s="119" t="s">
        <v>710</v>
      </c>
      <c r="B701" s="24" t="s">
        <v>251</v>
      </c>
      <c r="C701" s="30">
        <v>45700</v>
      </c>
      <c r="D701" s="77" t="s">
        <v>716</v>
      </c>
      <c r="E701" s="32" t="s">
        <v>743</v>
      </c>
    </row>
    <row r="702" spans="1:5" ht="26.45">
      <c r="A702" s="119" t="s">
        <v>710</v>
      </c>
      <c r="B702" s="24" t="s">
        <v>251</v>
      </c>
      <c r="C702" s="30">
        <v>45700</v>
      </c>
      <c r="D702" s="77" t="s">
        <v>732</v>
      </c>
      <c r="E702" s="32" t="s">
        <v>744</v>
      </c>
    </row>
    <row r="703" spans="1:5">
      <c r="A703" s="119" t="s">
        <v>710</v>
      </c>
      <c r="B703" s="24" t="s">
        <v>251</v>
      </c>
      <c r="C703" s="30">
        <v>45700</v>
      </c>
      <c r="D703" s="77" t="s">
        <v>716</v>
      </c>
      <c r="E703" s="32" t="s">
        <v>745</v>
      </c>
    </row>
    <row r="704" spans="1:5" ht="39.6">
      <c r="A704" s="119" t="s">
        <v>710</v>
      </c>
      <c r="B704" s="24" t="s">
        <v>251</v>
      </c>
      <c r="C704" s="30">
        <v>45700</v>
      </c>
      <c r="D704" s="77"/>
      <c r="E704" s="32" t="s">
        <v>746</v>
      </c>
    </row>
    <row r="705" spans="1:5" ht="26.45">
      <c r="A705" s="119" t="s">
        <v>710</v>
      </c>
      <c r="B705" s="24" t="s">
        <v>251</v>
      </c>
      <c r="C705" s="30">
        <v>45699</v>
      </c>
      <c r="D705" s="77"/>
      <c r="E705" s="32" t="s">
        <v>747</v>
      </c>
    </row>
    <row r="706" spans="1:5" ht="79.150000000000006">
      <c r="A706" s="119" t="s">
        <v>710</v>
      </c>
      <c r="B706" s="24" t="s">
        <v>251</v>
      </c>
      <c r="C706" s="30">
        <v>45699</v>
      </c>
      <c r="D706" s="77"/>
      <c r="E706" s="32" t="s">
        <v>748</v>
      </c>
    </row>
    <row r="707" spans="1:5">
      <c r="A707" s="119" t="s">
        <v>710</v>
      </c>
      <c r="B707" s="24" t="s">
        <v>251</v>
      </c>
      <c r="C707" s="30">
        <v>45699</v>
      </c>
      <c r="D707" s="77"/>
      <c r="E707" s="32" t="s">
        <v>749</v>
      </c>
    </row>
    <row r="708" spans="1:5" ht="39.6">
      <c r="A708" s="119" t="s">
        <v>710</v>
      </c>
      <c r="B708" s="24" t="s">
        <v>251</v>
      </c>
      <c r="C708" s="30">
        <v>45699</v>
      </c>
      <c r="D708" s="77"/>
      <c r="E708" s="32" t="s">
        <v>750</v>
      </c>
    </row>
    <row r="709" spans="1:5">
      <c r="A709" s="119" t="s">
        <v>710</v>
      </c>
      <c r="B709" s="24" t="s">
        <v>251</v>
      </c>
      <c r="C709" s="30">
        <v>45699</v>
      </c>
      <c r="D709" s="77"/>
      <c r="E709" s="32" t="s">
        <v>751</v>
      </c>
    </row>
    <row r="710" spans="1:5">
      <c r="A710" s="119" t="s">
        <v>710</v>
      </c>
      <c r="B710" s="24" t="s">
        <v>251</v>
      </c>
      <c r="C710" s="30">
        <v>45699</v>
      </c>
      <c r="D710" s="77"/>
      <c r="E710" s="32" t="s">
        <v>752</v>
      </c>
    </row>
    <row r="711" spans="1:5">
      <c r="A711" s="119" t="s">
        <v>710</v>
      </c>
      <c r="B711" s="24" t="s">
        <v>251</v>
      </c>
      <c r="C711" s="30">
        <v>45699</v>
      </c>
      <c r="D711" s="77"/>
      <c r="E711" s="32" t="s">
        <v>753</v>
      </c>
    </row>
    <row r="712" spans="1:5" ht="26.45">
      <c r="A712" s="119" t="s">
        <v>710</v>
      </c>
      <c r="B712" s="24" t="s">
        <v>251</v>
      </c>
      <c r="C712" s="30">
        <v>45699</v>
      </c>
      <c r="D712" s="77"/>
      <c r="E712" s="32" t="s">
        <v>754</v>
      </c>
    </row>
    <row r="713" spans="1:5" ht="26.45">
      <c r="A713" s="119" t="s">
        <v>710</v>
      </c>
      <c r="B713" s="24" t="s">
        <v>251</v>
      </c>
      <c r="C713" s="30">
        <v>45698</v>
      </c>
      <c r="D713" s="77"/>
      <c r="E713" s="32" t="s">
        <v>755</v>
      </c>
    </row>
    <row r="714" spans="1:5">
      <c r="A714" s="119" t="s">
        <v>710</v>
      </c>
      <c r="B714" s="24" t="s">
        <v>756</v>
      </c>
      <c r="C714" s="30">
        <v>45698</v>
      </c>
      <c r="D714" s="77"/>
      <c r="E714" s="32" t="s">
        <v>757</v>
      </c>
    </row>
    <row r="715" spans="1:5">
      <c r="A715" s="119" t="s">
        <v>710</v>
      </c>
      <c r="B715" s="24" t="s">
        <v>756</v>
      </c>
      <c r="C715" s="30">
        <v>45698</v>
      </c>
      <c r="D715" s="77"/>
      <c r="E715" s="32" t="s">
        <v>758</v>
      </c>
    </row>
    <row r="716" spans="1:5">
      <c r="A716" s="119" t="s">
        <v>710</v>
      </c>
      <c r="B716" s="24" t="s">
        <v>7</v>
      </c>
      <c r="C716" s="30">
        <v>45695</v>
      </c>
      <c r="D716" s="77"/>
      <c r="E716" s="32" t="s">
        <v>759</v>
      </c>
    </row>
    <row r="717" spans="1:5">
      <c r="A717" s="119" t="s">
        <v>710</v>
      </c>
      <c r="B717" s="24" t="s">
        <v>7</v>
      </c>
      <c r="C717" s="30">
        <v>45695</v>
      </c>
      <c r="D717" s="77"/>
      <c r="E717" s="32" t="s">
        <v>760</v>
      </c>
    </row>
    <row r="718" spans="1:5">
      <c r="A718" s="119" t="s">
        <v>710</v>
      </c>
      <c r="B718" s="24" t="s">
        <v>251</v>
      </c>
      <c r="C718" s="30">
        <v>45695</v>
      </c>
      <c r="D718" s="77"/>
      <c r="E718" s="32" t="s">
        <v>761</v>
      </c>
    </row>
    <row r="719" spans="1:5" ht="39.6">
      <c r="A719" s="119" t="s">
        <v>710</v>
      </c>
      <c r="B719" s="24" t="s">
        <v>7</v>
      </c>
      <c r="C719" s="30">
        <v>45693</v>
      </c>
      <c r="D719" s="77"/>
      <c r="E719" s="32" t="s">
        <v>762</v>
      </c>
    </row>
    <row r="720" spans="1:5" ht="26.45">
      <c r="A720" s="119" t="s">
        <v>710</v>
      </c>
      <c r="B720" s="24" t="s">
        <v>756</v>
      </c>
      <c r="C720" s="30">
        <v>45691</v>
      </c>
      <c r="D720" s="77" t="s">
        <v>716</v>
      </c>
      <c r="E720" s="32" t="s">
        <v>763</v>
      </c>
    </row>
    <row r="721" spans="1:5" ht="26.45">
      <c r="A721" s="119" t="s">
        <v>710</v>
      </c>
      <c r="B721" s="24" t="s">
        <v>756</v>
      </c>
      <c r="C721" s="30">
        <v>45691</v>
      </c>
      <c r="D721" s="77" t="s">
        <v>716</v>
      </c>
      <c r="E721" s="32" t="s">
        <v>764</v>
      </c>
    </row>
    <row r="722" spans="1:5">
      <c r="A722" s="119" t="s">
        <v>710</v>
      </c>
      <c r="B722" s="24" t="s">
        <v>756</v>
      </c>
      <c r="C722" s="30">
        <v>45691</v>
      </c>
      <c r="D722" s="77" t="s">
        <v>716</v>
      </c>
      <c r="E722" s="32" t="s">
        <v>765</v>
      </c>
    </row>
    <row r="723" spans="1:5">
      <c r="A723" s="119" t="s">
        <v>710</v>
      </c>
      <c r="B723" s="24" t="s">
        <v>756</v>
      </c>
      <c r="C723" s="30">
        <v>45691</v>
      </c>
      <c r="D723" s="77" t="s">
        <v>716</v>
      </c>
      <c r="E723" s="32" t="s">
        <v>766</v>
      </c>
    </row>
    <row r="724" spans="1:5">
      <c r="A724" s="119" t="s">
        <v>710</v>
      </c>
      <c r="B724" s="24" t="s">
        <v>756</v>
      </c>
      <c r="C724" s="30">
        <v>45691</v>
      </c>
      <c r="D724" s="77" t="s">
        <v>716</v>
      </c>
      <c r="E724" s="32" t="s">
        <v>767</v>
      </c>
    </row>
    <row r="725" spans="1:5">
      <c r="A725" s="119" t="s">
        <v>710</v>
      </c>
      <c r="B725" s="24" t="s">
        <v>756</v>
      </c>
      <c r="C725" s="30">
        <v>45691</v>
      </c>
      <c r="D725" s="77" t="s">
        <v>716</v>
      </c>
      <c r="E725" s="32" t="s">
        <v>768</v>
      </c>
    </row>
    <row r="726" spans="1:5">
      <c r="A726" s="119" t="s">
        <v>710</v>
      </c>
      <c r="B726" s="24" t="s">
        <v>756</v>
      </c>
      <c r="C726" s="30">
        <v>45691</v>
      </c>
      <c r="D726" s="77" t="s">
        <v>716</v>
      </c>
      <c r="E726" s="32" t="s">
        <v>769</v>
      </c>
    </row>
    <row r="727" spans="1:5">
      <c r="A727" s="119" t="s">
        <v>710</v>
      </c>
      <c r="B727" s="24" t="s">
        <v>756</v>
      </c>
      <c r="C727" s="30">
        <v>45691</v>
      </c>
      <c r="D727" s="77" t="s">
        <v>716</v>
      </c>
      <c r="E727" s="32" t="s">
        <v>770</v>
      </c>
    </row>
    <row r="728" spans="1:5" ht="26.45">
      <c r="A728" s="119" t="s">
        <v>710</v>
      </c>
      <c r="B728" s="24" t="s">
        <v>756</v>
      </c>
      <c r="C728" s="30">
        <v>45691</v>
      </c>
      <c r="D728" s="77" t="s">
        <v>716</v>
      </c>
      <c r="E728" s="32" t="s">
        <v>771</v>
      </c>
    </row>
    <row r="729" spans="1:5">
      <c r="A729" s="119" t="s">
        <v>710</v>
      </c>
      <c r="B729" s="24" t="s">
        <v>756</v>
      </c>
      <c r="C729" s="30">
        <v>45691</v>
      </c>
      <c r="D729" s="77" t="s">
        <v>716</v>
      </c>
      <c r="E729" s="32" t="s">
        <v>772</v>
      </c>
    </row>
    <row r="730" spans="1:5" ht="26.45">
      <c r="A730" s="119" t="s">
        <v>710</v>
      </c>
      <c r="B730" s="24" t="s">
        <v>756</v>
      </c>
      <c r="C730" s="30">
        <v>45691</v>
      </c>
      <c r="D730" s="77" t="s">
        <v>716</v>
      </c>
      <c r="E730" s="32" t="s">
        <v>773</v>
      </c>
    </row>
    <row r="731" spans="1:5">
      <c r="A731" s="119" t="s">
        <v>710</v>
      </c>
      <c r="B731" s="24" t="s">
        <v>756</v>
      </c>
      <c r="C731" s="30">
        <v>45691</v>
      </c>
      <c r="D731" s="77" t="s">
        <v>716</v>
      </c>
      <c r="E731" s="32" t="s">
        <v>774</v>
      </c>
    </row>
    <row r="732" spans="1:5">
      <c r="A732" s="119" t="s">
        <v>710</v>
      </c>
      <c r="B732" s="24" t="s">
        <v>756</v>
      </c>
      <c r="C732" s="30">
        <v>45691</v>
      </c>
      <c r="D732" s="77" t="s">
        <v>716</v>
      </c>
      <c r="E732" s="32" t="s">
        <v>775</v>
      </c>
    </row>
    <row r="733" spans="1:5">
      <c r="A733" s="119" t="s">
        <v>710</v>
      </c>
      <c r="B733" s="24" t="s">
        <v>756</v>
      </c>
      <c r="C733" s="30">
        <v>45691</v>
      </c>
      <c r="D733" s="77" t="s">
        <v>716</v>
      </c>
      <c r="E733" s="32" t="s">
        <v>776</v>
      </c>
    </row>
    <row r="734" spans="1:5" ht="26.45">
      <c r="A734" s="119" t="s">
        <v>710</v>
      </c>
      <c r="B734" s="24" t="s">
        <v>756</v>
      </c>
      <c r="C734" s="30">
        <v>45691</v>
      </c>
      <c r="D734" s="77" t="s">
        <v>716</v>
      </c>
      <c r="E734" s="32" t="s">
        <v>777</v>
      </c>
    </row>
    <row r="735" spans="1:5">
      <c r="A735" s="119" t="s">
        <v>710</v>
      </c>
      <c r="B735" s="24" t="s">
        <v>756</v>
      </c>
      <c r="C735" s="30">
        <v>45691</v>
      </c>
      <c r="D735" s="77" t="s">
        <v>716</v>
      </c>
      <c r="E735" s="32" t="s">
        <v>778</v>
      </c>
    </row>
    <row r="736" spans="1:5" ht="26.45">
      <c r="A736" s="119" t="s">
        <v>710</v>
      </c>
      <c r="B736" s="24" t="s">
        <v>756</v>
      </c>
      <c r="C736" s="30">
        <v>45691</v>
      </c>
      <c r="D736" s="77" t="s">
        <v>716</v>
      </c>
      <c r="E736" s="32" t="s">
        <v>779</v>
      </c>
    </row>
    <row r="737" spans="1:5">
      <c r="A737" s="119" t="s">
        <v>710</v>
      </c>
      <c r="B737" s="24" t="s">
        <v>756</v>
      </c>
      <c r="C737" s="30">
        <v>45691</v>
      </c>
      <c r="D737" s="77" t="s">
        <v>716</v>
      </c>
      <c r="E737" s="32" t="s">
        <v>780</v>
      </c>
    </row>
    <row r="738" spans="1:5">
      <c r="A738" s="119" t="s">
        <v>710</v>
      </c>
      <c r="B738" s="24" t="s">
        <v>756</v>
      </c>
      <c r="C738" s="30">
        <v>45691</v>
      </c>
      <c r="D738" s="77" t="s">
        <v>716</v>
      </c>
      <c r="E738" s="32" t="s">
        <v>781</v>
      </c>
    </row>
    <row r="739" spans="1:5">
      <c r="A739" s="119" t="s">
        <v>710</v>
      </c>
      <c r="B739" s="24" t="s">
        <v>756</v>
      </c>
      <c r="C739" s="30">
        <v>45691</v>
      </c>
      <c r="D739" s="77" t="s">
        <v>716</v>
      </c>
      <c r="E739" s="32" t="s">
        <v>782</v>
      </c>
    </row>
    <row r="740" spans="1:5" ht="26.45">
      <c r="A740" s="119" t="s">
        <v>710</v>
      </c>
      <c r="B740" s="24" t="s">
        <v>756</v>
      </c>
      <c r="C740" s="30">
        <v>45691</v>
      </c>
      <c r="D740" s="77" t="s">
        <v>716</v>
      </c>
      <c r="E740" s="32" t="s">
        <v>783</v>
      </c>
    </row>
    <row r="741" spans="1:5" ht="26.45">
      <c r="A741" s="119" t="s">
        <v>710</v>
      </c>
      <c r="B741" s="24" t="s">
        <v>251</v>
      </c>
      <c r="C741" s="30">
        <v>45691</v>
      </c>
      <c r="D741" s="77"/>
      <c r="E741" s="32" t="s">
        <v>784</v>
      </c>
    </row>
    <row r="742" spans="1:5" ht="26.45">
      <c r="A742" s="119" t="s">
        <v>710</v>
      </c>
      <c r="B742" s="24" t="s">
        <v>7</v>
      </c>
      <c r="C742" s="30">
        <v>45688</v>
      </c>
      <c r="D742" s="77"/>
      <c r="E742" s="32" t="s">
        <v>785</v>
      </c>
    </row>
    <row r="743" spans="1:5" ht="52.9">
      <c r="A743" s="119" t="s">
        <v>710</v>
      </c>
      <c r="B743" s="24" t="s">
        <v>251</v>
      </c>
      <c r="C743" s="30">
        <v>45687</v>
      </c>
      <c r="D743" s="77"/>
      <c r="E743" s="32" t="s">
        <v>786</v>
      </c>
    </row>
    <row r="744" spans="1:5" ht="26.45">
      <c r="A744" s="119" t="s">
        <v>710</v>
      </c>
      <c r="B744" s="24" t="s">
        <v>251</v>
      </c>
      <c r="C744" s="30">
        <v>45686</v>
      </c>
      <c r="D744" s="77"/>
      <c r="E744" s="32" t="s">
        <v>787</v>
      </c>
    </row>
    <row r="745" spans="1:5" ht="13.9" thickBot="1">
      <c r="A745" s="120" t="s">
        <v>710</v>
      </c>
      <c r="B745" s="61" t="s">
        <v>251</v>
      </c>
      <c r="C745" s="62">
        <v>45686</v>
      </c>
      <c r="D745" s="78"/>
      <c r="E745" s="63" t="s">
        <v>788</v>
      </c>
    </row>
    <row r="746" spans="1:5">
      <c r="A746" s="119" t="s">
        <v>789</v>
      </c>
      <c r="B746" s="29" t="s">
        <v>7</v>
      </c>
      <c r="C746" s="31">
        <v>45684</v>
      </c>
      <c r="D746" s="79"/>
      <c r="E746" s="39" t="s">
        <v>790</v>
      </c>
    </row>
    <row r="747" spans="1:5">
      <c r="A747" s="119" t="s">
        <v>789</v>
      </c>
      <c r="B747" s="24" t="s">
        <v>7</v>
      </c>
      <c r="C747" s="30">
        <v>45681</v>
      </c>
      <c r="D747" s="77"/>
      <c r="E747" s="32" t="s">
        <v>791</v>
      </c>
    </row>
    <row r="748" spans="1:5">
      <c r="A748" s="119" t="s">
        <v>789</v>
      </c>
      <c r="B748" s="24" t="s">
        <v>7</v>
      </c>
      <c r="C748" s="30">
        <v>45681</v>
      </c>
      <c r="D748" s="77"/>
      <c r="E748" s="32" t="s">
        <v>792</v>
      </c>
    </row>
    <row r="749" spans="1:5">
      <c r="A749" s="119" t="s">
        <v>789</v>
      </c>
      <c r="B749" s="24" t="s">
        <v>7</v>
      </c>
      <c r="C749" s="30">
        <v>45681</v>
      </c>
      <c r="D749" s="77"/>
      <c r="E749" s="32" t="s">
        <v>793</v>
      </c>
    </row>
    <row r="750" spans="1:5">
      <c r="A750" s="119" t="s">
        <v>789</v>
      </c>
      <c r="B750" s="24" t="s">
        <v>7</v>
      </c>
      <c r="C750" s="30">
        <v>45680</v>
      </c>
      <c r="D750" s="77"/>
      <c r="E750" s="32" t="s">
        <v>794</v>
      </c>
    </row>
    <row r="751" spans="1:5" ht="26.45">
      <c r="A751" s="119" t="s">
        <v>789</v>
      </c>
      <c r="B751" s="24" t="s">
        <v>7</v>
      </c>
      <c r="C751" s="30">
        <v>45680</v>
      </c>
      <c r="D751" s="77"/>
      <c r="E751" s="32" t="s">
        <v>795</v>
      </c>
    </row>
    <row r="752" spans="1:5" ht="26.45">
      <c r="A752" s="119" t="s">
        <v>789</v>
      </c>
      <c r="B752" s="24" t="s">
        <v>251</v>
      </c>
      <c r="C752" s="30">
        <v>45674</v>
      </c>
      <c r="D752" s="77"/>
      <c r="E752" s="32" t="s">
        <v>796</v>
      </c>
    </row>
    <row r="753" spans="1:5">
      <c r="A753" s="119" t="s">
        <v>789</v>
      </c>
      <c r="B753" s="24" t="s">
        <v>251</v>
      </c>
      <c r="C753" s="30">
        <v>45674</v>
      </c>
      <c r="D753" s="77"/>
      <c r="E753" s="32" t="s">
        <v>797</v>
      </c>
    </row>
    <row r="754" spans="1:5">
      <c r="A754" s="119" t="s">
        <v>789</v>
      </c>
      <c r="B754" s="28" t="s">
        <v>7</v>
      </c>
      <c r="C754" s="30">
        <v>45673</v>
      </c>
      <c r="D754" s="77"/>
      <c r="E754" s="32" t="s">
        <v>798</v>
      </c>
    </row>
    <row r="755" spans="1:5">
      <c r="A755" s="119" t="s">
        <v>789</v>
      </c>
      <c r="B755" s="28" t="s">
        <v>7</v>
      </c>
      <c r="C755" s="30">
        <v>45672</v>
      </c>
      <c r="D755" s="77"/>
      <c r="E755" s="32" t="s">
        <v>799</v>
      </c>
    </row>
    <row r="756" spans="1:5" ht="26.45">
      <c r="A756" s="119" t="s">
        <v>789</v>
      </c>
      <c r="B756" s="28" t="s">
        <v>7</v>
      </c>
      <c r="C756" s="30">
        <v>45672</v>
      </c>
      <c r="D756" s="77"/>
      <c r="E756" s="32" t="s">
        <v>800</v>
      </c>
    </row>
    <row r="757" spans="1:5" ht="26.45">
      <c r="A757" s="119" t="s">
        <v>789</v>
      </c>
      <c r="B757" s="28" t="s">
        <v>7</v>
      </c>
      <c r="C757" s="30">
        <v>45672</v>
      </c>
      <c r="D757" s="77"/>
      <c r="E757" s="32" t="s">
        <v>801</v>
      </c>
    </row>
    <row r="758" spans="1:5" ht="26.45">
      <c r="A758" s="119" t="s">
        <v>789</v>
      </c>
      <c r="B758" s="28" t="s">
        <v>7</v>
      </c>
      <c r="C758" s="30">
        <v>45672</v>
      </c>
      <c r="D758" s="77"/>
      <c r="E758" s="32" t="s">
        <v>802</v>
      </c>
    </row>
    <row r="759" spans="1:5" ht="27" thickBot="1">
      <c r="A759" s="123" t="s">
        <v>789</v>
      </c>
      <c r="B759" s="28" t="s">
        <v>7</v>
      </c>
      <c r="C759" s="36">
        <v>45672</v>
      </c>
      <c r="D759" s="80"/>
      <c r="E759" s="32" t="s">
        <v>803</v>
      </c>
    </row>
    <row r="760" spans="1:5">
      <c r="A760" s="124" t="s">
        <v>804</v>
      </c>
      <c r="B760" s="57" t="s">
        <v>7</v>
      </c>
      <c r="C760" s="55">
        <v>45670</v>
      </c>
      <c r="D760" s="81"/>
      <c r="E760" s="56" t="s">
        <v>805</v>
      </c>
    </row>
    <row r="761" spans="1:5">
      <c r="A761" s="119" t="s">
        <v>804</v>
      </c>
      <c r="B761" s="24" t="s">
        <v>7</v>
      </c>
      <c r="C761" s="30">
        <v>45670</v>
      </c>
      <c r="D761" s="77"/>
      <c r="E761" s="32" t="s">
        <v>806</v>
      </c>
    </row>
    <row r="762" spans="1:5">
      <c r="A762" s="119" t="s">
        <v>804</v>
      </c>
      <c r="B762" s="24" t="s">
        <v>7</v>
      </c>
      <c r="C762" s="30">
        <v>45670</v>
      </c>
      <c r="D762" s="77"/>
      <c r="E762" s="32" t="s">
        <v>807</v>
      </c>
    </row>
    <row r="763" spans="1:5">
      <c r="A763" s="119" t="s">
        <v>804</v>
      </c>
      <c r="B763" s="24" t="s">
        <v>7</v>
      </c>
      <c r="C763" s="30">
        <v>45667</v>
      </c>
      <c r="D763" s="77"/>
      <c r="E763" s="32" t="s">
        <v>808</v>
      </c>
    </row>
    <row r="764" spans="1:5" ht="26.45">
      <c r="A764" s="119" t="s">
        <v>804</v>
      </c>
      <c r="B764" s="24" t="s">
        <v>251</v>
      </c>
      <c r="C764" s="30">
        <v>45666</v>
      </c>
      <c r="D764" s="77"/>
      <c r="E764" s="32" t="s">
        <v>809</v>
      </c>
    </row>
    <row r="765" spans="1:5" ht="26.45">
      <c r="A765" s="119" t="s">
        <v>804</v>
      </c>
      <c r="B765" s="24" t="s">
        <v>251</v>
      </c>
      <c r="C765" s="30">
        <v>45666</v>
      </c>
      <c r="D765" s="77"/>
      <c r="E765" s="32" t="s">
        <v>810</v>
      </c>
    </row>
    <row r="766" spans="1:5" ht="26.45">
      <c r="A766" s="119" t="s">
        <v>804</v>
      </c>
      <c r="B766" s="24" t="s">
        <v>7</v>
      </c>
      <c r="C766" s="30">
        <v>45666</v>
      </c>
      <c r="D766" s="77"/>
      <c r="E766" s="32" t="s">
        <v>811</v>
      </c>
    </row>
    <row r="767" spans="1:5" ht="26.45">
      <c r="A767" s="119" t="s">
        <v>804</v>
      </c>
      <c r="B767" s="24" t="s">
        <v>7</v>
      </c>
      <c r="C767" s="30">
        <v>45665</v>
      </c>
      <c r="D767" s="77"/>
      <c r="E767" s="32" t="s">
        <v>812</v>
      </c>
    </row>
    <row r="768" spans="1:5">
      <c r="A768" s="119" t="s">
        <v>804</v>
      </c>
      <c r="B768" s="24" t="s">
        <v>7</v>
      </c>
      <c r="C768" s="30">
        <v>45665</v>
      </c>
      <c r="D768" s="77"/>
      <c r="E768" s="32" t="s">
        <v>813</v>
      </c>
    </row>
    <row r="769" spans="1:5" ht="26.45">
      <c r="A769" s="119" t="s">
        <v>804</v>
      </c>
      <c r="B769" s="24" t="s">
        <v>7</v>
      </c>
      <c r="C769" s="30">
        <v>45665</v>
      </c>
      <c r="D769" s="77"/>
      <c r="E769" s="32" t="s">
        <v>814</v>
      </c>
    </row>
    <row r="770" spans="1:5">
      <c r="A770" s="119" t="s">
        <v>804</v>
      </c>
      <c r="B770" s="24" t="s">
        <v>7</v>
      </c>
      <c r="C770" s="30">
        <v>45665</v>
      </c>
      <c r="D770" s="77"/>
      <c r="E770" s="32" t="s">
        <v>815</v>
      </c>
    </row>
    <row r="771" spans="1:5">
      <c r="A771" s="119" t="s">
        <v>804</v>
      </c>
      <c r="B771" s="24" t="s">
        <v>7</v>
      </c>
      <c r="C771" s="30">
        <v>45660</v>
      </c>
      <c r="D771" s="77"/>
      <c r="E771" s="32" t="s">
        <v>816</v>
      </c>
    </row>
    <row r="772" spans="1:5" ht="26.45">
      <c r="A772" s="119" t="s">
        <v>804</v>
      </c>
      <c r="B772" s="24" t="s">
        <v>7</v>
      </c>
      <c r="C772" s="30">
        <v>45660</v>
      </c>
      <c r="D772" s="77"/>
      <c r="E772" s="32" t="s">
        <v>817</v>
      </c>
    </row>
    <row r="773" spans="1:5">
      <c r="A773" s="119" t="s">
        <v>804</v>
      </c>
      <c r="B773" s="24" t="s">
        <v>7</v>
      </c>
      <c r="C773" s="36">
        <v>45653</v>
      </c>
      <c r="D773" s="80"/>
      <c r="E773" s="32" t="s">
        <v>818</v>
      </c>
    </row>
    <row r="774" spans="1:5">
      <c r="A774" s="119" t="s">
        <v>804</v>
      </c>
      <c r="B774" s="24" t="s">
        <v>7</v>
      </c>
      <c r="C774" s="36">
        <v>45653</v>
      </c>
      <c r="D774" s="80"/>
      <c r="E774" s="32" t="s">
        <v>819</v>
      </c>
    </row>
    <row r="775" spans="1:5">
      <c r="A775" s="119" t="s">
        <v>804</v>
      </c>
      <c r="B775" s="24" t="s">
        <v>7</v>
      </c>
      <c r="C775" s="36">
        <v>45653</v>
      </c>
      <c r="D775" s="80"/>
      <c r="E775" s="32" t="s">
        <v>820</v>
      </c>
    </row>
    <row r="776" spans="1:5">
      <c r="A776" s="119" t="s">
        <v>804</v>
      </c>
      <c r="B776" s="24" t="s">
        <v>7</v>
      </c>
      <c r="C776" s="36">
        <v>45653</v>
      </c>
      <c r="D776" s="80"/>
      <c r="E776" s="32" t="s">
        <v>821</v>
      </c>
    </row>
    <row r="777" spans="1:5" ht="26.45">
      <c r="A777" s="119" t="s">
        <v>804</v>
      </c>
      <c r="B777" s="24" t="s">
        <v>7</v>
      </c>
      <c r="C777" s="36">
        <v>45653</v>
      </c>
      <c r="D777" s="80"/>
      <c r="E777" s="32" t="s">
        <v>822</v>
      </c>
    </row>
    <row r="778" spans="1:5" ht="13.9" thickBot="1">
      <c r="A778" s="125" t="s">
        <v>823</v>
      </c>
      <c r="B778" s="61" t="s">
        <v>7</v>
      </c>
      <c r="C778" s="36">
        <v>45653</v>
      </c>
      <c r="D778" s="80"/>
      <c r="E778" s="37" t="s">
        <v>824</v>
      </c>
    </row>
    <row r="779" spans="1:5" ht="66">
      <c r="A779" s="119" t="s">
        <v>825</v>
      </c>
      <c r="B779" s="57"/>
      <c r="C779" s="55">
        <v>45608</v>
      </c>
      <c r="D779" s="81"/>
      <c r="E779" s="56" t="s">
        <v>826</v>
      </c>
    </row>
    <row r="780" spans="1:5" ht="119.45" thickBot="1">
      <c r="A780" s="126" t="s">
        <v>827</v>
      </c>
      <c r="B780" s="43"/>
      <c r="C780" s="44">
        <v>45587</v>
      </c>
      <c r="D780" s="82"/>
      <c r="E780" s="45" t="s">
        <v>828</v>
      </c>
    </row>
    <row r="781" spans="1:5" ht="132">
      <c r="A781" s="127" t="s">
        <v>829</v>
      </c>
      <c r="B781" s="29" t="s">
        <v>830</v>
      </c>
      <c r="C781" s="31">
        <v>45582</v>
      </c>
      <c r="D781" s="79"/>
      <c r="E781" s="39" t="s">
        <v>831</v>
      </c>
    </row>
    <row r="782" spans="1:5" ht="79.900000000000006" thickBot="1">
      <c r="A782" s="126" t="s">
        <v>832</v>
      </c>
      <c r="B782" s="43" t="s">
        <v>833</v>
      </c>
      <c r="C782" s="44">
        <v>45574</v>
      </c>
      <c r="D782" s="82"/>
      <c r="E782" s="45" t="s">
        <v>834</v>
      </c>
    </row>
    <row r="783" spans="1:5" ht="40.15" thickBot="1">
      <c r="A783" s="128" t="s">
        <v>835</v>
      </c>
      <c r="B783" s="40" t="s">
        <v>830</v>
      </c>
      <c r="C783" s="42">
        <v>45568</v>
      </c>
      <c r="D783" s="83"/>
      <c r="E783" s="41" t="s">
        <v>836</v>
      </c>
    </row>
    <row r="784" spans="1:5" ht="53.45" thickBot="1">
      <c r="A784" s="128" t="s">
        <v>837</v>
      </c>
      <c r="B784" s="40" t="s">
        <v>830</v>
      </c>
      <c r="C784" s="42"/>
      <c r="D784" s="84"/>
      <c r="E784" s="41" t="s">
        <v>838</v>
      </c>
    </row>
    <row r="785" spans="1:5">
      <c r="A785" s="129"/>
      <c r="B785" s="29"/>
      <c r="C785" s="31"/>
      <c r="D785" s="79"/>
      <c r="E785" s="39"/>
    </row>
    <row r="786" spans="1:5">
      <c r="A786" s="129"/>
      <c r="B786" s="24"/>
      <c r="C786" s="30"/>
      <c r="D786" s="77"/>
      <c r="E786" s="32"/>
    </row>
    <row r="787" spans="1:5">
      <c r="A787" s="129"/>
      <c r="B787" s="24"/>
      <c r="C787" s="30"/>
      <c r="D787" s="77"/>
      <c r="E787" s="32"/>
    </row>
  </sheetData>
  <mergeCells count="1">
    <mergeCell ref="A1:E1"/>
  </mergeCells>
  <phoneticPr fontId="4"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3FF4A-5547-4D4C-9AB8-0DD0D8F64390}">
  <sheetPr codeName="Feuil23">
    <tabColor rgb="FF00B050"/>
  </sheetPr>
  <dimension ref="A1:R904"/>
  <sheetViews>
    <sheetView topLeftCell="J1" zoomScaleNormal="100" workbookViewId="0">
      <pane ySplit="2" topLeftCell="V10" activePane="bottomLeft" state="frozen"/>
      <selection pane="bottomLeft" activeCell="V10" sqref="V10"/>
    </sheetView>
  </sheetViews>
  <sheetFormatPr defaultColWidth="10.7109375" defaultRowHeight="14.45"/>
  <cols>
    <col min="1" max="1" width="15.42578125" style="2" customWidth="1"/>
    <col min="2" max="2" width="6" style="48" customWidth="1"/>
    <col min="3" max="3" width="19.7109375" style="2" bestFit="1" customWidth="1"/>
    <col min="4" max="4" width="23.5703125" customWidth="1"/>
    <col min="5" max="5" width="37.28515625" style="2" customWidth="1"/>
    <col min="6" max="6" width="46.28515625" style="4" bestFit="1" customWidth="1"/>
    <col min="7" max="8" width="5.28515625" style="48" customWidth="1"/>
    <col min="9" max="9" width="8.7109375" style="2" customWidth="1"/>
    <col min="10" max="10" width="49" style="2" customWidth="1"/>
    <col min="11" max="12" width="8.7109375" style="2" customWidth="1"/>
    <col min="13" max="13" width="15.7109375" style="2" customWidth="1"/>
    <col min="14" max="17" width="8.7109375" style="2" customWidth="1"/>
    <col min="18" max="18" width="2.7109375" style="2" customWidth="1"/>
    <col min="19" max="16384" width="10.7109375" style="2"/>
  </cols>
  <sheetData>
    <row r="1" spans="1:18" ht="21">
      <c r="C1" s="161" t="s">
        <v>839</v>
      </c>
      <c r="D1" s="161"/>
      <c r="E1" s="161"/>
      <c r="F1" s="161"/>
      <c r="G1" s="161"/>
      <c r="H1" s="161"/>
      <c r="I1" s="161"/>
      <c r="J1" s="161"/>
      <c r="K1" s="161"/>
      <c r="L1" s="161"/>
      <c r="M1" s="161"/>
      <c r="N1" s="161"/>
      <c r="O1" s="161"/>
      <c r="P1" s="161"/>
      <c r="Q1" s="161"/>
    </row>
    <row r="2" spans="1:18" ht="33" customHeight="1">
      <c r="A2" s="3" t="s">
        <v>840</v>
      </c>
      <c r="B2" s="58" t="s">
        <v>841</v>
      </c>
      <c r="C2" s="59" t="s">
        <v>842</v>
      </c>
      <c r="D2" s="59" t="s">
        <v>843</v>
      </c>
      <c r="E2" s="59" t="s">
        <v>844</v>
      </c>
      <c r="F2" s="59" t="s">
        <v>845</v>
      </c>
      <c r="G2" s="59" t="s">
        <v>846</v>
      </c>
      <c r="H2" s="59" t="s">
        <v>847</v>
      </c>
      <c r="I2" s="59" t="s">
        <v>848</v>
      </c>
      <c r="J2" s="59" t="s">
        <v>849</v>
      </c>
      <c r="K2" s="59" t="s">
        <v>850</v>
      </c>
      <c r="L2" s="59" t="s">
        <v>851</v>
      </c>
      <c r="M2" s="59" t="s">
        <v>852</v>
      </c>
      <c r="N2" s="59" t="s">
        <v>853</v>
      </c>
      <c r="O2" s="59" t="s">
        <v>854</v>
      </c>
      <c r="P2" s="59" t="s">
        <v>855</v>
      </c>
      <c r="Q2" s="59" t="s">
        <v>856</v>
      </c>
      <c r="R2" s="2" t="s">
        <v>857</v>
      </c>
    </row>
    <row r="3" spans="1:18">
      <c r="A3" s="38">
        <v>241112000000</v>
      </c>
      <c r="B3" s="47" t="s">
        <v>858</v>
      </c>
      <c r="C3" s="3" t="str">
        <f>VLOOKUP($A3,DICO_Complet!$A$3:$U$983,3,FALSE)</f>
        <v>ApiResponse</v>
      </c>
      <c r="D3" s="3" t="str">
        <f>VLOOKUP($A3,DICO_Complet!$A$3:$U$983,4,FALSE)</f>
        <v>error</v>
      </c>
      <c r="E3" s="2" t="str">
        <f>VLOOKUP($A3,DICO_Complet!$A$3:$U$983,5,FALSE)</f>
        <v>code</v>
      </c>
      <c r="F3" s="2" t="str">
        <f>VLOOKUP($A3,DICO_Complet!$A$3:$U$983,6,FALSE)</f>
        <v>Max20Text</v>
      </c>
      <c r="G3" s="48">
        <f>VLOOKUP($A3,DICO_Complet!$A$3:$U$983,7,FALSE)</f>
        <v>0</v>
      </c>
      <c r="H3" s="48">
        <f>VLOOKUP($A3,DICO_Complet!$A$3:$U$983,8,FALSE)</f>
        <v>0</v>
      </c>
      <c r="I3" s="2" t="str">
        <f>IF(VLOOKUP($A3,DICO_Complet!$A$3:$U$983,9,FALSE)&lt;&gt;0,VLOOKUP($A3,DICO_Complet!$A$3:$U$983,9,FALSE),"")</f>
        <v/>
      </c>
      <c r="J3" s="1" t="str">
        <f>VLOOKUP($A3,DICO_Complet!$A$3:$U$983,10,FALSE)</f>
        <v>code</v>
      </c>
      <c r="K3" s="53" t="str">
        <f>IF(VLOOKUP($A3,DICO_Complet!$A$3:$U$983,12,FALSE)=0,"",VLOOKUP($A3,DICO_Complet!$A$3:$U$983,12,FALSE))</f>
        <v/>
      </c>
      <c r="L3" s="53" t="str">
        <f>IF(VLOOKUP($A3,DICO_Complet!$A$3:$U$983,13,FALSE)=0,"",VLOOKUP($A3,DICO_Complet!$A$3:$U$983,13,FALSE))</f>
        <v/>
      </c>
      <c r="M3" s="53" t="str">
        <f>IF(VLOOKUP($A3,DICO_Complet!$A$3:$U$983,14,FALSE)=0,"",VLOOKUP($A3,DICO_Complet!$A$3:$U$983,14,FALSE))</f>
        <v/>
      </c>
      <c r="N3" s="53" t="str">
        <f>IF(VLOOKUP($A3,DICO_Complet!$A$3:$U$983,15,FALSE)=0,"",VLOOKUP($A3,DICO_Complet!$A$3:$U$983,15,FALSE))</f>
        <v/>
      </c>
      <c r="O3" s="53" t="str">
        <f>IF(VLOOKUP($A3,DICO_Complet!$A$3:$U$983,16,FALSE)=0,"",VLOOKUP($A3,DICO_Complet!$A$3:$U$983,16,FALSE))</f>
        <v/>
      </c>
      <c r="P3" s="53" t="str">
        <f>IF(VLOOKUP($A3,DICO_Complet!$A$3:$U$983,17,FALSE)=0,"",VLOOKUP($A3,DICO_Complet!$A$3:$U$983,17,FALSE))</f>
        <v/>
      </c>
      <c r="Q3" s="53" t="str">
        <f>IF(VLOOKUP($A3,DICO_Complet!$A$3:$U$983,18,FALSE)=0,"",VLOOKUP($A3,DICO_Complet!$A$3:$U$983,18,FALSE))</f>
        <v/>
      </c>
    </row>
    <row r="4" spans="1:18">
      <c r="A4" s="38">
        <v>241112000001</v>
      </c>
      <c r="B4" s="47" t="s">
        <v>858</v>
      </c>
      <c r="C4" s="3" t="str">
        <f>VLOOKUP($A4,DICO_Complet!$A$3:$U$983,3,FALSE)</f>
        <v>ApiResponse</v>
      </c>
      <c r="D4" s="3" t="str">
        <f>VLOOKUP($A4,DICO_Complet!$A$3:$U$983,4,FALSE)</f>
        <v>error</v>
      </c>
      <c r="E4" s="2" t="str">
        <f>VLOOKUP($A4,DICO_Complet!$A$3:$U$983,5,FALSE)</f>
        <v>developerText</v>
      </c>
      <c r="F4" s="2" t="str">
        <f>VLOOKUP($A4,DICO_Complet!$A$3:$U$983,6,FALSE)</f>
        <v>Max70Text</v>
      </c>
      <c r="G4" s="48">
        <f>VLOOKUP($A4,DICO_Complet!$A$3:$U$983,7,FALSE)</f>
        <v>0</v>
      </c>
      <c r="H4" s="48">
        <f>VLOOKUP($A4,DICO_Complet!$A$3:$U$983,8,FALSE)</f>
        <v>0</v>
      </c>
      <c r="I4" s="2" t="str">
        <f>IF(VLOOKUP($A4,DICO_Complet!$A$3:$U$983,9,FALSE)&lt;&gt;0,VLOOKUP($A4,DICO_Complet!$A$3:$U$983,9,FALSE),"")</f>
        <v/>
      </c>
      <c r="J4" s="1" t="str">
        <f>VLOOKUP($A4,DICO_Complet!$A$3:$U$983,10,FALSE)</f>
        <v>a text that explains the possible reason(s) of the error, and the possible corrections</v>
      </c>
      <c r="K4" s="53" t="str">
        <f>IF(VLOOKUP($A4,DICO_Complet!$A$3:$U$983,12,FALSE)=0,"",VLOOKUP($A4,DICO_Complet!$A$3:$U$983,12,FALSE))</f>
        <v/>
      </c>
      <c r="L4" s="53" t="str">
        <f>IF(VLOOKUP($A4,DICO_Complet!$A$3:$U$983,13,FALSE)=0,"",VLOOKUP($A4,DICO_Complet!$A$3:$U$983,13,FALSE))</f>
        <v/>
      </c>
      <c r="M4" s="53" t="str">
        <f>IF(VLOOKUP($A4,DICO_Complet!$A$3:$U$983,14,FALSE)=0,"",VLOOKUP($A4,DICO_Complet!$A$3:$U$983,14,FALSE))</f>
        <v/>
      </c>
      <c r="N4" s="53" t="str">
        <f>IF(VLOOKUP($A4,DICO_Complet!$A$3:$U$983,15,FALSE)=0,"",VLOOKUP($A4,DICO_Complet!$A$3:$U$983,15,FALSE))</f>
        <v/>
      </c>
      <c r="O4" s="53" t="str">
        <f>IF(VLOOKUP($A4,DICO_Complet!$A$3:$U$983,16,FALSE)=0,"",VLOOKUP($A4,DICO_Complet!$A$3:$U$983,16,FALSE))</f>
        <v/>
      </c>
      <c r="P4" s="53" t="str">
        <f>IF(VLOOKUP($A4,DICO_Complet!$A$3:$U$983,17,FALSE)=0,"",VLOOKUP($A4,DICO_Complet!$A$3:$U$983,17,FALSE))</f>
        <v/>
      </c>
      <c r="Q4" s="53" t="str">
        <f>IF(VLOOKUP($A4,DICO_Complet!$A$3:$U$983,18,FALSE)=0,"",VLOOKUP($A4,DICO_Complet!$A$3:$U$983,18,FALSE))</f>
        <v/>
      </c>
    </row>
    <row r="5" spans="1:18">
      <c r="A5" s="38">
        <v>241112000003</v>
      </c>
      <c r="B5" s="47" t="s">
        <v>858</v>
      </c>
      <c r="C5" s="3" t="str">
        <f>VLOOKUP($A5,DICO_Complet!$A$3:$U$983,3,FALSE)</f>
        <v>ApiResponse</v>
      </c>
      <c r="D5" s="3" t="str">
        <f>VLOOKUP($A5,DICO_Complet!$A$3:$U$983,4,FALSE)</f>
        <v>error</v>
      </c>
      <c r="E5" s="2" t="str">
        <f>VLOOKUP($A5,DICO_Complet!$A$3:$U$983,5,FALSE)</f>
        <v>moreInfo</v>
      </c>
      <c r="F5" s="2" t="str">
        <f>VLOOKUP($A5,DICO_Complet!$A$3:$U$983,6,FALSE)</f>
        <v>Max256Text</v>
      </c>
      <c r="G5" s="48">
        <f>VLOOKUP($A5,DICO_Complet!$A$3:$U$983,7,FALSE)</f>
        <v>0</v>
      </c>
      <c r="H5" s="48">
        <f>VLOOKUP($A5,DICO_Complet!$A$3:$U$983,8,FALSE)</f>
        <v>0</v>
      </c>
      <c r="I5" s="2" t="str">
        <f>IF(VLOOKUP($A5,DICO_Complet!$A$3:$U$983,9,FALSE)&lt;&gt;0,VLOOKUP($A5,DICO_Complet!$A$3:$U$983,9,FALSE),"")</f>
        <v/>
      </c>
      <c r="J5" s="1" t="str">
        <f>VLOOKUP($A5,DICO_Complet!$A$3:$U$983,10,FALSE)</f>
        <v>URI to documents</v>
      </c>
      <c r="K5" s="53" t="str">
        <f>IF(VLOOKUP($A5,DICO_Complet!$A$3:$U$983,12,FALSE)=0,"",VLOOKUP($A5,DICO_Complet!$A$3:$U$983,12,FALSE))</f>
        <v/>
      </c>
      <c r="L5" s="53" t="str">
        <f>IF(VLOOKUP($A5,DICO_Complet!$A$3:$U$983,13,FALSE)=0,"",VLOOKUP($A5,DICO_Complet!$A$3:$U$983,13,FALSE))</f>
        <v/>
      </c>
      <c r="M5" s="53" t="str">
        <f>IF(VLOOKUP($A5,DICO_Complet!$A$3:$U$983,14,FALSE)=0,"",VLOOKUP($A5,DICO_Complet!$A$3:$U$983,14,FALSE))</f>
        <v/>
      </c>
      <c r="N5" s="53" t="str">
        <f>IF(VLOOKUP($A5,DICO_Complet!$A$3:$U$983,15,FALSE)=0,"",VLOOKUP($A5,DICO_Complet!$A$3:$U$983,15,FALSE))</f>
        <v/>
      </c>
      <c r="O5" s="53" t="str">
        <f>IF(VLOOKUP($A5,DICO_Complet!$A$3:$U$983,16,FALSE)=0,"",VLOOKUP($A5,DICO_Complet!$A$3:$U$983,16,FALSE))</f>
        <v/>
      </c>
      <c r="P5" s="53" t="str">
        <f>IF(VLOOKUP($A5,DICO_Complet!$A$3:$U$983,17,FALSE)=0,"",VLOOKUP($A5,DICO_Complet!$A$3:$U$983,17,FALSE))</f>
        <v/>
      </c>
      <c r="Q5" s="53" t="str">
        <f>IF(VLOOKUP($A5,DICO_Complet!$A$3:$U$983,18,FALSE)=0,"",VLOOKUP($A5,DICO_Complet!$A$3:$U$983,18,FALSE))</f>
        <v/>
      </c>
    </row>
    <row r="6" spans="1:18">
      <c r="A6" s="38">
        <v>241112000004</v>
      </c>
      <c r="B6" s="47" t="s">
        <v>858</v>
      </c>
      <c r="C6" s="3" t="str">
        <f>VLOOKUP($A6,DICO_Complet!$A$3:$U$983,3,FALSE)</f>
        <v>ApiResponse</v>
      </c>
      <c r="D6" s="3" t="str">
        <f>VLOOKUP($A6,DICO_Complet!$A$3:$U$983,4,FALSE)</f>
        <v>error</v>
      </c>
      <c r="E6" s="2" t="str">
        <f>VLOOKUP($A6,DICO_Complet!$A$3:$U$983,5,FALSE)</f>
        <v>text</v>
      </c>
      <c r="F6" s="2" t="str">
        <f>VLOOKUP($A6,DICO_Complet!$A$3:$U$983,6,FALSE)</f>
        <v>Max40Text</v>
      </c>
      <c r="G6" s="48">
        <f>VLOOKUP($A6,DICO_Complet!$A$3:$U$983,7,FALSE)</f>
        <v>0</v>
      </c>
      <c r="H6" s="48">
        <f>VLOOKUP($A6,DICO_Complet!$A$3:$U$983,8,FALSE)</f>
        <v>0</v>
      </c>
      <c r="I6" s="2" t="str">
        <f>IF(VLOOKUP($A6,DICO_Complet!$A$3:$U$983,9,FALSE)&lt;&gt;0,VLOOKUP($A6,DICO_Complet!$A$3:$U$983,9,FALSE),"")</f>
        <v/>
      </c>
      <c r="J6" s="1" t="str">
        <f>VLOOKUP($A6,DICO_Complet!$A$3:$U$983,10,FALSE)</f>
        <v>short text that explains the error in a language that is useful for 
the end-user of the service</v>
      </c>
      <c r="K6" s="53" t="str">
        <f>IF(VLOOKUP($A6,DICO_Complet!$A$3:$U$983,12,FALSE)=0,"",VLOOKUP($A6,DICO_Complet!$A$3:$U$983,12,FALSE))</f>
        <v/>
      </c>
      <c r="L6" s="53" t="str">
        <f>IF(VLOOKUP($A6,DICO_Complet!$A$3:$U$983,13,FALSE)=0,"",VLOOKUP($A6,DICO_Complet!$A$3:$U$983,13,FALSE))</f>
        <v/>
      </c>
      <c r="M6" s="53" t="str">
        <f>IF(VLOOKUP($A6,DICO_Complet!$A$3:$U$983,14,FALSE)=0,"",VLOOKUP($A6,DICO_Complet!$A$3:$U$983,14,FALSE))</f>
        <v/>
      </c>
      <c r="N6" s="53" t="str">
        <f>IF(VLOOKUP($A6,DICO_Complet!$A$3:$U$983,15,FALSE)=0,"",VLOOKUP($A6,DICO_Complet!$A$3:$U$983,15,FALSE))</f>
        <v/>
      </c>
      <c r="O6" s="53" t="str">
        <f>IF(VLOOKUP($A6,DICO_Complet!$A$3:$U$983,16,FALSE)=0,"",VLOOKUP($A6,DICO_Complet!$A$3:$U$983,16,FALSE))</f>
        <v/>
      </c>
      <c r="P6" s="53" t="str">
        <f>IF(VLOOKUP($A6,DICO_Complet!$A$3:$U$983,17,FALSE)=0,"",VLOOKUP($A6,DICO_Complet!$A$3:$U$983,17,FALSE))</f>
        <v/>
      </c>
      <c r="Q6" s="53" t="str">
        <f>IF(VLOOKUP($A6,DICO_Complet!$A$3:$U$983,18,FALSE)=0,"",VLOOKUP($A6,DICO_Complet!$A$3:$U$983,18,FALSE))</f>
        <v/>
      </c>
    </row>
    <row r="7" spans="1:18">
      <c r="A7" s="38">
        <v>241112000002</v>
      </c>
      <c r="B7" s="47" t="s">
        <v>858</v>
      </c>
      <c r="C7" s="3" t="str">
        <f>VLOOKUP($A7,DICO_Complet!$A$3:$U$983,3,FALSE)</f>
        <v>ApiResponse</v>
      </c>
      <c r="D7" s="3" t="str">
        <f>VLOOKUP($A7,DICO_Complet!$A$3:$U$983,4,FALSE)</f>
        <v>httpStatus</v>
      </c>
      <c r="E7" s="2" t="str">
        <f>VLOOKUP($A7,DICO_Complet!$A$3:$U$983,5,FALSE)</f>
        <v>httpCode</v>
      </c>
      <c r="F7" s="2" t="str">
        <f>VLOOKUP($A7,DICO_Complet!$A$3:$U$983,6,FALSE)</f>
        <v>Exact3NumericText</v>
      </c>
      <c r="G7" s="48">
        <f>VLOOKUP($A7,DICO_Complet!$A$3:$U$983,7,FALSE)</f>
        <v>0</v>
      </c>
      <c r="H7" s="48">
        <f>VLOOKUP($A7,DICO_Complet!$A$3:$U$983,8,FALSE)</f>
        <v>0</v>
      </c>
      <c r="I7" s="2" t="str">
        <f>IF(VLOOKUP($A7,DICO_Complet!$A$3:$U$983,9,FALSE)&lt;&gt;0,VLOOKUP($A7,DICO_Complet!$A$3:$U$983,9,FALSE),"")</f>
        <v/>
      </c>
      <c r="J7" s="1" t="str">
        <f>VLOOKUP($A7,DICO_Complet!$A$3:$U$983,10,FALSE)</f>
        <v>Status code http</v>
      </c>
      <c r="K7" s="53" t="str">
        <f>IF(VLOOKUP($A7,DICO_Complet!$A$3:$U$983,12,FALSE)=0,"",VLOOKUP($A7,DICO_Complet!$A$3:$U$983,12,FALSE))</f>
        <v/>
      </c>
      <c r="L7" s="53" t="str">
        <f>IF(VLOOKUP($A7,DICO_Complet!$A$3:$U$983,13,FALSE)=0,"",VLOOKUP($A7,DICO_Complet!$A$3:$U$983,13,FALSE))</f>
        <v/>
      </c>
      <c r="M7" s="53" t="str">
        <f>IF(VLOOKUP($A7,DICO_Complet!$A$3:$U$983,14,FALSE)=0,"",VLOOKUP($A7,DICO_Complet!$A$3:$U$983,14,FALSE))</f>
        <v/>
      </c>
      <c r="N7" s="53" t="str">
        <f>IF(VLOOKUP($A7,DICO_Complet!$A$3:$U$983,15,FALSE)=0,"",VLOOKUP($A7,DICO_Complet!$A$3:$U$983,15,FALSE))</f>
        <v/>
      </c>
      <c r="O7" s="53" t="str">
        <f>IF(VLOOKUP($A7,DICO_Complet!$A$3:$U$983,16,FALSE)=0,"",VLOOKUP($A7,DICO_Complet!$A$3:$U$983,16,FALSE))</f>
        <v/>
      </c>
      <c r="P7" s="53" t="str">
        <f>IF(VLOOKUP($A7,DICO_Complet!$A$3:$U$983,17,FALSE)=0,"",VLOOKUP($A7,DICO_Complet!$A$3:$U$983,17,FALSE))</f>
        <v/>
      </c>
      <c r="Q7" s="53" t="str">
        <f>IF(VLOOKUP($A7,DICO_Complet!$A$3:$U$983,18,FALSE)=0,"",VLOOKUP($A7,DICO_Complet!$A$3:$U$983,18,FALSE))</f>
        <v/>
      </c>
    </row>
    <row r="8" spans="1:18">
      <c r="A8" s="38">
        <v>250331114316</v>
      </c>
      <c r="B8" s="47" t="s">
        <v>858</v>
      </c>
      <c r="C8" s="3" t="str">
        <f>VLOOKUP($A8,DICO_Complet!$A$3:$U$983,3,FALSE)</f>
        <v>ApiResponse</v>
      </c>
      <c r="D8" s="3" t="str">
        <f>VLOOKUP($A8,DICO_Complet!$A$3:$U$983,4,FALSE)</f>
        <v>httpStatus</v>
      </c>
      <c r="E8" s="2" t="str">
        <f>VLOOKUP($A8,DICO_Complet!$A$3:$U$983,5,FALSE)</f>
        <v>requestId</v>
      </c>
      <c r="F8" s="2" t="str">
        <f>VLOOKUP($A8,DICO_Complet!$A$3:$U$983,6,FALSE)</f>
        <v>Max36NumericText</v>
      </c>
      <c r="G8" s="48">
        <f>VLOOKUP($A8,DICO_Complet!$A$3:$U$983,7,FALSE)</f>
        <v>0</v>
      </c>
      <c r="H8" s="48">
        <f>VLOOKUP($A8,DICO_Complet!$A$3:$U$983,8,FALSE)</f>
        <v>0</v>
      </c>
      <c r="I8" s="2" t="str">
        <f>IF(VLOOKUP($A8,DICO_Complet!$A$3:$U$983,9,FALSE)&lt;&gt;0,VLOOKUP($A8,DICO_Complet!$A$3:$U$983,9,FALSE),"")</f>
        <v/>
      </c>
      <c r="J8" s="1" t="str">
        <f>VLOOKUP($A8,DICO_Complet!$A$3:$U$983,10,FALSE)</f>
        <v>Unique ID of API response</v>
      </c>
      <c r="K8" s="53" t="str">
        <f>IF(VLOOKUP($A8,DICO_Complet!$A$3:$U$983,12,FALSE)=0,"",VLOOKUP($A8,DICO_Complet!$A$3:$U$983,12,FALSE))</f>
        <v/>
      </c>
      <c r="L8" s="53" t="str">
        <f>IF(VLOOKUP($A8,DICO_Complet!$A$3:$U$983,13,FALSE)=0,"",VLOOKUP($A8,DICO_Complet!$A$3:$U$983,13,FALSE))</f>
        <v/>
      </c>
      <c r="M8" s="53" t="str">
        <f>IF(VLOOKUP($A8,DICO_Complet!$A$3:$U$983,14,FALSE)=0,"",VLOOKUP($A8,DICO_Complet!$A$3:$U$983,14,FALSE))</f>
        <v/>
      </c>
      <c r="N8" s="53" t="str">
        <f>IF(VLOOKUP($A8,DICO_Complet!$A$3:$U$983,15,FALSE)=0,"",VLOOKUP($A8,DICO_Complet!$A$3:$U$983,15,FALSE))</f>
        <v/>
      </c>
      <c r="O8" s="53" t="str">
        <f>IF(VLOOKUP($A8,DICO_Complet!$A$3:$U$983,16,FALSE)=0,"",VLOOKUP($A8,DICO_Complet!$A$3:$U$983,16,FALSE))</f>
        <v/>
      </c>
      <c r="P8" s="53" t="str">
        <f>IF(VLOOKUP($A8,DICO_Complet!$A$3:$U$983,17,FALSE)=0,"",VLOOKUP($A8,DICO_Complet!$A$3:$U$983,17,FALSE))</f>
        <v/>
      </c>
      <c r="Q8" s="53" t="str">
        <f>IF(VLOOKUP($A8,DICO_Complet!$A$3:$U$983,18,FALSE)=0,"",VLOOKUP($A8,DICO_Complet!$A$3:$U$983,18,FALSE))</f>
        <v/>
      </c>
    </row>
    <row r="9" spans="1:18">
      <c r="A9" s="38">
        <v>250331114321</v>
      </c>
      <c r="B9" s="47" t="s">
        <v>858</v>
      </c>
      <c r="C9" s="3" t="str">
        <f>VLOOKUP($A9,DICO_Complet!$A$3:$U$983,3,FALSE)</f>
        <v>Context</v>
      </c>
      <c r="D9" s="3" t="str">
        <f>VLOOKUP($A9,DICO_Complet!$A$3:$U$983,4,FALSE)</f>
        <v>cardContext</v>
      </c>
      <c r="E9" s="2" t="str">
        <f>VLOOKUP($A9,DICO_Complet!$A$3:$U$983,5,FALSE)</f>
        <v>acquiringChannel</v>
      </c>
      <c r="F9" s="2" t="str">
        <f>VLOOKUP($A9,DICO_Complet!$A$3:$U$983,6,FALSE)</f>
        <v>AcquiringChannelCodeset</v>
      </c>
      <c r="G9" s="48">
        <f>VLOOKUP($A9,DICO_Complet!$A$3:$U$983,7,FALSE)</f>
        <v>0</v>
      </c>
      <c r="H9" s="48">
        <f>VLOOKUP($A9,DICO_Complet!$A$3:$U$983,8,FALSE)</f>
        <v>0</v>
      </c>
      <c r="I9" s="2" t="str">
        <f>IF(VLOOKUP($A9,DICO_Complet!$A$3:$U$983,9,FALSE)&lt;&gt;0,VLOOKUP($A9,DICO_Complet!$A$3:$U$983,9,FALSE),"")</f>
        <v/>
      </c>
      <c r="J9" s="1" t="str">
        <f>VLOOKUP($A9,DICO_Complet!$A$3:$U$983,10,FALSE)</f>
        <v>Indicates through which channel the action is triggered</v>
      </c>
      <c r="K9" s="53" t="str">
        <f>IF(VLOOKUP($A9,DICO_Complet!$A$3:$U$983,12,FALSE)=0,"",VLOOKUP($A9,DICO_Complet!$A$3:$U$983,12,FALSE))</f>
        <v/>
      </c>
      <c r="L9" s="53" t="str">
        <f>IF(VLOOKUP($A9,DICO_Complet!$A$3:$U$983,13,FALSE)=0,"",VLOOKUP($A9,DICO_Complet!$A$3:$U$983,13,FALSE))</f>
        <v/>
      </c>
      <c r="M9" s="53" t="str">
        <f>IF(VLOOKUP($A9,DICO_Complet!$A$3:$U$983,14,FALSE)=0,"",VLOOKUP($A9,DICO_Complet!$A$3:$U$983,14,FALSE))</f>
        <v/>
      </c>
      <c r="N9" s="53" t="str">
        <f>IF(VLOOKUP($A9,DICO_Complet!$A$3:$U$983,15,FALSE)=0,"",VLOOKUP($A9,DICO_Complet!$A$3:$U$983,15,FALSE))</f>
        <v/>
      </c>
      <c r="O9" s="53" t="str">
        <f>IF(VLOOKUP($A9,DICO_Complet!$A$3:$U$983,16,FALSE)=0,"",VLOOKUP($A9,DICO_Complet!$A$3:$U$983,16,FALSE))</f>
        <v/>
      </c>
      <c r="P9" s="53" t="str">
        <f>IF(VLOOKUP($A9,DICO_Complet!$A$3:$U$983,17,FALSE)=0,"",VLOOKUP($A9,DICO_Complet!$A$3:$U$983,17,FALSE))</f>
        <v/>
      </c>
      <c r="Q9" s="53" t="str">
        <f>IF(VLOOKUP($A9,DICO_Complet!$A$3:$U$983,18,FALSE)=0,"",VLOOKUP($A9,DICO_Complet!$A$3:$U$983,18,FALSE))</f>
        <v/>
      </c>
    </row>
    <row r="10" spans="1:18">
      <c r="A10" s="38">
        <v>241112000005</v>
      </c>
      <c r="B10" s="47" t="s">
        <v>858</v>
      </c>
      <c r="C10" s="3" t="str">
        <f>VLOOKUP($A10,DICO_Complet!$A$3:$U$983,3,FALSE)</f>
        <v>Context</v>
      </c>
      <c r="D10" s="3" t="str">
        <f>VLOOKUP($A10,DICO_Complet!$A$3:$U$983,4,FALSE)</f>
        <v>cardContext</v>
      </c>
      <c r="E10" s="2" t="str">
        <f>VLOOKUP($A10,DICO_Complet!$A$3:$U$983,5,FALSE)</f>
        <v>actionOnCard</v>
      </c>
      <c r="F10" s="2" t="str">
        <f>VLOOKUP($A10,DICO_Complet!$A$3:$U$983,6,FALSE)</f>
        <v>ActivationCardCodeset</v>
      </c>
      <c r="G10" s="48">
        <f>VLOOKUP($A10,DICO_Complet!$A$3:$U$983,7,FALSE)</f>
        <v>0</v>
      </c>
      <c r="H10" s="48">
        <f>VLOOKUP($A10,DICO_Complet!$A$3:$U$983,8,FALSE)</f>
        <v>0</v>
      </c>
      <c r="I10" s="2" t="str">
        <f>IF(VLOOKUP($A10,DICO_Complet!$A$3:$U$983,9,FALSE)&lt;&gt;0,VLOOKUP($A10,DICO_Complet!$A$3:$U$983,9,FALSE),"")</f>
        <v/>
      </c>
      <c r="J10" s="1" t="str">
        <f>VLOOKUP($A10,DICO_Complet!$A$3:$U$983,10,FALSE)</f>
        <v>Action on card during transaction (activated, desactivated)</v>
      </c>
      <c r="K10" s="53" t="str">
        <f>IF(VLOOKUP($A10,DICO_Complet!$A$3:$U$983,12,FALSE)=0,"",VLOOKUP($A10,DICO_Complet!$A$3:$U$983,12,FALSE))</f>
        <v>AUT358/
AUT359</v>
      </c>
      <c r="L10" s="53" t="str">
        <f>IF(VLOOKUP($A10,DICO_Complet!$A$3:$U$983,13,FALSE)=0,"",VLOOKUP($A10,DICO_Complet!$A$3:$U$983,13,FALSE))</f>
        <v/>
      </c>
      <c r="M10" s="53" t="str">
        <f>IF(VLOOKUP($A10,DICO_Complet!$A$3:$U$983,14,FALSE)=0,"",VLOOKUP($A10,DICO_Complet!$A$3:$U$983,14,FALSE))</f>
        <v/>
      </c>
      <c r="N10" s="53" t="str">
        <f>IF(VLOOKUP($A10,DICO_Complet!$A$3:$U$983,15,FALSE)=0,"",VLOOKUP($A10,DICO_Complet!$A$3:$U$983,15,FALSE))</f>
        <v/>
      </c>
      <c r="O10" s="53" t="str">
        <f>IF(VLOOKUP($A10,DICO_Complet!$A$3:$U$983,16,FALSE)=0,"",VLOOKUP($A10,DICO_Complet!$A$3:$U$983,16,FALSE))</f>
        <v/>
      </c>
      <c r="P10" s="53" t="str">
        <f>IF(VLOOKUP($A10,DICO_Complet!$A$3:$U$983,17,FALSE)=0,"",VLOOKUP($A10,DICO_Complet!$A$3:$U$983,17,FALSE))</f>
        <v/>
      </c>
      <c r="Q10" s="53" t="str">
        <f>IF(VLOOKUP($A10,DICO_Complet!$A$3:$U$983,18,FALSE)=0,"",VLOOKUP($A10,DICO_Complet!$A$3:$U$983,18,FALSE))</f>
        <v/>
      </c>
    </row>
    <row r="11" spans="1:18">
      <c r="A11" s="38">
        <v>250331162616</v>
      </c>
      <c r="B11" s="47" t="s">
        <v>858</v>
      </c>
      <c r="C11" s="3" t="str">
        <f>VLOOKUP($A11,DICO_Complet!$A$3:$U$983,3,FALSE)</f>
        <v>Context</v>
      </c>
      <c r="D11" s="3" t="str">
        <f>VLOOKUP($A11,DICO_Complet!$A$3:$U$983,4,FALSE)</f>
        <v>cardContext</v>
      </c>
      <c r="E11" s="2" t="str">
        <f>VLOOKUP($A11,DICO_Complet!$A$3:$U$983,5,FALSE)</f>
        <v>activationCodeForNoShowInvoice</v>
      </c>
      <c r="F11" s="2" t="str">
        <f>VLOOKUP($A11,DICO_Complet!$A$3:$U$983,6,FALSE)</f>
        <v>Exact1AlphaNumericText</v>
      </c>
      <c r="G11" s="48">
        <f>VLOOKUP($A11,DICO_Complet!$A$3:$U$983,7,FALSE)</f>
        <v>0</v>
      </c>
      <c r="H11" s="48">
        <f>VLOOKUP($A11,DICO_Complet!$A$3:$U$983,8,FALSE)</f>
        <v>0</v>
      </c>
      <c r="I11" s="2" t="str">
        <f>IF(VLOOKUP($A11,DICO_Complet!$A$3:$U$983,9,FALSE)&lt;&gt;0,VLOOKUP($A11,DICO_Complet!$A$3:$U$983,9,FALSE),"")</f>
        <v/>
      </c>
      <c r="J11" s="1" t="str">
        <f>VLOOKUP($A11,DICO_Complet!$A$3:$U$983,10,FALSE)</f>
        <v>Activation code for no-show invoice</v>
      </c>
      <c r="K11" s="53" t="str">
        <f>IF(VLOOKUP($A11,DICO_Complet!$A$3:$U$983,12,FALSE)=0,"",VLOOKUP($A11,DICO_Complet!$A$3:$U$983,12,FALSE))</f>
        <v/>
      </c>
      <c r="L11" s="53" t="str">
        <f>IF(VLOOKUP($A11,DICO_Complet!$A$3:$U$983,13,FALSE)=0,"",VLOOKUP($A11,DICO_Complet!$A$3:$U$983,13,FALSE))</f>
        <v/>
      </c>
      <c r="M11" s="53" t="str">
        <f>IF(VLOOKUP($A11,DICO_Complet!$A$3:$U$983,14,FALSE)=0,"",VLOOKUP($A11,DICO_Complet!$A$3:$U$983,14,FALSE))</f>
        <v>72_DF07 part 14</v>
      </c>
      <c r="N11" s="53" t="str">
        <f>IF(VLOOKUP($A11,DICO_Complet!$A$3:$U$983,15,FALSE)=0,"",VLOOKUP($A11,DICO_Complet!$A$3:$U$983,15,FALSE))</f>
        <v/>
      </c>
      <c r="O11" s="53" t="str">
        <f>IF(VLOOKUP($A11,DICO_Complet!$A$3:$U$983,16,FALSE)=0,"",VLOOKUP($A11,DICO_Complet!$A$3:$U$983,16,FALSE))</f>
        <v/>
      </c>
      <c r="P11" s="53" t="str">
        <f>IF(VLOOKUP($A11,DICO_Complet!$A$3:$U$983,17,FALSE)=0,"",VLOOKUP($A11,DICO_Complet!$A$3:$U$983,17,FALSE))</f>
        <v/>
      </c>
      <c r="Q11" s="53" t="str">
        <f>IF(VLOOKUP($A11,DICO_Complet!$A$3:$U$983,18,FALSE)=0,"",VLOOKUP($A11,DICO_Complet!$A$3:$U$983,18,FALSE))</f>
        <v/>
      </c>
    </row>
    <row r="12" spans="1:18">
      <c r="A12" s="38">
        <v>250331162615</v>
      </c>
      <c r="B12" s="47" t="s">
        <v>858</v>
      </c>
      <c r="C12" s="3" t="str">
        <f>VLOOKUP($A12,DICO_Complet!$A$3:$U$983,3,FALSE)</f>
        <v>Context</v>
      </c>
      <c r="D12" s="3" t="str">
        <f>VLOOKUP($A12,DICO_Complet!$A$3:$U$983,4,FALSE)</f>
        <v>cardContext</v>
      </c>
      <c r="E12" s="2" t="str">
        <f>VLOOKUP($A12,DICO_Complet!$A$3:$U$983,5,FALSE)</f>
        <v>activCodePLBSInvoiceRemoteModeOrPreAuthProlongTransaction</v>
      </c>
      <c r="F12" s="2" t="str">
        <f>VLOOKUP($A12,DICO_Complet!$A$3:$U$983,6,FALSE)</f>
        <v>Exact1AlphaNumericText</v>
      </c>
      <c r="G12" s="48">
        <f>VLOOKUP($A12,DICO_Complet!$A$3:$U$983,7,FALSE)</f>
        <v>0</v>
      </c>
      <c r="H12" s="48">
        <f>VLOOKUP($A12,DICO_Complet!$A$3:$U$983,8,FALSE)</f>
        <v>0</v>
      </c>
      <c r="I12" s="2" t="str">
        <f>IF(VLOOKUP($A12,DICO_Complet!$A$3:$U$983,9,FALSE)&lt;&gt;0,VLOOKUP($A12,DICO_Complet!$A$3:$U$983,9,FALSE),"")</f>
        <v/>
      </c>
      <c r="J12" s="1" t="str">
        <f>VLOOKUP($A12,DICO_Complet!$A$3:$U$983,10,FALSE)</f>
        <v>Activation code for invoice for the reservation and rental of goods or services in remote mode</v>
      </c>
      <c r="K12" s="53" t="str">
        <f>IF(VLOOKUP($A12,DICO_Complet!$A$3:$U$983,12,FALSE)=0,"",VLOOKUP($A12,DICO_Complet!$A$3:$U$983,12,FALSE))</f>
        <v/>
      </c>
      <c r="L12" s="53" t="str">
        <f>IF(VLOOKUP($A12,DICO_Complet!$A$3:$U$983,13,FALSE)=0,"",VLOOKUP($A12,DICO_Complet!$A$3:$U$983,13,FALSE))</f>
        <v/>
      </c>
      <c r="M12" s="53" t="str">
        <f>IF(VLOOKUP($A12,DICO_Complet!$A$3:$U$983,14,FALSE)=0,"",VLOOKUP($A12,DICO_Complet!$A$3:$U$983,14,FALSE))</f>
        <v/>
      </c>
      <c r="N12" s="53" t="str">
        <f>IF(VLOOKUP($A12,DICO_Complet!$A$3:$U$983,15,FALSE)=0,"",VLOOKUP($A12,DICO_Complet!$A$3:$U$983,15,FALSE))</f>
        <v/>
      </c>
      <c r="O12" s="53" t="str">
        <f>IF(VLOOKUP($A12,DICO_Complet!$A$3:$U$983,16,FALSE)=0,"",VLOOKUP($A12,DICO_Complet!$A$3:$U$983,16,FALSE))</f>
        <v/>
      </c>
      <c r="P12" s="53" t="str">
        <f>IF(VLOOKUP($A12,DICO_Complet!$A$3:$U$983,17,FALSE)=0,"",VLOOKUP($A12,DICO_Complet!$A$3:$U$983,17,FALSE))</f>
        <v/>
      </c>
      <c r="Q12" s="53" t="str">
        <f>IF(VLOOKUP($A12,DICO_Complet!$A$3:$U$983,18,FALSE)=0,"",VLOOKUP($A12,DICO_Complet!$A$3:$U$983,18,FALSE))</f>
        <v/>
      </c>
    </row>
    <row r="13" spans="1:18">
      <c r="A13" s="38">
        <v>250331162617</v>
      </c>
      <c r="B13" s="47" t="s">
        <v>858</v>
      </c>
      <c r="C13" s="3" t="str">
        <f>VLOOKUP($A13,DICO_Complet!$A$3:$U$983,3,FALSE)</f>
        <v>Context</v>
      </c>
      <c r="D13" s="3" t="str">
        <f>VLOOKUP($A13,DICO_Complet!$A$3:$U$983,4,FALSE)</f>
        <v>cardContext</v>
      </c>
      <c r="E13" s="2" t="str">
        <f>VLOOKUP($A13,DICO_Complet!$A$3:$U$983,5,FALSE)</f>
        <v>additionalInvoiceActivationCode</v>
      </c>
      <c r="F13" s="2" t="str">
        <f>VLOOKUP($A13,DICO_Complet!$A$3:$U$983,6,FALSE)</f>
        <v>Exact1AlphaNumericText</v>
      </c>
      <c r="G13" s="48">
        <f>VLOOKUP($A13,DICO_Complet!$A$3:$U$983,7,FALSE)</f>
        <v>0</v>
      </c>
      <c r="H13" s="48">
        <f>VLOOKUP($A13,DICO_Complet!$A$3:$U$983,8,FALSE)</f>
        <v>0</v>
      </c>
      <c r="I13" s="2" t="str">
        <f>IF(VLOOKUP($A13,DICO_Complet!$A$3:$U$983,9,FALSE)&lt;&gt;0,VLOOKUP($A13,DICO_Complet!$A$3:$U$983,9,FALSE),"")</f>
        <v/>
      </c>
      <c r="J13" s="1" t="str">
        <f>VLOOKUP($A13,DICO_Complet!$A$3:$U$983,10,FALSE)</f>
        <v>Additional invoice activation code</v>
      </c>
      <c r="K13" s="53" t="str">
        <f>IF(VLOOKUP($A13,DICO_Complet!$A$3:$U$983,12,FALSE)=0,"",VLOOKUP($A13,DICO_Complet!$A$3:$U$983,12,FALSE))</f>
        <v/>
      </c>
      <c r="L13" s="53" t="str">
        <f>IF(VLOOKUP($A13,DICO_Complet!$A$3:$U$983,13,FALSE)=0,"",VLOOKUP($A13,DICO_Complet!$A$3:$U$983,13,FALSE))</f>
        <v/>
      </c>
      <c r="M13" s="53" t="str">
        <f>IF(VLOOKUP($A13,DICO_Complet!$A$3:$U$983,14,FALSE)=0,"",VLOOKUP($A13,DICO_Complet!$A$3:$U$983,14,FALSE))</f>
        <v>72_DF07 part 13</v>
      </c>
      <c r="N13" s="53" t="str">
        <f>IF(VLOOKUP($A13,DICO_Complet!$A$3:$U$983,15,FALSE)=0,"",VLOOKUP($A13,DICO_Complet!$A$3:$U$983,15,FALSE))</f>
        <v/>
      </c>
      <c r="O13" s="53" t="str">
        <f>IF(VLOOKUP($A13,DICO_Complet!$A$3:$U$983,16,FALSE)=0,"",VLOOKUP($A13,DICO_Complet!$A$3:$U$983,16,FALSE))</f>
        <v/>
      </c>
      <c r="P13" s="53" t="str">
        <f>IF(VLOOKUP($A13,DICO_Complet!$A$3:$U$983,17,FALSE)=0,"",VLOOKUP($A13,DICO_Complet!$A$3:$U$983,17,FALSE))</f>
        <v/>
      </c>
      <c r="Q13" s="53" t="str">
        <f>IF(VLOOKUP($A13,DICO_Complet!$A$3:$U$983,18,FALSE)=0,"",VLOOKUP($A13,DICO_Complet!$A$3:$U$983,18,FALSE))</f>
        <v/>
      </c>
    </row>
    <row r="14" spans="1:18">
      <c r="A14" s="38">
        <v>250410114322</v>
      </c>
      <c r="B14" s="47" t="s">
        <v>858</v>
      </c>
      <c r="C14" s="3" t="str">
        <f>VLOOKUP($A14,DICO_Complet!$A$3:$U$983,3,FALSE)</f>
        <v>Context</v>
      </c>
      <c r="D14" s="3" t="str">
        <f>VLOOKUP($A14,DICO_Complet!$A$3:$U$983,4,FALSE)</f>
        <v>cardContext</v>
      </c>
      <c r="E14" s="2" t="str">
        <f>VLOOKUP($A14,DICO_Complet!$A$3:$U$983,5,FALSE)</f>
        <v>blockingReasonCode</v>
      </c>
      <c r="F14" s="2" t="str">
        <f>VLOOKUP($A14,DICO_Complet!$A$3:$U$983,6,FALSE)</f>
        <v>BlockingReasonCodeset</v>
      </c>
      <c r="G14" s="48">
        <f>VLOOKUP($A14,DICO_Complet!$A$3:$U$983,7,FALSE)</f>
        <v>0</v>
      </c>
      <c r="H14" s="48">
        <f>VLOOKUP($A14,DICO_Complet!$A$3:$U$983,8,FALSE)</f>
        <v>0</v>
      </c>
      <c r="I14" s="2" t="str">
        <f>IF(VLOOKUP($A14,DICO_Complet!$A$3:$U$983,9,FALSE)&lt;&gt;0,VLOOKUP($A14,DICO_Complet!$A$3:$U$983,9,FALSE),"")</f>
        <v/>
      </c>
      <c r="J14" s="1" t="str">
        <f>VLOOKUP($A14,DICO_Complet!$A$3:$U$983,10,FALSE)</f>
        <v>BlockingReasonCodeset</v>
      </c>
      <c r="K14" s="53" t="str">
        <f>IF(VLOOKUP($A14,DICO_Complet!$A$3:$U$983,12,FALSE)=0,"",VLOOKUP($A14,DICO_Complet!$A$3:$U$983,12,FALSE))</f>
        <v/>
      </c>
      <c r="L14" s="53" t="str">
        <f>IF(VLOOKUP($A14,DICO_Complet!$A$3:$U$983,13,FALSE)=0,"",VLOOKUP($A14,DICO_Complet!$A$3:$U$983,13,FALSE))</f>
        <v/>
      </c>
      <c r="M14" s="53" t="str">
        <f>IF(VLOOKUP($A14,DICO_Complet!$A$3:$U$983,14,FALSE)=0,"",VLOOKUP($A14,DICO_Complet!$A$3:$U$983,14,FALSE))</f>
        <v/>
      </c>
      <c r="N14" s="53" t="str">
        <f>IF(VLOOKUP($A14,DICO_Complet!$A$3:$U$983,15,FALSE)=0,"",VLOOKUP($A14,DICO_Complet!$A$3:$U$983,15,FALSE))</f>
        <v/>
      </c>
      <c r="O14" s="53" t="str">
        <f>IF(VLOOKUP($A14,DICO_Complet!$A$3:$U$983,16,FALSE)=0,"",VLOOKUP($A14,DICO_Complet!$A$3:$U$983,16,FALSE))</f>
        <v/>
      </c>
      <c r="P14" s="53" t="str">
        <f>IF(VLOOKUP($A14,DICO_Complet!$A$3:$U$983,17,FALSE)=0,"",VLOOKUP($A14,DICO_Complet!$A$3:$U$983,17,FALSE))</f>
        <v/>
      </c>
      <c r="Q14" s="53" t="str">
        <f>IF(VLOOKUP($A14,DICO_Complet!$A$3:$U$983,18,FALSE)=0,"",VLOOKUP($A14,DICO_Complet!$A$3:$U$983,18,FALSE))</f>
        <v/>
      </c>
    </row>
    <row r="15" spans="1:18">
      <c r="A15" s="38">
        <v>250410114323</v>
      </c>
      <c r="B15" s="47" t="s">
        <v>858</v>
      </c>
      <c r="C15" s="3" t="str">
        <f>VLOOKUP($A15,DICO_Complet!$A$3:$U$983,3,FALSE)</f>
        <v>Context</v>
      </c>
      <c r="D15" s="3" t="str">
        <f>VLOOKUP($A15,DICO_Complet!$A$3:$U$983,4,FALSE)</f>
        <v>cardContext</v>
      </c>
      <c r="E15" s="2" t="str">
        <f>VLOOKUP($A15,DICO_Complet!$A$3:$U$983,5,FALSE)</f>
        <v>blockingRegulatoryReasonCode</v>
      </c>
      <c r="F15" s="2" t="str">
        <f>VLOOKUP($A15,DICO_Complet!$A$3:$U$983,6,FALSE)</f>
        <v>BlockingRegulatoryReasonCodeset</v>
      </c>
      <c r="G15" s="48">
        <f>VLOOKUP($A15,DICO_Complet!$A$3:$U$983,7,FALSE)</f>
        <v>0</v>
      </c>
      <c r="H15" s="48">
        <f>VLOOKUP($A15,DICO_Complet!$A$3:$U$983,8,FALSE)</f>
        <v>0</v>
      </c>
      <c r="I15" s="2" t="str">
        <f>IF(VLOOKUP($A15,DICO_Complet!$A$3:$U$983,9,FALSE)&lt;&gt;0,VLOOKUP($A15,DICO_Complet!$A$3:$U$983,9,FALSE),"")</f>
        <v/>
      </c>
      <c r="J15" s="1" t="str">
        <f>VLOOKUP($A15,DICO_Complet!$A$3:$U$983,10,FALSE)</f>
        <v>BlockingRegulatoryReasonCodeset</v>
      </c>
      <c r="K15" s="53" t="str">
        <f>IF(VLOOKUP($A15,DICO_Complet!$A$3:$U$983,12,FALSE)=0,"",VLOOKUP($A15,DICO_Complet!$A$3:$U$983,12,FALSE))</f>
        <v/>
      </c>
      <c r="L15" s="53" t="str">
        <f>IF(VLOOKUP($A15,DICO_Complet!$A$3:$U$983,13,FALSE)=0,"",VLOOKUP($A15,DICO_Complet!$A$3:$U$983,13,FALSE))</f>
        <v/>
      </c>
      <c r="M15" s="53" t="str">
        <f>IF(VLOOKUP($A15,DICO_Complet!$A$3:$U$983,14,FALSE)=0,"",VLOOKUP($A15,DICO_Complet!$A$3:$U$983,14,FALSE))</f>
        <v/>
      </c>
      <c r="N15" s="53" t="str">
        <f>IF(VLOOKUP($A15,DICO_Complet!$A$3:$U$983,15,FALSE)=0,"",VLOOKUP($A15,DICO_Complet!$A$3:$U$983,15,FALSE))</f>
        <v/>
      </c>
      <c r="O15" s="53" t="str">
        <f>IF(VLOOKUP($A15,DICO_Complet!$A$3:$U$983,16,FALSE)=0,"",VLOOKUP($A15,DICO_Complet!$A$3:$U$983,16,FALSE))</f>
        <v/>
      </c>
      <c r="P15" s="53" t="str">
        <f>IF(VLOOKUP($A15,DICO_Complet!$A$3:$U$983,17,FALSE)=0,"",VLOOKUP($A15,DICO_Complet!$A$3:$U$983,17,FALSE))</f>
        <v/>
      </c>
      <c r="Q15" s="53" t="str">
        <f>IF(VLOOKUP($A15,DICO_Complet!$A$3:$U$983,18,FALSE)=0,"",VLOOKUP($A15,DICO_Complet!$A$3:$U$983,18,FALSE))</f>
        <v/>
      </c>
    </row>
    <row r="16" spans="1:18">
      <c r="A16" s="38">
        <v>250331114322</v>
      </c>
      <c r="B16" s="47" t="s">
        <v>858</v>
      </c>
      <c r="C16" s="3" t="str">
        <f>VLOOKUP($A16,DICO_Complet!$A$3:$U$983,3,FALSE)</f>
        <v>Context</v>
      </c>
      <c r="D16" s="3" t="str">
        <f>VLOOKUP($A16,DICO_Complet!$A$3:$U$983,4,FALSE)</f>
        <v>cardContext</v>
      </c>
      <c r="E16" s="2" t="str">
        <f>VLOOKUP($A16,DICO_Complet!$A$3:$U$983,5,FALSE)</f>
        <v>contactlessActionCode</v>
      </c>
      <c r="F16" s="2" t="str">
        <f>VLOOKUP($A16,DICO_Complet!$A$3:$U$983,6,FALSE)</f>
        <v>TrueFalseIndicator</v>
      </c>
      <c r="G16" s="48">
        <f>VLOOKUP($A16,DICO_Complet!$A$3:$U$983,7,FALSE)</f>
        <v>0</v>
      </c>
      <c r="H16" s="48">
        <f>VLOOKUP($A16,DICO_Complet!$A$3:$U$983,8,FALSE)</f>
        <v>0</v>
      </c>
      <c r="I16" s="2" t="str">
        <f>IF(VLOOKUP($A16,DICO_Complet!$A$3:$U$983,9,FALSE)&lt;&gt;0,VLOOKUP($A16,DICO_Complet!$A$3:$U$983,9,FALSE),"")</f>
        <v/>
      </c>
      <c r="J16" s="1" t="str">
        <f>VLOOKUP($A16,DICO_Complet!$A$3:$U$983,10,FALSE)</f>
        <v>Indicates if the contaclless feature is to be activated</v>
      </c>
      <c r="K16" s="53" t="str">
        <f>IF(VLOOKUP($A16,DICO_Complet!$A$3:$U$983,12,FALSE)=0,"",VLOOKUP($A16,DICO_Complet!$A$3:$U$983,12,FALSE))</f>
        <v/>
      </c>
      <c r="L16" s="53" t="str">
        <f>IF(VLOOKUP($A16,DICO_Complet!$A$3:$U$983,13,FALSE)=0,"",VLOOKUP($A16,DICO_Complet!$A$3:$U$983,13,FALSE))</f>
        <v/>
      </c>
      <c r="M16" s="53" t="str">
        <f>IF(VLOOKUP($A16,DICO_Complet!$A$3:$U$983,14,FALSE)=0,"",VLOOKUP($A16,DICO_Complet!$A$3:$U$983,14,FALSE))</f>
        <v/>
      </c>
      <c r="N16" s="53" t="str">
        <f>IF(VLOOKUP($A16,DICO_Complet!$A$3:$U$983,15,FALSE)=0,"",VLOOKUP($A16,DICO_Complet!$A$3:$U$983,15,FALSE))</f>
        <v/>
      </c>
      <c r="O16" s="53" t="str">
        <f>IF(VLOOKUP($A16,DICO_Complet!$A$3:$U$983,16,FALSE)=0,"",VLOOKUP($A16,DICO_Complet!$A$3:$U$983,16,FALSE))</f>
        <v/>
      </c>
      <c r="P16" s="53" t="str">
        <f>IF(VLOOKUP($A16,DICO_Complet!$A$3:$U$983,17,FALSE)=0,"",VLOOKUP($A16,DICO_Complet!$A$3:$U$983,17,FALSE))</f>
        <v/>
      </c>
      <c r="Q16" s="53" t="str">
        <f>IF(VLOOKUP($A16,DICO_Complet!$A$3:$U$983,18,FALSE)=0,"",VLOOKUP($A16,DICO_Complet!$A$3:$U$983,18,FALSE))</f>
        <v/>
      </c>
    </row>
    <row r="17" spans="1:17" ht="15" customHeight="1">
      <c r="A17" s="38">
        <v>250410114320</v>
      </c>
      <c r="B17" s="47" t="s">
        <v>858</v>
      </c>
      <c r="C17" s="3" t="str">
        <f>VLOOKUP($A17,DICO_Complet!$A$3:$U$983,3,FALSE)</f>
        <v>Context</v>
      </c>
      <c r="D17" s="3" t="str">
        <f>VLOOKUP($A17,DICO_Complet!$A$3:$U$983,4,FALSE)</f>
        <v>cardContext</v>
      </c>
      <c r="E17" s="2" t="str">
        <f>VLOOKUP($A17,DICO_Complet!$A$3:$U$983,5,FALSE)</f>
        <v>contactlessActivationChoiceCode</v>
      </c>
      <c r="F17" s="2" t="str">
        <f>VLOOKUP($A17,DICO_Complet!$A$3:$U$983,6,FALSE)</f>
        <v>ContactlessActivationChoiceCodeset</v>
      </c>
      <c r="G17" s="48">
        <f>VLOOKUP($A17,DICO_Complet!$A$3:$U$983,7,FALSE)</f>
        <v>0</v>
      </c>
      <c r="H17" s="48">
        <f>VLOOKUP($A17,DICO_Complet!$A$3:$U$983,8,FALSE)</f>
        <v>0</v>
      </c>
      <c r="I17" s="2" t="str">
        <f>IF(VLOOKUP($A17,DICO_Complet!$A$3:$U$983,9,FALSE)&lt;&gt;0,VLOOKUP($A17,DICO_Complet!$A$3:$U$983,9,FALSE),"")</f>
        <v/>
      </c>
      <c r="J17" s="1" t="str">
        <f>VLOOKUP($A17,DICO_Complet!$A$3:$U$983,10,FALSE)</f>
        <v>Choix activation du sans contact</v>
      </c>
      <c r="K17" s="53" t="str">
        <f>IF(VLOOKUP($A17,DICO_Complet!$A$3:$U$983,12,FALSE)=0,"",VLOOKUP($A17,DICO_Complet!$A$3:$U$983,12,FALSE))</f>
        <v/>
      </c>
      <c r="L17" s="53" t="str">
        <f>IF(VLOOKUP($A17,DICO_Complet!$A$3:$U$983,13,FALSE)=0,"",VLOOKUP($A17,DICO_Complet!$A$3:$U$983,13,FALSE))</f>
        <v/>
      </c>
      <c r="M17" s="53" t="str">
        <f>IF(VLOOKUP($A17,DICO_Complet!$A$3:$U$983,14,FALSE)=0,"",VLOOKUP($A17,DICO_Complet!$A$3:$U$983,14,FALSE))</f>
        <v/>
      </c>
      <c r="N17" s="53" t="str">
        <f>IF(VLOOKUP($A17,DICO_Complet!$A$3:$U$983,15,FALSE)=0,"",VLOOKUP($A17,DICO_Complet!$A$3:$U$983,15,FALSE))</f>
        <v/>
      </c>
      <c r="O17" s="53" t="str">
        <f>IF(VLOOKUP($A17,DICO_Complet!$A$3:$U$983,16,FALSE)=0,"",VLOOKUP($A17,DICO_Complet!$A$3:$U$983,16,FALSE))</f>
        <v/>
      </c>
      <c r="P17" s="53" t="str">
        <f>IF(VLOOKUP($A17,DICO_Complet!$A$3:$U$983,17,FALSE)=0,"",VLOOKUP($A17,DICO_Complet!$A$3:$U$983,17,FALSE))</f>
        <v/>
      </c>
      <c r="Q17" s="53" t="str">
        <f>IF(VLOOKUP($A17,DICO_Complet!$A$3:$U$983,18,FALSE)=0,"",VLOOKUP($A17,DICO_Complet!$A$3:$U$983,18,FALSE))</f>
        <v/>
      </c>
    </row>
    <row r="18" spans="1:17">
      <c r="A18" s="38">
        <v>250331162613</v>
      </c>
      <c r="B18" s="47" t="s">
        <v>858</v>
      </c>
      <c r="C18" s="3" t="str">
        <f>VLOOKUP($A18,DICO_Complet!$A$3:$U$983,3,FALSE)</f>
        <v>Context</v>
      </c>
      <c r="D18" s="3" t="str">
        <f>VLOOKUP($A18,DICO_Complet!$A$3:$U$983,4,FALSE)</f>
        <v>cardContext</v>
      </c>
      <c r="E18" s="2" t="str">
        <f>VLOOKUP($A18,DICO_Complet!$A$3:$U$983,5,FALSE)</f>
        <v>forcingAuthorised</v>
      </c>
      <c r="F18" s="2" t="str">
        <f>VLOOKUP($A18,DICO_Complet!$A$3:$U$983,6,FALSE)</f>
        <v>Exact1AlphaNumericText</v>
      </c>
      <c r="G18" s="48">
        <f>VLOOKUP($A18,DICO_Complet!$A$3:$U$983,7,FALSE)</f>
        <v>0</v>
      </c>
      <c r="H18" s="48">
        <f>VLOOKUP($A18,DICO_Complet!$A$3:$U$983,8,FALSE)</f>
        <v>0</v>
      </c>
      <c r="I18" s="2" t="str">
        <f>IF(VLOOKUP($A18,DICO_Complet!$A$3:$U$983,9,FALSE)&lt;&gt;0,VLOOKUP($A18,DICO_Complet!$A$3:$U$983,9,FALSE),"")</f>
        <v/>
      </c>
      <c r="J18" s="1" t="str">
        <f>VLOOKUP($A18,DICO_Complet!$A$3:$U$983,10,FALSE)</f>
        <v>Forcing Authorised</v>
      </c>
      <c r="K18" s="53" t="str">
        <f>IF(VLOOKUP($A18,DICO_Complet!$A$3:$U$983,12,FALSE)=0,"",VLOOKUP($A18,DICO_Complet!$A$3:$U$983,12,FALSE))</f>
        <v/>
      </c>
      <c r="L18" s="53" t="str">
        <f>IF(VLOOKUP($A18,DICO_Complet!$A$3:$U$983,13,FALSE)=0,"",VLOOKUP($A18,DICO_Complet!$A$3:$U$983,13,FALSE))</f>
        <v/>
      </c>
      <c r="M18" s="53" t="str">
        <f>IF(VLOOKUP($A18,DICO_Complet!$A$3:$U$983,14,FALSE)=0,"",VLOOKUP($A18,DICO_Complet!$A$3:$U$983,14,FALSE))</f>
        <v/>
      </c>
      <c r="N18" s="53" t="str">
        <f>IF(VLOOKUP($A18,DICO_Complet!$A$3:$U$983,15,FALSE)=0,"",VLOOKUP($A18,DICO_Complet!$A$3:$U$983,15,FALSE))</f>
        <v/>
      </c>
      <c r="O18" s="53" t="str">
        <f>IF(VLOOKUP($A18,DICO_Complet!$A$3:$U$983,16,FALSE)=0,"",VLOOKUP($A18,DICO_Complet!$A$3:$U$983,16,FALSE))</f>
        <v/>
      </c>
      <c r="P18" s="53" t="str">
        <f>IF(VLOOKUP($A18,DICO_Complet!$A$3:$U$983,17,FALSE)=0,"",VLOOKUP($A18,DICO_Complet!$A$3:$U$983,17,FALSE))</f>
        <v/>
      </c>
      <c r="Q18" s="53" t="str">
        <f>IF(VLOOKUP($A18,DICO_Complet!$A$3:$U$983,18,FALSE)=0,"",VLOOKUP($A18,DICO_Complet!$A$3:$U$983,18,FALSE))</f>
        <v/>
      </c>
    </row>
    <row r="19" spans="1:17">
      <c r="A19" s="38">
        <v>250331114323</v>
      </c>
      <c r="B19" s="47" t="s">
        <v>858</v>
      </c>
      <c r="C19" s="3" t="str">
        <f>VLOOKUP($A19,DICO_Complet!$A$3:$U$983,3,FALSE)</f>
        <v>Context</v>
      </c>
      <c r="D19" s="3" t="str">
        <f>VLOOKUP($A19,DICO_Complet!$A$3:$U$983,4,FALSE)</f>
        <v>cardContext</v>
      </c>
      <c r="E19" s="2" t="str">
        <f>VLOOKUP($A19,DICO_Complet!$A$3:$U$983,5,FALSE)</f>
        <v>lockingActionCode</v>
      </c>
      <c r="F19" s="2" t="str">
        <f>VLOOKUP($A19,DICO_Complet!$A$3:$U$983,6,FALSE)</f>
        <v>TrueFalseIndicator</v>
      </c>
      <c r="G19" s="48">
        <f>VLOOKUP($A19,DICO_Complet!$A$3:$U$983,7,FALSE)</f>
        <v>0</v>
      </c>
      <c r="H19" s="48">
        <f>VLOOKUP($A19,DICO_Complet!$A$3:$U$983,8,FALSE)</f>
        <v>0</v>
      </c>
      <c r="I19" s="2" t="str">
        <f>IF(VLOOKUP($A19,DICO_Complet!$A$3:$U$983,9,FALSE)&lt;&gt;0,VLOOKUP($A19,DICO_Complet!$A$3:$U$983,9,FALSE),"")</f>
        <v/>
      </c>
      <c r="J19" s="1" t="str">
        <f>VLOOKUP($A19,DICO_Complet!$A$3:$U$983,10,FALSE)</f>
        <v>indicates if the contract is blocked or not</v>
      </c>
      <c r="K19" s="53" t="str">
        <f>IF(VLOOKUP($A19,DICO_Complet!$A$3:$U$983,12,FALSE)=0,"",VLOOKUP($A19,DICO_Complet!$A$3:$U$983,12,FALSE))</f>
        <v/>
      </c>
      <c r="L19" s="53" t="str">
        <f>IF(VLOOKUP($A19,DICO_Complet!$A$3:$U$983,13,FALSE)=0,"",VLOOKUP($A19,DICO_Complet!$A$3:$U$983,13,FALSE))</f>
        <v/>
      </c>
      <c r="M19" s="53" t="str">
        <f>IF(VLOOKUP($A19,DICO_Complet!$A$3:$U$983,14,FALSE)=0,"",VLOOKUP($A19,DICO_Complet!$A$3:$U$983,14,FALSE))</f>
        <v/>
      </c>
      <c r="N19" s="53" t="str">
        <f>IF(VLOOKUP($A19,DICO_Complet!$A$3:$U$983,15,FALSE)=0,"",VLOOKUP($A19,DICO_Complet!$A$3:$U$983,15,FALSE))</f>
        <v/>
      </c>
      <c r="O19" s="53" t="str">
        <f>IF(VLOOKUP($A19,DICO_Complet!$A$3:$U$983,16,FALSE)=0,"",VLOOKUP($A19,DICO_Complet!$A$3:$U$983,16,FALSE))</f>
        <v/>
      </c>
      <c r="P19" s="53" t="str">
        <f>IF(VLOOKUP($A19,DICO_Complet!$A$3:$U$983,17,FALSE)=0,"",VLOOKUP($A19,DICO_Complet!$A$3:$U$983,17,FALSE))</f>
        <v/>
      </c>
      <c r="Q19" s="53" t="str">
        <f>IF(VLOOKUP($A19,DICO_Complet!$A$3:$U$983,18,FALSE)=0,"",VLOOKUP($A19,DICO_Complet!$A$3:$U$983,18,FALSE))</f>
        <v/>
      </c>
    </row>
    <row r="20" spans="1:17">
      <c r="A20" s="38">
        <v>250410114321</v>
      </c>
      <c r="B20" s="47" t="s">
        <v>858</v>
      </c>
      <c r="C20" s="3" t="str">
        <f>VLOOKUP($A20,DICO_Complet!$A$3:$U$983,3,FALSE)</f>
        <v>Context</v>
      </c>
      <c r="D20" s="3" t="str">
        <f>VLOOKUP($A20,DICO_Complet!$A$3:$U$983,4,FALSE)</f>
        <v>cardContext</v>
      </c>
      <c r="E20" s="2" t="str">
        <f>VLOOKUP($A20,DICO_Complet!$A$3:$U$983,5,FALSE)</f>
        <v>lockingReasonCode</v>
      </c>
      <c r="F20" s="2" t="str">
        <f>VLOOKUP($A20,DICO_Complet!$A$3:$U$983,6,FALSE)</f>
        <v>LockingReasonCodeset</v>
      </c>
      <c r="G20" s="48">
        <f>VLOOKUP($A20,DICO_Complet!$A$3:$U$983,7,FALSE)</f>
        <v>0</v>
      </c>
      <c r="H20" s="48">
        <f>VLOOKUP($A20,DICO_Complet!$A$3:$U$983,8,FALSE)</f>
        <v>0</v>
      </c>
      <c r="I20" s="2" t="str">
        <f>IF(VLOOKUP($A20,DICO_Complet!$A$3:$U$983,9,FALSE)&lt;&gt;0,VLOOKUP($A20,DICO_Complet!$A$3:$U$983,9,FALSE),"")</f>
        <v/>
      </c>
      <c r="J20" s="1" t="str">
        <f>VLOOKUP($A20,DICO_Complet!$A$3:$U$983,10,FALSE)</f>
        <v>LockingReasonCodeset</v>
      </c>
      <c r="K20" s="53" t="str">
        <f>IF(VLOOKUP($A20,DICO_Complet!$A$3:$U$983,12,FALSE)=0,"",VLOOKUP($A20,DICO_Complet!$A$3:$U$983,12,FALSE))</f>
        <v/>
      </c>
      <c r="L20" s="53" t="str">
        <f>IF(VLOOKUP($A20,DICO_Complet!$A$3:$U$983,13,FALSE)=0,"",VLOOKUP($A20,DICO_Complet!$A$3:$U$983,13,FALSE))</f>
        <v/>
      </c>
      <c r="M20" s="53" t="str">
        <f>IF(VLOOKUP($A20,DICO_Complet!$A$3:$U$983,14,FALSE)=0,"",VLOOKUP($A20,DICO_Complet!$A$3:$U$983,14,FALSE))</f>
        <v/>
      </c>
      <c r="N20" s="53" t="str">
        <f>IF(VLOOKUP($A20,DICO_Complet!$A$3:$U$983,15,FALSE)=0,"",VLOOKUP($A20,DICO_Complet!$A$3:$U$983,15,FALSE))</f>
        <v/>
      </c>
      <c r="O20" s="53" t="str">
        <f>IF(VLOOKUP($A20,DICO_Complet!$A$3:$U$983,16,FALSE)=0,"",VLOOKUP($A20,DICO_Complet!$A$3:$U$983,16,FALSE))</f>
        <v/>
      </c>
      <c r="P20" s="53" t="str">
        <f>IF(VLOOKUP($A20,DICO_Complet!$A$3:$U$983,17,FALSE)=0,"",VLOOKUP($A20,DICO_Complet!$A$3:$U$983,17,FALSE))</f>
        <v/>
      </c>
      <c r="Q20" s="53" t="str">
        <f>IF(VLOOKUP($A20,DICO_Complet!$A$3:$U$983,18,FALSE)=0,"",VLOOKUP($A20,DICO_Complet!$A$3:$U$983,18,FALSE))</f>
        <v/>
      </c>
    </row>
    <row r="21" spans="1:17" ht="14.65" customHeight="1">
      <c r="A21" s="38">
        <v>250331162610</v>
      </c>
      <c r="B21" s="47" t="s">
        <v>858</v>
      </c>
      <c r="C21" s="3" t="str">
        <f>VLOOKUP($A21,DICO_Complet!$A$3:$U$983,3,FALSE)</f>
        <v>Context</v>
      </c>
      <c r="D21" s="3" t="str">
        <f>VLOOKUP($A21,DICO_Complet!$A$3:$U$983,4,FALSE)</f>
        <v>cardContext</v>
      </c>
      <c r="E21" s="2" t="str">
        <f>VLOOKUP($A21,DICO_Complet!$A$3:$U$983,5,FALSE)</f>
        <v>maximumLengthOfPAN</v>
      </c>
      <c r="F21" s="2" t="str">
        <f>VLOOKUP($A21,DICO_Complet!$A$3:$U$983,6,FALSE)</f>
        <v>Max2AlphaNumericText</v>
      </c>
      <c r="G21" s="48">
        <f>VLOOKUP($A21,DICO_Complet!$A$3:$U$983,7,FALSE)</f>
        <v>0</v>
      </c>
      <c r="H21" s="48">
        <f>VLOOKUP($A21,DICO_Complet!$A$3:$U$983,8,FALSE)</f>
        <v>0</v>
      </c>
      <c r="I21" s="2" t="str">
        <f>IF(VLOOKUP($A21,DICO_Complet!$A$3:$U$983,9,FALSE)&lt;&gt;0,VLOOKUP($A21,DICO_Complet!$A$3:$U$983,9,FALSE),"")</f>
        <v/>
      </c>
      <c r="J21" s="1" t="str">
        <f>VLOOKUP($A21,DICO_Complet!$A$3:$U$983,10,FALSE)</f>
        <v>Maximum length of cardholder PAN</v>
      </c>
      <c r="K21" s="53" t="str">
        <f>IF(VLOOKUP($A21,DICO_Complet!$A$3:$U$983,12,FALSE)=0,"",VLOOKUP($A21,DICO_Complet!$A$3:$U$983,12,FALSE))</f>
        <v/>
      </c>
      <c r="L21" s="53" t="str">
        <f>IF(VLOOKUP($A21,DICO_Complet!$A$3:$U$983,13,FALSE)=0,"",VLOOKUP($A21,DICO_Complet!$A$3:$U$983,13,FALSE))</f>
        <v/>
      </c>
      <c r="M21" s="53" t="str">
        <f>IF(VLOOKUP($A21,DICO_Complet!$A$3:$U$983,14,FALSE)=0,"",VLOOKUP($A21,DICO_Complet!$A$3:$U$983,14,FALSE))</f>
        <v>72_DF07 part 3</v>
      </c>
      <c r="N21" s="53" t="str">
        <f>IF(VLOOKUP($A21,DICO_Complet!$A$3:$U$983,15,FALSE)=0,"",VLOOKUP($A21,DICO_Complet!$A$3:$U$983,15,FALSE))</f>
        <v/>
      </c>
      <c r="O21" s="53" t="str">
        <f>IF(VLOOKUP($A21,DICO_Complet!$A$3:$U$983,16,FALSE)=0,"",VLOOKUP($A21,DICO_Complet!$A$3:$U$983,16,FALSE))</f>
        <v/>
      </c>
      <c r="P21" s="53" t="str">
        <f>IF(VLOOKUP($A21,DICO_Complet!$A$3:$U$983,17,FALSE)=0,"",VLOOKUP($A21,DICO_Complet!$A$3:$U$983,17,FALSE))</f>
        <v/>
      </c>
      <c r="Q21" s="53" t="str">
        <f>IF(VLOOKUP($A21,DICO_Complet!$A$3:$U$983,18,FALSE)=0,"",VLOOKUP($A21,DICO_Complet!$A$3:$U$983,18,FALSE))</f>
        <v/>
      </c>
    </row>
    <row r="22" spans="1:17" ht="14.65" customHeight="1">
      <c r="A22" s="38">
        <v>250331162609</v>
      </c>
      <c r="B22" s="47" t="s">
        <v>858</v>
      </c>
      <c r="C22" s="3" t="str">
        <f>VLOOKUP($A22,DICO_Complet!$A$3:$U$983,3,FALSE)</f>
        <v>Context</v>
      </c>
      <c r="D22" s="3" t="str">
        <f>VLOOKUP($A22,DICO_Complet!$A$3:$U$983,4,FALSE)</f>
        <v>cardContext</v>
      </c>
      <c r="E22" s="2" t="str">
        <f>VLOOKUP($A22,DICO_Complet!$A$3:$U$983,5,FALSE)</f>
        <v>minimumLengthOfPAN</v>
      </c>
      <c r="F22" s="2" t="str">
        <f>VLOOKUP($A22,DICO_Complet!$A$3:$U$983,6,FALSE)</f>
        <v>Max2AlphaNumericText</v>
      </c>
      <c r="G22" s="48">
        <f>VLOOKUP($A22,DICO_Complet!$A$3:$U$983,7,FALSE)</f>
        <v>0</v>
      </c>
      <c r="H22" s="48">
        <f>VLOOKUP($A22,DICO_Complet!$A$3:$U$983,8,FALSE)</f>
        <v>0</v>
      </c>
      <c r="I22" s="2" t="str">
        <f>IF(VLOOKUP($A22,DICO_Complet!$A$3:$U$983,9,FALSE)&lt;&gt;0,VLOOKUP($A22,DICO_Complet!$A$3:$U$983,9,FALSE),"")</f>
        <v/>
      </c>
      <c r="J22" s="1" t="str">
        <f>VLOOKUP($A22,DICO_Complet!$A$3:$U$983,10,FALSE)</f>
        <v>Minimum length of cardholder PAN</v>
      </c>
      <c r="K22" s="53" t="str">
        <f>IF(VLOOKUP($A22,DICO_Complet!$A$3:$U$983,12,FALSE)=0,"",VLOOKUP($A22,DICO_Complet!$A$3:$U$983,12,FALSE))</f>
        <v/>
      </c>
      <c r="L22" s="53" t="str">
        <f>IF(VLOOKUP($A22,DICO_Complet!$A$3:$U$983,13,FALSE)=0,"",VLOOKUP($A22,DICO_Complet!$A$3:$U$983,13,FALSE))</f>
        <v/>
      </c>
      <c r="M22" s="53" t="str">
        <f>IF(VLOOKUP($A22,DICO_Complet!$A$3:$U$983,14,FALSE)=0,"",VLOOKUP($A22,DICO_Complet!$A$3:$U$983,14,FALSE))</f>
        <v>72_DF07 part 2</v>
      </c>
      <c r="N22" s="53" t="str">
        <f>IF(VLOOKUP($A22,DICO_Complet!$A$3:$U$983,15,FALSE)=0,"",VLOOKUP($A22,DICO_Complet!$A$3:$U$983,15,FALSE))</f>
        <v/>
      </c>
      <c r="O22" s="53" t="str">
        <f>IF(VLOOKUP($A22,DICO_Complet!$A$3:$U$983,16,FALSE)=0,"",VLOOKUP($A22,DICO_Complet!$A$3:$U$983,16,FALSE))</f>
        <v/>
      </c>
      <c r="P22" s="53" t="str">
        <f>IF(VLOOKUP($A22,DICO_Complet!$A$3:$U$983,17,FALSE)=0,"",VLOOKUP($A22,DICO_Complet!$A$3:$U$983,17,FALSE))</f>
        <v/>
      </c>
      <c r="Q22" s="53" t="str">
        <f>IF(VLOOKUP($A22,DICO_Complet!$A$3:$U$983,18,FALSE)=0,"",VLOOKUP($A22,DICO_Complet!$A$3:$U$983,18,FALSE))</f>
        <v/>
      </c>
    </row>
    <row r="23" spans="1:17">
      <c r="A23" s="38">
        <v>250410114325</v>
      </c>
      <c r="B23" s="47" t="s">
        <v>858</v>
      </c>
      <c r="C23" s="3" t="str">
        <f>VLOOKUP($A23,DICO_Complet!$A$3:$U$983,3,FALSE)</f>
        <v>Context</v>
      </c>
      <c r="D23" s="3" t="str">
        <f>VLOOKUP($A23,DICO_Complet!$A$3:$U$983,4,FALSE)</f>
        <v>cardContext</v>
      </c>
      <c r="E23" s="2" t="str">
        <f>VLOOKUP($A23,DICO_Complet!$A$3:$U$983,5,FALSE)</f>
        <v>newSecretCodeIndicator</v>
      </c>
      <c r="F23" s="2" t="str">
        <f>VLOOKUP($A23,DICO_Complet!$A$3:$U$983,6,FALSE)</f>
        <v>TrueFalseIndicator</v>
      </c>
      <c r="G23" s="48">
        <f>VLOOKUP($A23,DICO_Complet!$A$3:$U$983,7,FALSE)</f>
        <v>0</v>
      </c>
      <c r="H23" s="48">
        <f>VLOOKUP($A23,DICO_Complet!$A$3:$U$983,8,FALSE)</f>
        <v>0</v>
      </c>
      <c r="I23" s="2" t="str">
        <f>IF(VLOOKUP($A23,DICO_Complet!$A$3:$U$983,9,FALSE)&lt;&gt;0,VLOOKUP($A23,DICO_Complet!$A$3:$U$983,9,FALSE),"")</f>
        <v/>
      </c>
      <c r="J23" s="1" t="str">
        <f>VLOOKUP($A23,DICO_Complet!$A$3:$U$983,10,FALSE)</f>
        <v>TrueFalseIndicator</v>
      </c>
      <c r="K23" s="53" t="str">
        <f>IF(VLOOKUP($A23,DICO_Complet!$A$3:$U$983,12,FALSE)=0,"",VLOOKUP($A23,DICO_Complet!$A$3:$U$983,12,FALSE))</f>
        <v/>
      </c>
      <c r="L23" s="53" t="str">
        <f>IF(VLOOKUP($A23,DICO_Complet!$A$3:$U$983,13,FALSE)=0,"",VLOOKUP($A23,DICO_Complet!$A$3:$U$983,13,FALSE))</f>
        <v/>
      </c>
      <c r="M23" s="53" t="str">
        <f>IF(VLOOKUP($A23,DICO_Complet!$A$3:$U$983,14,FALSE)=0,"",VLOOKUP($A23,DICO_Complet!$A$3:$U$983,14,FALSE))</f>
        <v/>
      </c>
      <c r="N23" s="53" t="str">
        <f>IF(VLOOKUP($A23,DICO_Complet!$A$3:$U$983,15,FALSE)=0,"",VLOOKUP($A23,DICO_Complet!$A$3:$U$983,15,FALSE))</f>
        <v/>
      </c>
      <c r="O23" s="53" t="str">
        <f>IF(VLOOKUP($A23,DICO_Complet!$A$3:$U$983,16,FALSE)=0,"",VLOOKUP($A23,DICO_Complet!$A$3:$U$983,16,FALSE))</f>
        <v/>
      </c>
      <c r="P23" s="53" t="str">
        <f>IF(VLOOKUP($A23,DICO_Complet!$A$3:$U$983,17,FALSE)=0,"",VLOOKUP($A23,DICO_Complet!$A$3:$U$983,17,FALSE))</f>
        <v/>
      </c>
      <c r="Q23" s="53" t="str">
        <f>IF(VLOOKUP($A23,DICO_Complet!$A$3:$U$983,18,FALSE)=0,"",VLOOKUP($A23,DICO_Complet!$A$3:$U$983,18,FALSE))</f>
        <v/>
      </c>
    </row>
    <row r="24" spans="1:17" ht="15" customHeight="1">
      <c r="A24" s="38">
        <v>250331162611</v>
      </c>
      <c r="B24" s="47" t="s">
        <v>858</v>
      </c>
      <c r="C24" s="3" t="str">
        <f>VLOOKUP($A24,DICO_Complet!$A$3:$U$983,3,FALSE)</f>
        <v>Context</v>
      </c>
      <c r="D24" s="3" t="str">
        <f>VLOOKUP($A24,DICO_Complet!$A$3:$U$983,4,FALSE)</f>
        <v>cardContext</v>
      </c>
      <c r="E24" s="2" t="str">
        <f>VLOOKUP($A24,DICO_Complet!$A$3:$U$983,5,FALSE)</f>
        <v>pinEntryTimer</v>
      </c>
      <c r="F24" s="2" t="str">
        <f>VLOOKUP($A24,DICO_Complet!$A$3:$U$983,6,FALSE)</f>
        <v>Exact2AlphaNumericText</v>
      </c>
      <c r="G24" s="48">
        <f>VLOOKUP($A24,DICO_Complet!$A$3:$U$983,7,FALSE)</f>
        <v>0</v>
      </c>
      <c r="H24" s="48">
        <f>VLOOKUP($A24,DICO_Complet!$A$3:$U$983,8,FALSE)</f>
        <v>0</v>
      </c>
      <c r="I24" s="2" t="str">
        <f>IF(VLOOKUP($A24,DICO_Complet!$A$3:$U$983,9,FALSE)&lt;&gt;0,VLOOKUP($A24,DICO_Complet!$A$3:$U$983,9,FALSE),"")</f>
        <v/>
      </c>
      <c r="J24" s="1" t="str">
        <f>VLOOKUP($A24,DICO_Complet!$A$3:$U$983,10,FALSE)</f>
        <v>PIN entry timer</v>
      </c>
      <c r="K24" s="53" t="str">
        <f>IF(VLOOKUP($A24,DICO_Complet!$A$3:$U$983,12,FALSE)=0,"",VLOOKUP($A24,DICO_Complet!$A$3:$U$983,12,FALSE))</f>
        <v/>
      </c>
      <c r="L24" s="53" t="str">
        <f>IF(VLOOKUP($A24,DICO_Complet!$A$3:$U$983,13,FALSE)=0,"",VLOOKUP($A24,DICO_Complet!$A$3:$U$983,13,FALSE))</f>
        <v/>
      </c>
      <c r="M24" s="53" t="str">
        <f>IF(VLOOKUP($A24,DICO_Complet!$A$3:$U$983,14,FALSE)=0,"",VLOOKUP($A24,DICO_Complet!$A$3:$U$983,14,FALSE))</f>
        <v>72_DF07 part 4</v>
      </c>
      <c r="N24" s="53" t="str">
        <f>IF(VLOOKUP($A24,DICO_Complet!$A$3:$U$983,15,FALSE)=0,"",VLOOKUP($A24,DICO_Complet!$A$3:$U$983,15,FALSE))</f>
        <v/>
      </c>
      <c r="O24" s="53" t="str">
        <f>IF(VLOOKUP($A24,DICO_Complet!$A$3:$U$983,16,FALSE)=0,"",VLOOKUP($A24,DICO_Complet!$A$3:$U$983,16,FALSE))</f>
        <v/>
      </c>
      <c r="P24" s="53" t="str">
        <f>IF(VLOOKUP($A24,DICO_Complet!$A$3:$U$983,17,FALSE)=0,"",VLOOKUP($A24,DICO_Complet!$A$3:$U$983,17,FALSE))</f>
        <v/>
      </c>
      <c r="Q24" s="53" t="str">
        <f>IF(VLOOKUP($A24,DICO_Complet!$A$3:$U$983,18,FALSE)=0,"",VLOOKUP($A24,DICO_Complet!$A$3:$U$983,18,FALSE))</f>
        <v/>
      </c>
    </row>
    <row r="25" spans="1:17" ht="15" customHeight="1">
      <c r="A25" s="38">
        <v>250331162612</v>
      </c>
      <c r="B25" s="47" t="s">
        <v>858</v>
      </c>
      <c r="C25" s="3" t="str">
        <f>VLOOKUP($A25,DICO_Complet!$A$3:$U$983,3,FALSE)</f>
        <v>Context</v>
      </c>
      <c r="D25" s="3" t="str">
        <f>VLOOKUP($A25,DICO_Complet!$A$3:$U$983,4,FALSE)</f>
        <v>cardContext</v>
      </c>
      <c r="E25" s="2" t="str">
        <f>VLOOKUP($A25,DICO_Complet!$A$3:$U$983,5,FALSE)</f>
        <v>processingModeForNSCardApplicationCurrency</v>
      </c>
      <c r="F25" s="2" t="str">
        <f>VLOOKUP($A25,DICO_Complet!$A$3:$U$983,6,FALSE)</f>
        <v>Exact1AlphaNumericText</v>
      </c>
      <c r="G25" s="48">
        <f>VLOOKUP($A25,DICO_Complet!$A$3:$U$983,7,FALSE)</f>
        <v>0</v>
      </c>
      <c r="H25" s="48">
        <f>VLOOKUP($A25,DICO_Complet!$A$3:$U$983,8,FALSE)</f>
        <v>0</v>
      </c>
      <c r="I25" s="2" t="str">
        <f>IF(VLOOKUP($A25,DICO_Complet!$A$3:$U$983,9,FALSE)&lt;&gt;0,VLOOKUP($A25,DICO_Complet!$A$3:$U$983,9,FALSE),"")</f>
        <v/>
      </c>
      <c r="J25" s="1" t="str">
        <f>VLOOKUP($A25,DICO_Complet!$A$3:$U$983,10,FALSE)</f>
        <v xml:space="preserve">Processing mode for non-supported card application currency </v>
      </c>
      <c r="K25" s="53" t="str">
        <f>IF(VLOOKUP($A25,DICO_Complet!$A$3:$U$983,12,FALSE)=0,"",VLOOKUP($A25,DICO_Complet!$A$3:$U$983,12,FALSE))</f>
        <v/>
      </c>
      <c r="L25" s="53" t="str">
        <f>IF(VLOOKUP($A25,DICO_Complet!$A$3:$U$983,13,FALSE)=0,"",VLOOKUP($A25,DICO_Complet!$A$3:$U$983,13,FALSE))</f>
        <v/>
      </c>
      <c r="M25" s="53" t="str">
        <f>IF(VLOOKUP($A25,DICO_Complet!$A$3:$U$983,14,FALSE)=0,"",VLOOKUP($A25,DICO_Complet!$A$3:$U$983,14,FALSE))</f>
        <v>72_DF07 part 6</v>
      </c>
      <c r="N25" s="53" t="str">
        <f>IF(VLOOKUP($A25,DICO_Complet!$A$3:$U$983,15,FALSE)=0,"",VLOOKUP($A25,DICO_Complet!$A$3:$U$983,15,FALSE))</f>
        <v/>
      </c>
      <c r="O25" s="53" t="str">
        <f>IF(VLOOKUP($A25,DICO_Complet!$A$3:$U$983,16,FALSE)=0,"",VLOOKUP($A25,DICO_Complet!$A$3:$U$983,16,FALSE))</f>
        <v/>
      </c>
      <c r="P25" s="53" t="str">
        <f>IF(VLOOKUP($A25,DICO_Complet!$A$3:$U$983,17,FALSE)=0,"",VLOOKUP($A25,DICO_Complet!$A$3:$U$983,17,FALSE))</f>
        <v/>
      </c>
      <c r="Q25" s="53" t="str">
        <f>IF(VLOOKUP($A25,DICO_Complet!$A$3:$U$983,18,FALSE)=0,"",VLOOKUP($A25,DICO_Complet!$A$3:$U$983,18,FALSE))</f>
        <v/>
      </c>
    </row>
    <row r="26" spans="1:17" ht="15" customHeight="1">
      <c r="A26" s="38">
        <v>250410114324</v>
      </c>
      <c r="B26" s="47" t="s">
        <v>858</v>
      </c>
      <c r="C26" s="3" t="str">
        <f>VLOOKUP($A26,DICO_Complet!$A$3:$U$983,3,FALSE)</f>
        <v>Context</v>
      </c>
      <c r="D26" s="3" t="str">
        <f>VLOOKUP($A26,DICO_Complet!$A$3:$U$983,4,FALSE)</f>
        <v>cardContext</v>
      </c>
      <c r="E26" s="2" t="str">
        <f>VLOOKUP($A26,DICO_Complet!$A$3:$U$983,5,FALSE)</f>
        <v>remanufacturingIndicator</v>
      </c>
      <c r="F26" s="2" t="str">
        <f>VLOOKUP($A26,DICO_Complet!$A$3:$U$983,6,FALSE)</f>
        <v>TrueFalseIndicator</v>
      </c>
      <c r="G26" s="48">
        <f>VLOOKUP($A26,DICO_Complet!$A$3:$U$983,7,FALSE)</f>
        <v>0</v>
      </c>
      <c r="H26" s="48">
        <f>VLOOKUP($A26,DICO_Complet!$A$3:$U$983,8,FALSE)</f>
        <v>0</v>
      </c>
      <c r="I26" s="2" t="str">
        <f>IF(VLOOKUP($A26,DICO_Complet!$A$3:$U$983,9,FALSE)&lt;&gt;0,VLOOKUP($A26,DICO_Complet!$A$3:$U$983,9,FALSE),"")</f>
        <v/>
      </c>
      <c r="J26" s="1" t="str">
        <f>VLOOKUP($A26,DICO_Complet!$A$3:$U$983,10,FALSE)</f>
        <v>TrueFalseIndicator</v>
      </c>
      <c r="K26" s="53" t="str">
        <f>IF(VLOOKUP($A26,DICO_Complet!$A$3:$U$983,12,FALSE)=0,"",VLOOKUP($A26,DICO_Complet!$A$3:$U$983,12,FALSE))</f>
        <v/>
      </c>
      <c r="L26" s="53" t="str">
        <f>IF(VLOOKUP($A26,DICO_Complet!$A$3:$U$983,13,FALSE)=0,"",VLOOKUP($A26,DICO_Complet!$A$3:$U$983,13,FALSE))</f>
        <v/>
      </c>
      <c r="M26" s="53" t="str">
        <f>IF(VLOOKUP($A26,DICO_Complet!$A$3:$U$983,14,FALSE)=0,"",VLOOKUP($A26,DICO_Complet!$A$3:$U$983,14,FALSE))</f>
        <v/>
      </c>
      <c r="N26" s="53" t="str">
        <f>IF(VLOOKUP($A26,DICO_Complet!$A$3:$U$983,15,FALSE)=0,"",VLOOKUP($A26,DICO_Complet!$A$3:$U$983,15,FALSE))</f>
        <v/>
      </c>
      <c r="O26" s="53" t="str">
        <f>IF(VLOOKUP($A26,DICO_Complet!$A$3:$U$983,16,FALSE)=0,"",VLOOKUP($A26,DICO_Complet!$A$3:$U$983,16,FALSE))</f>
        <v/>
      </c>
      <c r="P26" s="53" t="str">
        <f>IF(VLOOKUP($A26,DICO_Complet!$A$3:$U$983,17,FALSE)=0,"",VLOOKUP($A26,DICO_Complet!$A$3:$U$983,17,FALSE))</f>
        <v/>
      </c>
      <c r="Q26" s="53" t="str">
        <f>IF(VLOOKUP($A26,DICO_Complet!$A$3:$U$983,18,FALSE)=0,"",VLOOKUP($A26,DICO_Complet!$A$3:$U$983,18,FALSE))</f>
        <v/>
      </c>
    </row>
    <row r="27" spans="1:17">
      <c r="A27" s="38">
        <v>250410114319</v>
      </c>
      <c r="B27" s="47" t="s">
        <v>858</v>
      </c>
      <c r="C27" s="3" t="str">
        <f>VLOOKUP($A27,DICO_Complet!$A$3:$U$983,3,FALSE)</f>
        <v>Context</v>
      </c>
      <c r="D27" s="3" t="str">
        <f>VLOOKUP($A27,DICO_Complet!$A$3:$U$983,4,FALSE)</f>
        <v>cardContext</v>
      </c>
      <c r="E27" s="2" t="str">
        <f>VLOOKUP($A27,DICO_Complet!$A$3:$U$983,5,FALSE)</f>
        <v>secretCodeChoiceIndicator</v>
      </c>
      <c r="F27" s="2" t="str">
        <f>VLOOKUP($A27,DICO_Complet!$A$3:$U$983,6,FALSE)</f>
        <v>TrueFalseIndicator</v>
      </c>
      <c r="G27" s="48">
        <f>VLOOKUP($A27,DICO_Complet!$A$3:$U$983,7,FALSE)</f>
        <v>0</v>
      </c>
      <c r="H27" s="48">
        <f>VLOOKUP($A27,DICO_Complet!$A$3:$U$983,8,FALSE)</f>
        <v>0</v>
      </c>
      <c r="I27" s="2" t="str">
        <f>IF(VLOOKUP($A27,DICO_Complet!$A$3:$U$983,9,FALSE)&lt;&gt;0,VLOOKUP($A27,DICO_Complet!$A$3:$U$983,9,FALSE),"")</f>
        <v/>
      </c>
      <c r="J27" s="1" t="str">
        <f>VLOOKUP($A27,DICO_Complet!$A$3:$U$983,10,FALSE)</f>
        <v xml:space="preserve">Indicateur du nouveaux code secret </v>
      </c>
      <c r="K27" s="53" t="str">
        <f>IF(VLOOKUP($A27,DICO_Complet!$A$3:$U$983,12,FALSE)=0,"",VLOOKUP($A27,DICO_Complet!$A$3:$U$983,12,FALSE))</f>
        <v/>
      </c>
      <c r="L27" s="53" t="str">
        <f>IF(VLOOKUP($A27,DICO_Complet!$A$3:$U$983,13,FALSE)=0,"",VLOOKUP($A27,DICO_Complet!$A$3:$U$983,13,FALSE))</f>
        <v/>
      </c>
      <c r="M27" s="53" t="str">
        <f>IF(VLOOKUP($A27,DICO_Complet!$A$3:$U$983,14,FALSE)=0,"",VLOOKUP($A27,DICO_Complet!$A$3:$U$983,14,FALSE))</f>
        <v/>
      </c>
      <c r="N27" s="53" t="str">
        <f>IF(VLOOKUP($A27,DICO_Complet!$A$3:$U$983,15,FALSE)=0,"",VLOOKUP($A27,DICO_Complet!$A$3:$U$983,15,FALSE))</f>
        <v/>
      </c>
      <c r="O27" s="53" t="str">
        <f>IF(VLOOKUP($A27,DICO_Complet!$A$3:$U$983,16,FALSE)=0,"",VLOOKUP($A27,DICO_Complet!$A$3:$U$983,16,FALSE))</f>
        <v/>
      </c>
      <c r="P27" s="53" t="str">
        <f>IF(VLOOKUP($A27,DICO_Complet!$A$3:$U$983,17,FALSE)=0,"",VLOOKUP($A27,DICO_Complet!$A$3:$U$983,17,FALSE))</f>
        <v/>
      </c>
      <c r="Q27" s="53" t="str">
        <f>IF(VLOOKUP($A27,DICO_Complet!$A$3:$U$983,18,FALSE)=0,"",VLOOKUP($A27,DICO_Complet!$A$3:$U$983,18,FALSE))</f>
        <v/>
      </c>
    </row>
    <row r="28" spans="1:17" ht="15" customHeight="1">
      <c r="A28" s="38">
        <v>250331114324</v>
      </c>
      <c r="B28" s="47" t="s">
        <v>858</v>
      </c>
      <c r="C28" s="3" t="str">
        <f>VLOOKUP($A28,DICO_Complet!$A$3:$U$983,3,FALSE)</f>
        <v>Context</v>
      </c>
      <c r="D28" s="3" t="str">
        <f>VLOOKUP($A28,DICO_Complet!$A$3:$U$983,4,FALSE)</f>
        <v>cardContext</v>
      </c>
      <c r="E28" s="2" t="str">
        <f>VLOOKUP($A28,DICO_Complet!$A$3:$U$983,5,FALSE)</f>
        <v>secretCodeKnownIndicator</v>
      </c>
      <c r="F28" s="2" t="str">
        <f>VLOOKUP($A28,DICO_Complet!$A$3:$U$983,6,FALSE)</f>
        <v>TrueFalseIndicator</v>
      </c>
      <c r="G28" s="48">
        <f>VLOOKUP($A28,DICO_Complet!$A$3:$U$983,7,FALSE)</f>
        <v>0</v>
      </c>
      <c r="H28" s="48">
        <f>VLOOKUP($A28,DICO_Complet!$A$3:$U$983,8,FALSE)</f>
        <v>0</v>
      </c>
      <c r="I28" s="2" t="str">
        <f>IF(VLOOKUP($A28,DICO_Complet!$A$3:$U$983,9,FALSE)&lt;&gt;0,VLOOKUP($A28,DICO_Complet!$A$3:$U$983,9,FALSE),"")</f>
        <v/>
      </c>
      <c r="J28" s="1" t="str">
        <f>VLOOKUP($A28,DICO_Complet!$A$3:$U$983,10,FALSE)</f>
        <v>Indicates if the secret code is known by the illegitimate holder of the card</v>
      </c>
      <c r="K28" s="53" t="str">
        <f>IF(VLOOKUP($A28,DICO_Complet!$A$3:$U$983,12,FALSE)=0,"",VLOOKUP($A28,DICO_Complet!$A$3:$U$983,12,FALSE))</f>
        <v/>
      </c>
      <c r="L28" s="53" t="str">
        <f>IF(VLOOKUP($A28,DICO_Complet!$A$3:$U$983,13,FALSE)=0,"",VLOOKUP($A28,DICO_Complet!$A$3:$U$983,13,FALSE))</f>
        <v/>
      </c>
      <c r="M28" s="53" t="str">
        <f>IF(VLOOKUP($A28,DICO_Complet!$A$3:$U$983,14,FALSE)=0,"",VLOOKUP($A28,DICO_Complet!$A$3:$U$983,14,FALSE))</f>
        <v/>
      </c>
      <c r="N28" s="53" t="str">
        <f>IF(VLOOKUP($A28,DICO_Complet!$A$3:$U$983,15,FALSE)=0,"",VLOOKUP($A28,DICO_Complet!$A$3:$U$983,15,FALSE))</f>
        <v/>
      </c>
      <c r="O28" s="53" t="str">
        <f>IF(VLOOKUP($A28,DICO_Complet!$A$3:$U$983,16,FALSE)=0,"",VLOOKUP($A28,DICO_Complet!$A$3:$U$983,16,FALSE))</f>
        <v/>
      </c>
      <c r="P28" s="53" t="str">
        <f>IF(VLOOKUP($A28,DICO_Complet!$A$3:$U$983,17,FALSE)=0,"",VLOOKUP($A28,DICO_Complet!$A$3:$U$983,17,FALSE))</f>
        <v/>
      </c>
      <c r="Q28" s="53" t="str">
        <f>IF(VLOOKUP($A28,DICO_Complet!$A$3:$U$983,18,FALSE)=0,"",VLOOKUP($A28,DICO_Complet!$A$3:$U$983,18,FALSE))</f>
        <v/>
      </c>
    </row>
    <row r="29" spans="1:17" ht="14.65" customHeight="1">
      <c r="A29" s="38">
        <v>250331114320</v>
      </c>
      <c r="B29" s="47" t="s">
        <v>858</v>
      </c>
      <c r="C29" s="3" t="str">
        <f>VLOOKUP($A29,DICO_Complet!$A$3:$U$983,3,FALSE)</f>
        <v>Context</v>
      </c>
      <c r="D29" s="3" t="str">
        <f>VLOOKUP($A29,DICO_Complet!$A$3:$U$983,4,FALSE)</f>
        <v>cardContext</v>
      </c>
      <c r="E29" s="2" t="str">
        <f>VLOOKUP($A29,DICO_Complet!$A$3:$U$983,5,FALSE)</f>
        <v>semanticCheckIndicator</v>
      </c>
      <c r="F29" s="2" t="str">
        <f>VLOOKUP($A29,DICO_Complet!$A$3:$U$983,6,FALSE)</f>
        <v>TrueFalseIndicator</v>
      </c>
      <c r="G29" s="48">
        <f>VLOOKUP($A29,DICO_Complet!$A$3:$U$983,7,FALSE)</f>
        <v>0</v>
      </c>
      <c r="H29" s="48">
        <f>VLOOKUP($A29,DICO_Complet!$A$3:$U$983,8,FALSE)</f>
        <v>0</v>
      </c>
      <c r="I29" s="2" t="str">
        <f>IF(VLOOKUP($A29,DICO_Complet!$A$3:$U$983,9,FALSE)&lt;&gt;0,VLOOKUP($A29,DICO_Complet!$A$3:$U$983,9,FALSE),"")</f>
        <v/>
      </c>
      <c r="J29" s="1" t="str">
        <f>VLOOKUP($A29,DICO_Complet!$A$3:$U$983,10,FALSE)</f>
        <v>Indicates if the action is a check or real action on card (Card activation)</v>
      </c>
      <c r="K29" s="53" t="str">
        <f>IF(VLOOKUP($A29,DICO_Complet!$A$3:$U$983,12,FALSE)=0,"",VLOOKUP($A29,DICO_Complet!$A$3:$U$983,12,FALSE))</f>
        <v/>
      </c>
      <c r="L29" s="53" t="str">
        <f>IF(VLOOKUP($A29,DICO_Complet!$A$3:$U$983,13,FALSE)=0,"",VLOOKUP($A29,DICO_Complet!$A$3:$U$983,13,FALSE))</f>
        <v/>
      </c>
      <c r="M29" s="53" t="str">
        <f>IF(VLOOKUP($A29,DICO_Complet!$A$3:$U$983,14,FALSE)=0,"",VLOOKUP($A29,DICO_Complet!$A$3:$U$983,14,FALSE))</f>
        <v/>
      </c>
      <c r="N29" s="53" t="str">
        <f>IF(VLOOKUP($A29,DICO_Complet!$A$3:$U$983,15,FALSE)=0,"",VLOOKUP($A29,DICO_Complet!$A$3:$U$983,15,FALSE))</f>
        <v/>
      </c>
      <c r="O29" s="53" t="str">
        <f>IF(VLOOKUP($A29,DICO_Complet!$A$3:$U$983,16,FALSE)=0,"",VLOOKUP($A29,DICO_Complet!$A$3:$U$983,16,FALSE))</f>
        <v/>
      </c>
      <c r="P29" s="53" t="str">
        <f>IF(VLOOKUP($A29,DICO_Complet!$A$3:$U$983,17,FALSE)=0,"",VLOOKUP($A29,DICO_Complet!$A$3:$U$983,17,FALSE))</f>
        <v/>
      </c>
      <c r="Q29" s="53" t="str">
        <f>IF(VLOOKUP($A29,DICO_Complet!$A$3:$U$983,18,FALSE)=0,"",VLOOKUP($A29,DICO_Complet!$A$3:$U$983,18,FALSE))</f>
        <v/>
      </c>
    </row>
    <row r="30" spans="1:17">
      <c r="A30" s="38">
        <v>250425201501</v>
      </c>
      <c r="B30" s="47" t="s">
        <v>858</v>
      </c>
      <c r="C30" s="3" t="str">
        <f>VLOOKUP($A30,DICO_Complet!$A$3:$U$983,3,FALSE)</f>
        <v>Context</v>
      </c>
      <c r="D30" s="3" t="str">
        <f>VLOOKUP($A30,DICO_Complet!$A$3:$U$983,4,FALSE)</f>
        <v>cardContext</v>
      </c>
      <c r="E30" s="2" t="str">
        <f>VLOOKUP($A30,DICO_Complet!$A$3:$U$983,5,FALSE)</f>
        <v>temp_applicationAIDLength</v>
      </c>
      <c r="F30" s="2" t="str">
        <f>VLOOKUP($A30,DICO_Complet!$A$3:$U$983,6,FALSE)</f>
        <v>Exact2NumericText</v>
      </c>
      <c r="G30" s="48">
        <f>VLOOKUP($A30,DICO_Complet!$A$3:$U$983,7,FALSE)</f>
        <v>0</v>
      </c>
      <c r="H30" s="48">
        <f>VLOOKUP($A30,DICO_Complet!$A$3:$U$983,8,FALSE)</f>
        <v>0</v>
      </c>
      <c r="I30" s="2" t="str">
        <f>IF(VLOOKUP($A30,DICO_Complet!$A$3:$U$983,9,FALSE)&lt;&gt;0,VLOOKUP($A30,DICO_Complet!$A$3:$U$983,9,FALSE),"")</f>
        <v/>
      </c>
      <c r="J30" s="1" t="str">
        <f>VLOOKUP($A30,DICO_Complet!$A$3:$U$983,10,FALSE)</f>
        <v>Application AID length</v>
      </c>
      <c r="K30" s="53" t="str">
        <f>IF(VLOOKUP($A30,DICO_Complet!$A$3:$U$983,12,FALSE)=0,"",VLOOKUP($A30,DICO_Complet!$A$3:$U$983,12,FALSE))</f>
        <v/>
      </c>
      <c r="L30" s="53" t="str">
        <f>IF(VLOOKUP($A30,DICO_Complet!$A$3:$U$983,13,FALSE)=0,"",VLOOKUP($A30,DICO_Complet!$A$3:$U$983,13,FALSE))</f>
        <v/>
      </c>
      <c r="M30" s="53" t="str">
        <f>IF(VLOOKUP($A30,DICO_Complet!$A$3:$U$983,14,FALSE)=0,"",VLOOKUP($A30,DICO_Complet!$A$3:$U$983,14,FALSE))</f>
        <v>72_DF8B part 2</v>
      </c>
      <c r="N30" s="53" t="str">
        <f>IF(VLOOKUP($A30,DICO_Complet!$A$3:$U$983,15,FALSE)=0,"",VLOOKUP($A30,DICO_Complet!$A$3:$U$983,15,FALSE))</f>
        <v/>
      </c>
      <c r="O30" s="53" t="str">
        <f>IF(VLOOKUP($A30,DICO_Complet!$A$3:$U$983,16,FALSE)=0,"",VLOOKUP($A30,DICO_Complet!$A$3:$U$983,16,FALSE))</f>
        <v/>
      </c>
      <c r="P30" s="53" t="str">
        <f>IF(VLOOKUP($A30,DICO_Complet!$A$3:$U$983,17,FALSE)=0,"",VLOOKUP($A30,DICO_Complet!$A$3:$U$983,17,FALSE))</f>
        <v/>
      </c>
      <c r="Q30" s="53" t="str">
        <f>IF(VLOOKUP($A30,DICO_Complet!$A$3:$U$983,18,FALSE)=0,"",VLOOKUP($A30,DICO_Complet!$A$3:$U$983,18,FALSE))</f>
        <v/>
      </c>
    </row>
    <row r="31" spans="1:17" ht="14.65" customHeight="1">
      <c r="A31" s="38">
        <v>250425201031</v>
      </c>
      <c r="B31" s="47" t="s">
        <v>858</v>
      </c>
      <c r="C31" s="3" t="str">
        <f>VLOOKUP($A31,DICO_Complet!$A$3:$U$983,3,FALSE)</f>
        <v>Context</v>
      </c>
      <c r="D31" s="3" t="str">
        <f>VLOOKUP($A31,DICO_Complet!$A$3:$U$983,4,FALSE)</f>
        <v>cardContext</v>
      </c>
      <c r="E31" s="2" t="str">
        <f>VLOOKUP($A31,DICO_Complet!$A$3:$U$983,5,FALSE)</f>
        <v>temp_cardProductLength</v>
      </c>
      <c r="F31" s="2" t="str">
        <f>VLOOKUP($A31,DICO_Complet!$A$3:$U$983,6,FALSE)</f>
        <v>Exact1HexBinaryText</v>
      </c>
      <c r="G31" s="48">
        <f>VLOOKUP($A31,DICO_Complet!$A$3:$U$983,7,FALSE)</f>
        <v>0</v>
      </c>
      <c r="H31" s="48">
        <f>VLOOKUP($A31,DICO_Complet!$A$3:$U$983,8,FALSE)</f>
        <v>0</v>
      </c>
      <c r="I31" s="2" t="str">
        <f>IF(VLOOKUP($A31,DICO_Complet!$A$3:$U$983,9,FALSE)&lt;&gt;0,VLOOKUP($A31,DICO_Complet!$A$3:$U$983,9,FALSE),"")</f>
        <v/>
      </c>
      <c r="J31" s="1" t="str">
        <f>VLOOKUP($A31,DICO_Complet!$A$3:$U$983,10,FALSE)</f>
        <v>Card product length</v>
      </c>
      <c r="K31" s="53" t="str">
        <f>IF(VLOOKUP($A31,DICO_Complet!$A$3:$U$983,12,FALSE)=0,"",VLOOKUP($A31,DICO_Complet!$A$3:$U$983,12,FALSE))</f>
        <v/>
      </c>
      <c r="L31" s="53" t="str">
        <f>IF(VLOOKUP($A31,DICO_Complet!$A$3:$U$983,13,FALSE)=0,"",VLOOKUP($A31,DICO_Complet!$A$3:$U$983,13,FALSE))</f>
        <v/>
      </c>
      <c r="M31" s="53" t="str">
        <f>IF(VLOOKUP($A31,DICO_Complet!$A$3:$U$983,14,FALSE)=0,"",VLOOKUP($A31,DICO_Complet!$A$3:$U$983,14,FALSE))</f>
        <v>72_DF49 part 3</v>
      </c>
      <c r="N31" s="53" t="str">
        <f>IF(VLOOKUP($A31,DICO_Complet!$A$3:$U$983,15,FALSE)=0,"",VLOOKUP($A31,DICO_Complet!$A$3:$U$983,15,FALSE))</f>
        <v/>
      </c>
      <c r="O31" s="53" t="str">
        <f>IF(VLOOKUP($A31,DICO_Complet!$A$3:$U$983,16,FALSE)=0,"",VLOOKUP($A31,DICO_Complet!$A$3:$U$983,16,FALSE))</f>
        <v/>
      </c>
      <c r="P31" s="53" t="str">
        <f>IF(VLOOKUP($A31,DICO_Complet!$A$3:$U$983,17,FALSE)=0,"",VLOOKUP($A31,DICO_Complet!$A$3:$U$983,17,FALSE))</f>
        <v/>
      </c>
      <c r="Q31" s="53" t="str">
        <f>IF(VLOOKUP($A31,DICO_Complet!$A$3:$U$983,18,FALSE)=0,"",VLOOKUP($A31,DICO_Complet!$A$3:$U$983,18,FALSE))</f>
        <v/>
      </c>
    </row>
    <row r="32" spans="1:17">
      <c r="A32" s="38">
        <v>250425201032</v>
      </c>
      <c r="B32" s="47" t="s">
        <v>858</v>
      </c>
      <c r="C32" s="3" t="str">
        <f>VLOOKUP($A32,DICO_Complet!$A$3:$U$983,3,FALSE)</f>
        <v>Context</v>
      </c>
      <c r="D32" s="3" t="str">
        <f>VLOOKUP($A32,DICO_Complet!$A$3:$U$983,4,FALSE)</f>
        <v>cardContext</v>
      </c>
      <c r="E32" s="2" t="str">
        <f>VLOOKUP($A32,DICO_Complet!$A$3:$U$983,5,FALSE)</f>
        <v>temp_cardProductValue</v>
      </c>
      <c r="F32" s="2" t="str">
        <f>VLOOKUP($A32,DICO_Complet!$A$3:$U$983,6,FALSE)</f>
        <v>Max5HexBinaryText</v>
      </c>
      <c r="G32" s="48">
        <f>VLOOKUP($A32,DICO_Complet!$A$3:$U$983,7,FALSE)</f>
        <v>0</v>
      </c>
      <c r="H32" s="48">
        <f>VLOOKUP($A32,DICO_Complet!$A$3:$U$983,8,FALSE)</f>
        <v>0</v>
      </c>
      <c r="I32" s="2" t="str">
        <f>IF(VLOOKUP($A32,DICO_Complet!$A$3:$U$983,9,FALSE)&lt;&gt;0,VLOOKUP($A32,DICO_Complet!$A$3:$U$983,9,FALSE),"")</f>
        <v/>
      </c>
      <c r="J32" s="1" t="str">
        <f>VLOOKUP($A32,DICO_Complet!$A$3:$U$983,10,FALSE)</f>
        <v>Card product value</v>
      </c>
      <c r="K32" s="53" t="str">
        <f>IF(VLOOKUP($A32,DICO_Complet!$A$3:$U$983,12,FALSE)=0,"",VLOOKUP($A32,DICO_Complet!$A$3:$U$983,12,FALSE))</f>
        <v/>
      </c>
      <c r="L32" s="53" t="str">
        <f>IF(VLOOKUP($A32,DICO_Complet!$A$3:$U$983,13,FALSE)=0,"",VLOOKUP($A32,DICO_Complet!$A$3:$U$983,13,FALSE))</f>
        <v/>
      </c>
      <c r="M32" s="53" t="str">
        <f>IF(VLOOKUP($A32,DICO_Complet!$A$3:$U$983,14,FALSE)=0,"",VLOOKUP($A32,DICO_Complet!$A$3:$U$983,14,FALSE))</f>
        <v>72_DF49 part 4</v>
      </c>
      <c r="N32" s="53" t="str">
        <f>IF(VLOOKUP($A32,DICO_Complet!$A$3:$U$983,15,FALSE)=0,"",VLOOKUP($A32,DICO_Complet!$A$3:$U$983,15,FALSE))</f>
        <v/>
      </c>
      <c r="O32" s="53" t="str">
        <f>IF(VLOOKUP($A32,DICO_Complet!$A$3:$U$983,16,FALSE)=0,"",VLOOKUP($A32,DICO_Complet!$A$3:$U$983,16,FALSE))</f>
        <v/>
      </c>
      <c r="P32" s="53" t="str">
        <f>IF(VLOOKUP($A32,DICO_Complet!$A$3:$U$983,17,FALSE)=0,"",VLOOKUP($A32,DICO_Complet!$A$3:$U$983,17,FALSE))</f>
        <v/>
      </c>
      <c r="Q32" s="53" t="str">
        <f>IF(VLOOKUP($A32,DICO_Complet!$A$3:$U$983,18,FALSE)=0,"",VLOOKUP($A32,DICO_Complet!$A$3:$U$983,18,FALSE))</f>
        <v/>
      </c>
    </row>
    <row r="33" spans="1:17" ht="14.65" customHeight="1">
      <c r="A33" s="38">
        <v>250425201508</v>
      </c>
      <c r="B33" s="47" t="s">
        <v>858</v>
      </c>
      <c r="C33" s="3" t="str">
        <f>VLOOKUP($A33,DICO_Complet!$A$3:$U$983,3,FALSE)</f>
        <v>Context</v>
      </c>
      <c r="D33" s="3" t="str">
        <f>VLOOKUP($A33,DICO_Complet!$A$3:$U$983,4,FALSE)</f>
        <v>cardContext</v>
      </c>
      <c r="E33" s="2" t="str">
        <f>VLOOKUP($A33,DICO_Complet!$A$3:$U$983,5,FALSE)</f>
        <v>temp_cVMSupported</v>
      </c>
      <c r="F33" s="2" t="str">
        <f>VLOOKUP($A33,DICO_Complet!$A$3:$U$983,6,FALSE)</f>
        <v>Exact1HexBinaryText</v>
      </c>
      <c r="G33" s="48">
        <f>VLOOKUP($A33,DICO_Complet!$A$3:$U$983,7,FALSE)</f>
        <v>0</v>
      </c>
      <c r="H33" s="48">
        <f>VLOOKUP($A33,DICO_Complet!$A$3:$U$983,8,FALSE)</f>
        <v>0</v>
      </c>
      <c r="I33" s="2" t="str">
        <f>IF(VLOOKUP($A33,DICO_Complet!$A$3:$U$983,9,FALSE)&lt;&gt;0,VLOOKUP($A33,DICO_Complet!$A$3:$U$983,9,FALSE),"")</f>
        <v/>
      </c>
      <c r="J33" s="1" t="str">
        <f>VLOOKUP($A33,DICO_Complet!$A$3:$U$983,10,FALSE)</f>
        <v>CVM supported</v>
      </c>
      <c r="K33" s="53" t="str">
        <f>IF(VLOOKUP($A33,DICO_Complet!$A$3:$U$983,12,FALSE)=0,"",VLOOKUP($A33,DICO_Complet!$A$3:$U$983,12,FALSE))</f>
        <v/>
      </c>
      <c r="L33" s="53" t="str">
        <f>IF(VLOOKUP($A33,DICO_Complet!$A$3:$U$983,13,FALSE)=0,"",VLOOKUP($A33,DICO_Complet!$A$3:$U$983,13,FALSE))</f>
        <v/>
      </c>
      <c r="M33" s="53" t="str">
        <f>IF(VLOOKUP($A33,DICO_Complet!$A$3:$U$983,14,FALSE)=0,"",VLOOKUP($A33,DICO_Complet!$A$3:$U$983,14,FALSE))</f>
        <v>72_DF89 part 1</v>
      </c>
      <c r="N33" s="53" t="str">
        <f>IF(VLOOKUP($A33,DICO_Complet!$A$3:$U$983,15,FALSE)=0,"",VLOOKUP($A33,DICO_Complet!$A$3:$U$983,15,FALSE))</f>
        <v/>
      </c>
      <c r="O33" s="53" t="str">
        <f>IF(VLOOKUP($A33,DICO_Complet!$A$3:$U$983,16,FALSE)=0,"",VLOOKUP($A33,DICO_Complet!$A$3:$U$983,16,FALSE))</f>
        <v/>
      </c>
      <c r="P33" s="53" t="str">
        <f>IF(VLOOKUP($A33,DICO_Complet!$A$3:$U$983,17,FALSE)=0,"",VLOOKUP($A33,DICO_Complet!$A$3:$U$983,17,FALSE))</f>
        <v/>
      </c>
      <c r="Q33" s="53" t="str">
        <f>IF(VLOOKUP($A33,DICO_Complet!$A$3:$U$983,18,FALSE)=0,"",VLOOKUP($A33,DICO_Complet!$A$3:$U$983,18,FALSE))</f>
        <v/>
      </c>
    </row>
    <row r="34" spans="1:17">
      <c r="A34" s="38">
        <v>250425201518</v>
      </c>
      <c r="B34" s="47" t="s">
        <v>858</v>
      </c>
      <c r="C34" s="3" t="str">
        <f>VLOOKUP($A34,DICO_Complet!$A$3:$U$983,3,FALSE)</f>
        <v>Context</v>
      </c>
      <c r="D34" s="3" t="str">
        <f>VLOOKUP($A34,DICO_Complet!$A$3:$U$983,4,FALSE)</f>
        <v>cardContext</v>
      </c>
      <c r="E34" s="2" t="str">
        <f>VLOOKUP($A34,DICO_Complet!$A$3:$U$983,5,FALSE)</f>
        <v>temp_cVMSupportedNoCvmRequired</v>
      </c>
      <c r="F34" s="2" t="str">
        <f>VLOOKUP($A34,DICO_Complet!$A$3:$U$983,6,FALSE)</f>
        <v>Exact1HexBinaryText</v>
      </c>
      <c r="G34" s="48">
        <f>VLOOKUP($A34,DICO_Complet!$A$3:$U$983,7,FALSE)</f>
        <v>0</v>
      </c>
      <c r="H34" s="48">
        <f>VLOOKUP($A34,DICO_Complet!$A$3:$U$983,8,FALSE)</f>
        <v>0</v>
      </c>
      <c r="I34" s="2" t="str">
        <f>IF(VLOOKUP($A34,DICO_Complet!$A$3:$U$983,9,FALSE)&lt;&gt;0,VLOOKUP($A34,DICO_Complet!$A$3:$U$983,9,FALSE),"")</f>
        <v/>
      </c>
      <c r="J34" s="1" t="str">
        <f>VLOOKUP($A34,DICO_Complet!$A$3:$U$983,10,FALSE)</f>
        <v xml:space="preserve">CVM supported – No CVM Required </v>
      </c>
      <c r="K34" s="53" t="str">
        <f>IF(VLOOKUP($A34,DICO_Complet!$A$3:$U$983,12,FALSE)=0,"",VLOOKUP($A34,DICO_Complet!$A$3:$U$983,12,FALSE))</f>
        <v/>
      </c>
      <c r="L34" s="53" t="str">
        <f>IF(VLOOKUP($A34,DICO_Complet!$A$3:$U$983,13,FALSE)=0,"",VLOOKUP($A34,DICO_Complet!$A$3:$U$983,13,FALSE))</f>
        <v/>
      </c>
      <c r="M34" s="53" t="str">
        <f>IF(VLOOKUP($A34,DICO_Complet!$A$3:$U$983,14,FALSE)=0,"",VLOOKUP($A34,DICO_Complet!$A$3:$U$983,14,FALSE))</f>
        <v>72_DFA9 part 5</v>
      </c>
      <c r="N34" s="53" t="str">
        <f>IF(VLOOKUP($A34,DICO_Complet!$A$3:$U$983,15,FALSE)=0,"",VLOOKUP($A34,DICO_Complet!$A$3:$U$983,15,FALSE))</f>
        <v/>
      </c>
      <c r="O34" s="53" t="str">
        <f>IF(VLOOKUP($A34,DICO_Complet!$A$3:$U$983,16,FALSE)=0,"",VLOOKUP($A34,DICO_Complet!$A$3:$U$983,16,FALSE))</f>
        <v/>
      </c>
      <c r="P34" s="53" t="str">
        <f>IF(VLOOKUP($A34,DICO_Complet!$A$3:$U$983,17,FALSE)=0,"",VLOOKUP($A34,DICO_Complet!$A$3:$U$983,17,FALSE))</f>
        <v/>
      </c>
      <c r="Q34" s="53" t="str">
        <f>IF(VLOOKUP($A34,DICO_Complet!$A$3:$U$983,18,FALSE)=0,"",VLOOKUP($A34,DICO_Complet!$A$3:$U$983,18,FALSE))</f>
        <v/>
      </c>
    </row>
    <row r="35" spans="1:17">
      <c r="A35" s="38">
        <v>250425200709</v>
      </c>
      <c r="B35" s="47" t="s">
        <v>858</v>
      </c>
      <c r="C35" s="3" t="str">
        <f>VLOOKUP($A35,DICO_Complet!$A$3:$U$983,3,FALSE)</f>
        <v>Context</v>
      </c>
      <c r="D35" s="3" t="str">
        <f>VLOOKUP($A35,DICO_Complet!$A$3:$U$983,4,FALSE)</f>
        <v>cardContext</v>
      </c>
      <c r="E35" s="2" t="str">
        <f>VLOOKUP($A35,DICO_Complet!$A$3:$U$983,5,FALSE)</f>
        <v>temp_defaultEMVDolsForAnEMVCardApplication</v>
      </c>
      <c r="F35" s="2" t="str">
        <f>VLOOKUP($A35,DICO_Complet!$A$3:$U$983,6,FALSE)</f>
        <v>DefaultEMVDolsForAnEMVCardApplicationCodeset</v>
      </c>
      <c r="G35" s="48">
        <f>VLOOKUP($A35,DICO_Complet!$A$3:$U$983,7,FALSE)</f>
        <v>0</v>
      </c>
      <c r="H35" s="48">
        <f>VLOOKUP($A35,DICO_Complet!$A$3:$U$983,8,FALSE)</f>
        <v>0</v>
      </c>
      <c r="I35" s="2" t="str">
        <f>IF(VLOOKUP($A35,DICO_Complet!$A$3:$U$983,9,FALSE)&lt;&gt;0,VLOOKUP($A35,DICO_Complet!$A$3:$U$983,9,FALSE),"")</f>
        <v/>
      </c>
      <c r="J35" s="1" t="str">
        <f>VLOOKUP($A35,DICO_Complet!$A$3:$U$983,10,FALSE)</f>
        <v>DOL type</v>
      </c>
      <c r="K35" s="53" t="str">
        <f>IF(VLOOKUP($A35,DICO_Complet!$A$3:$U$983,12,FALSE)=0,"",VLOOKUP($A35,DICO_Complet!$A$3:$U$983,12,FALSE))</f>
        <v/>
      </c>
      <c r="L35" s="53" t="str">
        <f>IF(VLOOKUP($A35,DICO_Complet!$A$3:$U$983,13,FALSE)=0,"",VLOOKUP($A35,DICO_Complet!$A$3:$U$983,13,FALSE))</f>
        <v/>
      </c>
      <c r="M35" s="53" t="str">
        <f>IF(VLOOKUP($A35,DICO_Complet!$A$3:$U$983,14,FALSE)=0,"",VLOOKUP($A35,DICO_Complet!$A$3:$U$983,14,FALSE))</f>
        <v>72_DF1A part 3</v>
      </c>
      <c r="N35" s="53" t="str">
        <f>IF(VLOOKUP($A35,DICO_Complet!$A$3:$U$983,15,FALSE)=0,"",VLOOKUP($A35,DICO_Complet!$A$3:$U$983,15,FALSE))</f>
        <v/>
      </c>
      <c r="O35" s="53" t="str">
        <f>IF(VLOOKUP($A35,DICO_Complet!$A$3:$U$983,16,FALSE)=0,"",VLOOKUP($A35,DICO_Complet!$A$3:$U$983,16,FALSE))</f>
        <v/>
      </c>
      <c r="P35" s="53" t="str">
        <f>IF(VLOOKUP($A35,DICO_Complet!$A$3:$U$983,17,FALSE)=0,"",VLOOKUP($A35,DICO_Complet!$A$3:$U$983,17,FALSE))</f>
        <v/>
      </c>
      <c r="Q35" s="53" t="str">
        <f>IF(VLOOKUP($A35,DICO_Complet!$A$3:$U$983,18,FALSE)=0,"",VLOOKUP($A35,DICO_Complet!$A$3:$U$983,18,FALSE))</f>
        <v/>
      </c>
    </row>
    <row r="36" spans="1:17">
      <c r="A36" s="38">
        <v>250425201506</v>
      </c>
      <c r="B36" s="47" t="s">
        <v>858</v>
      </c>
      <c r="C36" s="3" t="str">
        <f>VLOOKUP($A36,DICO_Complet!$A$3:$U$983,3,FALSE)</f>
        <v>Context</v>
      </c>
      <c r="D36" s="3" t="str">
        <f>VLOOKUP($A36,DICO_Complet!$A$3:$U$983,4,FALSE)</f>
        <v>cardContext</v>
      </c>
      <c r="E36" s="2" t="str">
        <f>VLOOKUP($A36,DICO_Complet!$A$3:$U$983,5,FALSE)</f>
        <v>temp_noOnDeviceCvm</v>
      </c>
      <c r="F36" s="2" t="str">
        <f>VLOOKUP($A36,DICO_Complet!$A$3:$U$983,6,FALSE)</f>
        <v>Exact12NumericText</v>
      </c>
      <c r="G36" s="48">
        <f>VLOOKUP($A36,DICO_Complet!$A$3:$U$983,7,FALSE)</f>
        <v>0</v>
      </c>
      <c r="H36" s="48">
        <f>VLOOKUP($A36,DICO_Complet!$A$3:$U$983,8,FALSE)</f>
        <v>0</v>
      </c>
      <c r="I36" s="2" t="str">
        <f>IF(VLOOKUP($A36,DICO_Complet!$A$3:$U$983,9,FALSE)&lt;&gt;0,VLOOKUP($A36,DICO_Complet!$A$3:$U$983,9,FALSE),"")</f>
        <v/>
      </c>
      <c r="J36" s="1" t="str">
        <f>VLOOKUP($A36,DICO_Complet!$A$3:$U$983,10,FALSE)</f>
        <v>Reader Contactless Transaction limit (No On-Device CVM)</v>
      </c>
      <c r="K36" s="53" t="str">
        <f>IF(VLOOKUP($A36,DICO_Complet!$A$3:$U$983,12,FALSE)=0,"",VLOOKUP($A36,DICO_Complet!$A$3:$U$983,12,FALSE))</f>
        <v/>
      </c>
      <c r="L36" s="53" t="str">
        <f>IF(VLOOKUP($A36,DICO_Complet!$A$3:$U$983,13,FALSE)=0,"",VLOOKUP($A36,DICO_Complet!$A$3:$U$983,13,FALSE))</f>
        <v/>
      </c>
      <c r="M36" s="53" t="str">
        <f>IF(VLOOKUP($A36,DICO_Complet!$A$3:$U$983,14,FALSE)=0,"",VLOOKUP($A36,DICO_Complet!$A$3:$U$983,14,FALSE))</f>
        <v>72_DF88 part 6</v>
      </c>
      <c r="N36" s="53" t="str">
        <f>IF(VLOOKUP($A36,DICO_Complet!$A$3:$U$983,15,FALSE)=0,"",VLOOKUP($A36,DICO_Complet!$A$3:$U$983,15,FALSE))</f>
        <v/>
      </c>
      <c r="O36" s="53" t="str">
        <f>IF(VLOOKUP($A36,DICO_Complet!$A$3:$U$983,16,FALSE)=0,"",VLOOKUP($A36,DICO_Complet!$A$3:$U$983,16,FALSE))</f>
        <v/>
      </c>
      <c r="P36" s="53" t="str">
        <f>IF(VLOOKUP($A36,DICO_Complet!$A$3:$U$983,17,FALSE)=0,"",VLOOKUP($A36,DICO_Complet!$A$3:$U$983,17,FALSE))</f>
        <v/>
      </c>
      <c r="Q36" s="53" t="str">
        <f>IF(VLOOKUP($A36,DICO_Complet!$A$3:$U$983,18,FALSE)=0,"",VLOOKUP($A36,DICO_Complet!$A$3:$U$983,18,FALSE))</f>
        <v/>
      </c>
    </row>
    <row r="37" spans="1:17" ht="15" customHeight="1">
      <c r="A37" s="38">
        <v>250425201507</v>
      </c>
      <c r="B37" s="47" t="s">
        <v>858</v>
      </c>
      <c r="C37" s="3" t="str">
        <f>VLOOKUP($A37,DICO_Complet!$A$3:$U$983,3,FALSE)</f>
        <v>Context</v>
      </c>
      <c r="D37" s="3" t="str">
        <f>VLOOKUP($A37,DICO_Complet!$A$3:$U$983,4,FALSE)</f>
        <v>cardContext</v>
      </c>
      <c r="E37" s="2" t="str">
        <f>VLOOKUP($A37,DICO_Complet!$A$3:$U$983,5,FALSE)</f>
        <v>temp_onDeviceCvm</v>
      </c>
      <c r="F37" s="2" t="str">
        <f>VLOOKUP($A37,DICO_Complet!$A$3:$U$983,6,FALSE)</f>
        <v>Exact12NumericText</v>
      </c>
      <c r="G37" s="48">
        <f>VLOOKUP($A37,DICO_Complet!$A$3:$U$983,7,FALSE)</f>
        <v>0</v>
      </c>
      <c r="H37" s="48">
        <f>VLOOKUP($A37,DICO_Complet!$A$3:$U$983,8,FALSE)</f>
        <v>0</v>
      </c>
      <c r="I37" s="2" t="str">
        <f>IF(VLOOKUP($A37,DICO_Complet!$A$3:$U$983,9,FALSE)&lt;&gt;0,VLOOKUP($A37,DICO_Complet!$A$3:$U$983,9,FALSE),"")</f>
        <v/>
      </c>
      <c r="J37" s="1" t="str">
        <f>VLOOKUP($A37,DICO_Complet!$A$3:$U$983,10,FALSE)</f>
        <v>Reader Contactless Transaction limit (On-Device CVM)</v>
      </c>
      <c r="K37" s="53" t="str">
        <f>IF(VLOOKUP($A37,DICO_Complet!$A$3:$U$983,12,FALSE)=0,"",VLOOKUP($A37,DICO_Complet!$A$3:$U$983,12,FALSE))</f>
        <v/>
      </c>
      <c r="L37" s="53" t="str">
        <f>IF(VLOOKUP($A37,DICO_Complet!$A$3:$U$983,13,FALSE)=0,"",VLOOKUP($A37,DICO_Complet!$A$3:$U$983,13,FALSE))</f>
        <v/>
      </c>
      <c r="M37" s="53" t="str">
        <f>IF(VLOOKUP($A37,DICO_Complet!$A$3:$U$983,14,FALSE)=0,"",VLOOKUP($A37,DICO_Complet!$A$3:$U$983,14,FALSE))</f>
        <v>72_DF88 part 7</v>
      </c>
      <c r="N37" s="53" t="str">
        <f>IF(VLOOKUP($A37,DICO_Complet!$A$3:$U$983,15,FALSE)=0,"",VLOOKUP($A37,DICO_Complet!$A$3:$U$983,15,FALSE))</f>
        <v/>
      </c>
      <c r="O37" s="53" t="str">
        <f>IF(VLOOKUP($A37,DICO_Complet!$A$3:$U$983,16,FALSE)=0,"",VLOOKUP($A37,DICO_Complet!$A$3:$U$983,16,FALSE))</f>
        <v/>
      </c>
      <c r="P37" s="53" t="str">
        <f>IF(VLOOKUP($A37,DICO_Complet!$A$3:$U$983,17,FALSE)=0,"",VLOOKUP($A37,DICO_Complet!$A$3:$U$983,17,FALSE))</f>
        <v/>
      </c>
      <c r="Q37" s="53" t="str">
        <f>IF(VLOOKUP($A37,DICO_Complet!$A$3:$U$983,18,FALSE)=0,"",VLOOKUP($A37,DICO_Complet!$A$3:$U$983,18,FALSE))</f>
        <v/>
      </c>
    </row>
    <row r="38" spans="1:17">
      <c r="A38" s="38">
        <v>250425201503</v>
      </c>
      <c r="B38" s="47" t="s">
        <v>858</v>
      </c>
      <c r="C38" s="3" t="str">
        <f>VLOOKUP($A38,DICO_Complet!$A$3:$U$983,3,FALSE)</f>
        <v>Context</v>
      </c>
      <c r="D38" s="3" t="str">
        <f>VLOOKUP($A38,DICO_Complet!$A$3:$U$983,4,FALSE)</f>
        <v>cardContext</v>
      </c>
      <c r="E38" s="2" t="str">
        <f>VLOOKUP($A38,DICO_Complet!$A$3:$U$983,5,FALSE)</f>
        <v>temp_readerContactlessFloorLimit</v>
      </c>
      <c r="F38" s="2" t="str">
        <f>VLOOKUP($A38,DICO_Complet!$A$3:$U$983,6,FALSE)</f>
        <v>Exact12NumericText</v>
      </c>
      <c r="G38" s="48">
        <f>VLOOKUP($A38,DICO_Complet!$A$3:$U$983,7,FALSE)</f>
        <v>0</v>
      </c>
      <c r="H38" s="48">
        <f>VLOOKUP($A38,DICO_Complet!$A$3:$U$983,8,FALSE)</f>
        <v>0</v>
      </c>
      <c r="I38" s="2" t="str">
        <f>IF(VLOOKUP($A38,DICO_Complet!$A$3:$U$983,9,FALSE)&lt;&gt;0,VLOOKUP($A38,DICO_Complet!$A$3:$U$983,9,FALSE),"")</f>
        <v/>
      </c>
      <c r="J38" s="1" t="str">
        <f>VLOOKUP($A38,DICO_Complet!$A$3:$U$983,10,FALSE)</f>
        <v>Reader Contactless Floor limit</v>
      </c>
      <c r="K38" s="53" t="str">
        <f>IF(VLOOKUP($A38,DICO_Complet!$A$3:$U$983,12,FALSE)=0,"",VLOOKUP($A38,DICO_Complet!$A$3:$U$983,12,FALSE))</f>
        <v/>
      </c>
      <c r="L38" s="53" t="str">
        <f>IF(VLOOKUP($A38,DICO_Complet!$A$3:$U$983,13,FALSE)=0,"",VLOOKUP($A38,DICO_Complet!$A$3:$U$983,13,FALSE))</f>
        <v/>
      </c>
      <c r="M38" s="53" t="str">
        <f>IF(VLOOKUP($A38,DICO_Complet!$A$3:$U$983,14,FALSE)=0,"",VLOOKUP($A38,DICO_Complet!$A$3:$U$983,14,FALSE))</f>
        <v>72_DF88 part 3</v>
      </c>
      <c r="N38" s="53" t="str">
        <f>IF(VLOOKUP($A38,DICO_Complet!$A$3:$U$983,15,FALSE)=0,"",VLOOKUP($A38,DICO_Complet!$A$3:$U$983,15,FALSE))</f>
        <v/>
      </c>
      <c r="O38" s="53" t="str">
        <f>IF(VLOOKUP($A38,DICO_Complet!$A$3:$U$983,16,FALSE)=0,"",VLOOKUP($A38,DICO_Complet!$A$3:$U$983,16,FALSE))</f>
        <v/>
      </c>
      <c r="P38" s="53" t="str">
        <f>IF(VLOOKUP($A38,DICO_Complet!$A$3:$U$983,17,FALSE)=0,"",VLOOKUP($A38,DICO_Complet!$A$3:$U$983,17,FALSE))</f>
        <v/>
      </c>
      <c r="Q38" s="53" t="str">
        <f>IF(VLOOKUP($A38,DICO_Complet!$A$3:$U$983,18,FALSE)=0,"",VLOOKUP($A38,DICO_Complet!$A$3:$U$983,18,FALSE))</f>
        <v/>
      </c>
    </row>
    <row r="39" spans="1:17">
      <c r="A39" s="38">
        <v>250425201505</v>
      </c>
      <c r="B39" s="47" t="s">
        <v>858</v>
      </c>
      <c r="C39" s="3" t="str">
        <f>VLOOKUP($A39,DICO_Complet!$A$3:$U$983,3,FALSE)</f>
        <v>Context</v>
      </c>
      <c r="D39" s="3" t="str">
        <f>VLOOKUP($A39,DICO_Complet!$A$3:$U$983,4,FALSE)</f>
        <v>cardContext</v>
      </c>
      <c r="E39" s="2" t="str">
        <f>VLOOKUP($A39,DICO_Complet!$A$3:$U$983,5,FALSE)</f>
        <v>temp_readerContactlessTransactionLimit</v>
      </c>
      <c r="F39" s="2" t="str">
        <f>VLOOKUP($A39,DICO_Complet!$A$3:$U$983,6,FALSE)</f>
        <v>Exact12NumericText</v>
      </c>
      <c r="G39" s="48">
        <f>VLOOKUP($A39,DICO_Complet!$A$3:$U$983,7,FALSE)</f>
        <v>0</v>
      </c>
      <c r="H39" s="48">
        <f>VLOOKUP($A39,DICO_Complet!$A$3:$U$983,8,FALSE)</f>
        <v>0</v>
      </c>
      <c r="I39" s="2" t="str">
        <f>IF(VLOOKUP($A39,DICO_Complet!$A$3:$U$983,9,FALSE)&lt;&gt;0,VLOOKUP($A39,DICO_Complet!$A$3:$U$983,9,FALSE),"")</f>
        <v/>
      </c>
      <c r="J39" s="1" t="str">
        <f>VLOOKUP($A39,DICO_Complet!$A$3:$U$983,10,FALSE)</f>
        <v>Reader Contactless Transaction limit</v>
      </c>
      <c r="K39" s="53" t="str">
        <f>IF(VLOOKUP($A39,DICO_Complet!$A$3:$U$983,12,FALSE)=0,"",VLOOKUP($A39,DICO_Complet!$A$3:$U$983,12,FALSE))</f>
        <v/>
      </c>
      <c r="L39" s="53" t="str">
        <f>IF(VLOOKUP($A39,DICO_Complet!$A$3:$U$983,13,FALSE)=0,"",VLOOKUP($A39,DICO_Complet!$A$3:$U$983,13,FALSE))</f>
        <v/>
      </c>
      <c r="M39" s="53" t="str">
        <f>IF(VLOOKUP($A39,DICO_Complet!$A$3:$U$983,14,FALSE)=0,"",VLOOKUP($A39,DICO_Complet!$A$3:$U$983,14,FALSE))</f>
        <v>72_DF88 part 5</v>
      </c>
      <c r="N39" s="53" t="str">
        <f>IF(VLOOKUP($A39,DICO_Complet!$A$3:$U$983,15,FALSE)=0,"",VLOOKUP($A39,DICO_Complet!$A$3:$U$983,15,FALSE))</f>
        <v/>
      </c>
      <c r="O39" s="53" t="str">
        <f>IF(VLOOKUP($A39,DICO_Complet!$A$3:$U$983,16,FALSE)=0,"",VLOOKUP($A39,DICO_Complet!$A$3:$U$983,16,FALSE))</f>
        <v/>
      </c>
      <c r="P39" s="53" t="str">
        <f>IF(VLOOKUP($A39,DICO_Complet!$A$3:$U$983,17,FALSE)=0,"",VLOOKUP($A39,DICO_Complet!$A$3:$U$983,17,FALSE))</f>
        <v/>
      </c>
      <c r="Q39" s="53" t="str">
        <f>IF(VLOOKUP($A39,DICO_Complet!$A$3:$U$983,18,FALSE)=0,"",VLOOKUP($A39,DICO_Complet!$A$3:$U$983,18,FALSE))</f>
        <v/>
      </c>
    </row>
    <row r="40" spans="1:17" ht="14.65" customHeight="1">
      <c r="A40" s="38">
        <v>250425201504</v>
      </c>
      <c r="B40" s="47" t="s">
        <v>858</v>
      </c>
      <c r="C40" s="3" t="str">
        <f>VLOOKUP($A40,DICO_Complet!$A$3:$U$983,3,FALSE)</f>
        <v>Context</v>
      </c>
      <c r="D40" s="3" t="str">
        <f>VLOOKUP($A40,DICO_Complet!$A$3:$U$983,4,FALSE)</f>
        <v>cardContext</v>
      </c>
      <c r="E40" s="2" t="str">
        <f>VLOOKUP($A40,DICO_Complet!$A$3:$U$983,5,FALSE)</f>
        <v>temp_readerCvmRequiredLimit</v>
      </c>
      <c r="F40" s="2" t="str">
        <f>VLOOKUP($A40,DICO_Complet!$A$3:$U$983,6,FALSE)</f>
        <v>Exact12NumericText</v>
      </c>
      <c r="G40" s="48">
        <f>VLOOKUP($A40,DICO_Complet!$A$3:$U$983,7,FALSE)</f>
        <v>0</v>
      </c>
      <c r="H40" s="48">
        <f>VLOOKUP($A40,DICO_Complet!$A$3:$U$983,8,FALSE)</f>
        <v>0</v>
      </c>
      <c r="I40" s="2" t="str">
        <f>IF(VLOOKUP($A40,DICO_Complet!$A$3:$U$983,9,FALSE)&lt;&gt;0,VLOOKUP($A40,DICO_Complet!$A$3:$U$983,9,FALSE),"")</f>
        <v/>
      </c>
      <c r="J40" s="1" t="str">
        <f>VLOOKUP($A40,DICO_Complet!$A$3:$U$983,10,FALSE)</f>
        <v>Reader CVM Required Limit</v>
      </c>
      <c r="K40" s="53" t="str">
        <f>IF(VLOOKUP($A40,DICO_Complet!$A$3:$U$983,12,FALSE)=0,"",VLOOKUP($A40,DICO_Complet!$A$3:$U$983,12,FALSE))</f>
        <v/>
      </c>
      <c r="L40" s="53" t="str">
        <f>IF(VLOOKUP($A40,DICO_Complet!$A$3:$U$983,13,FALSE)=0,"",VLOOKUP($A40,DICO_Complet!$A$3:$U$983,13,FALSE))</f>
        <v/>
      </c>
      <c r="M40" s="53" t="str">
        <f>IF(VLOOKUP($A40,DICO_Complet!$A$3:$U$983,14,FALSE)=0,"",VLOOKUP($A40,DICO_Complet!$A$3:$U$983,14,FALSE))</f>
        <v>72_DF88 part 4</v>
      </c>
      <c r="N40" s="53" t="str">
        <f>IF(VLOOKUP($A40,DICO_Complet!$A$3:$U$983,15,FALSE)=0,"",VLOOKUP($A40,DICO_Complet!$A$3:$U$983,15,FALSE))</f>
        <v/>
      </c>
      <c r="O40" s="53" t="str">
        <f>IF(VLOOKUP($A40,DICO_Complet!$A$3:$U$983,16,FALSE)=0,"",VLOOKUP($A40,DICO_Complet!$A$3:$U$983,16,FALSE))</f>
        <v/>
      </c>
      <c r="P40" s="53" t="str">
        <f>IF(VLOOKUP($A40,DICO_Complet!$A$3:$U$983,17,FALSE)=0,"",VLOOKUP($A40,DICO_Complet!$A$3:$U$983,17,FALSE))</f>
        <v/>
      </c>
      <c r="Q40" s="53" t="str">
        <f>IF(VLOOKUP($A40,DICO_Complet!$A$3:$U$983,18,FALSE)=0,"",VLOOKUP($A40,DICO_Complet!$A$3:$U$983,18,FALSE))</f>
        <v/>
      </c>
    </row>
    <row r="41" spans="1:17">
      <c r="A41" s="38">
        <v>250425201509</v>
      </c>
      <c r="B41" s="47" t="s">
        <v>858</v>
      </c>
      <c r="C41" s="3" t="str">
        <f>VLOOKUP($A41,DICO_Complet!$A$3:$U$983,3,FALSE)</f>
        <v>Context</v>
      </c>
      <c r="D41" s="3" t="str">
        <f>VLOOKUP($A41,DICO_Complet!$A$3:$U$983,4,FALSE)</f>
        <v>cardContext</v>
      </c>
      <c r="E41" s="2" t="str">
        <f>VLOOKUP($A41,DICO_Complet!$A$3:$U$983,5,FALSE)</f>
        <v>temp_statusCheckSupportFlag</v>
      </c>
      <c r="F41" s="2" t="str">
        <f>VLOOKUP($A41,DICO_Complet!$A$3:$U$983,6,FALSE)</f>
        <v>TrueFalseIndicator</v>
      </c>
      <c r="G41" s="48">
        <f>VLOOKUP($A41,DICO_Complet!$A$3:$U$983,7,FALSE)</f>
        <v>0</v>
      </c>
      <c r="H41" s="48">
        <f>VLOOKUP($A41,DICO_Complet!$A$3:$U$983,8,FALSE)</f>
        <v>0</v>
      </c>
      <c r="I41" s="2" t="str">
        <f>IF(VLOOKUP($A41,DICO_Complet!$A$3:$U$983,9,FALSE)&lt;&gt;0,VLOOKUP($A41,DICO_Complet!$A$3:$U$983,9,FALSE),"")</f>
        <v/>
      </c>
      <c r="J41" s="1" t="str">
        <f>VLOOKUP($A41,DICO_Complet!$A$3:$U$983,10,FALSE)</f>
        <v>Status check support flag</v>
      </c>
      <c r="K41" s="53" t="str">
        <f>IF(VLOOKUP($A41,DICO_Complet!$A$3:$U$983,12,FALSE)=0,"",VLOOKUP($A41,DICO_Complet!$A$3:$U$983,12,FALSE))</f>
        <v/>
      </c>
      <c r="L41" s="53" t="str">
        <f>IF(VLOOKUP($A41,DICO_Complet!$A$3:$U$983,13,FALSE)=0,"",VLOOKUP($A41,DICO_Complet!$A$3:$U$983,13,FALSE))</f>
        <v/>
      </c>
      <c r="M41" s="53" t="str">
        <f>IF(VLOOKUP($A41,DICO_Complet!$A$3:$U$983,14,FALSE)=0,"",VLOOKUP($A41,DICO_Complet!$A$3:$U$983,14,FALSE))</f>
        <v>72_DF89 part 2</v>
      </c>
      <c r="N41" s="53" t="str">
        <f>IF(VLOOKUP($A41,DICO_Complet!$A$3:$U$983,15,FALSE)=0,"",VLOOKUP($A41,DICO_Complet!$A$3:$U$983,15,FALSE))</f>
        <v/>
      </c>
      <c r="O41" s="53" t="str">
        <f>IF(VLOOKUP($A41,DICO_Complet!$A$3:$U$983,16,FALSE)=0,"",VLOOKUP($A41,DICO_Complet!$A$3:$U$983,16,FALSE))</f>
        <v/>
      </c>
      <c r="P41" s="53" t="str">
        <f>IF(VLOOKUP($A41,DICO_Complet!$A$3:$U$983,17,FALSE)=0,"",VLOOKUP($A41,DICO_Complet!$A$3:$U$983,17,FALSE))</f>
        <v/>
      </c>
      <c r="Q41" s="53" t="str">
        <f>IF(VLOOKUP($A41,DICO_Complet!$A$3:$U$983,18,FALSE)=0,"",VLOOKUP($A41,DICO_Complet!$A$3:$U$983,18,FALSE))</f>
        <v/>
      </c>
    </row>
    <row r="42" spans="1:17" ht="14.65" customHeight="1">
      <c r="A42" s="38">
        <v>250425201502</v>
      </c>
      <c r="B42" s="47" t="s">
        <v>858</v>
      </c>
      <c r="C42" s="3" t="str">
        <f>VLOOKUP($A42,DICO_Complet!$A$3:$U$983,3,FALSE)</f>
        <v>Context</v>
      </c>
      <c r="D42" s="3" t="str">
        <f>VLOOKUP($A42,DICO_Complet!$A$3:$U$983,4,FALSE)</f>
        <v>cardContext</v>
      </c>
      <c r="E42" s="2" t="str">
        <f>VLOOKUP($A42,DICO_Complet!$A$3:$U$983,5,FALSE)</f>
        <v>temp_terminalFloorLimit</v>
      </c>
      <c r="F42" s="2" t="str">
        <f>VLOOKUP($A42,DICO_Complet!$A$3:$U$983,6,FALSE)</f>
        <v>Exact12NumericText</v>
      </c>
      <c r="G42" s="48">
        <f>VLOOKUP($A42,DICO_Complet!$A$3:$U$983,7,FALSE)</f>
        <v>0</v>
      </c>
      <c r="H42" s="48">
        <f>VLOOKUP($A42,DICO_Complet!$A$3:$U$983,8,FALSE)</f>
        <v>0</v>
      </c>
      <c r="I42" s="2" t="str">
        <f>IF(VLOOKUP($A42,DICO_Complet!$A$3:$U$983,9,FALSE)&lt;&gt;0,VLOOKUP($A42,DICO_Complet!$A$3:$U$983,9,FALSE),"")</f>
        <v/>
      </c>
      <c r="J42" s="1" t="str">
        <f>VLOOKUP($A42,DICO_Complet!$A$3:$U$983,10,FALSE)</f>
        <v>Terminal Floor limit</v>
      </c>
      <c r="K42" s="53" t="str">
        <f>IF(VLOOKUP($A42,DICO_Complet!$A$3:$U$983,12,FALSE)=0,"",VLOOKUP($A42,DICO_Complet!$A$3:$U$983,12,FALSE))</f>
        <v/>
      </c>
      <c r="L42" s="53" t="str">
        <f>IF(VLOOKUP($A42,DICO_Complet!$A$3:$U$983,13,FALSE)=0,"",VLOOKUP($A42,DICO_Complet!$A$3:$U$983,13,FALSE))</f>
        <v/>
      </c>
      <c r="M42" s="53" t="str">
        <f>IF(VLOOKUP($A42,DICO_Complet!$A$3:$U$983,14,FALSE)=0,"",VLOOKUP($A42,DICO_Complet!$A$3:$U$983,14,FALSE))</f>
        <v>72_DF88 part 2</v>
      </c>
      <c r="N42" s="53" t="str">
        <f>IF(VLOOKUP($A42,DICO_Complet!$A$3:$U$983,15,FALSE)=0,"",VLOOKUP($A42,DICO_Complet!$A$3:$U$983,15,FALSE))</f>
        <v/>
      </c>
      <c r="O42" s="53" t="str">
        <f>IF(VLOOKUP($A42,DICO_Complet!$A$3:$U$983,16,FALSE)=0,"",VLOOKUP($A42,DICO_Complet!$A$3:$U$983,16,FALSE))</f>
        <v/>
      </c>
      <c r="P42" s="53" t="str">
        <f>IF(VLOOKUP($A42,DICO_Complet!$A$3:$U$983,17,FALSE)=0,"",VLOOKUP($A42,DICO_Complet!$A$3:$U$983,17,FALSE))</f>
        <v/>
      </c>
      <c r="Q42" s="53" t="str">
        <f>IF(VLOOKUP($A42,DICO_Complet!$A$3:$U$983,18,FALSE)=0,"",VLOOKUP($A42,DICO_Complet!$A$3:$U$983,18,FALSE))</f>
        <v/>
      </c>
    </row>
    <row r="43" spans="1:17" ht="15" customHeight="1">
      <c r="A43" s="38">
        <v>250425201500</v>
      </c>
      <c r="B43" s="47" t="s">
        <v>858</v>
      </c>
      <c r="C43" s="3" t="str">
        <f>VLOOKUP($A43,DICO_Complet!$A$3:$U$983,3,FALSE)</f>
        <v>Context</v>
      </c>
      <c r="D43" s="3" t="str">
        <f>VLOOKUP($A43,DICO_Complet!$A$3:$U$983,4,FALSE)</f>
        <v>cardContext</v>
      </c>
      <c r="E43" s="2" t="str">
        <f>VLOOKUP($A43,DICO_Complet!$A$3:$U$983,5,FALSE)</f>
        <v>temp_typeOfKernelTransaction</v>
      </c>
      <c r="F43" s="2" t="str">
        <f>VLOOKUP($A43,DICO_Complet!$A$3:$U$983,6,FALSE)</f>
        <v>temp_typeOfKernelTransactionCodeset</v>
      </c>
      <c r="G43" s="48">
        <f>VLOOKUP($A43,DICO_Complet!$A$3:$U$983,7,FALSE)</f>
        <v>0</v>
      </c>
      <c r="H43" s="48">
        <f>VLOOKUP($A43,DICO_Complet!$A$3:$U$983,8,FALSE)</f>
        <v>0</v>
      </c>
      <c r="I43" s="2" t="str">
        <f>IF(VLOOKUP($A43,DICO_Complet!$A$3:$U$983,9,FALSE)&lt;&gt;0,VLOOKUP($A43,DICO_Complet!$A$3:$U$983,9,FALSE),"")</f>
        <v/>
      </c>
      <c r="J43" s="1" t="str">
        <f>VLOOKUP($A43,DICO_Complet!$A$3:$U$983,10,FALSE)</f>
        <v>Type of kernel transaction</v>
      </c>
      <c r="K43" s="53" t="str">
        <f>IF(VLOOKUP($A43,DICO_Complet!$A$3:$U$983,12,FALSE)=0,"",VLOOKUP($A43,DICO_Complet!$A$3:$U$983,12,FALSE))</f>
        <v/>
      </c>
      <c r="L43" s="53" t="str">
        <f>IF(VLOOKUP($A43,DICO_Complet!$A$3:$U$983,13,FALSE)=0,"",VLOOKUP($A43,DICO_Complet!$A$3:$U$983,13,FALSE))</f>
        <v/>
      </c>
      <c r="M43" s="53" t="str">
        <f>IF(VLOOKUP($A43,DICO_Complet!$A$3:$U$983,14,FALSE)=0,"",VLOOKUP($A43,DICO_Complet!$A$3:$U$983,14,FALSE))</f>
        <v>72_DF87 part 4</v>
      </c>
      <c r="N43" s="53" t="str">
        <f>IF(VLOOKUP($A43,DICO_Complet!$A$3:$U$983,15,FALSE)=0,"",VLOOKUP($A43,DICO_Complet!$A$3:$U$983,15,FALSE))</f>
        <v/>
      </c>
      <c r="O43" s="53" t="str">
        <f>IF(VLOOKUP($A43,DICO_Complet!$A$3:$U$983,16,FALSE)=0,"",VLOOKUP($A43,DICO_Complet!$A$3:$U$983,16,FALSE))</f>
        <v/>
      </c>
      <c r="P43" s="53" t="str">
        <f>IF(VLOOKUP($A43,DICO_Complet!$A$3:$U$983,17,FALSE)=0,"",VLOOKUP($A43,DICO_Complet!$A$3:$U$983,17,FALSE))</f>
        <v/>
      </c>
      <c r="Q43" s="53" t="str">
        <f>IF(VLOOKUP($A43,DICO_Complet!$A$3:$U$983,18,FALSE)=0,"",VLOOKUP($A43,DICO_Complet!$A$3:$U$983,18,FALSE))</f>
        <v/>
      </c>
    </row>
    <row r="44" spans="1:17" ht="15" customHeight="1">
      <c r="A44" s="38">
        <v>250425201510</v>
      </c>
      <c r="B44" s="47" t="s">
        <v>858</v>
      </c>
      <c r="C44" s="3" t="str">
        <f>VLOOKUP($A44,DICO_Complet!$A$3:$U$983,3,FALSE)</f>
        <v>Context</v>
      </c>
      <c r="D44" s="3" t="str">
        <f>VLOOKUP($A44,DICO_Complet!$A$3:$U$983,4,FALSE)</f>
        <v>cardContext</v>
      </c>
      <c r="E44" s="2" t="str">
        <f>VLOOKUP($A44,DICO_Complet!$A$3:$U$983,5,FALSE)</f>
        <v>temp_zeroAmountAllowedSupportFlag</v>
      </c>
      <c r="F44" s="2" t="str">
        <f>VLOOKUP($A44,DICO_Complet!$A$3:$U$983,6,FALSE)</f>
        <v>TrueFalseIndicator</v>
      </c>
      <c r="G44" s="48">
        <f>VLOOKUP($A44,DICO_Complet!$A$3:$U$983,7,FALSE)</f>
        <v>0</v>
      </c>
      <c r="H44" s="48">
        <f>VLOOKUP($A44,DICO_Complet!$A$3:$U$983,8,FALSE)</f>
        <v>0</v>
      </c>
      <c r="I44" s="2" t="str">
        <f>IF(VLOOKUP($A44,DICO_Complet!$A$3:$U$983,9,FALSE)&lt;&gt;0,VLOOKUP($A44,DICO_Complet!$A$3:$U$983,9,FALSE),"")</f>
        <v/>
      </c>
      <c r="J44" s="1" t="str">
        <f>VLOOKUP($A44,DICO_Complet!$A$3:$U$983,10,FALSE)</f>
        <v>Zero amount allowed support flag</v>
      </c>
      <c r="K44" s="53" t="str">
        <f>IF(VLOOKUP($A44,DICO_Complet!$A$3:$U$983,12,FALSE)=0,"",VLOOKUP($A44,DICO_Complet!$A$3:$U$983,12,FALSE))</f>
        <v/>
      </c>
      <c r="L44" s="53" t="str">
        <f>IF(VLOOKUP($A44,DICO_Complet!$A$3:$U$983,13,FALSE)=0,"",VLOOKUP($A44,DICO_Complet!$A$3:$U$983,13,FALSE))</f>
        <v/>
      </c>
      <c r="M44" s="53" t="str">
        <f>IF(VLOOKUP($A44,DICO_Complet!$A$3:$U$983,14,FALSE)=0,"",VLOOKUP($A44,DICO_Complet!$A$3:$U$983,14,FALSE))</f>
        <v>72_DF89 part 3</v>
      </c>
      <c r="N44" s="53" t="str">
        <f>IF(VLOOKUP($A44,DICO_Complet!$A$3:$U$983,15,FALSE)=0,"",VLOOKUP($A44,DICO_Complet!$A$3:$U$983,15,FALSE))</f>
        <v/>
      </c>
      <c r="O44" s="53" t="str">
        <f>IF(VLOOKUP($A44,DICO_Complet!$A$3:$U$983,16,FALSE)=0,"",VLOOKUP($A44,DICO_Complet!$A$3:$U$983,16,FALSE))</f>
        <v/>
      </c>
      <c r="P44" s="53" t="str">
        <f>IF(VLOOKUP($A44,DICO_Complet!$A$3:$U$983,17,FALSE)=0,"",VLOOKUP($A44,DICO_Complet!$A$3:$U$983,17,FALSE))</f>
        <v/>
      </c>
      <c r="Q44" s="53" t="str">
        <f>IF(VLOOKUP($A44,DICO_Complet!$A$3:$U$983,18,FALSE)=0,"",VLOOKUP($A44,DICO_Complet!$A$3:$U$983,18,FALSE))</f>
        <v/>
      </c>
    </row>
    <row r="45" spans="1:17">
      <c r="A45" s="38">
        <v>250425201519</v>
      </c>
      <c r="B45" s="47" t="s">
        <v>858</v>
      </c>
      <c r="C45" s="3" t="str">
        <f>VLOOKUP($A45,DICO_Complet!$A$3:$U$983,3,FALSE)</f>
        <v>Context</v>
      </c>
      <c r="D45" s="3" t="str">
        <f>VLOOKUP($A45,DICO_Complet!$A$3:$U$983,4,FALSE)</f>
        <v>cardContext</v>
      </c>
      <c r="E45" s="2" t="str">
        <f>VLOOKUP($A45,DICO_Complet!$A$3:$U$983,5,FALSE)</f>
        <v>temp_zeroAmountForOfflineAllowedFlag</v>
      </c>
      <c r="F45" s="2" t="str">
        <f>VLOOKUP($A45,DICO_Complet!$A$3:$U$983,6,FALSE)</f>
        <v>TrueFalseIndicator</v>
      </c>
      <c r="G45" s="48">
        <f>VLOOKUP($A45,DICO_Complet!$A$3:$U$983,7,FALSE)</f>
        <v>0</v>
      </c>
      <c r="H45" s="48">
        <f>VLOOKUP($A45,DICO_Complet!$A$3:$U$983,8,FALSE)</f>
        <v>0</v>
      </c>
      <c r="I45" s="2" t="str">
        <f>IF(VLOOKUP($A45,DICO_Complet!$A$3:$U$983,9,FALSE)&lt;&gt;0,VLOOKUP($A45,DICO_Complet!$A$3:$U$983,9,FALSE),"")</f>
        <v/>
      </c>
      <c r="J45" s="1" t="str">
        <f>VLOOKUP($A45,DICO_Complet!$A$3:$U$983,10,FALSE)</f>
        <v>Zero amount for offline allowed flag</v>
      </c>
      <c r="K45" s="53" t="str">
        <f>IF(VLOOKUP($A45,DICO_Complet!$A$3:$U$983,12,FALSE)=0,"",VLOOKUP($A45,DICO_Complet!$A$3:$U$983,12,FALSE))</f>
        <v/>
      </c>
      <c r="L45" s="53" t="str">
        <f>IF(VLOOKUP($A45,DICO_Complet!$A$3:$U$983,13,FALSE)=0,"",VLOOKUP($A45,DICO_Complet!$A$3:$U$983,13,FALSE))</f>
        <v/>
      </c>
      <c r="M45" s="53" t="str">
        <f>IF(VLOOKUP($A45,DICO_Complet!$A$3:$U$983,14,FALSE)=0,"",VLOOKUP($A45,DICO_Complet!$A$3:$U$983,14,FALSE))</f>
        <v xml:space="preserve">72_DFA9 part 6  </v>
      </c>
      <c r="N45" s="53" t="str">
        <f>IF(VLOOKUP($A45,DICO_Complet!$A$3:$U$983,15,FALSE)=0,"",VLOOKUP($A45,DICO_Complet!$A$3:$U$983,15,FALSE))</f>
        <v/>
      </c>
      <c r="O45" s="53" t="str">
        <f>IF(VLOOKUP($A45,DICO_Complet!$A$3:$U$983,16,FALSE)=0,"",VLOOKUP($A45,DICO_Complet!$A$3:$U$983,16,FALSE))</f>
        <v/>
      </c>
      <c r="P45" s="53" t="str">
        <f>IF(VLOOKUP($A45,DICO_Complet!$A$3:$U$983,17,FALSE)=0,"",VLOOKUP($A45,DICO_Complet!$A$3:$U$983,17,FALSE))</f>
        <v/>
      </c>
      <c r="Q45" s="53" t="str">
        <f>IF(VLOOKUP($A45,DICO_Complet!$A$3:$U$983,18,FALSE)=0,"",VLOOKUP($A45,DICO_Complet!$A$3:$U$983,18,FALSE))</f>
        <v/>
      </c>
    </row>
    <row r="46" spans="1:17">
      <c r="A46" s="38">
        <v>250331162614</v>
      </c>
      <c r="B46" s="47" t="s">
        <v>858</v>
      </c>
      <c r="C46" s="3" t="str">
        <f>VLOOKUP($A46,DICO_Complet!$A$3:$U$983,3,FALSE)</f>
        <v>Context</v>
      </c>
      <c r="D46" s="3" t="str">
        <f>VLOOKUP($A46,DICO_Complet!$A$3:$U$983,4,FALSE)</f>
        <v>cardContext</v>
      </c>
      <c r="E46" s="2" t="str">
        <f>VLOOKUP($A46,DICO_Complet!$A$3:$U$983,5,FALSE)</f>
        <v>typeOfAuthorisationRequestTrigger</v>
      </c>
      <c r="F46" s="2" t="str">
        <f>VLOOKUP($A46,DICO_Complet!$A$3:$U$983,6,FALSE)</f>
        <v>Exact1AlphaNumericText</v>
      </c>
      <c r="G46" s="48">
        <f>VLOOKUP($A46,DICO_Complet!$A$3:$U$983,7,FALSE)</f>
        <v>0</v>
      </c>
      <c r="H46" s="48">
        <f>VLOOKUP($A46,DICO_Complet!$A$3:$U$983,8,FALSE)</f>
        <v>0</v>
      </c>
      <c r="I46" s="2" t="str">
        <f>IF(VLOOKUP($A46,DICO_Complet!$A$3:$U$983,9,FALSE)&lt;&gt;0,VLOOKUP($A46,DICO_Complet!$A$3:$U$983,9,FALSE),"")</f>
        <v/>
      </c>
      <c r="J46" s="1" t="str">
        <f>VLOOKUP($A46,DICO_Complet!$A$3:$U$983,10,FALSE)</f>
        <v>Type of authorisation request trigger</v>
      </c>
      <c r="K46" s="53" t="str">
        <f>IF(VLOOKUP($A46,DICO_Complet!$A$3:$U$983,12,FALSE)=0,"",VLOOKUP($A46,DICO_Complet!$A$3:$U$983,12,FALSE))</f>
        <v/>
      </c>
      <c r="L46" s="53" t="str">
        <f>IF(VLOOKUP($A46,DICO_Complet!$A$3:$U$983,13,FALSE)=0,"",VLOOKUP($A46,DICO_Complet!$A$3:$U$983,13,FALSE))</f>
        <v/>
      </c>
      <c r="M46" s="53" t="str">
        <f>IF(VLOOKUP($A46,DICO_Complet!$A$3:$U$983,14,FALSE)=0,"",VLOOKUP($A46,DICO_Complet!$A$3:$U$983,14,FALSE))</f>
        <v/>
      </c>
      <c r="N46" s="53" t="str">
        <f>IF(VLOOKUP($A46,DICO_Complet!$A$3:$U$983,15,FALSE)=0,"",VLOOKUP($A46,DICO_Complet!$A$3:$U$983,15,FALSE))</f>
        <v/>
      </c>
      <c r="O46" s="53" t="str">
        <f>IF(VLOOKUP($A46,DICO_Complet!$A$3:$U$983,16,FALSE)=0,"",VLOOKUP($A46,DICO_Complet!$A$3:$U$983,16,FALSE))</f>
        <v/>
      </c>
      <c r="P46" s="53" t="str">
        <f>IF(VLOOKUP($A46,DICO_Complet!$A$3:$U$983,17,FALSE)=0,"",VLOOKUP($A46,DICO_Complet!$A$3:$U$983,17,FALSE))</f>
        <v/>
      </c>
      <c r="Q46" s="53" t="str">
        <f>IF(VLOOKUP($A46,DICO_Complet!$A$3:$U$983,18,FALSE)=0,"",VLOOKUP($A46,DICO_Complet!$A$3:$U$983,18,FALSE))</f>
        <v/>
      </c>
    </row>
    <row r="47" spans="1:17">
      <c r="A47" s="38">
        <v>250410114318</v>
      </c>
      <c r="B47" s="47" t="s">
        <v>858</v>
      </c>
      <c r="C47" s="3" t="str">
        <f>VLOOKUP($A47,DICO_Complet!$A$3:$U$983,3,FALSE)</f>
        <v>Context</v>
      </c>
      <c r="D47" s="3" t="str">
        <f>VLOOKUP($A47,DICO_Complet!$A$3:$U$983,4,FALSE)</f>
        <v>cardContext</v>
      </c>
      <c r="E47" s="2" t="str">
        <f>VLOOKUP($A47,DICO_Complet!$A$3:$U$983,5,FALSE)</f>
        <v>urgentManufacturingIndicator</v>
      </c>
      <c r="F47" s="2" t="str">
        <f>VLOOKUP($A47,DICO_Complet!$A$3:$U$983,6,FALSE)</f>
        <v>TrueFalseIndicator</v>
      </c>
      <c r="G47" s="48">
        <f>VLOOKUP($A47,DICO_Complet!$A$3:$U$983,7,FALSE)</f>
        <v>0</v>
      </c>
      <c r="H47" s="48">
        <f>VLOOKUP($A47,DICO_Complet!$A$3:$U$983,8,FALSE)</f>
        <v>0</v>
      </c>
      <c r="I47" s="2" t="str">
        <f>IF(VLOOKUP($A47,DICO_Complet!$A$3:$U$983,9,FALSE)&lt;&gt;0,VLOOKUP($A47,DICO_Complet!$A$3:$U$983,9,FALSE),"")</f>
        <v/>
      </c>
      <c r="J47" s="1" t="str">
        <f>VLOOKUP($A47,DICO_Complet!$A$3:$U$983,10,FALSE)</f>
        <v>Indicateur personnalisation urgente</v>
      </c>
      <c r="K47" s="53" t="str">
        <f>IF(VLOOKUP($A47,DICO_Complet!$A$3:$U$983,12,FALSE)=0,"",VLOOKUP($A47,DICO_Complet!$A$3:$U$983,12,FALSE))</f>
        <v/>
      </c>
      <c r="L47" s="53" t="str">
        <f>IF(VLOOKUP($A47,DICO_Complet!$A$3:$U$983,13,FALSE)=0,"",VLOOKUP($A47,DICO_Complet!$A$3:$U$983,13,FALSE))</f>
        <v/>
      </c>
      <c r="M47" s="53" t="str">
        <f>IF(VLOOKUP($A47,DICO_Complet!$A$3:$U$983,14,FALSE)=0,"",VLOOKUP($A47,DICO_Complet!$A$3:$U$983,14,FALSE))</f>
        <v/>
      </c>
      <c r="N47" s="53" t="str">
        <f>IF(VLOOKUP($A47,DICO_Complet!$A$3:$U$983,15,FALSE)=0,"",VLOOKUP($A47,DICO_Complet!$A$3:$U$983,15,FALSE))</f>
        <v/>
      </c>
      <c r="O47" s="53" t="str">
        <f>IF(VLOOKUP($A47,DICO_Complet!$A$3:$U$983,16,FALSE)=0,"",VLOOKUP($A47,DICO_Complet!$A$3:$U$983,16,FALSE))</f>
        <v/>
      </c>
      <c r="P47" s="53" t="str">
        <f>IF(VLOOKUP($A47,DICO_Complet!$A$3:$U$983,17,FALSE)=0,"",VLOOKUP($A47,DICO_Complet!$A$3:$U$983,17,FALSE))</f>
        <v/>
      </c>
      <c r="Q47" s="53" t="str">
        <f>IF(VLOOKUP($A47,DICO_Complet!$A$3:$U$983,18,FALSE)=0,"",VLOOKUP($A47,DICO_Complet!$A$3:$U$983,18,FALSE))</f>
        <v/>
      </c>
    </row>
    <row r="48" spans="1:17">
      <c r="A48" s="38">
        <v>250415114200</v>
      </c>
      <c r="B48" s="47" t="s">
        <v>858</v>
      </c>
      <c r="C48" s="3" t="str">
        <f>VLOOKUP($A48,DICO_Complet!$A$3:$U$983,3,FALSE)</f>
        <v>Context</v>
      </c>
      <c r="D48" s="3" t="str">
        <f>VLOOKUP($A48,DICO_Complet!$A$3:$U$983,4,FALSE)</f>
        <v>merchantParameters</v>
      </c>
      <c r="E48" s="2" t="str">
        <f>VLOOKUP($A48,DICO_Complet!$A$3:$U$983,5,FALSE)</f>
        <v>acquiringAllowedServices</v>
      </c>
      <c r="F48" s="2" t="str">
        <f>VLOOKUP($A48,DICO_Complet!$A$3:$U$983,6,FALSE)</f>
        <v>AcquiringAllowedServicesCodeset</v>
      </c>
      <c r="G48" s="48">
        <f>VLOOKUP($A48,DICO_Complet!$A$3:$U$983,7,FALSE)</f>
        <v>0</v>
      </c>
      <c r="H48" s="48">
        <f>VLOOKUP($A48,DICO_Complet!$A$3:$U$983,8,FALSE)</f>
        <v>0</v>
      </c>
      <c r="I48" s="2" t="str">
        <f>IF(VLOOKUP($A48,DICO_Complet!$A$3:$U$983,9,FALSE)&lt;&gt;0,VLOOKUP($A48,DICO_Complet!$A$3:$U$983,9,FALSE),"")</f>
        <v/>
      </c>
      <c r="J48" s="1" t="str">
        <f>VLOOKUP($A48,DICO_Complet!$A$3:$U$983,10,FALSE)</f>
        <v>authorised front services</v>
      </c>
      <c r="K48" s="53" t="str">
        <f>IF(VLOOKUP($A48,DICO_Complet!$A$3:$U$983,12,FALSE)=0,"",VLOOKUP($A48,DICO_Complet!$A$3:$U$983,12,FALSE))</f>
        <v/>
      </c>
      <c r="L48" s="53" t="str">
        <f>IF(VLOOKUP($A48,DICO_Complet!$A$3:$U$983,13,FALSE)=0,"",VLOOKUP($A48,DICO_Complet!$A$3:$U$983,13,FALSE))</f>
        <v/>
      </c>
      <c r="M48" s="53" t="str">
        <f>IF(VLOOKUP($A48,DICO_Complet!$A$3:$U$983,14,FALSE)=0,"",VLOOKUP($A48,DICO_Complet!$A$3:$U$983,14,FALSE))</f>
        <v/>
      </c>
      <c r="N48" s="53" t="str">
        <f>IF(VLOOKUP($A48,DICO_Complet!$A$3:$U$983,15,FALSE)=0,"",VLOOKUP($A48,DICO_Complet!$A$3:$U$983,15,FALSE))</f>
        <v/>
      </c>
      <c r="O48" s="53" t="str">
        <f>IF(VLOOKUP($A48,DICO_Complet!$A$3:$U$983,16,FALSE)=0,"",VLOOKUP($A48,DICO_Complet!$A$3:$U$983,16,FALSE))</f>
        <v/>
      </c>
      <c r="P48" s="53" t="str">
        <f>IF(VLOOKUP($A48,DICO_Complet!$A$3:$U$983,17,FALSE)=0,"",VLOOKUP($A48,DICO_Complet!$A$3:$U$983,17,FALSE))</f>
        <v/>
      </c>
      <c r="Q48" s="53" t="str">
        <f>IF(VLOOKUP($A48,DICO_Complet!$A$3:$U$983,18,FALSE)=0,"",VLOOKUP($A48,DICO_Complet!$A$3:$U$983,18,FALSE))</f>
        <v/>
      </c>
    </row>
    <row r="49" spans="1:17" ht="14.65" customHeight="1">
      <c r="A49" s="38">
        <v>250428083000</v>
      </c>
      <c r="B49" s="47" t="s">
        <v>858</v>
      </c>
      <c r="C49" s="3" t="str">
        <f>VLOOKUP($A49,DICO_Complet!$A$3:$U$983,3,FALSE)</f>
        <v>Context</v>
      </c>
      <c r="D49" s="3" t="str">
        <f>VLOOKUP($A49,DICO_Complet!$A$3:$U$983,4,FALSE)</f>
        <v>merchantParameters</v>
      </c>
      <c r="E49" s="2" t="str">
        <f>VLOOKUP($A49,DICO_Complet!$A$3:$U$983,5,FALSE)</f>
        <v>additionalInvoiceIndicator</v>
      </c>
      <c r="F49" s="2" t="str">
        <f>VLOOKUP($A49,DICO_Complet!$A$3:$U$983,6,FALSE)</f>
        <v>TrueFalseIndicator</v>
      </c>
      <c r="G49" s="48">
        <f>VLOOKUP($A49,DICO_Complet!$A$3:$U$983,7,FALSE)</f>
        <v>0</v>
      </c>
      <c r="H49" s="48">
        <f>VLOOKUP($A49,DICO_Complet!$A$3:$U$983,8,FALSE)</f>
        <v>0</v>
      </c>
      <c r="I49" s="2" t="str">
        <f>IF(VLOOKUP($A49,DICO_Complet!$A$3:$U$983,9,FALSE)&lt;&gt;0,VLOOKUP($A49,DICO_Complet!$A$3:$U$983,9,FALSE),"")</f>
        <v/>
      </c>
      <c r="J49" s="1" t="str">
        <f>VLOOKUP($A49,DICO_Complet!$A$3:$U$983,10,FALSE)</f>
        <v>Indicate if the merchant can do additional invoices</v>
      </c>
      <c r="K49" s="53" t="str">
        <f>IF(VLOOKUP($A49,DICO_Complet!$A$3:$U$983,12,FALSE)=0,"",VLOOKUP($A49,DICO_Complet!$A$3:$U$983,12,FALSE))</f>
        <v/>
      </c>
      <c r="L49" s="53" t="str">
        <f>IF(VLOOKUP($A49,DICO_Complet!$A$3:$U$983,13,FALSE)=0,"",VLOOKUP($A49,DICO_Complet!$A$3:$U$983,13,FALSE))</f>
        <v/>
      </c>
      <c r="M49" s="53" t="str">
        <f>IF(VLOOKUP($A49,DICO_Complet!$A$3:$U$983,14,FALSE)=0,"",VLOOKUP($A49,DICO_Complet!$A$3:$U$983,14,FALSE))</f>
        <v/>
      </c>
      <c r="N49" s="53" t="str">
        <f>IF(VLOOKUP($A49,DICO_Complet!$A$3:$U$983,15,FALSE)=0,"",VLOOKUP($A49,DICO_Complet!$A$3:$U$983,15,FALSE))</f>
        <v/>
      </c>
      <c r="O49" s="53" t="str">
        <f>IF(VLOOKUP($A49,DICO_Complet!$A$3:$U$983,16,FALSE)=0,"",VLOOKUP($A49,DICO_Complet!$A$3:$U$983,16,FALSE))</f>
        <v/>
      </c>
      <c r="P49" s="53" t="str">
        <f>IF(VLOOKUP($A49,DICO_Complet!$A$3:$U$983,17,FALSE)=0,"",VLOOKUP($A49,DICO_Complet!$A$3:$U$983,17,FALSE))</f>
        <v/>
      </c>
      <c r="Q49" s="53" t="str">
        <f>IF(VLOOKUP($A49,DICO_Complet!$A$3:$U$983,18,FALSE)=0,"",VLOOKUP($A49,DICO_Complet!$A$3:$U$983,18,FALSE))</f>
        <v/>
      </c>
    </row>
    <row r="50" spans="1:17" ht="15" customHeight="1">
      <c r="A50" s="38">
        <v>250415120100</v>
      </c>
      <c r="B50" s="47" t="s">
        <v>858</v>
      </c>
      <c r="C50" s="3" t="str">
        <f>VLOOKUP($A50,DICO_Complet!$A$3:$U$983,3,FALSE)</f>
        <v>Context</v>
      </c>
      <c r="D50" s="3" t="str">
        <f>VLOOKUP($A50,DICO_Complet!$A$3:$U$983,4,FALSE)</f>
        <v>merchantParameters</v>
      </c>
      <c r="E50" s="2" t="str">
        <f>VLOOKUP($A50,DICO_Complet!$A$3:$U$983,5,FALSE)</f>
        <v>addressUse</v>
      </c>
      <c r="F50" s="2" t="str">
        <f>VLOOKUP($A50,DICO_Complet!$A$3:$U$983,6,FALSE)</f>
        <v>AddressUseCodeset</v>
      </c>
      <c r="G50" s="48">
        <f>VLOOKUP($A50,DICO_Complet!$A$3:$U$983,7,FALSE)</f>
        <v>0</v>
      </c>
      <c r="H50" s="48">
        <f>VLOOKUP($A50,DICO_Complet!$A$3:$U$983,8,FALSE)</f>
        <v>0</v>
      </c>
      <c r="I50" s="2" t="str">
        <f>IF(VLOOKUP($A50,DICO_Complet!$A$3:$U$983,9,FALSE)&lt;&gt;0,VLOOKUP($A50,DICO_Complet!$A$3:$U$983,9,FALSE),"")</f>
        <v/>
      </c>
      <c r="J50" s="1" t="str">
        <f>VLOOKUP($A50,DICO_Complet!$A$3:$U$983,10,FALSE)</f>
        <v>Address use cases</v>
      </c>
      <c r="K50" s="53" t="str">
        <f>IF(VLOOKUP($A50,DICO_Complet!$A$3:$U$983,12,FALSE)=0,"",VLOOKUP($A50,DICO_Complet!$A$3:$U$983,12,FALSE))</f>
        <v/>
      </c>
      <c r="L50" s="53" t="str">
        <f>IF(VLOOKUP($A50,DICO_Complet!$A$3:$U$983,13,FALSE)=0,"",VLOOKUP($A50,DICO_Complet!$A$3:$U$983,13,FALSE))</f>
        <v/>
      </c>
      <c r="M50" s="53" t="str">
        <f>IF(VLOOKUP($A50,DICO_Complet!$A$3:$U$983,14,FALSE)=0,"",VLOOKUP($A50,DICO_Complet!$A$3:$U$983,14,FALSE))</f>
        <v/>
      </c>
      <c r="N50" s="53" t="str">
        <f>IF(VLOOKUP($A50,DICO_Complet!$A$3:$U$983,15,FALSE)=0,"",VLOOKUP($A50,DICO_Complet!$A$3:$U$983,15,FALSE))</f>
        <v/>
      </c>
      <c r="O50" s="53" t="str">
        <f>IF(VLOOKUP($A50,DICO_Complet!$A$3:$U$983,16,FALSE)=0,"",VLOOKUP($A50,DICO_Complet!$A$3:$U$983,16,FALSE))</f>
        <v/>
      </c>
      <c r="P50" s="53" t="str">
        <f>IF(VLOOKUP($A50,DICO_Complet!$A$3:$U$983,17,FALSE)=0,"",VLOOKUP($A50,DICO_Complet!$A$3:$U$983,17,FALSE))</f>
        <v/>
      </c>
      <c r="Q50" s="53" t="str">
        <f>IF(VLOOKUP($A50,DICO_Complet!$A$3:$U$983,18,FALSE)=0,"",VLOOKUP($A50,DICO_Complet!$A$3:$U$983,18,FALSE))</f>
        <v/>
      </c>
    </row>
    <row r="51" spans="1:17" ht="15" customHeight="1">
      <c r="A51" s="38">
        <v>250428083400</v>
      </c>
      <c r="B51" s="47" t="s">
        <v>858</v>
      </c>
      <c r="C51" s="3" t="str">
        <f>VLOOKUP($A51,DICO_Complet!$A$3:$U$983,3,FALSE)</f>
        <v>Context</v>
      </c>
      <c r="D51" s="3" t="str">
        <f>VLOOKUP($A51,DICO_Complet!$A$3:$U$983,4,FALSE)</f>
        <v>merchantParameters</v>
      </c>
      <c r="E51" s="2" t="str">
        <f>VLOOKUP($A51,DICO_Complet!$A$3:$U$983,5,FALSE)</f>
        <v>authorisationFloorLimit</v>
      </c>
      <c r="F51" s="2" t="str">
        <f>VLOOKUP($A51,DICO_Complet!$A$3:$U$983,6,FALSE)</f>
        <v>AmountType</v>
      </c>
      <c r="G51" s="48">
        <f>VLOOKUP($A51,DICO_Complet!$A$3:$U$983,7,FALSE)</f>
        <v>0</v>
      </c>
      <c r="H51" s="48">
        <f>VLOOKUP($A51,DICO_Complet!$A$3:$U$983,8,FALSE)</f>
        <v>0</v>
      </c>
      <c r="I51" s="2" t="str">
        <f>IF(VLOOKUP($A51,DICO_Complet!$A$3:$U$983,9,FALSE)&lt;&gt;0,VLOOKUP($A51,DICO_Complet!$A$3:$U$983,9,FALSE),"")</f>
        <v/>
      </c>
      <c r="J51" s="1" t="str">
        <f>VLOOKUP($A51,DICO_Complet!$A$3:$U$983,10,FALSE)</f>
        <v>Indicate the floor limite an online authorisation has to be done.(Use AmountType structure and Amount attribute)</v>
      </c>
      <c r="K51" s="53" t="str">
        <f>IF(VLOOKUP($A51,DICO_Complet!$A$3:$U$983,12,FALSE)=0,"",VLOOKUP($A51,DICO_Complet!$A$3:$U$983,12,FALSE))</f>
        <v/>
      </c>
      <c r="L51" s="53" t="str">
        <f>IF(VLOOKUP($A51,DICO_Complet!$A$3:$U$983,13,FALSE)=0,"",VLOOKUP($A51,DICO_Complet!$A$3:$U$983,13,FALSE))</f>
        <v/>
      </c>
      <c r="M51" s="53" t="str">
        <f>IF(VLOOKUP($A51,DICO_Complet!$A$3:$U$983,14,FALSE)=0,"",VLOOKUP($A51,DICO_Complet!$A$3:$U$983,14,FALSE))</f>
        <v/>
      </c>
      <c r="N51" s="53" t="str">
        <f>IF(VLOOKUP($A51,DICO_Complet!$A$3:$U$983,15,FALSE)=0,"",VLOOKUP($A51,DICO_Complet!$A$3:$U$983,15,FALSE))</f>
        <v/>
      </c>
      <c r="O51" s="53" t="str">
        <f>IF(VLOOKUP($A51,DICO_Complet!$A$3:$U$983,16,FALSE)=0,"",VLOOKUP($A51,DICO_Complet!$A$3:$U$983,16,FALSE))</f>
        <v/>
      </c>
      <c r="P51" s="53" t="str">
        <f>IF(VLOOKUP($A51,DICO_Complet!$A$3:$U$983,17,FALSE)=0,"",VLOOKUP($A51,DICO_Complet!$A$3:$U$983,17,FALSE))</f>
        <v/>
      </c>
      <c r="Q51" s="53" t="str">
        <f>IF(VLOOKUP($A51,DICO_Complet!$A$3:$U$983,18,FALSE)=0,"",VLOOKUP($A51,DICO_Complet!$A$3:$U$983,18,FALSE))</f>
        <v/>
      </c>
    </row>
    <row r="52" spans="1:17">
      <c r="A52" s="38">
        <v>250428082600</v>
      </c>
      <c r="B52" s="47" t="s">
        <v>858</v>
      </c>
      <c r="C52" s="3" t="str">
        <f>VLOOKUP($A52,DICO_Complet!$A$3:$U$983,3,FALSE)</f>
        <v>Context</v>
      </c>
      <c r="D52" s="3" t="str">
        <f>VLOOKUP($A52,DICO_Complet!$A$3:$U$983,4,FALSE)</f>
        <v>merchantParameters</v>
      </c>
      <c r="E52" s="2" t="str">
        <f>VLOOKUP($A52,DICO_Complet!$A$3:$U$983,5,FALSE)</f>
        <v>authorisationForcingIndicator</v>
      </c>
      <c r="F52" s="2" t="str">
        <f>VLOOKUP($A52,DICO_Complet!$A$3:$U$983,6,FALSE)</f>
        <v>TrueFalseIndicator</v>
      </c>
      <c r="G52" s="48">
        <f>VLOOKUP($A52,DICO_Complet!$A$3:$U$983,7,FALSE)</f>
        <v>0</v>
      </c>
      <c r="H52" s="48">
        <f>VLOOKUP($A52,DICO_Complet!$A$3:$U$983,8,FALSE)</f>
        <v>0</v>
      </c>
      <c r="I52" s="2" t="str">
        <f>IF(VLOOKUP($A52,DICO_Complet!$A$3:$U$983,9,FALSE)&lt;&gt;0,VLOOKUP($A52,DICO_Complet!$A$3:$U$983,9,FALSE),"")</f>
        <v/>
      </c>
      <c r="J52" s="1" t="str">
        <f>VLOOKUP($A52,DICO_Complet!$A$3:$U$983,10,FALSE)</f>
        <v>Indicate if the authorisation can be forced or not</v>
      </c>
      <c r="K52" s="53" t="str">
        <f>IF(VLOOKUP($A52,DICO_Complet!$A$3:$U$983,12,FALSE)=0,"",VLOOKUP($A52,DICO_Complet!$A$3:$U$983,12,FALSE))</f>
        <v/>
      </c>
      <c r="L52" s="53" t="str">
        <f>IF(VLOOKUP($A52,DICO_Complet!$A$3:$U$983,13,FALSE)=0,"",VLOOKUP($A52,DICO_Complet!$A$3:$U$983,13,FALSE))</f>
        <v/>
      </c>
      <c r="M52" s="53" t="str">
        <f>IF(VLOOKUP($A52,DICO_Complet!$A$3:$U$983,14,FALSE)=0,"",VLOOKUP($A52,DICO_Complet!$A$3:$U$983,14,FALSE))</f>
        <v/>
      </c>
      <c r="N52" s="53" t="str">
        <f>IF(VLOOKUP($A52,DICO_Complet!$A$3:$U$983,15,FALSE)=0,"",VLOOKUP($A52,DICO_Complet!$A$3:$U$983,15,FALSE))</f>
        <v/>
      </c>
      <c r="O52" s="53" t="str">
        <f>IF(VLOOKUP($A52,DICO_Complet!$A$3:$U$983,16,FALSE)=0,"",VLOOKUP($A52,DICO_Complet!$A$3:$U$983,16,FALSE))</f>
        <v/>
      </c>
      <c r="P52" s="53" t="str">
        <f>IF(VLOOKUP($A52,DICO_Complet!$A$3:$U$983,17,FALSE)=0,"",VLOOKUP($A52,DICO_Complet!$A$3:$U$983,17,FALSE))</f>
        <v/>
      </c>
      <c r="Q52" s="53" t="str">
        <f>IF(VLOOKUP($A52,DICO_Complet!$A$3:$U$983,18,FALSE)=0,"",VLOOKUP($A52,DICO_Complet!$A$3:$U$983,18,FALSE))</f>
        <v/>
      </c>
    </row>
    <row r="53" spans="1:17" ht="15" customHeight="1">
      <c r="A53" s="38">
        <v>250401135800</v>
      </c>
      <c r="B53" s="47" t="s">
        <v>858</v>
      </c>
      <c r="C53" s="3" t="str">
        <f>VLOOKUP($A53,DICO_Complet!$A$3:$U$983,3,FALSE)</f>
        <v>Context</v>
      </c>
      <c r="D53" s="3" t="str">
        <f>VLOOKUP($A53,DICO_Complet!$A$3:$U$983,4,FALSE)</f>
        <v>merchantParameters</v>
      </c>
      <c r="E53" s="2" t="str">
        <f>VLOOKUP($A53,DICO_Complet!$A$3:$U$983,5,FALSE)</f>
        <v>authorisedDuplicatedTransactions</v>
      </c>
      <c r="F53" s="2" t="str">
        <f>VLOOKUP($A53,DICO_Complet!$A$3:$U$983,6,FALSE)</f>
        <v>Max4NumericText</v>
      </c>
      <c r="G53" s="48">
        <f>VLOOKUP($A53,DICO_Complet!$A$3:$U$983,7,FALSE)</f>
        <v>0</v>
      </c>
      <c r="H53" s="48">
        <f>VLOOKUP($A53,DICO_Complet!$A$3:$U$983,8,FALSE)</f>
        <v>0</v>
      </c>
      <c r="I53" s="2" t="str">
        <f>IF(VLOOKUP($A53,DICO_Complet!$A$3:$U$983,9,FALSE)&lt;&gt;0,VLOOKUP($A53,DICO_Complet!$A$3:$U$983,9,FALSE),"")</f>
        <v/>
      </c>
      <c r="J53" s="1" t="str">
        <f>VLOOKUP($A53,DICO_Complet!$A$3:$U$983,10,FALSE)</f>
        <v>Number of authorised duplicated transactions</v>
      </c>
      <c r="K53" s="53" t="str">
        <f>IF(VLOOKUP($A53,DICO_Complet!$A$3:$U$983,12,FALSE)=0,"",VLOOKUP($A53,DICO_Complet!$A$3:$U$983,12,FALSE))</f>
        <v/>
      </c>
      <c r="L53" s="53" t="str">
        <f>IF(VLOOKUP($A53,DICO_Complet!$A$3:$U$983,13,FALSE)=0,"",VLOOKUP($A53,DICO_Complet!$A$3:$U$983,13,FALSE))</f>
        <v/>
      </c>
      <c r="M53" s="53" t="str">
        <f>IF(VLOOKUP($A53,DICO_Complet!$A$3:$U$983,14,FALSE)=0,"",VLOOKUP($A53,DICO_Complet!$A$3:$U$983,14,FALSE))</f>
        <v/>
      </c>
      <c r="N53" s="53" t="str">
        <f>IF(VLOOKUP($A53,DICO_Complet!$A$3:$U$983,15,FALSE)=0,"",VLOOKUP($A53,DICO_Complet!$A$3:$U$983,15,FALSE))</f>
        <v/>
      </c>
      <c r="O53" s="53" t="str">
        <f>IF(VLOOKUP($A53,DICO_Complet!$A$3:$U$983,16,FALSE)=0,"",VLOOKUP($A53,DICO_Complet!$A$3:$U$983,16,FALSE))</f>
        <v/>
      </c>
      <c r="P53" s="53" t="str">
        <f>IF(VLOOKUP($A53,DICO_Complet!$A$3:$U$983,17,FALSE)=0,"",VLOOKUP($A53,DICO_Complet!$A$3:$U$983,17,FALSE))</f>
        <v/>
      </c>
      <c r="Q53" s="53" t="str">
        <f>IF(VLOOKUP($A53,DICO_Complet!$A$3:$U$983,18,FALSE)=0,"",VLOOKUP($A53,DICO_Complet!$A$3:$U$983,18,FALSE))</f>
        <v/>
      </c>
    </row>
    <row r="54" spans="1:17">
      <c r="A54" s="38">
        <v>250408115500</v>
      </c>
      <c r="B54" s="47" t="s">
        <v>858</v>
      </c>
      <c r="C54" s="3" t="str">
        <f>VLOOKUP($A54,DICO_Complet!$A$3:$U$983,3,FALSE)</f>
        <v>Context</v>
      </c>
      <c r="D54" s="3" t="str">
        <f>VLOOKUP($A54,DICO_Complet!$A$3:$U$983,4,FALSE)</f>
        <v>merchantParameters</v>
      </c>
      <c r="E54" s="2" t="str">
        <f>VLOOKUP($A54,DICO_Complet!$A$3:$U$983,5,FALSE)</f>
        <v>bigAmountControlIndicator</v>
      </c>
      <c r="F54" s="2" t="str">
        <f>VLOOKUP($A54,DICO_Complet!$A$3:$U$983,6,FALSE)</f>
        <v>TrueFalseIndicator</v>
      </c>
      <c r="G54" s="48">
        <f>VLOOKUP($A54,DICO_Complet!$A$3:$U$983,7,FALSE)</f>
        <v>0</v>
      </c>
      <c r="H54" s="48">
        <f>VLOOKUP($A54,DICO_Complet!$A$3:$U$983,8,FALSE)</f>
        <v>0</v>
      </c>
      <c r="I54" s="2" t="str">
        <f>IF(VLOOKUP($A54,DICO_Complet!$A$3:$U$983,9,FALSE)&lt;&gt;0,VLOOKUP($A54,DICO_Complet!$A$3:$U$983,9,FALSE),"")</f>
        <v/>
      </c>
      <c r="J54" s="1" t="str">
        <f>VLOOKUP($A54,DICO_Complet!$A$3:$U$983,10,FALSE)</f>
        <v>Incation whether the merchant transactions needs to be checked when it is higher than an amount</v>
      </c>
      <c r="K54" s="53" t="str">
        <f>IF(VLOOKUP($A54,DICO_Complet!$A$3:$U$983,12,FALSE)=0,"",VLOOKUP($A54,DICO_Complet!$A$3:$U$983,12,FALSE))</f>
        <v/>
      </c>
      <c r="L54" s="53" t="str">
        <f>IF(VLOOKUP($A54,DICO_Complet!$A$3:$U$983,13,FALSE)=0,"",VLOOKUP($A54,DICO_Complet!$A$3:$U$983,13,FALSE))</f>
        <v/>
      </c>
      <c r="M54" s="53" t="str">
        <f>IF(VLOOKUP($A54,DICO_Complet!$A$3:$U$983,14,FALSE)=0,"",VLOOKUP($A54,DICO_Complet!$A$3:$U$983,14,FALSE))</f>
        <v/>
      </c>
      <c r="N54" s="53" t="str">
        <f>IF(VLOOKUP($A54,DICO_Complet!$A$3:$U$983,15,FALSE)=0,"",VLOOKUP($A54,DICO_Complet!$A$3:$U$983,15,FALSE))</f>
        <v/>
      </c>
      <c r="O54" s="53" t="str">
        <f>IF(VLOOKUP($A54,DICO_Complet!$A$3:$U$983,16,FALSE)=0,"",VLOOKUP($A54,DICO_Complet!$A$3:$U$983,16,FALSE))</f>
        <v/>
      </c>
      <c r="P54" s="53" t="str">
        <f>IF(VLOOKUP($A54,DICO_Complet!$A$3:$U$983,17,FALSE)=0,"",VLOOKUP($A54,DICO_Complet!$A$3:$U$983,17,FALSE))</f>
        <v/>
      </c>
      <c r="Q54" s="53" t="str">
        <f>IF(VLOOKUP($A54,DICO_Complet!$A$3:$U$983,18,FALSE)=0,"",VLOOKUP($A54,DICO_Complet!$A$3:$U$983,18,FALSE))</f>
        <v/>
      </c>
    </row>
    <row r="55" spans="1:17" ht="15.6" customHeight="1">
      <c r="A55" s="38">
        <v>250415114400</v>
      </c>
      <c r="B55" s="47" t="s">
        <v>858</v>
      </c>
      <c r="C55" s="3" t="str">
        <f>VLOOKUP($A55,DICO_Complet!$A$3:$U$983,3,FALSE)</f>
        <v>Context</v>
      </c>
      <c r="D55" s="3" t="str">
        <f>VLOOKUP($A55,DICO_Complet!$A$3:$U$983,4,FALSE)</f>
        <v>merchantParameters</v>
      </c>
      <c r="E55" s="2" t="str">
        <f>VLOOKUP($A55,DICO_Complet!$A$3:$U$983,5,FALSE)</f>
        <v>blacklistDistributionIndicator</v>
      </c>
      <c r="F55" s="2" t="str">
        <f>VLOOKUP($A55,DICO_Complet!$A$3:$U$983,6,FALSE)</f>
        <v>TrueFalseIndicator</v>
      </c>
      <c r="G55" s="48">
        <f>VLOOKUP($A55,DICO_Complet!$A$3:$U$983,7,FALSE)</f>
        <v>0</v>
      </c>
      <c r="H55" s="48">
        <f>VLOOKUP($A55,DICO_Complet!$A$3:$U$983,8,FALSE)</f>
        <v>0</v>
      </c>
      <c r="I55" s="2" t="str">
        <f>IF(VLOOKUP($A55,DICO_Complet!$A$3:$U$983,9,FALSE)&lt;&gt;0,VLOOKUP($A55,DICO_Complet!$A$3:$U$983,9,FALSE),"")</f>
        <v/>
      </c>
      <c r="J55" s="1" t="str">
        <f>VLOOKUP($A55,DICO_Complet!$A$3:$U$983,10,FALSE)</f>
        <v>Blacklist distribution indicator</v>
      </c>
      <c r="K55" s="53" t="str">
        <f>IF(VLOOKUP($A55,DICO_Complet!$A$3:$U$983,12,FALSE)=0,"",VLOOKUP($A55,DICO_Complet!$A$3:$U$983,12,FALSE))</f>
        <v/>
      </c>
      <c r="L55" s="53" t="str">
        <f>IF(VLOOKUP($A55,DICO_Complet!$A$3:$U$983,13,FALSE)=0,"",VLOOKUP($A55,DICO_Complet!$A$3:$U$983,13,FALSE))</f>
        <v/>
      </c>
      <c r="M55" s="53" t="str">
        <f>IF(VLOOKUP($A55,DICO_Complet!$A$3:$U$983,14,FALSE)=0,"",VLOOKUP($A55,DICO_Complet!$A$3:$U$983,14,FALSE))</f>
        <v/>
      </c>
      <c r="N55" s="53" t="str">
        <f>IF(VLOOKUP($A55,DICO_Complet!$A$3:$U$983,15,FALSE)=0,"",VLOOKUP($A55,DICO_Complet!$A$3:$U$983,15,FALSE))</f>
        <v/>
      </c>
      <c r="O55" s="53" t="str">
        <f>IF(VLOOKUP($A55,DICO_Complet!$A$3:$U$983,16,FALSE)=0,"",VLOOKUP($A55,DICO_Complet!$A$3:$U$983,16,FALSE))</f>
        <v/>
      </c>
      <c r="P55" s="53" t="str">
        <f>IF(VLOOKUP($A55,DICO_Complet!$A$3:$U$983,17,FALSE)=0,"",VLOOKUP($A55,DICO_Complet!$A$3:$U$983,17,FALSE))</f>
        <v/>
      </c>
      <c r="Q55" s="53" t="str">
        <f>IF(VLOOKUP($A55,DICO_Complet!$A$3:$U$983,18,FALSE)=0,"",VLOOKUP($A55,DICO_Complet!$A$3:$U$983,18,FALSE))</f>
        <v/>
      </c>
    </row>
    <row r="56" spans="1:17" ht="14.65" customHeight="1">
      <c r="A56" s="38">
        <v>250415114500</v>
      </c>
      <c r="B56" s="47" t="s">
        <v>858</v>
      </c>
      <c r="C56" s="3" t="str">
        <f>VLOOKUP($A56,DICO_Complet!$A$3:$U$983,3,FALSE)</f>
        <v>Context</v>
      </c>
      <c r="D56" s="3" t="str">
        <f>VLOOKUP($A56,DICO_Complet!$A$3:$U$983,4,FALSE)</f>
        <v>merchantParameters</v>
      </c>
      <c r="E56" s="2" t="str">
        <f>VLOOKUP($A56,DICO_Complet!$A$3:$U$983,5,FALSE)</f>
        <v>blacklistDistributionRegions</v>
      </c>
      <c r="F56" s="2" t="str">
        <f>VLOOKUP($A56,DICO_Complet!$A$3:$U$983,6,FALSE)</f>
        <v>BlacklistDistributionRegionsCodeset</v>
      </c>
      <c r="G56" s="48">
        <f>VLOOKUP($A56,DICO_Complet!$A$3:$U$983,7,FALSE)</f>
        <v>0</v>
      </c>
      <c r="H56" s="48">
        <f>VLOOKUP($A56,DICO_Complet!$A$3:$U$983,8,FALSE)</f>
        <v>0</v>
      </c>
      <c r="I56" s="2" t="str">
        <f>IF(VLOOKUP($A56,DICO_Complet!$A$3:$U$983,9,FALSE)&lt;&gt;0,VLOOKUP($A56,DICO_Complet!$A$3:$U$983,9,FALSE),"")</f>
        <v/>
      </c>
      <c r="J56" s="1" t="str">
        <f>VLOOKUP($A56,DICO_Complet!$A$3:$U$983,10,FALSE)</f>
        <v>Blacklist distribution regions</v>
      </c>
      <c r="K56" s="53" t="str">
        <f>IF(VLOOKUP($A56,DICO_Complet!$A$3:$U$983,12,FALSE)=0,"",VLOOKUP($A56,DICO_Complet!$A$3:$U$983,12,FALSE))</f>
        <v/>
      </c>
      <c r="L56" s="53" t="str">
        <f>IF(VLOOKUP($A56,DICO_Complet!$A$3:$U$983,13,FALSE)=0,"",VLOOKUP($A56,DICO_Complet!$A$3:$U$983,13,FALSE))</f>
        <v/>
      </c>
      <c r="M56" s="53" t="str">
        <f>IF(VLOOKUP($A56,DICO_Complet!$A$3:$U$983,14,FALSE)=0,"",VLOOKUP($A56,DICO_Complet!$A$3:$U$983,14,FALSE))</f>
        <v/>
      </c>
      <c r="N56" s="53" t="str">
        <f>IF(VLOOKUP($A56,DICO_Complet!$A$3:$U$983,15,FALSE)=0,"",VLOOKUP($A56,DICO_Complet!$A$3:$U$983,15,FALSE))</f>
        <v/>
      </c>
      <c r="O56" s="53" t="str">
        <f>IF(VLOOKUP($A56,DICO_Complet!$A$3:$U$983,16,FALSE)=0,"",VLOOKUP($A56,DICO_Complet!$A$3:$U$983,16,FALSE))</f>
        <v/>
      </c>
      <c r="P56" s="53" t="str">
        <f>IF(VLOOKUP($A56,DICO_Complet!$A$3:$U$983,17,FALSE)=0,"",VLOOKUP($A56,DICO_Complet!$A$3:$U$983,17,FALSE))</f>
        <v/>
      </c>
      <c r="Q56" s="53" t="str">
        <f>IF(VLOOKUP($A56,DICO_Complet!$A$3:$U$983,18,FALSE)=0,"",VLOOKUP($A56,DICO_Complet!$A$3:$U$983,18,FALSE))</f>
        <v/>
      </c>
    </row>
    <row r="57" spans="1:17">
      <c r="A57" s="38">
        <v>250408114800</v>
      </c>
      <c r="B57" s="47" t="s">
        <v>858</v>
      </c>
      <c r="C57" s="3" t="str">
        <f>VLOOKUP($A57,DICO_Complet!$A$3:$U$983,3,FALSE)</f>
        <v>Context</v>
      </c>
      <c r="D57" s="3" t="str">
        <f>VLOOKUP($A57,DICO_Complet!$A$3:$U$983,4,FALSE)</f>
        <v>merchantParameters</v>
      </c>
      <c r="E57" s="2" t="str">
        <f>VLOOKUP($A57,DICO_Complet!$A$3:$U$983,5,FALSE)</f>
        <v>businessGroupingIdentifier</v>
      </c>
      <c r="F57" s="2" t="str">
        <f>VLOOKUP($A57,DICO_Complet!$A$3:$U$983,6,FALSE)</f>
        <v>Max35Text</v>
      </c>
      <c r="G57" s="48">
        <f>VLOOKUP($A57,DICO_Complet!$A$3:$U$983,7,FALSE)</f>
        <v>0</v>
      </c>
      <c r="H57" s="48">
        <f>VLOOKUP($A57,DICO_Complet!$A$3:$U$983,8,FALSE)</f>
        <v>0</v>
      </c>
      <c r="I57" s="2" t="str">
        <f>IF(VLOOKUP($A57,DICO_Complet!$A$3:$U$983,9,FALSE)&lt;&gt;0,VLOOKUP($A57,DICO_Complet!$A$3:$U$983,9,FALSE),"")</f>
        <v/>
      </c>
      <c r="J57" s="1" t="str">
        <f>VLOOKUP($A57,DICO_Complet!$A$3:$U$983,10,FALSE)</f>
        <v>Business grouping identifier</v>
      </c>
      <c r="K57" s="53" t="str">
        <f>IF(VLOOKUP($A57,DICO_Complet!$A$3:$U$983,12,FALSE)=0,"",VLOOKUP($A57,DICO_Complet!$A$3:$U$983,12,FALSE))</f>
        <v/>
      </c>
      <c r="L57" s="53" t="str">
        <f>IF(VLOOKUP($A57,DICO_Complet!$A$3:$U$983,13,FALSE)=0,"",VLOOKUP($A57,DICO_Complet!$A$3:$U$983,13,FALSE))</f>
        <v/>
      </c>
      <c r="M57" s="53" t="str">
        <f>IF(VLOOKUP($A57,DICO_Complet!$A$3:$U$983,14,FALSE)=0,"",VLOOKUP($A57,DICO_Complet!$A$3:$U$983,14,FALSE))</f>
        <v/>
      </c>
      <c r="N57" s="53" t="str">
        <f>IF(VLOOKUP($A57,DICO_Complet!$A$3:$U$983,15,FALSE)=0,"",VLOOKUP($A57,DICO_Complet!$A$3:$U$983,15,FALSE))</f>
        <v/>
      </c>
      <c r="O57" s="53" t="str">
        <f>IF(VLOOKUP($A57,DICO_Complet!$A$3:$U$983,16,FALSE)=0,"",VLOOKUP($A57,DICO_Complet!$A$3:$U$983,16,FALSE))</f>
        <v/>
      </c>
      <c r="P57" s="53" t="str">
        <f>IF(VLOOKUP($A57,DICO_Complet!$A$3:$U$983,17,FALSE)=0,"",VLOOKUP($A57,DICO_Complet!$A$3:$U$983,17,FALSE))</f>
        <v/>
      </c>
      <c r="Q57" s="53" t="str">
        <f>IF(VLOOKUP($A57,DICO_Complet!$A$3:$U$983,18,FALSE)=0,"",VLOOKUP($A57,DICO_Complet!$A$3:$U$983,18,FALSE))</f>
        <v/>
      </c>
    </row>
    <row r="58" spans="1:17">
      <c r="A58" s="38">
        <v>250415114600</v>
      </c>
      <c r="B58" s="47" t="s">
        <v>858</v>
      </c>
      <c r="C58" s="3" t="str">
        <f>VLOOKUP($A58,DICO_Complet!$A$3:$U$983,3,FALSE)</f>
        <v>Context</v>
      </c>
      <c r="D58" s="3" t="str">
        <f>VLOOKUP($A58,DICO_Complet!$A$3:$U$983,4,FALSE)</f>
        <v>merchantParameters</v>
      </c>
      <c r="E58" s="2" t="str">
        <f>VLOOKUP($A58,DICO_Complet!$A$3:$U$983,5,FALSE)</f>
        <v>cardBlockingListDistributionIndicator</v>
      </c>
      <c r="F58" s="2" t="str">
        <f>VLOOKUP($A58,DICO_Complet!$A$3:$U$983,6,FALSE)</f>
        <v>TrueFalseIndicator</v>
      </c>
      <c r="G58" s="48">
        <f>VLOOKUP($A58,DICO_Complet!$A$3:$U$983,7,FALSE)</f>
        <v>0</v>
      </c>
      <c r="H58" s="48">
        <f>VLOOKUP($A58,DICO_Complet!$A$3:$U$983,8,FALSE)</f>
        <v>0</v>
      </c>
      <c r="I58" s="2" t="str">
        <f>IF(VLOOKUP($A58,DICO_Complet!$A$3:$U$983,9,FALSE)&lt;&gt;0,VLOOKUP($A58,DICO_Complet!$A$3:$U$983,9,FALSE),"")</f>
        <v/>
      </c>
      <c r="J58" s="1" t="str">
        <f>VLOOKUP($A58,DICO_Complet!$A$3:$U$983,10,FALSE)</f>
        <v>Card blocking distribution Indicator</v>
      </c>
      <c r="K58" s="53" t="str">
        <f>IF(VLOOKUP($A58,DICO_Complet!$A$3:$U$983,12,FALSE)=0,"",VLOOKUP($A58,DICO_Complet!$A$3:$U$983,12,FALSE))</f>
        <v/>
      </c>
      <c r="L58" s="53" t="str">
        <f>IF(VLOOKUP($A58,DICO_Complet!$A$3:$U$983,13,FALSE)=0,"",VLOOKUP($A58,DICO_Complet!$A$3:$U$983,13,FALSE))</f>
        <v/>
      </c>
      <c r="M58" s="53" t="str">
        <f>IF(VLOOKUP($A58,DICO_Complet!$A$3:$U$983,14,FALSE)=0,"",VLOOKUP($A58,DICO_Complet!$A$3:$U$983,14,FALSE))</f>
        <v/>
      </c>
      <c r="N58" s="53" t="str">
        <f>IF(VLOOKUP($A58,DICO_Complet!$A$3:$U$983,15,FALSE)=0,"",VLOOKUP($A58,DICO_Complet!$A$3:$U$983,15,FALSE))</f>
        <v/>
      </c>
      <c r="O58" s="53" t="str">
        <f>IF(VLOOKUP($A58,DICO_Complet!$A$3:$U$983,16,FALSE)=0,"",VLOOKUP($A58,DICO_Complet!$A$3:$U$983,16,FALSE))</f>
        <v/>
      </c>
      <c r="P58" s="53" t="str">
        <f>IF(VLOOKUP($A58,DICO_Complet!$A$3:$U$983,17,FALSE)=0,"",VLOOKUP($A58,DICO_Complet!$A$3:$U$983,17,FALSE))</f>
        <v/>
      </c>
      <c r="Q58" s="53" t="str">
        <f>IF(VLOOKUP($A58,DICO_Complet!$A$3:$U$983,18,FALSE)=0,"",VLOOKUP($A58,DICO_Complet!$A$3:$U$983,18,FALSE))</f>
        <v/>
      </c>
    </row>
    <row r="59" spans="1:17" ht="15" customHeight="1">
      <c r="A59" s="38">
        <v>250408115000</v>
      </c>
      <c r="B59" s="47" t="s">
        <v>858</v>
      </c>
      <c r="C59" s="3" t="str">
        <f>VLOOKUP($A59,DICO_Complet!$A$3:$U$983,3,FALSE)</f>
        <v>Context</v>
      </c>
      <c r="D59" s="3" t="str">
        <f>VLOOKUP($A59,DICO_Complet!$A$3:$U$983,4,FALSE)</f>
        <v>merchantParameters</v>
      </c>
      <c r="E59" s="2" t="str">
        <f>VLOOKUP($A59,DICO_Complet!$A$3:$U$983,5,FALSE)</f>
        <v>chainingCode</v>
      </c>
      <c r="F59" s="2" t="str">
        <f>VLOOKUP($A59,DICO_Complet!$A$3:$U$983,6,FALSE)</f>
        <v>Max10Text</v>
      </c>
      <c r="G59" s="48">
        <f>VLOOKUP($A59,DICO_Complet!$A$3:$U$983,7,FALSE)</f>
        <v>0</v>
      </c>
      <c r="H59" s="48">
        <f>VLOOKUP($A59,DICO_Complet!$A$3:$U$983,8,FALSE)</f>
        <v>0</v>
      </c>
      <c r="I59" s="2" t="str">
        <f>IF(VLOOKUP($A59,DICO_Complet!$A$3:$U$983,9,FALSE)&lt;&gt;0,VLOOKUP($A59,DICO_Complet!$A$3:$U$983,9,FALSE),"")</f>
        <v/>
      </c>
      <c r="J59" s="1" t="str">
        <f>VLOOKUP($A59,DICO_Complet!$A$3:$U$983,10,FALSE)</f>
        <v>Chaining code</v>
      </c>
      <c r="K59" s="53" t="str">
        <f>IF(VLOOKUP($A59,DICO_Complet!$A$3:$U$983,12,FALSE)=0,"",VLOOKUP($A59,DICO_Complet!$A$3:$U$983,12,FALSE))</f>
        <v/>
      </c>
      <c r="L59" s="53" t="str">
        <f>IF(VLOOKUP($A59,DICO_Complet!$A$3:$U$983,13,FALSE)=0,"",VLOOKUP($A59,DICO_Complet!$A$3:$U$983,13,FALSE))</f>
        <v/>
      </c>
      <c r="M59" s="53" t="str">
        <f>IF(VLOOKUP($A59,DICO_Complet!$A$3:$U$983,14,FALSE)=0,"",VLOOKUP($A59,DICO_Complet!$A$3:$U$983,14,FALSE))</f>
        <v/>
      </c>
      <c r="N59" s="53" t="str">
        <f>IF(VLOOKUP($A59,DICO_Complet!$A$3:$U$983,15,FALSE)=0,"",VLOOKUP($A59,DICO_Complet!$A$3:$U$983,15,FALSE))</f>
        <v/>
      </c>
      <c r="O59" s="53" t="str">
        <f>IF(VLOOKUP($A59,DICO_Complet!$A$3:$U$983,16,FALSE)=0,"",VLOOKUP($A59,DICO_Complet!$A$3:$U$983,16,FALSE))</f>
        <v/>
      </c>
      <c r="P59" s="53" t="str">
        <f>IF(VLOOKUP($A59,DICO_Complet!$A$3:$U$983,17,FALSE)=0,"",VLOOKUP($A59,DICO_Complet!$A$3:$U$983,17,FALSE))</f>
        <v/>
      </c>
      <c r="Q59" s="53" t="str">
        <f>IF(VLOOKUP($A59,DICO_Complet!$A$3:$U$983,18,FALSE)=0,"",VLOOKUP($A59,DICO_Complet!$A$3:$U$983,18,FALSE))</f>
        <v/>
      </c>
    </row>
    <row r="60" spans="1:17">
      <c r="A60" s="38">
        <v>250428083250</v>
      </c>
      <c r="B60" s="47" t="s">
        <v>858</v>
      </c>
      <c r="C60" s="3" t="str">
        <f>VLOOKUP($A60,DICO_Complet!$A$3:$U$983,3,FALSE)</f>
        <v>Context</v>
      </c>
      <c r="D60" s="3" t="str">
        <f>VLOOKUP($A60,DICO_Complet!$A$3:$U$983,4,FALSE)</f>
        <v>merchantParameters</v>
      </c>
      <c r="E60" s="2" t="str">
        <f>VLOOKUP($A60,DICO_Complet!$A$3:$U$983,5,FALSE)</f>
        <v>contactlessCreditIndicator</v>
      </c>
      <c r="F60" s="2" t="str">
        <f>VLOOKUP($A60,DICO_Complet!$A$3:$U$983,6,FALSE)</f>
        <v>TrueFalseIndicator</v>
      </c>
      <c r="G60" s="48">
        <f>VLOOKUP($A60,DICO_Complet!$A$3:$U$983,7,FALSE)</f>
        <v>0</v>
      </c>
      <c r="H60" s="48">
        <f>VLOOKUP($A60,DICO_Complet!$A$3:$U$983,8,FALSE)</f>
        <v>0</v>
      </c>
      <c r="I60" s="2" t="str">
        <f>IF(VLOOKUP($A60,DICO_Complet!$A$3:$U$983,9,FALSE)&lt;&gt;0,VLOOKUP($A60,DICO_Complet!$A$3:$U$983,9,FALSE),"")</f>
        <v/>
      </c>
      <c r="J60" s="1" t="str">
        <f>VLOOKUP($A60,DICO_Complet!$A$3:$U$983,10,FALSE)</f>
        <v>Indicate if the merchant can do contactless credit (open payment)</v>
      </c>
      <c r="K60" s="53" t="str">
        <f>IF(VLOOKUP($A60,DICO_Complet!$A$3:$U$983,12,FALSE)=0,"",VLOOKUP($A60,DICO_Complet!$A$3:$U$983,12,FALSE))</f>
        <v/>
      </c>
      <c r="L60" s="53" t="str">
        <f>IF(VLOOKUP($A60,DICO_Complet!$A$3:$U$983,13,FALSE)=0,"",VLOOKUP($A60,DICO_Complet!$A$3:$U$983,13,FALSE))</f>
        <v/>
      </c>
      <c r="M60" s="53" t="str">
        <f>IF(VLOOKUP($A60,DICO_Complet!$A$3:$U$983,14,FALSE)=0,"",VLOOKUP($A60,DICO_Complet!$A$3:$U$983,14,FALSE))</f>
        <v/>
      </c>
      <c r="N60" s="53" t="str">
        <f>IF(VLOOKUP($A60,DICO_Complet!$A$3:$U$983,15,FALSE)=0,"",VLOOKUP($A60,DICO_Complet!$A$3:$U$983,15,FALSE))</f>
        <v/>
      </c>
      <c r="O60" s="53" t="str">
        <f>IF(VLOOKUP($A60,DICO_Complet!$A$3:$U$983,16,FALSE)=0,"",VLOOKUP($A60,DICO_Complet!$A$3:$U$983,16,FALSE))</f>
        <v/>
      </c>
      <c r="P60" s="53" t="str">
        <f>IF(VLOOKUP($A60,DICO_Complet!$A$3:$U$983,17,FALSE)=0,"",VLOOKUP($A60,DICO_Complet!$A$3:$U$983,17,FALSE))</f>
        <v/>
      </c>
      <c r="Q60" s="53" t="str">
        <f>IF(VLOOKUP($A60,DICO_Complet!$A$3:$U$983,18,FALSE)=0,"",VLOOKUP($A60,DICO_Complet!$A$3:$U$983,18,FALSE))</f>
        <v/>
      </c>
    </row>
    <row r="61" spans="1:17" ht="15" customHeight="1">
      <c r="A61" s="38">
        <v>250408114500</v>
      </c>
      <c r="B61" s="47" t="s">
        <v>858</v>
      </c>
      <c r="C61" s="3" t="str">
        <f>VLOOKUP($A61,DICO_Complet!$A$3:$U$983,3,FALSE)</f>
        <v>Context</v>
      </c>
      <c r="D61" s="3" t="str">
        <f>VLOOKUP($A61,DICO_Complet!$A$3:$U$983,4,FALSE)</f>
        <v>merchantParameters</v>
      </c>
      <c r="E61" s="2" t="str">
        <f>VLOOKUP($A61,DICO_Complet!$A$3:$U$983,5,FALSE)</f>
        <v>contractCategory</v>
      </c>
      <c r="F61" s="2" t="str">
        <f>VLOOKUP($A61,DICO_Complet!$A$3:$U$983,6,FALSE)</f>
        <v>ContractCategoryCodeset</v>
      </c>
      <c r="G61" s="48">
        <f>VLOOKUP($A61,DICO_Complet!$A$3:$U$983,7,FALSE)</f>
        <v>0</v>
      </c>
      <c r="H61" s="48">
        <f>VLOOKUP($A61,DICO_Complet!$A$3:$U$983,8,FALSE)</f>
        <v>0</v>
      </c>
      <c r="I61" s="2" t="str">
        <f>IF(VLOOKUP($A61,DICO_Complet!$A$3:$U$983,9,FALSE)&lt;&gt;0,VLOOKUP($A61,DICO_Complet!$A$3:$U$983,9,FALSE),"")</f>
        <v/>
      </c>
      <c r="J61" s="1" t="str">
        <f>VLOOKUP($A61,DICO_Complet!$A$3:$U$983,10,FALSE)</f>
        <v>Merchant contract Type :
CB / DC (Dynamic Currency Conversion) / CP (China Union Pay) / DF
DFS) / JC (Japan Credit Bureau)</v>
      </c>
      <c r="K61" s="53" t="str">
        <f>IF(VLOOKUP($A61,DICO_Complet!$A$3:$U$983,12,FALSE)=0,"",VLOOKUP($A61,DICO_Complet!$A$3:$U$983,12,FALSE))</f>
        <v/>
      </c>
      <c r="L61" s="53" t="str">
        <f>IF(VLOOKUP($A61,DICO_Complet!$A$3:$U$983,13,FALSE)=0,"",VLOOKUP($A61,DICO_Complet!$A$3:$U$983,13,FALSE))</f>
        <v/>
      </c>
      <c r="M61" s="53" t="str">
        <f>IF(VLOOKUP($A61,DICO_Complet!$A$3:$U$983,14,FALSE)=0,"",VLOOKUP($A61,DICO_Complet!$A$3:$U$983,14,FALSE))</f>
        <v/>
      </c>
      <c r="N61" s="53" t="str">
        <f>IF(VLOOKUP($A61,DICO_Complet!$A$3:$U$983,15,FALSE)=0,"",VLOOKUP($A61,DICO_Complet!$A$3:$U$983,15,FALSE))</f>
        <v/>
      </c>
      <c r="O61" s="53" t="str">
        <f>IF(VLOOKUP($A61,DICO_Complet!$A$3:$U$983,16,FALSE)=0,"",VLOOKUP($A61,DICO_Complet!$A$3:$U$983,16,FALSE))</f>
        <v/>
      </c>
      <c r="P61" s="53" t="str">
        <f>IF(VLOOKUP($A61,DICO_Complet!$A$3:$U$983,17,FALSE)=0,"",VLOOKUP($A61,DICO_Complet!$A$3:$U$983,17,FALSE))</f>
        <v/>
      </c>
      <c r="Q61" s="53" t="str">
        <f>IF(VLOOKUP($A61,DICO_Complet!$A$3:$U$983,18,FALSE)=0,"",VLOOKUP($A61,DICO_Complet!$A$3:$U$983,18,FALSE))</f>
        <v/>
      </c>
    </row>
    <row r="62" spans="1:17" ht="15" customHeight="1">
      <c r="A62" s="38">
        <v>250408115100</v>
      </c>
      <c r="B62" s="47" t="s">
        <v>858</v>
      </c>
      <c r="C62" s="3" t="str">
        <f>VLOOKUP($A62,DICO_Complet!$A$3:$U$983,3,FALSE)</f>
        <v>Context</v>
      </c>
      <c r="D62" s="3" t="str">
        <f>VLOOKUP($A62,DICO_Complet!$A$3:$U$983,4,FALSE)</f>
        <v>merchantParameters</v>
      </c>
      <c r="E62" s="2" t="str">
        <f>VLOOKUP($A62,DICO_Complet!$A$3:$U$983,5,FALSE)</f>
        <v>contractProductCode</v>
      </c>
      <c r="F62" s="2" t="str">
        <f>VLOOKUP($A62,DICO_Complet!$A$3:$U$983,6,FALSE)</f>
        <v>Max6Text</v>
      </c>
      <c r="G62" s="48">
        <f>VLOOKUP($A62,DICO_Complet!$A$3:$U$983,7,FALSE)</f>
        <v>0</v>
      </c>
      <c r="H62" s="48">
        <f>VLOOKUP($A62,DICO_Complet!$A$3:$U$983,8,FALSE)</f>
        <v>0</v>
      </c>
      <c r="I62" s="2" t="str">
        <f>IF(VLOOKUP($A62,DICO_Complet!$A$3:$U$983,9,FALSE)&lt;&gt;0,VLOOKUP($A62,DICO_Complet!$A$3:$U$983,9,FALSE),"")</f>
        <v/>
      </c>
      <c r="J62" s="1" t="str">
        <f>VLOOKUP($A62,DICO_Complet!$A$3:$U$983,10,FALSE)</f>
        <v>Code du produit carte</v>
      </c>
      <c r="K62" s="53" t="str">
        <f>IF(VLOOKUP($A62,DICO_Complet!$A$3:$U$983,12,FALSE)=0,"",VLOOKUP($A62,DICO_Complet!$A$3:$U$983,12,FALSE))</f>
        <v/>
      </c>
      <c r="L62" s="53" t="str">
        <f>IF(VLOOKUP($A62,DICO_Complet!$A$3:$U$983,13,FALSE)=0,"",VLOOKUP($A62,DICO_Complet!$A$3:$U$983,13,FALSE))</f>
        <v/>
      </c>
      <c r="M62" s="53" t="str">
        <f>IF(VLOOKUP($A62,DICO_Complet!$A$3:$U$983,14,FALSE)=0,"",VLOOKUP($A62,DICO_Complet!$A$3:$U$983,14,FALSE))</f>
        <v/>
      </c>
      <c r="N62" s="53" t="str">
        <f>IF(VLOOKUP($A62,DICO_Complet!$A$3:$U$983,15,FALSE)=0,"",VLOOKUP($A62,DICO_Complet!$A$3:$U$983,15,FALSE))</f>
        <v/>
      </c>
      <c r="O62" s="53" t="str">
        <f>IF(VLOOKUP($A62,DICO_Complet!$A$3:$U$983,16,FALSE)=0,"",VLOOKUP($A62,DICO_Complet!$A$3:$U$983,16,FALSE))</f>
        <v/>
      </c>
      <c r="P62" s="53" t="str">
        <f>IF(VLOOKUP($A62,DICO_Complet!$A$3:$U$983,17,FALSE)=0,"",VLOOKUP($A62,DICO_Complet!$A$3:$U$983,17,FALSE))</f>
        <v/>
      </c>
      <c r="Q62" s="53" t="str">
        <f>IF(VLOOKUP($A62,DICO_Complet!$A$3:$U$983,18,FALSE)=0,"",VLOOKUP($A62,DICO_Complet!$A$3:$U$983,18,FALSE))</f>
        <v/>
      </c>
    </row>
    <row r="63" spans="1:17" ht="14.65" customHeight="1">
      <c r="A63" s="38">
        <v>250401140100</v>
      </c>
      <c r="B63" s="47" t="s">
        <v>858</v>
      </c>
      <c r="C63" s="3" t="str">
        <f>VLOOKUP($A63,DICO_Complet!$A$3:$U$983,3,FALSE)</f>
        <v>Context</v>
      </c>
      <c r="D63" s="3" t="str">
        <f>VLOOKUP($A63,DICO_Complet!$A$3:$U$983,4,FALSE)</f>
        <v>merchantParameters</v>
      </c>
      <c r="E63" s="2" t="str">
        <f>VLOOKUP($A63,DICO_Complet!$A$3:$U$983,5,FALSE)</f>
        <v>creditGroupingIndicator</v>
      </c>
      <c r="F63" s="2" t="str">
        <f>VLOOKUP($A63,DICO_Complet!$A$3:$U$983,6,FALSE)</f>
        <v>TrueFalseIndicator</v>
      </c>
      <c r="G63" s="48">
        <f>VLOOKUP($A63,DICO_Complet!$A$3:$U$983,7,FALSE)</f>
        <v>0</v>
      </c>
      <c r="H63" s="48">
        <f>VLOOKUP($A63,DICO_Complet!$A$3:$U$983,8,FALSE)</f>
        <v>0</v>
      </c>
      <c r="I63" s="2" t="str">
        <f>IF(VLOOKUP($A63,DICO_Complet!$A$3:$U$983,9,FALSE)&lt;&gt;0,VLOOKUP($A63,DICO_Complet!$A$3:$U$983,9,FALSE),"")</f>
        <v/>
      </c>
      <c r="J63" s="1" t="str">
        <f>VLOOKUP($A63,DICO_Complet!$A$3:$U$983,10,FALSE)</f>
        <v>Credit groupig indicator</v>
      </c>
      <c r="K63" s="53" t="str">
        <f>IF(VLOOKUP($A63,DICO_Complet!$A$3:$U$983,12,FALSE)=0,"",VLOOKUP($A63,DICO_Complet!$A$3:$U$983,12,FALSE))</f>
        <v/>
      </c>
      <c r="L63" s="53" t="str">
        <f>IF(VLOOKUP($A63,DICO_Complet!$A$3:$U$983,13,FALSE)=0,"",VLOOKUP($A63,DICO_Complet!$A$3:$U$983,13,FALSE))</f>
        <v/>
      </c>
      <c r="M63" s="53" t="str">
        <f>IF(VLOOKUP($A63,DICO_Complet!$A$3:$U$983,14,FALSE)=0,"",VLOOKUP($A63,DICO_Complet!$A$3:$U$983,14,FALSE))</f>
        <v/>
      </c>
      <c r="N63" s="53" t="str">
        <f>IF(VLOOKUP($A63,DICO_Complet!$A$3:$U$983,15,FALSE)=0,"",VLOOKUP($A63,DICO_Complet!$A$3:$U$983,15,FALSE))</f>
        <v/>
      </c>
      <c r="O63" s="53" t="str">
        <f>IF(VLOOKUP($A63,DICO_Complet!$A$3:$U$983,16,FALSE)=0,"",VLOOKUP($A63,DICO_Complet!$A$3:$U$983,16,FALSE))</f>
        <v/>
      </c>
      <c r="P63" s="53" t="str">
        <f>IF(VLOOKUP($A63,DICO_Complet!$A$3:$U$983,17,FALSE)=0,"",VLOOKUP($A63,DICO_Complet!$A$3:$U$983,17,FALSE))</f>
        <v/>
      </c>
      <c r="Q63" s="53" t="str">
        <f>IF(VLOOKUP($A63,DICO_Complet!$A$3:$U$983,18,FALSE)=0,"",VLOOKUP($A63,DICO_Complet!$A$3:$U$983,18,FALSE))</f>
        <v/>
      </c>
    </row>
    <row r="64" spans="1:17" ht="14.65" customHeight="1">
      <c r="A64" s="38">
        <v>250415115300</v>
      </c>
      <c r="B64" s="47" t="s">
        <v>858</v>
      </c>
      <c r="C64" s="3" t="str">
        <f>VLOOKUP($A64,DICO_Complet!$A$3:$U$983,3,FALSE)</f>
        <v>Context</v>
      </c>
      <c r="D64" s="3" t="str">
        <f>VLOOKUP($A64,DICO_Complet!$A$3:$U$983,4,FALSE)</f>
        <v>merchantParameters</v>
      </c>
      <c r="E64" s="2" t="str">
        <f>VLOOKUP($A64,DICO_Complet!$A$3:$U$983,5,FALSE)</f>
        <v>creditIndicator</v>
      </c>
      <c r="F64" s="2" t="str">
        <f>VLOOKUP($A64,DICO_Complet!$A$3:$U$983,6,FALSE)</f>
        <v>TrueFalseIndicator</v>
      </c>
      <c r="G64" s="48">
        <f>VLOOKUP($A64,DICO_Complet!$A$3:$U$983,7,FALSE)</f>
        <v>0</v>
      </c>
      <c r="H64" s="48">
        <f>VLOOKUP($A64,DICO_Complet!$A$3:$U$983,8,FALSE)</f>
        <v>0</v>
      </c>
      <c r="I64" s="2" t="str">
        <f>IF(VLOOKUP($A64,DICO_Complet!$A$3:$U$983,9,FALSE)&lt;&gt;0,VLOOKUP($A64,DICO_Complet!$A$3:$U$983,9,FALSE),"")</f>
        <v/>
      </c>
      <c r="J64" s="1" t="str">
        <f>VLOOKUP($A64,DICO_Complet!$A$3:$U$983,10,FALSE)</f>
        <v>Indicate if credit is authorised</v>
      </c>
      <c r="K64" s="53" t="str">
        <f>IF(VLOOKUP($A64,DICO_Complet!$A$3:$U$983,12,FALSE)=0,"",VLOOKUP($A64,DICO_Complet!$A$3:$U$983,12,FALSE))</f>
        <v/>
      </c>
      <c r="L64" s="53" t="str">
        <f>IF(VLOOKUP($A64,DICO_Complet!$A$3:$U$983,13,FALSE)=0,"",VLOOKUP($A64,DICO_Complet!$A$3:$U$983,13,FALSE))</f>
        <v/>
      </c>
      <c r="M64" s="53" t="str">
        <f>IF(VLOOKUP($A64,DICO_Complet!$A$3:$U$983,14,FALSE)=0,"",VLOOKUP($A64,DICO_Complet!$A$3:$U$983,14,FALSE))</f>
        <v/>
      </c>
      <c r="N64" s="53" t="str">
        <f>IF(VLOOKUP($A64,DICO_Complet!$A$3:$U$983,15,FALSE)=0,"",VLOOKUP($A64,DICO_Complet!$A$3:$U$983,15,FALSE))</f>
        <v/>
      </c>
      <c r="O64" s="53" t="str">
        <f>IF(VLOOKUP($A64,DICO_Complet!$A$3:$U$983,16,FALSE)=0,"",VLOOKUP($A64,DICO_Complet!$A$3:$U$983,16,FALSE))</f>
        <v/>
      </c>
      <c r="P64" s="53" t="str">
        <f>IF(VLOOKUP($A64,DICO_Complet!$A$3:$U$983,17,FALSE)=0,"",VLOOKUP($A64,DICO_Complet!$A$3:$U$983,17,FALSE))</f>
        <v/>
      </c>
      <c r="Q64" s="53" t="str">
        <f>IF(VLOOKUP($A64,DICO_Complet!$A$3:$U$983,18,FALSE)=0,"",VLOOKUP($A64,DICO_Complet!$A$3:$U$983,18,FALSE))</f>
        <v/>
      </c>
    </row>
    <row r="65" spans="1:17" ht="14.65" customHeight="1">
      <c r="A65" s="38">
        <v>250428082700</v>
      </c>
      <c r="B65" s="47" t="s">
        <v>858</v>
      </c>
      <c r="C65" s="3" t="str">
        <f>VLOOKUP($A65,DICO_Complet!$A$3:$U$983,3,FALSE)</f>
        <v>Context</v>
      </c>
      <c r="D65" s="3" t="str">
        <f>VLOOKUP($A65,DICO_Complet!$A$3:$U$983,4,FALSE)</f>
        <v>merchantParameters</v>
      </c>
      <c r="E65" s="2" t="str">
        <f>VLOOKUP($A65,DICO_Complet!$A$3:$U$983,5,FALSE)</f>
        <v>defferedClearingIndicator</v>
      </c>
      <c r="F65" s="2" t="str">
        <f>VLOOKUP($A65,DICO_Complet!$A$3:$U$983,6,FALSE)</f>
        <v>TrueFalseIndicator</v>
      </c>
      <c r="G65" s="48">
        <f>VLOOKUP($A65,DICO_Complet!$A$3:$U$983,7,FALSE)</f>
        <v>0</v>
      </c>
      <c r="H65" s="48">
        <f>VLOOKUP($A65,DICO_Complet!$A$3:$U$983,8,FALSE)</f>
        <v>0</v>
      </c>
      <c r="I65" s="2" t="str">
        <f>IF(VLOOKUP($A65,DICO_Complet!$A$3:$U$983,9,FALSE)&lt;&gt;0,VLOOKUP($A65,DICO_Complet!$A$3:$U$983,9,FALSE),"")</f>
        <v/>
      </c>
      <c r="J65" s="1" t="str">
        <f>VLOOKUP($A65,DICO_Complet!$A$3:$U$983,10,FALSE)</f>
        <v>Indicate if the merchant can deffer the clearing of transactions (open payment)</v>
      </c>
      <c r="K65" s="53" t="str">
        <f>IF(VLOOKUP($A65,DICO_Complet!$A$3:$U$983,12,FALSE)=0,"",VLOOKUP($A65,DICO_Complet!$A$3:$U$983,12,FALSE))</f>
        <v/>
      </c>
      <c r="L65" s="53" t="str">
        <f>IF(VLOOKUP($A65,DICO_Complet!$A$3:$U$983,13,FALSE)=0,"",VLOOKUP($A65,DICO_Complet!$A$3:$U$983,13,FALSE))</f>
        <v/>
      </c>
      <c r="M65" s="53" t="str">
        <f>IF(VLOOKUP($A65,DICO_Complet!$A$3:$U$983,14,FALSE)=0,"",VLOOKUP($A65,DICO_Complet!$A$3:$U$983,14,FALSE))</f>
        <v/>
      </c>
      <c r="N65" s="53" t="str">
        <f>IF(VLOOKUP($A65,DICO_Complet!$A$3:$U$983,15,FALSE)=0,"",VLOOKUP($A65,DICO_Complet!$A$3:$U$983,15,FALSE))</f>
        <v/>
      </c>
      <c r="O65" s="53" t="str">
        <f>IF(VLOOKUP($A65,DICO_Complet!$A$3:$U$983,16,FALSE)=0,"",VLOOKUP($A65,DICO_Complet!$A$3:$U$983,16,FALSE))</f>
        <v/>
      </c>
      <c r="P65" s="53" t="str">
        <f>IF(VLOOKUP($A65,DICO_Complet!$A$3:$U$983,17,FALSE)=0,"",VLOOKUP($A65,DICO_Complet!$A$3:$U$983,17,FALSE))</f>
        <v/>
      </c>
      <c r="Q65" s="53" t="str">
        <f>IF(VLOOKUP($A65,DICO_Complet!$A$3:$U$983,18,FALSE)=0,"",VLOOKUP($A65,DICO_Complet!$A$3:$U$983,18,FALSE))</f>
        <v/>
      </c>
    </row>
    <row r="66" spans="1:17" ht="14.65" customHeight="1">
      <c r="A66" s="38">
        <v>250401135700</v>
      </c>
      <c r="B66" s="47" t="s">
        <v>858</v>
      </c>
      <c r="C66" s="3" t="str">
        <f>VLOOKUP($A66,DICO_Complet!$A$3:$U$983,3,FALSE)</f>
        <v>Context</v>
      </c>
      <c r="D66" s="3" t="str">
        <f>VLOOKUP($A66,DICO_Complet!$A$3:$U$983,4,FALSE)</f>
        <v>merchantParameters</v>
      </c>
      <c r="E66" s="2" t="str">
        <f>VLOOKUP($A66,DICO_Complet!$A$3:$U$983,5,FALSE)</f>
        <v>duplicatedTransactionControlIndicator</v>
      </c>
      <c r="F66" s="2" t="str">
        <f>VLOOKUP($A66,DICO_Complet!$A$3:$U$983,6,FALSE)</f>
        <v>TrueFalseIndicator</v>
      </c>
      <c r="G66" s="48">
        <f>VLOOKUP($A66,DICO_Complet!$A$3:$U$983,7,FALSE)</f>
        <v>0</v>
      </c>
      <c r="H66" s="48">
        <f>VLOOKUP($A66,DICO_Complet!$A$3:$U$983,8,FALSE)</f>
        <v>0</v>
      </c>
      <c r="I66" s="2" t="str">
        <f>IF(VLOOKUP($A66,DICO_Complet!$A$3:$U$983,9,FALSE)&lt;&gt;0,VLOOKUP($A66,DICO_Complet!$A$3:$U$983,9,FALSE),"")</f>
        <v/>
      </c>
      <c r="J66" s="1" t="str">
        <f>VLOOKUP($A66,DICO_Complet!$A$3:$U$983,10,FALSE)</f>
        <v>Indicator for duplicated transactions check</v>
      </c>
      <c r="K66" s="53" t="str">
        <f>IF(VLOOKUP($A66,DICO_Complet!$A$3:$U$983,12,FALSE)=0,"",VLOOKUP($A66,DICO_Complet!$A$3:$U$983,12,FALSE))</f>
        <v/>
      </c>
      <c r="L66" s="53" t="str">
        <f>IF(VLOOKUP($A66,DICO_Complet!$A$3:$U$983,13,FALSE)=0,"",VLOOKUP($A66,DICO_Complet!$A$3:$U$983,13,FALSE))</f>
        <v/>
      </c>
      <c r="M66" s="53" t="str">
        <f>IF(VLOOKUP($A66,DICO_Complet!$A$3:$U$983,14,FALSE)=0,"",VLOOKUP($A66,DICO_Complet!$A$3:$U$983,14,FALSE))</f>
        <v/>
      </c>
      <c r="N66" s="53" t="str">
        <f>IF(VLOOKUP($A66,DICO_Complet!$A$3:$U$983,15,FALSE)=0,"",VLOOKUP($A66,DICO_Complet!$A$3:$U$983,15,FALSE))</f>
        <v/>
      </c>
      <c r="O66" s="53" t="str">
        <f>IF(VLOOKUP($A66,DICO_Complet!$A$3:$U$983,16,FALSE)=0,"",VLOOKUP($A66,DICO_Complet!$A$3:$U$983,16,FALSE))</f>
        <v/>
      </c>
      <c r="P66" s="53" t="str">
        <f>IF(VLOOKUP($A66,DICO_Complet!$A$3:$U$983,17,FALSE)=0,"",VLOOKUP($A66,DICO_Complet!$A$3:$U$983,17,FALSE))</f>
        <v/>
      </c>
      <c r="Q66" s="53" t="str">
        <f>IF(VLOOKUP($A66,DICO_Complet!$A$3:$U$983,18,FALSE)=0,"",VLOOKUP($A66,DICO_Complet!$A$3:$U$983,18,FALSE))</f>
        <v/>
      </c>
    </row>
    <row r="67" spans="1:17" ht="14.65" customHeight="1">
      <c r="A67" s="38">
        <v>250415114900</v>
      </c>
      <c r="B67" s="47" t="s">
        <v>858</v>
      </c>
      <c r="C67" s="3" t="str">
        <f>VLOOKUP($A67,DICO_Complet!$A$3:$U$983,3,FALSE)</f>
        <v>Context</v>
      </c>
      <c r="D67" s="3" t="str">
        <f>VLOOKUP($A67,DICO_Complet!$A$3:$U$983,4,FALSE)</f>
        <v>merchantParameters</v>
      </c>
      <c r="E67" s="2" t="str">
        <f>VLOOKUP($A67,DICO_Complet!$A$3:$U$983,5,FALSE)</f>
        <v>dynamicLineIndicator</v>
      </c>
      <c r="F67" s="2" t="str">
        <f>VLOOKUP($A67,DICO_Complet!$A$3:$U$983,6,FALSE)</f>
        <v>TrueFalseIndicator</v>
      </c>
      <c r="G67" s="48">
        <f>VLOOKUP($A67,DICO_Complet!$A$3:$U$983,7,FALSE)</f>
        <v>0</v>
      </c>
      <c r="H67" s="48">
        <f>VLOOKUP($A67,DICO_Complet!$A$3:$U$983,8,FALSE)</f>
        <v>0</v>
      </c>
      <c r="I67" s="2" t="str">
        <f>IF(VLOOKUP($A67,DICO_Complet!$A$3:$U$983,9,FALSE)&lt;&gt;0,VLOOKUP($A67,DICO_Complet!$A$3:$U$983,9,FALSE),"")</f>
        <v/>
      </c>
      <c r="J67" s="1" t="str">
        <f>VLOOKUP($A67,DICO_Complet!$A$3:$U$983,10,FALSE)</f>
        <v>Indicator Ligne Plaque Dynamique</v>
      </c>
      <c r="K67" s="53" t="str">
        <f>IF(VLOOKUP($A67,DICO_Complet!$A$3:$U$983,12,FALSE)=0,"",VLOOKUP($A67,DICO_Complet!$A$3:$U$983,12,FALSE))</f>
        <v/>
      </c>
      <c r="L67" s="53" t="str">
        <f>IF(VLOOKUP($A67,DICO_Complet!$A$3:$U$983,13,FALSE)=0,"",VLOOKUP($A67,DICO_Complet!$A$3:$U$983,13,FALSE))</f>
        <v/>
      </c>
      <c r="M67" s="53" t="str">
        <f>IF(VLOOKUP($A67,DICO_Complet!$A$3:$U$983,14,FALSE)=0,"",VLOOKUP($A67,DICO_Complet!$A$3:$U$983,14,FALSE))</f>
        <v/>
      </c>
      <c r="N67" s="53" t="str">
        <f>IF(VLOOKUP($A67,DICO_Complet!$A$3:$U$983,15,FALSE)=0,"",VLOOKUP($A67,DICO_Complet!$A$3:$U$983,15,FALSE))</f>
        <v/>
      </c>
      <c r="O67" s="53" t="str">
        <f>IF(VLOOKUP($A67,DICO_Complet!$A$3:$U$983,16,FALSE)=0,"",VLOOKUP($A67,DICO_Complet!$A$3:$U$983,16,FALSE))</f>
        <v/>
      </c>
      <c r="P67" s="53" t="str">
        <f>IF(VLOOKUP($A67,DICO_Complet!$A$3:$U$983,17,FALSE)=0,"",VLOOKUP($A67,DICO_Complet!$A$3:$U$983,17,FALSE))</f>
        <v/>
      </c>
      <c r="Q67" s="53" t="str">
        <f>IF(VLOOKUP($A67,DICO_Complet!$A$3:$U$983,18,FALSE)=0,"",VLOOKUP($A67,DICO_Complet!$A$3:$U$983,18,FALSE))</f>
        <v/>
      </c>
    </row>
    <row r="68" spans="1:17" ht="15" customHeight="1">
      <c r="A68" s="38">
        <v>250415120000</v>
      </c>
      <c r="B68" s="47" t="s">
        <v>858</v>
      </c>
      <c r="C68" s="3" t="str">
        <f>VLOOKUP($A68,DICO_Complet!$A$3:$U$983,3,FALSE)</f>
        <v>Context</v>
      </c>
      <c r="D68" s="3" t="str">
        <f>VLOOKUP($A68,DICO_Complet!$A$3:$U$983,4,FALSE)</f>
        <v>merchantParameters</v>
      </c>
      <c r="E68" s="2" t="str">
        <f>VLOOKUP($A68,DICO_Complet!$A$3:$U$983,5,FALSE)</f>
        <v>feesCumulLevel</v>
      </c>
      <c r="F68" s="2" t="str">
        <f>VLOOKUP($A68,DICO_Complet!$A$3:$U$983,6,FALSE)</f>
        <v>FeesCumulLevelCodeset</v>
      </c>
      <c r="G68" s="48">
        <f>VLOOKUP($A68,DICO_Complet!$A$3:$U$983,7,FALSE)</f>
        <v>0</v>
      </c>
      <c r="H68" s="48">
        <f>VLOOKUP($A68,DICO_Complet!$A$3:$U$983,8,FALSE)</f>
        <v>0</v>
      </c>
      <c r="I68" s="2" t="str">
        <f>IF(VLOOKUP($A68,DICO_Complet!$A$3:$U$983,9,FALSE)&lt;&gt;0,VLOOKUP($A68,DICO_Complet!$A$3:$U$983,9,FALSE),"")</f>
        <v/>
      </c>
      <c r="J68" s="1" t="str">
        <f>VLOOKUP($A68,DICO_Complet!$A$3:$U$983,10,FALSE)</f>
        <v>Fees Cumul Level</v>
      </c>
      <c r="K68" s="53" t="str">
        <f>IF(VLOOKUP($A68,DICO_Complet!$A$3:$U$983,12,FALSE)=0,"",VLOOKUP($A68,DICO_Complet!$A$3:$U$983,12,FALSE))</f>
        <v/>
      </c>
      <c r="L68" s="53" t="str">
        <f>IF(VLOOKUP($A68,DICO_Complet!$A$3:$U$983,13,FALSE)=0,"",VLOOKUP($A68,DICO_Complet!$A$3:$U$983,13,FALSE))</f>
        <v/>
      </c>
      <c r="M68" s="53" t="str">
        <f>IF(VLOOKUP($A68,DICO_Complet!$A$3:$U$983,14,FALSE)=0,"",VLOOKUP($A68,DICO_Complet!$A$3:$U$983,14,FALSE))</f>
        <v/>
      </c>
      <c r="N68" s="53" t="str">
        <f>IF(VLOOKUP($A68,DICO_Complet!$A$3:$U$983,15,FALSE)=0,"",VLOOKUP($A68,DICO_Complet!$A$3:$U$983,15,FALSE))</f>
        <v/>
      </c>
      <c r="O68" s="53" t="str">
        <f>IF(VLOOKUP($A68,DICO_Complet!$A$3:$U$983,16,FALSE)=0,"",VLOOKUP($A68,DICO_Complet!$A$3:$U$983,16,FALSE))</f>
        <v/>
      </c>
      <c r="P68" s="53" t="str">
        <f>IF(VLOOKUP($A68,DICO_Complet!$A$3:$U$983,17,FALSE)=0,"",VLOOKUP($A68,DICO_Complet!$A$3:$U$983,17,FALSE))</f>
        <v/>
      </c>
      <c r="Q68" s="53" t="str">
        <f>IF(VLOOKUP($A68,DICO_Complet!$A$3:$U$983,18,FALSE)=0,"",VLOOKUP($A68,DICO_Complet!$A$3:$U$983,18,FALSE))</f>
        <v/>
      </c>
    </row>
    <row r="69" spans="1:17">
      <c r="A69" s="38">
        <v>250415115900</v>
      </c>
      <c r="B69" s="47" t="s">
        <v>858</v>
      </c>
      <c r="C69" s="3" t="str">
        <f>VLOOKUP($A69,DICO_Complet!$A$3:$U$983,3,FALSE)</f>
        <v>Context</v>
      </c>
      <c r="D69" s="3" t="str">
        <f>VLOOKUP($A69,DICO_Complet!$A$3:$U$983,4,FALSE)</f>
        <v>merchantParameters</v>
      </c>
      <c r="E69" s="2" t="str">
        <f>VLOOKUP($A69,DICO_Complet!$A$3:$U$983,5,FALSE)</f>
        <v>feesDebitPeriod</v>
      </c>
      <c r="F69" s="2" t="str">
        <f>VLOOKUP($A69,DICO_Complet!$A$3:$U$983,6,FALSE)</f>
        <v>Max10AlphaNumericText</v>
      </c>
      <c r="G69" s="48">
        <f>VLOOKUP($A69,DICO_Complet!$A$3:$U$983,7,FALSE)</f>
        <v>0</v>
      </c>
      <c r="H69" s="48">
        <f>VLOOKUP($A69,DICO_Complet!$A$3:$U$983,8,FALSE)</f>
        <v>0</v>
      </c>
      <c r="I69" s="2" t="str">
        <f>IF(VLOOKUP($A69,DICO_Complet!$A$3:$U$983,9,FALSE)&lt;&gt;0,VLOOKUP($A69,DICO_Complet!$A$3:$U$983,9,FALSE),"")</f>
        <v/>
      </c>
      <c r="J69" s="1" t="str">
        <f>VLOOKUP($A69,DICO_Complet!$A$3:$U$983,10,FALSE)</f>
        <v>Period frequency of fees debit</v>
      </c>
      <c r="K69" s="53" t="str">
        <f>IF(VLOOKUP($A69,DICO_Complet!$A$3:$U$983,12,FALSE)=0,"",VLOOKUP($A69,DICO_Complet!$A$3:$U$983,12,FALSE))</f>
        <v/>
      </c>
      <c r="L69" s="53" t="str">
        <f>IF(VLOOKUP($A69,DICO_Complet!$A$3:$U$983,13,FALSE)=0,"",VLOOKUP($A69,DICO_Complet!$A$3:$U$983,13,FALSE))</f>
        <v/>
      </c>
      <c r="M69" s="53" t="str">
        <f>IF(VLOOKUP($A69,DICO_Complet!$A$3:$U$983,14,FALSE)=0,"",VLOOKUP($A69,DICO_Complet!$A$3:$U$983,14,FALSE))</f>
        <v/>
      </c>
      <c r="N69" s="53" t="str">
        <f>IF(VLOOKUP($A69,DICO_Complet!$A$3:$U$983,15,FALSE)=0,"",VLOOKUP($A69,DICO_Complet!$A$3:$U$983,15,FALSE))</f>
        <v/>
      </c>
      <c r="O69" s="53" t="str">
        <f>IF(VLOOKUP($A69,DICO_Complet!$A$3:$U$983,16,FALSE)=0,"",VLOOKUP($A69,DICO_Complet!$A$3:$U$983,16,FALSE))</f>
        <v/>
      </c>
      <c r="P69" s="53" t="str">
        <f>IF(VLOOKUP($A69,DICO_Complet!$A$3:$U$983,17,FALSE)=0,"",VLOOKUP($A69,DICO_Complet!$A$3:$U$983,17,FALSE))</f>
        <v/>
      </c>
      <c r="Q69" s="53" t="str">
        <f>IF(VLOOKUP($A69,DICO_Complet!$A$3:$U$983,18,FALSE)=0,"",VLOOKUP($A69,DICO_Complet!$A$3:$U$983,18,FALSE))</f>
        <v/>
      </c>
    </row>
    <row r="70" spans="1:17" ht="15" customHeight="1">
      <c r="A70" s="38">
        <v>250408115300</v>
      </c>
      <c r="B70" s="47" t="s">
        <v>858</v>
      </c>
      <c r="C70" s="3" t="str">
        <f>VLOOKUP($A70,DICO_Complet!$A$3:$U$983,3,FALSE)</f>
        <v>Context</v>
      </c>
      <c r="D70" s="3" t="str">
        <f>VLOOKUP($A70,DICO_Complet!$A$3:$U$983,4,FALSE)</f>
        <v>merchantParameters</v>
      </c>
      <c r="E70" s="2" t="str">
        <f>VLOOKUP($A70,DICO_Complet!$A$3:$U$983,5,FALSE)</f>
        <v>feesDeferredDebitIndicator</v>
      </c>
      <c r="F70" s="2" t="str">
        <f>VLOOKUP($A70,DICO_Complet!$A$3:$U$983,6,FALSE)</f>
        <v>TrueFalseIndicator</v>
      </c>
      <c r="G70" s="48">
        <f>VLOOKUP($A70,DICO_Complet!$A$3:$U$983,7,FALSE)</f>
        <v>0</v>
      </c>
      <c r="H70" s="48">
        <f>VLOOKUP($A70,DICO_Complet!$A$3:$U$983,8,FALSE)</f>
        <v>0</v>
      </c>
      <c r="I70" s="2" t="str">
        <f>IF(VLOOKUP($A70,DICO_Complet!$A$3:$U$983,9,FALSE)&lt;&gt;0,VLOOKUP($A70,DICO_Complet!$A$3:$U$983,9,FALSE),"")</f>
        <v/>
      </c>
      <c r="J70" s="1" t="str">
        <f>VLOOKUP($A70,DICO_Complet!$A$3:$U$983,10,FALSE)</f>
        <v>Indication whether the merchant has opted for a debit corresponding to the daily remittance, without soustracting the fees</v>
      </c>
      <c r="K70" s="53" t="str">
        <f>IF(VLOOKUP($A70,DICO_Complet!$A$3:$U$983,12,FALSE)=0,"",VLOOKUP($A70,DICO_Complet!$A$3:$U$983,12,FALSE))</f>
        <v/>
      </c>
      <c r="L70" s="53" t="str">
        <f>IF(VLOOKUP($A70,DICO_Complet!$A$3:$U$983,13,FALSE)=0,"",VLOOKUP($A70,DICO_Complet!$A$3:$U$983,13,FALSE))</f>
        <v/>
      </c>
      <c r="M70" s="53" t="str">
        <f>IF(VLOOKUP($A70,DICO_Complet!$A$3:$U$983,14,FALSE)=0,"",VLOOKUP($A70,DICO_Complet!$A$3:$U$983,14,FALSE))</f>
        <v/>
      </c>
      <c r="N70" s="53" t="str">
        <f>IF(VLOOKUP($A70,DICO_Complet!$A$3:$U$983,15,FALSE)=0,"",VLOOKUP($A70,DICO_Complet!$A$3:$U$983,15,FALSE))</f>
        <v/>
      </c>
      <c r="O70" s="53" t="str">
        <f>IF(VLOOKUP($A70,DICO_Complet!$A$3:$U$983,16,FALSE)=0,"",VLOOKUP($A70,DICO_Complet!$A$3:$U$983,16,FALSE))</f>
        <v/>
      </c>
      <c r="P70" s="53" t="str">
        <f>IF(VLOOKUP($A70,DICO_Complet!$A$3:$U$983,17,FALSE)=0,"",VLOOKUP($A70,DICO_Complet!$A$3:$U$983,17,FALSE))</f>
        <v/>
      </c>
      <c r="Q70" s="53" t="str">
        <f>IF(VLOOKUP($A70,DICO_Complet!$A$3:$U$983,18,FALSE)=0,"",VLOOKUP($A70,DICO_Complet!$A$3:$U$983,18,FALSE))</f>
        <v/>
      </c>
    </row>
    <row r="71" spans="1:17" ht="15" customHeight="1">
      <c r="A71" s="38">
        <v>250415115400</v>
      </c>
      <c r="B71" s="47" t="s">
        <v>858</v>
      </c>
      <c r="C71" s="3" t="str">
        <f>VLOOKUP($A71,DICO_Complet!$A$3:$U$983,3,FALSE)</f>
        <v>Context</v>
      </c>
      <c r="D71" s="3" t="str">
        <f>VLOOKUP($A71,DICO_Complet!$A$3:$U$983,4,FALSE)</f>
        <v>merchantParameters</v>
      </c>
      <c r="E71" s="2" t="str">
        <f>VLOOKUP($A71,DICO_Complet!$A$3:$U$983,5,FALSE)</f>
        <v>forbiddenCardProduct</v>
      </c>
      <c r="F71" s="2" t="str">
        <f>VLOOKUP($A71,DICO_Complet!$A$3:$U$983,6,FALSE)</f>
        <v>ForbiddenCardProductCodeset</v>
      </c>
      <c r="G71" s="48">
        <f>VLOOKUP($A71,DICO_Complet!$A$3:$U$983,7,FALSE)</f>
        <v>0</v>
      </c>
      <c r="H71" s="48">
        <f>VLOOKUP($A71,DICO_Complet!$A$3:$U$983,8,FALSE)</f>
        <v>0</v>
      </c>
      <c r="I71" s="2" t="str">
        <f>IF(VLOOKUP($A71,DICO_Complet!$A$3:$U$983,9,FALSE)&lt;&gt;0,VLOOKUP($A71,DICO_Complet!$A$3:$U$983,9,FALSE),"")</f>
        <v/>
      </c>
      <c r="J71" s="1" t="str">
        <f>VLOOKUP($A71,DICO_Complet!$A$3:$U$983,10,FALSE)</f>
        <v>Non-authorised card products</v>
      </c>
      <c r="K71" s="53" t="str">
        <f>IF(VLOOKUP($A71,DICO_Complet!$A$3:$U$983,12,FALSE)=0,"",VLOOKUP($A71,DICO_Complet!$A$3:$U$983,12,FALSE))</f>
        <v/>
      </c>
      <c r="L71" s="53" t="str">
        <f>IF(VLOOKUP($A71,DICO_Complet!$A$3:$U$983,13,FALSE)=0,"",VLOOKUP($A71,DICO_Complet!$A$3:$U$983,13,FALSE))</f>
        <v/>
      </c>
      <c r="M71" s="53" t="str">
        <f>IF(VLOOKUP($A71,DICO_Complet!$A$3:$U$983,14,FALSE)=0,"",VLOOKUP($A71,DICO_Complet!$A$3:$U$983,14,FALSE))</f>
        <v/>
      </c>
      <c r="N71" s="53" t="str">
        <f>IF(VLOOKUP($A71,DICO_Complet!$A$3:$U$983,15,FALSE)=0,"",VLOOKUP($A71,DICO_Complet!$A$3:$U$983,15,FALSE))</f>
        <v/>
      </c>
      <c r="O71" s="53" t="str">
        <f>IF(VLOOKUP($A71,DICO_Complet!$A$3:$U$983,16,FALSE)=0,"",VLOOKUP($A71,DICO_Complet!$A$3:$U$983,16,FALSE))</f>
        <v/>
      </c>
      <c r="P71" s="53" t="str">
        <f>IF(VLOOKUP($A71,DICO_Complet!$A$3:$U$983,17,FALSE)=0,"",VLOOKUP($A71,DICO_Complet!$A$3:$U$983,17,FALSE))</f>
        <v/>
      </c>
      <c r="Q71" s="53" t="str">
        <f>IF(VLOOKUP($A71,DICO_Complet!$A$3:$U$983,18,FALSE)=0,"",VLOOKUP($A71,DICO_Complet!$A$3:$U$983,18,FALSE))</f>
        <v/>
      </c>
    </row>
    <row r="72" spans="1:17" ht="15" customHeight="1">
      <c r="A72" s="38">
        <v>250401140800</v>
      </c>
      <c r="B72" s="47" t="s">
        <v>858</v>
      </c>
      <c r="C72" s="3" t="str">
        <f>VLOOKUP($A72,DICO_Complet!$A$3:$U$983,3,FALSE)</f>
        <v>Context</v>
      </c>
      <c r="D72" s="3" t="str">
        <f>VLOOKUP($A72,DICO_Complet!$A$3:$U$983,4,FALSE)</f>
        <v>merchantParameters</v>
      </c>
      <c r="E72" s="2" t="str">
        <f>VLOOKUP($A72,DICO_Complet!$A$3:$U$983,5,FALSE)</f>
        <v>fraudReportingIndicator</v>
      </c>
      <c r="F72" s="2" t="str">
        <f>VLOOKUP($A72,DICO_Complet!$A$3:$U$983,6,FALSE)</f>
        <v>TrueFalseIndicator</v>
      </c>
      <c r="G72" s="48">
        <f>VLOOKUP($A72,DICO_Complet!$A$3:$U$983,7,FALSE)</f>
        <v>0</v>
      </c>
      <c r="H72" s="48">
        <f>VLOOKUP($A72,DICO_Complet!$A$3:$U$983,8,FALSE)</f>
        <v>0</v>
      </c>
      <c r="I72" s="2" t="str">
        <f>IF(VLOOKUP($A72,DICO_Complet!$A$3:$U$983,9,FALSE)&lt;&gt;0,VLOOKUP($A72,DICO_Complet!$A$3:$U$983,9,FALSE),"")</f>
        <v/>
      </c>
      <c r="J72" s="1" t="str">
        <f>VLOOKUP($A72,DICO_Complet!$A$3:$U$983,10,FALSE)</f>
        <v>Fraud reporting indicator</v>
      </c>
      <c r="K72" s="53" t="str">
        <f>IF(VLOOKUP($A72,DICO_Complet!$A$3:$U$983,12,FALSE)=0,"",VLOOKUP($A72,DICO_Complet!$A$3:$U$983,12,FALSE))</f>
        <v/>
      </c>
      <c r="L72" s="53" t="str">
        <f>IF(VLOOKUP($A72,DICO_Complet!$A$3:$U$983,13,FALSE)=0,"",VLOOKUP($A72,DICO_Complet!$A$3:$U$983,13,FALSE))</f>
        <v/>
      </c>
      <c r="M72" s="53" t="str">
        <f>IF(VLOOKUP($A72,DICO_Complet!$A$3:$U$983,14,FALSE)=0,"",VLOOKUP($A72,DICO_Complet!$A$3:$U$983,14,FALSE))</f>
        <v/>
      </c>
      <c r="N72" s="53" t="str">
        <f>IF(VLOOKUP($A72,DICO_Complet!$A$3:$U$983,15,FALSE)=0,"",VLOOKUP($A72,DICO_Complet!$A$3:$U$983,15,FALSE))</f>
        <v/>
      </c>
      <c r="O72" s="53" t="str">
        <f>IF(VLOOKUP($A72,DICO_Complet!$A$3:$U$983,16,FALSE)=0,"",VLOOKUP($A72,DICO_Complet!$A$3:$U$983,16,FALSE))</f>
        <v/>
      </c>
      <c r="P72" s="53" t="str">
        <f>IF(VLOOKUP($A72,DICO_Complet!$A$3:$U$983,17,FALSE)=0,"",VLOOKUP($A72,DICO_Complet!$A$3:$U$983,17,FALSE))</f>
        <v/>
      </c>
      <c r="Q72" s="53" t="str">
        <f>IF(VLOOKUP($A72,DICO_Complet!$A$3:$U$983,18,FALSE)=0,"",VLOOKUP($A72,DICO_Complet!$A$3:$U$983,18,FALSE))</f>
        <v/>
      </c>
    </row>
    <row r="73" spans="1:17" ht="19.5" customHeight="1">
      <c r="A73" s="38">
        <v>250415115200</v>
      </c>
      <c r="B73" s="47" t="s">
        <v>858</v>
      </c>
      <c r="C73" s="3" t="str">
        <f>VLOOKUP($A73,DICO_Complet!$A$3:$U$983,3,FALSE)</f>
        <v>Context</v>
      </c>
      <c r="D73" s="3" t="str">
        <f>VLOOKUP($A73,DICO_Complet!$A$3:$U$983,4,FALSE)</f>
        <v>merchantParameters</v>
      </c>
      <c r="E73" s="2" t="str">
        <f>VLOOKUP($A73,DICO_Complet!$A$3:$U$983,5,FALSE)</f>
        <v>genericMidControl</v>
      </c>
      <c r="F73" s="2" t="str">
        <f>VLOOKUP($A73,DICO_Complet!$A$3:$U$983,6,FALSE)</f>
        <v>GenericMidControlCodeset</v>
      </c>
      <c r="G73" s="48">
        <f>VLOOKUP($A73,DICO_Complet!$A$3:$U$983,7,FALSE)</f>
        <v>0</v>
      </c>
      <c r="H73" s="48">
        <f>VLOOKUP($A73,DICO_Complet!$A$3:$U$983,8,FALSE)</f>
        <v>0</v>
      </c>
      <c r="I73" s="2" t="str">
        <f>IF(VLOOKUP($A73,DICO_Complet!$A$3:$U$983,9,FALSE)&lt;&gt;0,VLOOKUP($A73,DICO_Complet!$A$3:$U$983,9,FALSE),"")</f>
        <v/>
      </c>
      <c r="J73" s="1" t="str">
        <f>VLOOKUP($A73,DICO_Complet!$A$3:$U$983,10,FALSE)</f>
        <v>How control is done on MID</v>
      </c>
      <c r="K73" s="53" t="str">
        <f>IF(VLOOKUP($A73,DICO_Complet!$A$3:$U$983,12,FALSE)=0,"",VLOOKUP($A73,DICO_Complet!$A$3:$U$983,12,FALSE))</f>
        <v/>
      </c>
      <c r="L73" s="53" t="str">
        <f>IF(VLOOKUP($A73,DICO_Complet!$A$3:$U$983,13,FALSE)=0,"",VLOOKUP($A73,DICO_Complet!$A$3:$U$983,13,FALSE))</f>
        <v/>
      </c>
      <c r="M73" s="53" t="str">
        <f>IF(VLOOKUP($A73,DICO_Complet!$A$3:$U$983,14,FALSE)=0,"",VLOOKUP($A73,DICO_Complet!$A$3:$U$983,14,FALSE))</f>
        <v/>
      </c>
      <c r="N73" s="53" t="str">
        <f>IF(VLOOKUP($A73,DICO_Complet!$A$3:$U$983,15,FALSE)=0,"",VLOOKUP($A73,DICO_Complet!$A$3:$U$983,15,FALSE))</f>
        <v/>
      </c>
      <c r="O73" s="53" t="str">
        <f>IF(VLOOKUP($A73,DICO_Complet!$A$3:$U$983,16,FALSE)=0,"",VLOOKUP($A73,DICO_Complet!$A$3:$U$983,16,FALSE))</f>
        <v/>
      </c>
      <c r="P73" s="53" t="str">
        <f>IF(VLOOKUP($A73,DICO_Complet!$A$3:$U$983,17,FALSE)=0,"",VLOOKUP($A73,DICO_Complet!$A$3:$U$983,17,FALSE))</f>
        <v/>
      </c>
      <c r="Q73" s="53" t="str">
        <f>IF(VLOOKUP($A73,DICO_Complet!$A$3:$U$983,18,FALSE)=0,"",VLOOKUP($A73,DICO_Complet!$A$3:$U$983,18,FALSE))</f>
        <v/>
      </c>
    </row>
    <row r="74" spans="1:17" ht="15" customHeight="1">
      <c r="A74" s="38">
        <v>250401140700</v>
      </c>
      <c r="B74" s="47" t="s">
        <v>858</v>
      </c>
      <c r="C74" s="3" t="str">
        <f>VLOOKUP($A74,DICO_Complet!$A$3:$U$983,3,FALSE)</f>
        <v>Context</v>
      </c>
      <c r="D74" s="3" t="str">
        <f>VLOOKUP($A74,DICO_Complet!$A$3:$U$983,4,FALSE)</f>
        <v>merchantParameters</v>
      </c>
      <c r="E74" s="2" t="str">
        <f>VLOOKUP($A74,DICO_Complet!$A$3:$U$983,5,FALSE)</f>
        <v>governmentControlCountryCode</v>
      </c>
      <c r="F74" s="2" t="str">
        <f>VLOOKUP($A74,DICO_Complet!$A$3:$U$983,6,FALSE)</f>
        <v>ISO3NumericCountryCode</v>
      </c>
      <c r="G74" s="48">
        <f>VLOOKUP($A74,DICO_Complet!$A$3:$U$983,7,FALSE)</f>
        <v>0</v>
      </c>
      <c r="H74" s="48">
        <f>VLOOKUP($A74,DICO_Complet!$A$3:$U$983,8,FALSE)</f>
        <v>0</v>
      </c>
      <c r="I74" s="2" t="str">
        <f>IF(VLOOKUP($A74,DICO_Complet!$A$3:$U$983,9,FALSE)&lt;&gt;0,VLOOKUP($A74,DICO_Complet!$A$3:$U$983,9,FALSE),"")</f>
        <v/>
      </c>
      <c r="J74" s="1" t="str">
        <f>VLOOKUP($A74,DICO_Complet!$A$3:$U$983,10,FALSE)</f>
        <v>government country code</v>
      </c>
      <c r="K74" s="53" t="str">
        <f>IF(VLOOKUP($A74,DICO_Complet!$A$3:$U$983,12,FALSE)=0,"",VLOOKUP($A74,DICO_Complet!$A$3:$U$983,12,FALSE))</f>
        <v/>
      </c>
      <c r="L74" s="53" t="str">
        <f>IF(VLOOKUP($A74,DICO_Complet!$A$3:$U$983,13,FALSE)=0,"",VLOOKUP($A74,DICO_Complet!$A$3:$U$983,13,FALSE))</f>
        <v/>
      </c>
      <c r="M74" s="53" t="str">
        <f>IF(VLOOKUP($A74,DICO_Complet!$A$3:$U$983,14,FALSE)=0,"",VLOOKUP($A74,DICO_Complet!$A$3:$U$983,14,FALSE))</f>
        <v/>
      </c>
      <c r="N74" s="53" t="str">
        <f>IF(VLOOKUP($A74,DICO_Complet!$A$3:$U$983,15,FALSE)=0,"",VLOOKUP($A74,DICO_Complet!$A$3:$U$983,15,FALSE))</f>
        <v/>
      </c>
      <c r="O74" s="53" t="str">
        <f>IF(VLOOKUP($A74,DICO_Complet!$A$3:$U$983,16,FALSE)=0,"",VLOOKUP($A74,DICO_Complet!$A$3:$U$983,16,FALSE))</f>
        <v/>
      </c>
      <c r="P74" s="53" t="str">
        <f>IF(VLOOKUP($A74,DICO_Complet!$A$3:$U$983,17,FALSE)=0,"",VLOOKUP($A74,DICO_Complet!$A$3:$U$983,17,FALSE))</f>
        <v/>
      </c>
      <c r="Q74" s="53" t="str">
        <f>IF(VLOOKUP($A74,DICO_Complet!$A$3:$U$983,18,FALSE)=0,"",VLOOKUP($A74,DICO_Complet!$A$3:$U$983,18,FALSE))</f>
        <v/>
      </c>
    </row>
    <row r="75" spans="1:17" ht="14.65" customHeight="1">
      <c r="A75" s="38">
        <v>250401140600</v>
      </c>
      <c r="B75" s="47" t="s">
        <v>858</v>
      </c>
      <c r="C75" s="3" t="str">
        <f>VLOOKUP($A75,DICO_Complet!$A$3:$U$983,3,FALSE)</f>
        <v>Context</v>
      </c>
      <c r="D75" s="3" t="str">
        <f>VLOOKUP($A75,DICO_Complet!$A$3:$U$983,4,FALSE)</f>
        <v>merchantParameters</v>
      </c>
      <c r="E75" s="2" t="str">
        <f>VLOOKUP($A75,DICO_Complet!$A$3:$U$983,5,FALSE)</f>
        <v>governmentControlIndicator</v>
      </c>
      <c r="F75" s="2" t="str">
        <f>VLOOKUP($A75,DICO_Complet!$A$3:$U$983,6,FALSE)</f>
        <v>TrueFalseIndicator</v>
      </c>
      <c r="G75" s="48">
        <f>VLOOKUP($A75,DICO_Complet!$A$3:$U$983,7,FALSE)</f>
        <v>0</v>
      </c>
      <c r="H75" s="48">
        <f>VLOOKUP($A75,DICO_Complet!$A$3:$U$983,8,FALSE)</f>
        <v>0</v>
      </c>
      <c r="I75" s="2" t="str">
        <f>IF(VLOOKUP($A75,DICO_Complet!$A$3:$U$983,9,FALSE)&lt;&gt;0,VLOOKUP($A75,DICO_Complet!$A$3:$U$983,9,FALSE),"")</f>
        <v/>
      </c>
      <c r="J75" s="1" t="str">
        <f>VLOOKUP($A75,DICO_Complet!$A$3:$U$983,10,FALSE)</f>
        <v>Government control indicator</v>
      </c>
      <c r="K75" s="53" t="str">
        <f>IF(VLOOKUP($A75,DICO_Complet!$A$3:$U$983,12,FALSE)=0,"",VLOOKUP($A75,DICO_Complet!$A$3:$U$983,12,FALSE))</f>
        <v/>
      </c>
      <c r="L75" s="53" t="str">
        <f>IF(VLOOKUP($A75,DICO_Complet!$A$3:$U$983,13,FALSE)=0,"",VLOOKUP($A75,DICO_Complet!$A$3:$U$983,13,FALSE))</f>
        <v/>
      </c>
      <c r="M75" s="53" t="str">
        <f>IF(VLOOKUP($A75,DICO_Complet!$A$3:$U$983,14,FALSE)=0,"",VLOOKUP($A75,DICO_Complet!$A$3:$U$983,14,FALSE))</f>
        <v/>
      </c>
      <c r="N75" s="53" t="str">
        <f>IF(VLOOKUP($A75,DICO_Complet!$A$3:$U$983,15,FALSE)=0,"",VLOOKUP($A75,DICO_Complet!$A$3:$U$983,15,FALSE))</f>
        <v/>
      </c>
      <c r="O75" s="53" t="str">
        <f>IF(VLOOKUP($A75,DICO_Complet!$A$3:$U$983,16,FALSE)=0,"",VLOOKUP($A75,DICO_Complet!$A$3:$U$983,16,FALSE))</f>
        <v/>
      </c>
      <c r="P75" s="53" t="str">
        <f>IF(VLOOKUP($A75,DICO_Complet!$A$3:$U$983,17,FALSE)=0,"",VLOOKUP($A75,DICO_Complet!$A$3:$U$983,17,FALSE))</f>
        <v/>
      </c>
      <c r="Q75" s="53" t="str">
        <f>IF(VLOOKUP($A75,DICO_Complet!$A$3:$U$983,18,FALSE)=0,"",VLOOKUP($A75,DICO_Complet!$A$3:$U$983,18,FALSE))</f>
        <v/>
      </c>
    </row>
    <row r="76" spans="1:17" ht="15" customHeight="1">
      <c r="A76" s="38">
        <v>250408115200</v>
      </c>
      <c r="B76" s="47" t="s">
        <v>858</v>
      </c>
      <c r="C76" s="3" t="str">
        <f>VLOOKUP($A76,DICO_Complet!$A$3:$U$983,3,FALSE)</f>
        <v>Context</v>
      </c>
      <c r="D76" s="3" t="str">
        <f>VLOOKUP($A76,DICO_Complet!$A$3:$U$983,4,FALSE)</f>
        <v>merchantParameters</v>
      </c>
      <c r="E76" s="2" t="str">
        <f>VLOOKUP($A76,DICO_Complet!$A$3:$U$983,5,FALSE)</f>
        <v>grossAmountIndicator</v>
      </c>
      <c r="F76" s="2" t="str">
        <f>VLOOKUP($A76,DICO_Complet!$A$3:$U$983,6,FALSE)</f>
        <v>TrueFalseIndicator</v>
      </c>
      <c r="G76" s="48">
        <f>VLOOKUP($A76,DICO_Complet!$A$3:$U$983,7,FALSE)</f>
        <v>0</v>
      </c>
      <c r="H76" s="48">
        <f>VLOOKUP($A76,DICO_Complet!$A$3:$U$983,8,FALSE)</f>
        <v>0</v>
      </c>
      <c r="I76" s="2" t="str">
        <f>IF(VLOOKUP($A76,DICO_Complet!$A$3:$U$983,9,FALSE)&lt;&gt;0,VLOOKUP($A76,DICO_Complet!$A$3:$U$983,9,FALSE),"")</f>
        <v/>
      </c>
      <c r="J76" s="1" t="str">
        <f>VLOOKUP($A76,DICO_Complet!$A$3:$U$983,10,FALSE)</f>
        <v>Indication whether the merchant has subscribed to the monthly billing of the acquring fees</v>
      </c>
      <c r="K76" s="53" t="str">
        <f>IF(VLOOKUP($A76,DICO_Complet!$A$3:$U$983,12,FALSE)=0,"",VLOOKUP($A76,DICO_Complet!$A$3:$U$983,12,FALSE))</f>
        <v/>
      </c>
      <c r="L76" s="53" t="str">
        <f>IF(VLOOKUP($A76,DICO_Complet!$A$3:$U$983,13,FALSE)=0,"",VLOOKUP($A76,DICO_Complet!$A$3:$U$983,13,FALSE))</f>
        <v/>
      </c>
      <c r="M76" s="53" t="str">
        <f>IF(VLOOKUP($A76,DICO_Complet!$A$3:$U$983,14,FALSE)=0,"",VLOOKUP($A76,DICO_Complet!$A$3:$U$983,14,FALSE))</f>
        <v/>
      </c>
      <c r="N76" s="53" t="str">
        <f>IF(VLOOKUP($A76,DICO_Complet!$A$3:$U$983,15,FALSE)=0,"",VLOOKUP($A76,DICO_Complet!$A$3:$U$983,15,FALSE))</f>
        <v/>
      </c>
      <c r="O76" s="53" t="str">
        <f>IF(VLOOKUP($A76,DICO_Complet!$A$3:$U$983,16,FALSE)=0,"",VLOOKUP($A76,DICO_Complet!$A$3:$U$983,16,FALSE))</f>
        <v/>
      </c>
      <c r="P76" s="53" t="str">
        <f>IF(VLOOKUP($A76,DICO_Complet!$A$3:$U$983,17,FALSE)=0,"",VLOOKUP($A76,DICO_Complet!$A$3:$U$983,17,FALSE))</f>
        <v/>
      </c>
      <c r="Q76" s="53" t="str">
        <f>IF(VLOOKUP($A76,DICO_Complet!$A$3:$U$983,18,FALSE)=0,"",VLOOKUP($A76,DICO_Complet!$A$3:$U$983,18,FALSE))</f>
        <v/>
      </c>
    </row>
    <row r="77" spans="1:17" ht="14.65" customHeight="1">
      <c r="A77" s="38">
        <v>250415114800</v>
      </c>
      <c r="B77" s="47" t="s">
        <v>858</v>
      </c>
      <c r="C77" s="3" t="str">
        <f>VLOOKUP($A77,DICO_Complet!$A$3:$U$983,3,FALSE)</f>
        <v>Context</v>
      </c>
      <c r="D77" s="3" t="str">
        <f>VLOOKUP($A77,DICO_Complet!$A$3:$U$983,4,FALSE)</f>
        <v>merchantParameters</v>
      </c>
      <c r="E77" s="2" t="str">
        <f>VLOOKUP($A77,DICO_Complet!$A$3:$U$983,5,FALSE)</f>
        <v>ibanUse</v>
      </c>
      <c r="F77" s="2" t="str">
        <f>VLOOKUP($A77,DICO_Complet!$A$3:$U$983,6,FALSE)</f>
        <v>IbanUseCodeset</v>
      </c>
      <c r="G77" s="48">
        <f>VLOOKUP($A77,DICO_Complet!$A$3:$U$983,7,FALSE)</f>
        <v>0</v>
      </c>
      <c r="H77" s="48">
        <f>VLOOKUP($A77,DICO_Complet!$A$3:$U$983,8,FALSE)</f>
        <v>0</v>
      </c>
      <c r="I77" s="2" t="str">
        <f>IF(VLOOKUP($A77,DICO_Complet!$A$3:$U$983,9,FALSE)&lt;&gt;0,VLOOKUP($A77,DICO_Complet!$A$3:$U$983,9,FALSE),"")</f>
        <v/>
      </c>
      <c r="J77" s="1" t="str">
        <f>VLOOKUP($A77,DICO_Complet!$A$3:$U$983,10,FALSE)</f>
        <v>How iban is used</v>
      </c>
      <c r="K77" s="53" t="str">
        <f>IF(VLOOKUP($A77,DICO_Complet!$A$3:$U$983,12,FALSE)=0,"",VLOOKUP($A77,DICO_Complet!$A$3:$U$983,12,FALSE))</f>
        <v/>
      </c>
      <c r="L77" s="53" t="str">
        <f>IF(VLOOKUP($A77,DICO_Complet!$A$3:$U$983,13,FALSE)=0,"",VLOOKUP($A77,DICO_Complet!$A$3:$U$983,13,FALSE))</f>
        <v/>
      </c>
      <c r="M77" s="53" t="str">
        <f>IF(VLOOKUP($A77,DICO_Complet!$A$3:$U$983,14,FALSE)=0,"",VLOOKUP($A77,DICO_Complet!$A$3:$U$983,14,FALSE))</f>
        <v/>
      </c>
      <c r="N77" s="53" t="str">
        <f>IF(VLOOKUP($A77,DICO_Complet!$A$3:$U$983,15,FALSE)=0,"",VLOOKUP($A77,DICO_Complet!$A$3:$U$983,15,FALSE))</f>
        <v/>
      </c>
      <c r="O77" s="53" t="str">
        <f>IF(VLOOKUP($A77,DICO_Complet!$A$3:$U$983,16,FALSE)=0,"",VLOOKUP($A77,DICO_Complet!$A$3:$U$983,16,FALSE))</f>
        <v/>
      </c>
      <c r="P77" s="53" t="str">
        <f>IF(VLOOKUP($A77,DICO_Complet!$A$3:$U$983,17,FALSE)=0,"",VLOOKUP($A77,DICO_Complet!$A$3:$U$983,17,FALSE))</f>
        <v/>
      </c>
      <c r="Q77" s="53" t="str">
        <f>IF(VLOOKUP($A77,DICO_Complet!$A$3:$U$983,18,FALSE)=0,"",VLOOKUP($A77,DICO_Complet!$A$3:$U$983,18,FALSE))</f>
        <v/>
      </c>
    </row>
    <row r="78" spans="1:17">
      <c r="A78" s="38">
        <v>250428083100</v>
      </c>
      <c r="B78" s="47" t="s">
        <v>858</v>
      </c>
      <c r="C78" s="3" t="str">
        <f>VLOOKUP($A78,DICO_Complet!$A$3:$U$983,3,FALSE)</f>
        <v>Context</v>
      </c>
      <c r="D78" s="3" t="str">
        <f>VLOOKUP($A78,DICO_Complet!$A$3:$U$983,4,FALSE)</f>
        <v>merchantParameters</v>
      </c>
      <c r="E78" s="2" t="str">
        <f>VLOOKUP($A78,DICO_Complet!$A$3:$U$983,5,FALSE)</f>
        <v>informationRequestIndicator</v>
      </c>
      <c r="F78" s="2" t="str">
        <f>VLOOKUP($A78,DICO_Complet!$A$3:$U$983,6,FALSE)</f>
        <v>TrueFalseIndicator</v>
      </c>
      <c r="G78" s="48">
        <f>VLOOKUP($A78,DICO_Complet!$A$3:$U$983,7,FALSE)</f>
        <v>0</v>
      </c>
      <c r="H78" s="48">
        <f>VLOOKUP($A78,DICO_Complet!$A$3:$U$983,8,FALSE)</f>
        <v>0</v>
      </c>
      <c r="I78" s="2" t="str">
        <f>IF(VLOOKUP($A78,DICO_Complet!$A$3:$U$983,9,FALSE)&lt;&gt;0,VLOOKUP($A78,DICO_Complet!$A$3:$U$983,9,FALSE),"")</f>
        <v/>
      </c>
      <c r="J78" s="1" t="str">
        <f>VLOOKUP($A78,DICO_Complet!$A$3:$U$983,10,FALSE)</f>
        <v>Indicate if the merchant can do information requests</v>
      </c>
      <c r="K78" s="53" t="str">
        <f>IF(VLOOKUP($A78,DICO_Complet!$A$3:$U$983,12,FALSE)=0,"",VLOOKUP($A78,DICO_Complet!$A$3:$U$983,12,FALSE))</f>
        <v/>
      </c>
      <c r="L78" s="53" t="str">
        <f>IF(VLOOKUP($A78,DICO_Complet!$A$3:$U$983,13,FALSE)=0,"",VLOOKUP($A78,DICO_Complet!$A$3:$U$983,13,FALSE))</f>
        <v/>
      </c>
      <c r="M78" s="53" t="str">
        <f>IF(VLOOKUP($A78,DICO_Complet!$A$3:$U$983,14,FALSE)=0,"",VLOOKUP($A78,DICO_Complet!$A$3:$U$983,14,FALSE))</f>
        <v/>
      </c>
      <c r="N78" s="53" t="str">
        <f>IF(VLOOKUP($A78,DICO_Complet!$A$3:$U$983,15,FALSE)=0,"",VLOOKUP($A78,DICO_Complet!$A$3:$U$983,15,FALSE))</f>
        <v/>
      </c>
      <c r="O78" s="53" t="str">
        <f>IF(VLOOKUP($A78,DICO_Complet!$A$3:$U$983,16,FALSE)=0,"",VLOOKUP($A78,DICO_Complet!$A$3:$U$983,16,FALSE))</f>
        <v/>
      </c>
      <c r="P78" s="53" t="str">
        <f>IF(VLOOKUP($A78,DICO_Complet!$A$3:$U$983,17,FALSE)=0,"",VLOOKUP($A78,DICO_Complet!$A$3:$U$983,17,FALSE))</f>
        <v/>
      </c>
      <c r="Q78" s="53" t="str">
        <f>IF(VLOOKUP($A78,DICO_Complet!$A$3:$U$983,18,FALSE)=0,"",VLOOKUP($A78,DICO_Complet!$A$3:$U$983,18,FALSE))</f>
        <v/>
      </c>
    </row>
    <row r="79" spans="1:17" ht="15" customHeight="1">
      <c r="A79" s="38">
        <v>250408114600</v>
      </c>
      <c r="B79" s="47" t="s">
        <v>858</v>
      </c>
      <c r="C79" s="3" t="str">
        <f>VLOOKUP($A79,DICO_Complet!$A$3:$U$983,3,FALSE)</f>
        <v>Context</v>
      </c>
      <c r="D79" s="3" t="str">
        <f>VLOOKUP($A79,DICO_Complet!$A$3:$U$983,4,FALSE)</f>
        <v>merchantParameters</v>
      </c>
      <c r="E79" s="2" t="str">
        <f>VLOOKUP($A79,DICO_Complet!$A$3:$U$983,5,FALSE)</f>
        <v>mainGroupingIdentifier</v>
      </c>
      <c r="F79" s="2" t="str">
        <f>VLOOKUP($A79,DICO_Complet!$A$3:$U$983,6,FALSE)</f>
        <v>Max35Text</v>
      </c>
      <c r="G79" s="48">
        <f>VLOOKUP($A79,DICO_Complet!$A$3:$U$983,7,FALSE)</f>
        <v>0</v>
      </c>
      <c r="H79" s="48">
        <f>VLOOKUP($A79,DICO_Complet!$A$3:$U$983,8,FALSE)</f>
        <v>0</v>
      </c>
      <c r="I79" s="2" t="str">
        <f>IF(VLOOKUP($A79,DICO_Complet!$A$3:$U$983,9,FALSE)&lt;&gt;0,VLOOKUP($A79,DICO_Complet!$A$3:$U$983,9,FALSE),"")</f>
        <v/>
      </c>
      <c r="J79" s="1" t="str">
        <f>VLOOKUP($A79,DICO_Complet!$A$3:$U$983,10,FALSE)</f>
        <v xml:space="preserve">Identifiant de regroupement principal
Main grouping identifier
</v>
      </c>
      <c r="K79" s="53" t="str">
        <f>IF(VLOOKUP($A79,DICO_Complet!$A$3:$U$983,12,FALSE)=0,"",VLOOKUP($A79,DICO_Complet!$A$3:$U$983,12,FALSE))</f>
        <v/>
      </c>
      <c r="L79" s="53" t="str">
        <f>IF(VLOOKUP($A79,DICO_Complet!$A$3:$U$983,13,FALSE)=0,"",VLOOKUP($A79,DICO_Complet!$A$3:$U$983,13,FALSE))</f>
        <v/>
      </c>
      <c r="M79" s="53" t="str">
        <f>IF(VLOOKUP($A79,DICO_Complet!$A$3:$U$983,14,FALSE)=0,"",VLOOKUP($A79,DICO_Complet!$A$3:$U$983,14,FALSE))</f>
        <v/>
      </c>
      <c r="N79" s="53" t="str">
        <f>IF(VLOOKUP($A79,DICO_Complet!$A$3:$U$983,15,FALSE)=0,"",VLOOKUP($A79,DICO_Complet!$A$3:$U$983,15,FALSE))</f>
        <v/>
      </c>
      <c r="O79" s="53" t="str">
        <f>IF(VLOOKUP($A79,DICO_Complet!$A$3:$U$983,16,FALSE)=0,"",VLOOKUP($A79,DICO_Complet!$A$3:$U$983,16,FALSE))</f>
        <v/>
      </c>
      <c r="P79" s="53" t="str">
        <f>IF(VLOOKUP($A79,DICO_Complet!$A$3:$U$983,17,FALSE)=0,"",VLOOKUP($A79,DICO_Complet!$A$3:$U$983,17,FALSE))</f>
        <v/>
      </c>
      <c r="Q79" s="53" t="str">
        <f>IF(VLOOKUP($A79,DICO_Complet!$A$3:$U$983,18,FALSE)=0,"",VLOOKUP($A79,DICO_Complet!$A$3:$U$983,18,FALSE))</f>
        <v/>
      </c>
    </row>
    <row r="80" spans="1:17" ht="14.65" customHeight="1">
      <c r="A80" s="38">
        <v>250428083500</v>
      </c>
      <c r="B80" s="47" t="s">
        <v>858</v>
      </c>
      <c r="C80" s="3" t="str">
        <f>VLOOKUP($A80,DICO_Complet!$A$3:$U$983,3,FALSE)</f>
        <v>Context</v>
      </c>
      <c r="D80" s="3" t="str">
        <f>VLOOKUP($A80,DICO_Complet!$A$3:$U$983,4,FALSE)</f>
        <v>merchantParameters</v>
      </c>
      <c r="E80" s="2" t="str">
        <f>VLOOKUP($A80,DICO_Complet!$A$3:$U$983,5,FALSE)</f>
        <v>maximumAuthorisedAmount</v>
      </c>
      <c r="F80" s="2" t="str">
        <f>VLOOKUP($A80,DICO_Complet!$A$3:$U$983,6,FALSE)</f>
        <v>AmountType</v>
      </c>
      <c r="G80" s="48">
        <f>VLOOKUP($A80,DICO_Complet!$A$3:$U$983,7,FALSE)</f>
        <v>0</v>
      </c>
      <c r="H80" s="48">
        <f>VLOOKUP($A80,DICO_Complet!$A$3:$U$983,8,FALSE)</f>
        <v>0</v>
      </c>
      <c r="I80" s="2" t="str">
        <f>IF(VLOOKUP($A80,DICO_Complet!$A$3:$U$983,9,FALSE)&lt;&gt;0,VLOOKUP($A80,DICO_Complet!$A$3:$U$983,9,FALSE),"")</f>
        <v/>
      </c>
      <c r="J80" s="1" t="str">
        <f>VLOOKUP($A80,DICO_Complet!$A$3:$U$983,10,FALSE)</f>
        <v>Indicate the maximum amount the merchant is authorised to sell</v>
      </c>
      <c r="K80" s="53" t="str">
        <f>IF(VLOOKUP($A80,DICO_Complet!$A$3:$U$983,12,FALSE)=0,"",VLOOKUP($A80,DICO_Complet!$A$3:$U$983,12,FALSE))</f>
        <v/>
      </c>
      <c r="L80" s="53" t="str">
        <f>IF(VLOOKUP($A80,DICO_Complet!$A$3:$U$983,13,FALSE)=0,"",VLOOKUP($A80,DICO_Complet!$A$3:$U$983,13,FALSE))</f>
        <v/>
      </c>
      <c r="M80" s="53" t="str">
        <f>IF(VLOOKUP($A80,DICO_Complet!$A$3:$U$983,14,FALSE)=0,"",VLOOKUP($A80,DICO_Complet!$A$3:$U$983,14,FALSE))</f>
        <v/>
      </c>
      <c r="N80" s="53" t="str">
        <f>IF(VLOOKUP($A80,DICO_Complet!$A$3:$U$983,15,FALSE)=0,"",VLOOKUP($A80,DICO_Complet!$A$3:$U$983,15,FALSE))</f>
        <v/>
      </c>
      <c r="O80" s="53" t="str">
        <f>IF(VLOOKUP($A80,DICO_Complet!$A$3:$U$983,16,FALSE)=0,"",VLOOKUP($A80,DICO_Complet!$A$3:$U$983,16,FALSE))</f>
        <v/>
      </c>
      <c r="P80" s="53" t="str">
        <f>IF(VLOOKUP($A80,DICO_Complet!$A$3:$U$983,17,FALSE)=0,"",VLOOKUP($A80,DICO_Complet!$A$3:$U$983,17,FALSE))</f>
        <v/>
      </c>
      <c r="Q80" s="53" t="str">
        <f>IF(VLOOKUP($A80,DICO_Complet!$A$3:$U$983,18,FALSE)=0,"",VLOOKUP($A80,DICO_Complet!$A$3:$U$983,18,FALSE))</f>
        <v/>
      </c>
    </row>
    <row r="81" spans="1:17">
      <c r="A81" s="38">
        <v>250401140000</v>
      </c>
      <c r="B81" s="47" t="s">
        <v>858</v>
      </c>
      <c r="C81" s="3" t="str">
        <f>VLOOKUP($A81,DICO_Complet!$A$3:$U$983,3,FALSE)</f>
        <v>Context</v>
      </c>
      <c r="D81" s="3" t="str">
        <f>VLOOKUP($A81,DICO_Complet!$A$3:$U$983,4,FALSE)</f>
        <v>merchantParameters</v>
      </c>
      <c r="E81" s="2" t="str">
        <f>VLOOKUP($A81,DICO_Complet!$A$3:$U$983,5,FALSE)</f>
        <v>maximumAuthorisedCredit</v>
      </c>
      <c r="F81" s="2" t="str">
        <f>VLOOKUP($A81,DICO_Complet!$A$3:$U$983,6,FALSE)</f>
        <v>AmountType</v>
      </c>
      <c r="G81" s="48">
        <f>VLOOKUP($A81,DICO_Complet!$A$3:$U$983,7,FALSE)</f>
        <v>0</v>
      </c>
      <c r="H81" s="48">
        <f>VLOOKUP($A81,DICO_Complet!$A$3:$U$983,8,FALSE)</f>
        <v>0</v>
      </c>
      <c r="I81" s="2" t="str">
        <f>IF(VLOOKUP($A81,DICO_Complet!$A$3:$U$983,9,FALSE)&lt;&gt;0,VLOOKUP($A81,DICO_Complet!$A$3:$U$983,9,FALSE),"")</f>
        <v/>
      </c>
      <c r="J81" s="1" t="str">
        <f>VLOOKUP($A81,DICO_Complet!$A$3:$U$983,10,FALSE)</f>
        <v>Credit maximum authorised amount and currency</v>
      </c>
      <c r="K81" s="53" t="str">
        <f>IF(VLOOKUP($A81,DICO_Complet!$A$3:$U$983,12,FALSE)=0,"",VLOOKUP($A81,DICO_Complet!$A$3:$U$983,12,FALSE))</f>
        <v/>
      </c>
      <c r="L81" s="53" t="str">
        <f>IF(VLOOKUP($A81,DICO_Complet!$A$3:$U$983,13,FALSE)=0,"",VLOOKUP($A81,DICO_Complet!$A$3:$U$983,13,FALSE))</f>
        <v/>
      </c>
      <c r="M81" s="53" t="str">
        <f>IF(VLOOKUP($A81,DICO_Complet!$A$3:$U$983,14,FALSE)=0,"",VLOOKUP($A81,DICO_Complet!$A$3:$U$983,14,FALSE))</f>
        <v/>
      </c>
      <c r="N81" s="53" t="str">
        <f>IF(VLOOKUP($A81,DICO_Complet!$A$3:$U$983,15,FALSE)=0,"",VLOOKUP($A81,DICO_Complet!$A$3:$U$983,15,FALSE))</f>
        <v/>
      </c>
      <c r="O81" s="53" t="str">
        <f>IF(VLOOKUP($A81,DICO_Complet!$A$3:$U$983,16,FALSE)=0,"",VLOOKUP($A81,DICO_Complet!$A$3:$U$983,16,FALSE))</f>
        <v/>
      </c>
      <c r="P81" s="53" t="str">
        <f>IF(VLOOKUP($A81,DICO_Complet!$A$3:$U$983,17,FALSE)=0,"",VLOOKUP($A81,DICO_Complet!$A$3:$U$983,17,FALSE))</f>
        <v/>
      </c>
      <c r="Q81" s="53" t="str">
        <f>IF(VLOOKUP($A81,DICO_Complet!$A$3:$U$983,18,FALSE)=0,"",VLOOKUP($A81,DICO_Complet!$A$3:$U$983,18,FALSE))</f>
        <v/>
      </c>
    </row>
    <row r="82" spans="1:17" ht="14.1" customHeight="1">
      <c r="A82" s="38">
        <v>250401135900</v>
      </c>
      <c r="B82" s="47" t="s">
        <v>858</v>
      </c>
      <c r="C82" s="3" t="str">
        <f>VLOOKUP($A82,DICO_Complet!$A$3:$U$983,3,FALSE)</f>
        <v>Context</v>
      </c>
      <c r="D82" s="3" t="str">
        <f>VLOOKUP($A82,DICO_Complet!$A$3:$U$983,4,FALSE)</f>
        <v>merchantParameters</v>
      </c>
      <c r="E82" s="2" t="str">
        <f>VLOOKUP($A82,DICO_Complet!$A$3:$U$983,5,FALSE)</f>
        <v>maximumAuthorisedDebit</v>
      </c>
      <c r="F82" s="2" t="str">
        <f>VLOOKUP($A82,DICO_Complet!$A$3:$U$983,6,FALSE)</f>
        <v>AmountType</v>
      </c>
      <c r="G82" s="48">
        <f>VLOOKUP($A82,DICO_Complet!$A$3:$U$983,7,FALSE)</f>
        <v>0</v>
      </c>
      <c r="H82" s="48">
        <f>VLOOKUP($A82,DICO_Complet!$A$3:$U$983,8,FALSE)</f>
        <v>0</v>
      </c>
      <c r="I82" s="2" t="str">
        <f>IF(VLOOKUP($A82,DICO_Complet!$A$3:$U$983,9,FALSE)&lt;&gt;0,VLOOKUP($A82,DICO_Complet!$A$3:$U$983,9,FALSE),"")</f>
        <v/>
      </c>
      <c r="J82" s="1" t="str">
        <f>VLOOKUP($A82,DICO_Complet!$A$3:$U$983,10,FALSE)</f>
        <v>Debit maximum authorised amount and currency</v>
      </c>
      <c r="K82" s="53" t="str">
        <f>IF(VLOOKUP($A82,DICO_Complet!$A$3:$U$983,12,FALSE)=0,"",VLOOKUP($A82,DICO_Complet!$A$3:$U$983,12,FALSE))</f>
        <v/>
      </c>
      <c r="L82" s="53" t="str">
        <f>IF(VLOOKUP($A82,DICO_Complet!$A$3:$U$983,13,FALSE)=0,"",VLOOKUP($A82,DICO_Complet!$A$3:$U$983,13,FALSE))</f>
        <v/>
      </c>
      <c r="M82" s="53" t="str">
        <f>IF(VLOOKUP($A82,DICO_Complet!$A$3:$U$983,14,FALSE)=0,"",VLOOKUP($A82,DICO_Complet!$A$3:$U$983,14,FALSE))</f>
        <v/>
      </c>
      <c r="N82" s="53" t="str">
        <f>IF(VLOOKUP($A82,DICO_Complet!$A$3:$U$983,15,FALSE)=0,"",VLOOKUP($A82,DICO_Complet!$A$3:$U$983,15,FALSE))</f>
        <v/>
      </c>
      <c r="O82" s="53" t="str">
        <f>IF(VLOOKUP($A82,DICO_Complet!$A$3:$U$983,16,FALSE)=0,"",VLOOKUP($A82,DICO_Complet!$A$3:$U$983,16,FALSE))</f>
        <v/>
      </c>
      <c r="P82" s="53" t="str">
        <f>IF(VLOOKUP($A82,DICO_Complet!$A$3:$U$983,17,FALSE)=0,"",VLOOKUP($A82,DICO_Complet!$A$3:$U$983,17,FALSE))</f>
        <v/>
      </c>
      <c r="Q82" s="53" t="str">
        <f>IF(VLOOKUP($A82,DICO_Complet!$A$3:$U$983,18,FALSE)=0,"",VLOOKUP($A82,DICO_Complet!$A$3:$U$983,18,FALSE))</f>
        <v/>
      </c>
    </row>
    <row r="83" spans="1:17" ht="14.65" customHeight="1">
      <c r="A83" s="38">
        <v>250415120200</v>
      </c>
      <c r="B83" s="47" t="s">
        <v>858</v>
      </c>
      <c r="C83" s="3" t="str">
        <f>VLOOKUP($A83,DICO_Complet!$A$3:$U$983,3,FALSE)</f>
        <v>Context</v>
      </c>
      <c r="D83" s="3" t="str">
        <f>VLOOKUP($A83,DICO_Complet!$A$3:$U$983,4,FALSE)</f>
        <v>merchantParameters</v>
      </c>
      <c r="E83" s="2" t="str">
        <f>VLOOKUP($A83,DICO_Complet!$A$3:$U$983,5,FALSE)</f>
        <v>merchantCreditCalculationDate</v>
      </c>
      <c r="F83" s="2" t="str">
        <f>VLOOKUP($A83,DICO_Complet!$A$3:$U$983,6,FALSE)</f>
        <v>MerchantCreditCalculationDateCodeset</v>
      </c>
      <c r="G83" s="48">
        <f>VLOOKUP($A83,DICO_Complet!$A$3:$U$983,7,FALSE)</f>
        <v>0</v>
      </c>
      <c r="H83" s="48">
        <f>VLOOKUP($A83,DICO_Complet!$A$3:$U$983,8,FALSE)</f>
        <v>0</v>
      </c>
      <c r="I83" s="2" t="str">
        <f>IF(VLOOKUP($A83,DICO_Complet!$A$3:$U$983,9,FALSE)&lt;&gt;0,VLOOKUP($A83,DICO_Complet!$A$3:$U$983,9,FALSE),"")</f>
        <v/>
      </c>
      <c r="J83" s="1" t="str">
        <f>VLOOKUP($A83,DICO_Complet!$A$3:$U$983,10,FALSE)</f>
        <v>Merchant credit calculation date</v>
      </c>
      <c r="K83" s="53" t="str">
        <f>IF(VLOOKUP($A83,DICO_Complet!$A$3:$U$983,12,FALSE)=0,"",VLOOKUP($A83,DICO_Complet!$A$3:$U$983,12,FALSE))</f>
        <v/>
      </c>
      <c r="L83" s="53" t="str">
        <f>IF(VLOOKUP($A83,DICO_Complet!$A$3:$U$983,13,FALSE)=0,"",VLOOKUP($A83,DICO_Complet!$A$3:$U$983,13,FALSE))</f>
        <v/>
      </c>
      <c r="M83" s="53" t="str">
        <f>IF(VLOOKUP($A83,DICO_Complet!$A$3:$U$983,14,FALSE)=0,"",VLOOKUP($A83,DICO_Complet!$A$3:$U$983,14,FALSE))</f>
        <v/>
      </c>
      <c r="N83" s="53" t="str">
        <f>IF(VLOOKUP($A83,DICO_Complet!$A$3:$U$983,15,FALSE)=0,"",VLOOKUP($A83,DICO_Complet!$A$3:$U$983,15,FALSE))</f>
        <v/>
      </c>
      <c r="O83" s="53" t="str">
        <f>IF(VLOOKUP($A83,DICO_Complet!$A$3:$U$983,16,FALSE)=0,"",VLOOKUP($A83,DICO_Complet!$A$3:$U$983,16,FALSE))</f>
        <v/>
      </c>
      <c r="P83" s="53" t="str">
        <f>IF(VLOOKUP($A83,DICO_Complet!$A$3:$U$983,17,FALSE)=0,"",VLOOKUP($A83,DICO_Complet!$A$3:$U$983,17,FALSE))</f>
        <v/>
      </c>
      <c r="Q83" s="53" t="str">
        <f>IF(VLOOKUP($A83,DICO_Complet!$A$3:$U$983,18,FALSE)=0,"",VLOOKUP($A83,DICO_Complet!$A$3:$U$983,18,FALSE))</f>
        <v/>
      </c>
    </row>
    <row r="84" spans="1:17" ht="14.65" customHeight="1">
      <c r="A84" s="38">
        <v>250415115100</v>
      </c>
      <c r="B84" s="47" t="s">
        <v>858</v>
      </c>
      <c r="C84" s="3" t="str">
        <f>VLOOKUP($A84,DICO_Complet!$A$3:$U$983,3,FALSE)</f>
        <v>Context</v>
      </c>
      <c r="D84" s="3" t="str">
        <f>VLOOKUP($A84,DICO_Complet!$A$3:$U$983,4,FALSE)</f>
        <v>merchantParameters</v>
      </c>
      <c r="E84" s="2" t="str">
        <f>VLOOKUP($A84,DICO_Complet!$A$3:$U$983,5,FALSE)</f>
        <v>merchantFeesAccounting</v>
      </c>
      <c r="F84" s="2" t="str">
        <f>VLOOKUP($A84,DICO_Complet!$A$3:$U$983,6,FALSE)</f>
        <v>MerchantFeesAccountingCodeset</v>
      </c>
      <c r="G84" s="48">
        <f>VLOOKUP($A84,DICO_Complet!$A$3:$U$983,7,FALSE)</f>
        <v>0</v>
      </c>
      <c r="H84" s="48">
        <f>VLOOKUP($A84,DICO_Complet!$A$3:$U$983,8,FALSE)</f>
        <v>0</v>
      </c>
      <c r="I84" s="2" t="str">
        <f>IF(VLOOKUP($A84,DICO_Complet!$A$3:$U$983,9,FALSE)&lt;&gt;0,VLOOKUP($A84,DICO_Complet!$A$3:$U$983,9,FALSE),"")</f>
        <v/>
      </c>
      <c r="J84" s="1" t="str">
        <f>VLOOKUP($A84,DICO_Complet!$A$3:$U$983,10,FALSE)</f>
        <v>Merchant fees accounting frequency</v>
      </c>
      <c r="K84" s="53" t="str">
        <f>IF(VLOOKUP($A84,DICO_Complet!$A$3:$U$983,12,FALSE)=0,"",VLOOKUP($A84,DICO_Complet!$A$3:$U$983,12,FALSE))</f>
        <v/>
      </c>
      <c r="L84" s="53" t="str">
        <f>IF(VLOOKUP($A84,DICO_Complet!$A$3:$U$983,13,FALSE)=0,"",VLOOKUP($A84,DICO_Complet!$A$3:$U$983,13,FALSE))</f>
        <v/>
      </c>
      <c r="M84" s="53" t="str">
        <f>IF(VLOOKUP($A84,DICO_Complet!$A$3:$U$983,14,FALSE)=0,"",VLOOKUP($A84,DICO_Complet!$A$3:$U$983,14,FALSE))</f>
        <v/>
      </c>
      <c r="N84" s="53" t="str">
        <f>IF(VLOOKUP($A84,DICO_Complet!$A$3:$U$983,15,FALSE)=0,"",VLOOKUP($A84,DICO_Complet!$A$3:$U$983,15,FALSE))</f>
        <v/>
      </c>
      <c r="O84" s="53" t="str">
        <f>IF(VLOOKUP($A84,DICO_Complet!$A$3:$U$983,16,FALSE)=0,"",VLOOKUP($A84,DICO_Complet!$A$3:$U$983,16,FALSE))</f>
        <v/>
      </c>
      <c r="P84" s="53" t="str">
        <f>IF(VLOOKUP($A84,DICO_Complet!$A$3:$U$983,17,FALSE)=0,"",VLOOKUP($A84,DICO_Complet!$A$3:$U$983,17,FALSE))</f>
        <v/>
      </c>
      <c r="Q84" s="53" t="str">
        <f>IF(VLOOKUP($A84,DICO_Complet!$A$3:$U$983,18,FALSE)=0,"",VLOOKUP($A84,DICO_Complet!$A$3:$U$983,18,FALSE))</f>
        <v/>
      </c>
    </row>
    <row r="85" spans="1:17">
      <c r="A85" s="38">
        <v>250415115700</v>
      </c>
      <c r="B85" s="47" t="s">
        <v>858</v>
      </c>
      <c r="C85" s="3" t="str">
        <f>VLOOKUP($A85,DICO_Complet!$A$3:$U$983,3,FALSE)</f>
        <v>Context</v>
      </c>
      <c r="D85" s="3" t="str">
        <f>VLOOKUP($A85,DICO_Complet!$A$3:$U$983,4,FALSE)</f>
        <v>merchantParameters</v>
      </c>
      <c r="E85" s="2" t="str">
        <f>VLOOKUP($A85,DICO_Complet!$A$3:$U$983,5,FALSE)</f>
        <v>merchantSchemeChoice</v>
      </c>
      <c r="F85" s="2" t="str">
        <f>VLOOKUP($A85,DICO_Complet!$A$3:$U$983,6,FALSE)</f>
        <v>BrandCodeset</v>
      </c>
      <c r="G85" s="48">
        <f>VLOOKUP($A85,DICO_Complet!$A$3:$U$983,7,FALSE)</f>
        <v>0</v>
      </c>
      <c r="H85" s="48">
        <f>VLOOKUP($A85,DICO_Complet!$A$3:$U$983,8,FALSE)</f>
        <v>0</v>
      </c>
      <c r="I85" s="2" t="str">
        <f>IF(VLOOKUP($A85,DICO_Complet!$A$3:$U$983,9,FALSE)&lt;&gt;0,VLOOKUP($A85,DICO_Complet!$A$3:$U$983,9,FALSE),"")</f>
        <v/>
      </c>
      <c r="J85" s="1" t="str">
        <f>VLOOKUP($A85,DICO_Complet!$A$3:$U$983,10,FALSE)</f>
        <v>Switch preferences</v>
      </c>
      <c r="K85" s="53" t="str">
        <f>IF(VLOOKUP($A85,DICO_Complet!$A$3:$U$983,12,FALSE)=0,"",VLOOKUP($A85,DICO_Complet!$A$3:$U$983,12,FALSE))</f>
        <v/>
      </c>
      <c r="L85" s="53" t="str">
        <f>IF(VLOOKUP($A85,DICO_Complet!$A$3:$U$983,13,FALSE)=0,"",VLOOKUP($A85,DICO_Complet!$A$3:$U$983,13,FALSE))</f>
        <v/>
      </c>
      <c r="M85" s="53" t="str">
        <f>IF(VLOOKUP($A85,DICO_Complet!$A$3:$U$983,14,FALSE)=0,"",VLOOKUP($A85,DICO_Complet!$A$3:$U$983,14,FALSE))</f>
        <v/>
      </c>
      <c r="N85" s="53" t="str">
        <f>IF(VLOOKUP($A85,DICO_Complet!$A$3:$U$983,15,FALSE)=0,"",VLOOKUP($A85,DICO_Complet!$A$3:$U$983,15,FALSE))</f>
        <v/>
      </c>
      <c r="O85" s="53" t="str">
        <f>IF(VLOOKUP($A85,DICO_Complet!$A$3:$U$983,16,FALSE)=0,"",VLOOKUP($A85,DICO_Complet!$A$3:$U$983,16,FALSE))</f>
        <v/>
      </c>
      <c r="P85" s="53" t="str">
        <f>IF(VLOOKUP($A85,DICO_Complet!$A$3:$U$983,17,FALSE)=0,"",VLOOKUP($A85,DICO_Complet!$A$3:$U$983,17,FALSE))</f>
        <v/>
      </c>
      <c r="Q85" s="53" t="str">
        <f>IF(VLOOKUP($A85,DICO_Complet!$A$3:$U$983,18,FALSE)=0,"",VLOOKUP($A85,DICO_Complet!$A$3:$U$983,18,FALSE))</f>
        <v/>
      </c>
    </row>
    <row r="86" spans="1:17">
      <c r="A86" s="38">
        <v>250401135500</v>
      </c>
      <c r="B86" s="47" t="s">
        <v>858</v>
      </c>
      <c r="C86" s="3" t="str">
        <f>VLOOKUP($A86,DICO_Complet!$A$3:$U$983,3,FALSE)</f>
        <v>Context</v>
      </c>
      <c r="D86" s="3" t="str">
        <f>VLOOKUP($A86,DICO_Complet!$A$3:$U$983,4,FALSE)</f>
        <v>merchantParameters</v>
      </c>
      <c r="E86" s="2" t="str">
        <f>VLOOKUP($A86,DICO_Complet!$A$3:$U$983,5,FALSE)</f>
        <v>noShowIndicator</v>
      </c>
      <c r="F86" s="2" t="str">
        <f>VLOOKUP($A86,DICO_Complet!$A$3:$U$983,6,FALSE)</f>
        <v>TrueFalseIndicator</v>
      </c>
      <c r="G86" s="48">
        <f>VLOOKUP($A86,DICO_Complet!$A$3:$U$983,7,FALSE)</f>
        <v>0</v>
      </c>
      <c r="H86" s="48">
        <f>VLOOKUP($A86,DICO_Complet!$A$3:$U$983,8,FALSE)</f>
        <v>0</v>
      </c>
      <c r="I86" s="2" t="str">
        <f>IF(VLOOKUP($A86,DICO_Complet!$A$3:$U$983,9,FALSE)&lt;&gt;0,VLOOKUP($A86,DICO_Complet!$A$3:$U$983,9,FALSE),"")</f>
        <v/>
      </c>
      <c r="J86" s="1" t="str">
        <f>VLOOKUP($A86,DICO_Complet!$A$3:$U$983,10,FALSE)</f>
        <v>No show Indicator</v>
      </c>
      <c r="K86" s="53" t="str">
        <f>IF(VLOOKUP($A86,DICO_Complet!$A$3:$U$983,12,FALSE)=0,"",VLOOKUP($A86,DICO_Complet!$A$3:$U$983,12,FALSE))</f>
        <v/>
      </c>
      <c r="L86" s="53" t="str">
        <f>IF(VLOOKUP($A86,DICO_Complet!$A$3:$U$983,13,FALSE)=0,"",VLOOKUP($A86,DICO_Complet!$A$3:$U$983,13,FALSE))</f>
        <v/>
      </c>
      <c r="M86" s="53" t="str">
        <f>IF(VLOOKUP($A86,DICO_Complet!$A$3:$U$983,14,FALSE)=0,"",VLOOKUP($A86,DICO_Complet!$A$3:$U$983,14,FALSE))</f>
        <v/>
      </c>
      <c r="N86" s="53" t="str">
        <f>IF(VLOOKUP($A86,DICO_Complet!$A$3:$U$983,15,FALSE)=0,"",VLOOKUP($A86,DICO_Complet!$A$3:$U$983,15,FALSE))</f>
        <v/>
      </c>
      <c r="O86" s="53" t="str">
        <f>IF(VLOOKUP($A86,DICO_Complet!$A$3:$U$983,16,FALSE)=0,"",VLOOKUP($A86,DICO_Complet!$A$3:$U$983,16,FALSE))</f>
        <v/>
      </c>
      <c r="P86" s="53" t="str">
        <f>IF(VLOOKUP($A86,DICO_Complet!$A$3:$U$983,17,FALSE)=0,"",VLOOKUP($A86,DICO_Complet!$A$3:$U$983,17,FALSE))</f>
        <v/>
      </c>
      <c r="Q86" s="53" t="str">
        <f>IF(VLOOKUP($A86,DICO_Complet!$A$3:$U$983,18,FALSE)=0,"",VLOOKUP($A86,DICO_Complet!$A$3:$U$983,18,FALSE))</f>
        <v/>
      </c>
    </row>
    <row r="87" spans="1:17" ht="15" customHeight="1">
      <c r="A87" s="38">
        <v>250428082800</v>
      </c>
      <c r="B87" s="47" t="s">
        <v>858</v>
      </c>
      <c r="C87" s="3" t="str">
        <f>VLOOKUP($A87,DICO_Complet!$A$3:$U$983,3,FALSE)</f>
        <v>Context</v>
      </c>
      <c r="D87" s="3" t="str">
        <f>VLOOKUP($A87,DICO_Complet!$A$3:$U$983,4,FALSE)</f>
        <v>merchantParameters</v>
      </c>
      <c r="E87" s="2" t="str">
        <f>VLOOKUP($A87,DICO_Complet!$A$3:$U$983,5,FALSE)</f>
        <v>panTruncationIndicator</v>
      </c>
      <c r="F87" s="2" t="str">
        <f>VLOOKUP($A87,DICO_Complet!$A$3:$U$983,6,FALSE)</f>
        <v>TrueFalseIndicator</v>
      </c>
      <c r="G87" s="48">
        <f>VLOOKUP($A87,DICO_Complet!$A$3:$U$983,7,FALSE)</f>
        <v>0</v>
      </c>
      <c r="H87" s="48">
        <f>VLOOKUP($A87,DICO_Complet!$A$3:$U$983,8,FALSE)</f>
        <v>0</v>
      </c>
      <c r="I87" s="2" t="str">
        <f>IF(VLOOKUP($A87,DICO_Complet!$A$3:$U$983,9,FALSE)&lt;&gt;0,VLOOKUP($A87,DICO_Complet!$A$3:$U$983,9,FALSE),"")</f>
        <v/>
      </c>
      <c r="J87" s="1" t="str">
        <f>VLOOKUP($A87,DICO_Complet!$A$3:$U$983,10,FALSE)</f>
        <v>Indicate if the merchant can use truncated PAN</v>
      </c>
      <c r="K87" s="53" t="str">
        <f>IF(VLOOKUP($A87,DICO_Complet!$A$3:$U$983,12,FALSE)=0,"",VLOOKUP($A87,DICO_Complet!$A$3:$U$983,12,FALSE))</f>
        <v/>
      </c>
      <c r="L87" s="53" t="str">
        <f>IF(VLOOKUP($A87,DICO_Complet!$A$3:$U$983,13,FALSE)=0,"",VLOOKUP($A87,DICO_Complet!$A$3:$U$983,13,FALSE))</f>
        <v/>
      </c>
      <c r="M87" s="53" t="str">
        <f>IF(VLOOKUP($A87,DICO_Complet!$A$3:$U$983,14,FALSE)=0,"",VLOOKUP($A87,DICO_Complet!$A$3:$U$983,14,FALSE))</f>
        <v/>
      </c>
      <c r="N87" s="53" t="str">
        <f>IF(VLOOKUP($A87,DICO_Complet!$A$3:$U$983,15,FALSE)=0,"",VLOOKUP($A87,DICO_Complet!$A$3:$U$983,15,FALSE))</f>
        <v/>
      </c>
      <c r="O87" s="53" t="str">
        <f>IF(VLOOKUP($A87,DICO_Complet!$A$3:$U$983,16,FALSE)=0,"",VLOOKUP($A87,DICO_Complet!$A$3:$U$983,16,FALSE))</f>
        <v/>
      </c>
      <c r="P87" s="53" t="str">
        <f>IF(VLOOKUP($A87,DICO_Complet!$A$3:$U$983,17,FALSE)=0,"",VLOOKUP($A87,DICO_Complet!$A$3:$U$983,17,FALSE))</f>
        <v/>
      </c>
      <c r="Q87" s="53" t="str">
        <f>IF(VLOOKUP($A87,DICO_Complet!$A$3:$U$983,18,FALSE)=0,"",VLOOKUP($A87,DICO_Complet!$A$3:$U$983,18,FALSE))</f>
        <v/>
      </c>
    </row>
    <row r="88" spans="1:17">
      <c r="A88" s="38">
        <v>250428082900</v>
      </c>
      <c r="B88" s="47" t="s">
        <v>858</v>
      </c>
      <c r="C88" s="3" t="str">
        <f>VLOOKUP($A88,DICO_Complet!$A$3:$U$983,3,FALSE)</f>
        <v>Context</v>
      </c>
      <c r="D88" s="3" t="str">
        <f>VLOOKUP($A88,DICO_Complet!$A$3:$U$983,4,FALSE)</f>
        <v>merchantParameters</v>
      </c>
      <c r="E88" s="2" t="str">
        <f>VLOOKUP($A88,DICO_Complet!$A$3:$U$983,5,FALSE)</f>
        <v>partialAuthorisationIndicator</v>
      </c>
      <c r="F88" s="2" t="str">
        <f>VLOOKUP($A88,DICO_Complet!$A$3:$U$983,6,FALSE)</f>
        <v>TrueFalseIndicator</v>
      </c>
      <c r="G88" s="48">
        <f>VLOOKUP($A88,DICO_Complet!$A$3:$U$983,7,FALSE)</f>
        <v>0</v>
      </c>
      <c r="H88" s="48">
        <f>VLOOKUP($A88,DICO_Complet!$A$3:$U$983,8,FALSE)</f>
        <v>0</v>
      </c>
      <c r="I88" s="2" t="str">
        <f>IF(VLOOKUP($A88,DICO_Complet!$A$3:$U$983,9,FALSE)&lt;&gt;0,VLOOKUP($A88,DICO_Complet!$A$3:$U$983,9,FALSE),"")</f>
        <v/>
      </c>
      <c r="J88" s="1" t="str">
        <f>VLOOKUP($A88,DICO_Complet!$A$3:$U$983,10,FALSE)</f>
        <v xml:space="preserve">Indicate if the merchant can do partial authorisations </v>
      </c>
      <c r="K88" s="53" t="str">
        <f>IF(VLOOKUP($A88,DICO_Complet!$A$3:$U$983,12,FALSE)=0,"",VLOOKUP($A88,DICO_Complet!$A$3:$U$983,12,FALSE))</f>
        <v/>
      </c>
      <c r="L88" s="53" t="str">
        <f>IF(VLOOKUP($A88,DICO_Complet!$A$3:$U$983,13,FALSE)=0,"",VLOOKUP($A88,DICO_Complet!$A$3:$U$983,13,FALSE))</f>
        <v/>
      </c>
      <c r="M88" s="53" t="str">
        <f>IF(VLOOKUP($A88,DICO_Complet!$A$3:$U$983,14,FALSE)=0,"",VLOOKUP($A88,DICO_Complet!$A$3:$U$983,14,FALSE))</f>
        <v/>
      </c>
      <c r="N88" s="53" t="str">
        <f>IF(VLOOKUP($A88,DICO_Complet!$A$3:$U$983,15,FALSE)=0,"",VLOOKUP($A88,DICO_Complet!$A$3:$U$983,15,FALSE))</f>
        <v/>
      </c>
      <c r="O88" s="53" t="str">
        <f>IF(VLOOKUP($A88,DICO_Complet!$A$3:$U$983,16,FALSE)=0,"",VLOOKUP($A88,DICO_Complet!$A$3:$U$983,16,FALSE))</f>
        <v/>
      </c>
      <c r="P88" s="53" t="str">
        <f>IF(VLOOKUP($A88,DICO_Complet!$A$3:$U$983,17,FALSE)=0,"",VLOOKUP($A88,DICO_Complet!$A$3:$U$983,17,FALSE))</f>
        <v/>
      </c>
      <c r="Q88" s="53" t="str">
        <f>IF(VLOOKUP($A88,DICO_Complet!$A$3:$U$983,18,FALSE)=0,"",VLOOKUP($A88,DICO_Complet!$A$3:$U$983,18,FALSE))</f>
        <v/>
      </c>
    </row>
    <row r="89" spans="1:17" ht="14.65" customHeight="1">
      <c r="A89" s="38">
        <v>250401135000</v>
      </c>
      <c r="B89" s="47" t="s">
        <v>858</v>
      </c>
      <c r="C89" s="3" t="str">
        <f>VLOOKUP($A89,DICO_Complet!$A$3:$U$983,3,FALSE)</f>
        <v>Context</v>
      </c>
      <c r="D89" s="3" t="str">
        <f>VLOOKUP($A89,DICO_Complet!$A$3:$U$983,4,FALSE)</f>
        <v>merchantParameters</v>
      </c>
      <c r="E89" s="2" t="str">
        <f>VLOOKUP($A89,DICO_Complet!$A$3:$U$983,5,FALSE)</f>
        <v>paymentFacilitatorIndicator</v>
      </c>
      <c r="F89" s="2" t="str">
        <f>VLOOKUP($A89,DICO_Complet!$A$3:$U$983,6,FALSE)</f>
        <v>TrueFalseIndicator</v>
      </c>
      <c r="G89" s="48">
        <f>VLOOKUP($A89,DICO_Complet!$A$3:$U$983,7,FALSE)</f>
        <v>0</v>
      </c>
      <c r="H89" s="48">
        <f>VLOOKUP($A89,DICO_Complet!$A$3:$U$983,8,FALSE)</f>
        <v>0</v>
      </c>
      <c r="I89" s="2" t="str">
        <f>IF(VLOOKUP($A89,DICO_Complet!$A$3:$U$983,9,FALSE)&lt;&gt;0,VLOOKUP($A89,DICO_Complet!$A$3:$U$983,9,FALSE),"")</f>
        <v/>
      </c>
      <c r="J89" s="1" t="str">
        <f>VLOOKUP($A89,DICO_Complet!$A$3:$U$983,10,FALSE)</f>
        <v>Payment facilitator indicator</v>
      </c>
      <c r="K89" s="53" t="str">
        <f>IF(VLOOKUP($A89,DICO_Complet!$A$3:$U$983,12,FALSE)=0,"",VLOOKUP($A89,DICO_Complet!$A$3:$U$983,12,FALSE))</f>
        <v/>
      </c>
      <c r="L89" s="53" t="str">
        <f>IF(VLOOKUP($A89,DICO_Complet!$A$3:$U$983,13,FALSE)=0,"",VLOOKUP($A89,DICO_Complet!$A$3:$U$983,13,FALSE))</f>
        <v/>
      </c>
      <c r="M89" s="53" t="str">
        <f>IF(VLOOKUP($A89,DICO_Complet!$A$3:$U$983,14,FALSE)=0,"",VLOOKUP($A89,DICO_Complet!$A$3:$U$983,14,FALSE))</f>
        <v/>
      </c>
      <c r="N89" s="53" t="str">
        <f>IF(VLOOKUP($A89,DICO_Complet!$A$3:$U$983,15,FALSE)=0,"",VLOOKUP($A89,DICO_Complet!$A$3:$U$983,15,FALSE))</f>
        <v/>
      </c>
      <c r="O89" s="53" t="str">
        <f>IF(VLOOKUP($A89,DICO_Complet!$A$3:$U$983,16,FALSE)=0,"",VLOOKUP($A89,DICO_Complet!$A$3:$U$983,16,FALSE))</f>
        <v/>
      </c>
      <c r="P89" s="53" t="str">
        <f>IF(VLOOKUP($A89,DICO_Complet!$A$3:$U$983,17,FALSE)=0,"",VLOOKUP($A89,DICO_Complet!$A$3:$U$983,17,FALSE))</f>
        <v/>
      </c>
      <c r="Q89" s="53" t="str">
        <f>IF(VLOOKUP($A89,DICO_Complet!$A$3:$U$983,18,FALSE)=0,"",VLOOKUP($A89,DICO_Complet!$A$3:$U$983,18,FALSE))</f>
        <v/>
      </c>
    </row>
    <row r="90" spans="1:17" ht="15" customHeight="1">
      <c r="A90" s="38">
        <v>250415131001</v>
      </c>
      <c r="B90" s="47" t="s">
        <v>858</v>
      </c>
      <c r="C90" s="3" t="str">
        <f>VLOOKUP($A90,DICO_Complet!$A$3:$U$983,3,FALSE)</f>
        <v>Context</v>
      </c>
      <c r="D90" s="3" t="str">
        <f>VLOOKUP($A90,DICO_Complet!$A$3:$U$983,4,FALSE)</f>
        <v>merchantParameters</v>
      </c>
      <c r="E90" s="2" t="str">
        <f>VLOOKUP($A90,DICO_Complet!$A$3:$U$983,5,FALSE)</f>
        <v>paymentGatewayId</v>
      </c>
      <c r="F90" s="2" t="str">
        <f>VLOOKUP($A90,DICO_Complet!$A$3:$U$983,6,FALSE)</f>
        <v>Exact11Text</v>
      </c>
      <c r="G90" s="48">
        <f>VLOOKUP($A90,DICO_Complet!$A$3:$U$983,7,FALSE)</f>
        <v>0</v>
      </c>
      <c r="H90" s="48">
        <f>VLOOKUP($A90,DICO_Complet!$A$3:$U$983,8,FALSE)</f>
        <v>0</v>
      </c>
      <c r="I90" s="2" t="str">
        <f>IF(VLOOKUP($A90,DICO_Complet!$A$3:$U$983,9,FALSE)&lt;&gt;0,VLOOKUP($A90,DICO_Complet!$A$3:$U$983,9,FALSE),"")</f>
        <v/>
      </c>
      <c r="J90" s="1" t="str">
        <f>VLOOKUP($A90,DICO_Complet!$A$3:$U$983,10,FALSE)</f>
        <v>Gateway payment identifier</v>
      </c>
      <c r="K90" s="53" t="str">
        <f>IF(VLOOKUP($A90,DICO_Complet!$A$3:$U$983,12,FALSE)=0,"",VLOOKUP($A90,DICO_Complet!$A$3:$U$983,12,FALSE))</f>
        <v/>
      </c>
      <c r="L90" s="53" t="str">
        <f>IF(VLOOKUP($A90,DICO_Complet!$A$3:$U$983,13,FALSE)=0,"",VLOOKUP($A90,DICO_Complet!$A$3:$U$983,13,FALSE))</f>
        <v/>
      </c>
      <c r="M90" s="53" t="str">
        <f>IF(VLOOKUP($A90,DICO_Complet!$A$3:$U$983,14,FALSE)=0,"",VLOOKUP($A90,DICO_Complet!$A$3:$U$983,14,FALSE))</f>
        <v/>
      </c>
      <c r="N90" s="53" t="str">
        <f>IF(VLOOKUP($A90,DICO_Complet!$A$3:$U$983,15,FALSE)=0,"",VLOOKUP($A90,DICO_Complet!$A$3:$U$983,15,FALSE))</f>
        <v>119-0204</v>
      </c>
      <c r="O90" s="53" t="str">
        <f>IF(VLOOKUP($A90,DICO_Complet!$A$3:$U$983,16,FALSE)=0,"",VLOOKUP($A90,DICO_Complet!$A$3:$U$983,16,FALSE))</f>
        <v/>
      </c>
      <c r="P90" s="53" t="str">
        <f>IF(VLOOKUP($A90,DICO_Complet!$A$3:$U$983,17,FALSE)=0,"",VLOOKUP($A90,DICO_Complet!$A$3:$U$983,17,FALSE))</f>
        <v/>
      </c>
      <c r="Q90" s="53" t="str">
        <f>IF(VLOOKUP($A90,DICO_Complet!$A$3:$U$983,18,FALSE)=0,"",VLOOKUP($A90,DICO_Complet!$A$3:$U$983,18,FALSE))</f>
        <v/>
      </c>
    </row>
    <row r="91" spans="1:17">
      <c r="A91" s="38">
        <v>250401135200</v>
      </c>
      <c r="B91" s="47" t="s">
        <v>858</v>
      </c>
      <c r="C91" s="3" t="str">
        <f>VLOOKUP($A91,DICO_Complet!$A$3:$U$983,3,FALSE)</f>
        <v>Context</v>
      </c>
      <c r="D91" s="3" t="str">
        <f>VLOOKUP($A91,DICO_Complet!$A$3:$U$983,4,FALSE)</f>
        <v>merchantParameters</v>
      </c>
      <c r="E91" s="2" t="str">
        <f>VLOOKUP($A91,DICO_Complet!$A$3:$U$983,5,FALSE)</f>
        <v>paymentProtocolCategory</v>
      </c>
      <c r="F91" s="2" t="str">
        <f>VLOOKUP($A91,DICO_Complet!$A$3:$U$983,6,FALSE)</f>
        <v>PaymentProtocolCategoryCodeset</v>
      </c>
      <c r="G91" s="48">
        <f>VLOOKUP($A91,DICO_Complet!$A$3:$U$983,7,FALSE)</f>
        <v>0</v>
      </c>
      <c r="H91" s="48">
        <f>VLOOKUP($A91,DICO_Complet!$A$3:$U$983,8,FALSE)</f>
        <v>0</v>
      </c>
      <c r="I91" s="2" t="str">
        <f>IF(VLOOKUP($A91,DICO_Complet!$A$3:$U$983,9,FALSE)&lt;&gt;0,VLOOKUP($A91,DICO_Complet!$A$3:$U$983,9,FALSE),"")</f>
        <v/>
      </c>
      <c r="J91" s="1" t="str">
        <f>VLOOKUP($A91,DICO_Complet!$A$3:$U$983,10,FALSE)</f>
        <v>Payment protocol category</v>
      </c>
      <c r="K91" s="53" t="str">
        <f>IF(VLOOKUP($A91,DICO_Complet!$A$3:$U$983,12,FALSE)=0,"",VLOOKUP($A91,DICO_Complet!$A$3:$U$983,12,FALSE))</f>
        <v/>
      </c>
      <c r="L91" s="53" t="str">
        <f>IF(VLOOKUP($A91,DICO_Complet!$A$3:$U$983,13,FALSE)=0,"",VLOOKUP($A91,DICO_Complet!$A$3:$U$983,13,FALSE))</f>
        <v/>
      </c>
      <c r="M91" s="53" t="str">
        <f>IF(VLOOKUP($A91,DICO_Complet!$A$3:$U$983,14,FALSE)=0,"",VLOOKUP($A91,DICO_Complet!$A$3:$U$983,14,FALSE))</f>
        <v/>
      </c>
      <c r="N91" s="53" t="str">
        <f>IF(VLOOKUP($A91,DICO_Complet!$A$3:$U$983,15,FALSE)=0,"",VLOOKUP($A91,DICO_Complet!$A$3:$U$983,15,FALSE))</f>
        <v/>
      </c>
      <c r="O91" s="53" t="str">
        <f>IF(VLOOKUP($A91,DICO_Complet!$A$3:$U$983,16,FALSE)=0,"",VLOOKUP($A91,DICO_Complet!$A$3:$U$983,16,FALSE))</f>
        <v/>
      </c>
      <c r="P91" s="53" t="str">
        <f>IF(VLOOKUP($A91,DICO_Complet!$A$3:$U$983,17,FALSE)=0,"",VLOOKUP($A91,DICO_Complet!$A$3:$U$983,17,FALSE))</f>
        <v/>
      </c>
      <c r="Q91" s="53" t="str">
        <f>IF(VLOOKUP($A91,DICO_Complet!$A$3:$U$983,18,FALSE)=0,"",VLOOKUP($A91,DICO_Complet!$A$3:$U$983,18,FALSE))</f>
        <v/>
      </c>
    </row>
    <row r="92" spans="1:17">
      <c r="A92" s="38">
        <v>250401135400</v>
      </c>
      <c r="B92" s="47" t="s">
        <v>858</v>
      </c>
      <c r="C92" s="3" t="str">
        <f>VLOOKUP($A92,DICO_Complet!$A$3:$U$983,3,FALSE)</f>
        <v>Context</v>
      </c>
      <c r="D92" s="3" t="str">
        <f>VLOOKUP($A92,DICO_Complet!$A$3:$U$983,4,FALSE)</f>
        <v>merchantParameters</v>
      </c>
      <c r="E92" s="2" t="str">
        <f>VLOOKUP($A92,DICO_Complet!$A$3:$U$983,5,FALSE)</f>
        <v>paymentProtocolVersion</v>
      </c>
      <c r="F92" s="2" t="str">
        <f>VLOOKUP($A92,DICO_Complet!$A$3:$U$983,6,FALSE)</f>
        <v>PaymentProtocolVersionCodeset</v>
      </c>
      <c r="G92" s="48">
        <f>VLOOKUP($A92,DICO_Complet!$A$3:$U$983,7,FALSE)</f>
        <v>0</v>
      </c>
      <c r="H92" s="48">
        <f>VLOOKUP($A92,DICO_Complet!$A$3:$U$983,8,FALSE)</f>
        <v>0</v>
      </c>
      <c r="I92" s="2" t="str">
        <f>IF(VLOOKUP($A92,DICO_Complet!$A$3:$U$983,9,FALSE)&lt;&gt;0,VLOOKUP($A92,DICO_Complet!$A$3:$U$983,9,FALSE),"")</f>
        <v/>
      </c>
      <c r="J92" s="1" t="str">
        <f>VLOOKUP($A92,DICO_Complet!$A$3:$U$983,10,FALSE)</f>
        <v>Payment protocol version</v>
      </c>
      <c r="K92" s="53" t="str">
        <f>IF(VLOOKUP($A92,DICO_Complet!$A$3:$U$983,12,FALSE)=0,"",VLOOKUP($A92,DICO_Complet!$A$3:$U$983,12,FALSE))</f>
        <v/>
      </c>
      <c r="L92" s="53" t="str">
        <f>IF(VLOOKUP($A92,DICO_Complet!$A$3:$U$983,13,FALSE)=0,"",VLOOKUP($A92,DICO_Complet!$A$3:$U$983,13,FALSE))</f>
        <v/>
      </c>
      <c r="M92" s="53" t="str">
        <f>IF(VLOOKUP($A92,DICO_Complet!$A$3:$U$983,14,FALSE)=0,"",VLOOKUP($A92,DICO_Complet!$A$3:$U$983,14,FALSE))</f>
        <v/>
      </c>
      <c r="N92" s="53" t="str">
        <f>IF(VLOOKUP($A92,DICO_Complet!$A$3:$U$983,15,FALSE)=0,"",VLOOKUP($A92,DICO_Complet!$A$3:$U$983,15,FALSE))</f>
        <v/>
      </c>
      <c r="O92" s="53" t="str">
        <f>IF(VLOOKUP($A92,DICO_Complet!$A$3:$U$983,16,FALSE)=0,"",VLOOKUP($A92,DICO_Complet!$A$3:$U$983,16,FALSE))</f>
        <v/>
      </c>
      <c r="P92" s="53" t="str">
        <f>IF(VLOOKUP($A92,DICO_Complet!$A$3:$U$983,17,FALSE)=0,"",VLOOKUP($A92,DICO_Complet!$A$3:$U$983,17,FALSE))</f>
        <v/>
      </c>
      <c r="Q92" s="53" t="str">
        <f>IF(VLOOKUP($A92,DICO_Complet!$A$3:$U$983,18,FALSE)=0,"",VLOOKUP($A92,DICO_Complet!$A$3:$U$983,18,FALSE))</f>
        <v/>
      </c>
    </row>
    <row r="93" spans="1:17" ht="14.65" customHeight="1">
      <c r="A93" s="38">
        <v>250415115500</v>
      </c>
      <c r="B93" s="47" t="s">
        <v>858</v>
      </c>
      <c r="C93" s="3" t="str">
        <f>VLOOKUP($A93,DICO_Complet!$A$3:$U$983,3,FALSE)</f>
        <v>Context</v>
      </c>
      <c r="D93" s="3" t="str">
        <f>VLOOKUP($A93,DICO_Complet!$A$3:$U$983,4,FALSE)</f>
        <v>merchantParameters</v>
      </c>
      <c r="E93" s="2" t="str">
        <f>VLOOKUP($A93,DICO_Complet!$A$3:$U$983,5,FALSE)</f>
        <v>paymentRiskProfile</v>
      </c>
      <c r="F93" s="2" t="str">
        <f>VLOOKUP($A93,DICO_Complet!$A$3:$U$983,6,FALSE)</f>
        <v>Exact3Text</v>
      </c>
      <c r="G93" s="48">
        <f>VLOOKUP($A93,DICO_Complet!$A$3:$U$983,7,FALSE)</f>
        <v>0</v>
      </c>
      <c r="H93" s="48">
        <f>VLOOKUP($A93,DICO_Complet!$A$3:$U$983,8,FALSE)</f>
        <v>0</v>
      </c>
      <c r="I93" s="2" t="str">
        <f>IF(VLOOKUP($A93,DICO_Complet!$A$3:$U$983,9,FALSE)&lt;&gt;0,VLOOKUP($A93,DICO_Complet!$A$3:$U$983,9,FALSE),"")</f>
        <v/>
      </c>
      <c r="J93" s="1" t="str">
        <f>VLOOKUP($A93,DICO_Complet!$A$3:$U$983,10,FALSE)</f>
        <v>Payment risk profile</v>
      </c>
      <c r="K93" s="53" t="str">
        <f>IF(VLOOKUP($A93,DICO_Complet!$A$3:$U$983,12,FALSE)=0,"",VLOOKUP($A93,DICO_Complet!$A$3:$U$983,12,FALSE))</f>
        <v/>
      </c>
      <c r="L93" s="53" t="str">
        <f>IF(VLOOKUP($A93,DICO_Complet!$A$3:$U$983,13,FALSE)=0,"",VLOOKUP($A93,DICO_Complet!$A$3:$U$983,13,FALSE))</f>
        <v/>
      </c>
      <c r="M93" s="53" t="str">
        <f>IF(VLOOKUP($A93,DICO_Complet!$A$3:$U$983,14,FALSE)=0,"",VLOOKUP($A93,DICO_Complet!$A$3:$U$983,14,FALSE))</f>
        <v/>
      </c>
      <c r="N93" s="53" t="str">
        <f>IF(VLOOKUP($A93,DICO_Complet!$A$3:$U$983,15,FALSE)=0,"",VLOOKUP($A93,DICO_Complet!$A$3:$U$983,15,FALSE))</f>
        <v/>
      </c>
      <c r="O93" s="53" t="str">
        <f>IF(VLOOKUP($A93,DICO_Complet!$A$3:$U$983,16,FALSE)=0,"",VLOOKUP($A93,DICO_Complet!$A$3:$U$983,16,FALSE))</f>
        <v/>
      </c>
      <c r="P93" s="53" t="str">
        <f>IF(VLOOKUP($A93,DICO_Complet!$A$3:$U$983,17,FALSE)=0,"",VLOOKUP($A93,DICO_Complet!$A$3:$U$983,17,FALSE))</f>
        <v/>
      </c>
      <c r="Q93" s="53" t="str">
        <f>IF(VLOOKUP($A93,DICO_Complet!$A$3:$U$983,18,FALSE)=0,"",VLOOKUP($A93,DICO_Complet!$A$3:$U$983,18,FALSE))</f>
        <v/>
      </c>
    </row>
    <row r="94" spans="1:17" ht="15" customHeight="1">
      <c r="A94" s="38">
        <v>250415120300</v>
      </c>
      <c r="B94" s="47" t="s">
        <v>858</v>
      </c>
      <c r="C94" s="3" t="str">
        <f>VLOOKUP($A94,DICO_Complet!$A$3:$U$983,3,FALSE)</f>
        <v>Context</v>
      </c>
      <c r="D94" s="3" t="str">
        <f>VLOOKUP($A94,DICO_Complet!$A$3:$U$983,4,FALSE)</f>
        <v>merchantParameters</v>
      </c>
      <c r="E94" s="2" t="str">
        <f>VLOOKUP($A94,DICO_Complet!$A$3:$U$983,5,FALSE)</f>
        <v>postingCalendar</v>
      </c>
      <c r="F94" s="2" t="str">
        <f>VLOOKUP($A94,DICO_Complet!$A$3:$U$983,6,FALSE)</f>
        <v>PostingCalendarCodeset</v>
      </c>
      <c r="G94" s="48">
        <f>VLOOKUP($A94,DICO_Complet!$A$3:$U$983,7,FALSE)</f>
        <v>0</v>
      </c>
      <c r="H94" s="48">
        <f>VLOOKUP($A94,DICO_Complet!$A$3:$U$983,8,FALSE)</f>
        <v>0</v>
      </c>
      <c r="I94" s="2" t="str">
        <f>IF(VLOOKUP($A94,DICO_Complet!$A$3:$U$983,9,FALSE)&lt;&gt;0,VLOOKUP($A94,DICO_Complet!$A$3:$U$983,9,FALSE),"")</f>
        <v/>
      </c>
      <c r="J94" s="1" t="str">
        <f>VLOOKUP($A94,DICO_Complet!$A$3:$U$983,10,FALSE)</f>
        <v>Posting based on calendar</v>
      </c>
      <c r="K94" s="53" t="str">
        <f>IF(VLOOKUP($A94,DICO_Complet!$A$3:$U$983,12,FALSE)=0,"",VLOOKUP($A94,DICO_Complet!$A$3:$U$983,12,FALSE))</f>
        <v/>
      </c>
      <c r="L94" s="53" t="str">
        <f>IF(VLOOKUP($A94,DICO_Complet!$A$3:$U$983,13,FALSE)=0,"",VLOOKUP($A94,DICO_Complet!$A$3:$U$983,13,FALSE))</f>
        <v/>
      </c>
      <c r="M94" s="53" t="str">
        <f>IF(VLOOKUP($A94,DICO_Complet!$A$3:$U$983,14,FALSE)=0,"",VLOOKUP($A94,DICO_Complet!$A$3:$U$983,14,FALSE))</f>
        <v/>
      </c>
      <c r="N94" s="53" t="str">
        <f>IF(VLOOKUP($A94,DICO_Complet!$A$3:$U$983,15,FALSE)=0,"",VLOOKUP($A94,DICO_Complet!$A$3:$U$983,15,FALSE))</f>
        <v/>
      </c>
      <c r="O94" s="53" t="str">
        <f>IF(VLOOKUP($A94,DICO_Complet!$A$3:$U$983,16,FALSE)=0,"",VLOOKUP($A94,DICO_Complet!$A$3:$U$983,16,FALSE))</f>
        <v/>
      </c>
      <c r="P94" s="53" t="str">
        <f>IF(VLOOKUP($A94,DICO_Complet!$A$3:$U$983,17,FALSE)=0,"",VLOOKUP($A94,DICO_Complet!$A$3:$U$983,17,FALSE))</f>
        <v/>
      </c>
      <c r="Q94" s="53" t="str">
        <f>IF(VLOOKUP($A94,DICO_Complet!$A$3:$U$983,18,FALSE)=0,"",VLOOKUP($A94,DICO_Complet!$A$3:$U$983,18,FALSE))</f>
        <v/>
      </c>
    </row>
    <row r="95" spans="1:17" ht="16.5" customHeight="1">
      <c r="A95" s="38">
        <v>250415115800</v>
      </c>
      <c r="B95" s="47" t="s">
        <v>858</v>
      </c>
      <c r="C95" s="3" t="str">
        <f>VLOOKUP($A95,DICO_Complet!$A$3:$U$983,3,FALSE)</f>
        <v>Context</v>
      </c>
      <c r="D95" s="3" t="str">
        <f>VLOOKUP($A95,DICO_Complet!$A$3:$U$983,4,FALSE)</f>
        <v>merchantParameters</v>
      </c>
      <c r="E95" s="2" t="str">
        <f>VLOOKUP($A95,DICO_Complet!$A$3:$U$983,5,FALSE)</f>
        <v>recurringFeesDebitIndicator</v>
      </c>
      <c r="F95" s="2" t="str">
        <f>VLOOKUP($A95,DICO_Complet!$A$3:$U$983,6,FALSE)</f>
        <v>TrueFalseIndicator</v>
      </c>
      <c r="G95" s="48">
        <f>VLOOKUP($A95,DICO_Complet!$A$3:$U$983,7,FALSE)</f>
        <v>0</v>
      </c>
      <c r="H95" s="48">
        <f>VLOOKUP($A95,DICO_Complet!$A$3:$U$983,8,FALSE)</f>
        <v>0</v>
      </c>
      <c r="I95" s="2" t="str">
        <f>IF(VLOOKUP($A95,DICO_Complet!$A$3:$U$983,9,FALSE)&lt;&gt;0,VLOOKUP($A95,DICO_Complet!$A$3:$U$983,9,FALSE),"")</f>
        <v/>
      </c>
      <c r="J95" s="1" t="str">
        <f>VLOOKUP($A95,DICO_Complet!$A$3:$U$983,10,FALSE)</f>
        <v>Indicator if fees debit recurrence is authorised</v>
      </c>
      <c r="K95" s="53" t="str">
        <f>IF(VLOOKUP($A95,DICO_Complet!$A$3:$U$983,12,FALSE)=0,"",VLOOKUP($A95,DICO_Complet!$A$3:$U$983,12,FALSE))</f>
        <v/>
      </c>
      <c r="L95" s="53" t="str">
        <f>IF(VLOOKUP($A95,DICO_Complet!$A$3:$U$983,13,FALSE)=0,"",VLOOKUP($A95,DICO_Complet!$A$3:$U$983,13,FALSE))</f>
        <v/>
      </c>
      <c r="M95" s="53" t="str">
        <f>IF(VLOOKUP($A95,DICO_Complet!$A$3:$U$983,14,FALSE)=0,"",VLOOKUP($A95,DICO_Complet!$A$3:$U$983,14,FALSE))</f>
        <v/>
      </c>
      <c r="N95" s="53" t="str">
        <f>IF(VLOOKUP($A95,DICO_Complet!$A$3:$U$983,15,FALSE)=0,"",VLOOKUP($A95,DICO_Complet!$A$3:$U$983,15,FALSE))</f>
        <v/>
      </c>
      <c r="O95" s="53" t="str">
        <f>IF(VLOOKUP($A95,DICO_Complet!$A$3:$U$983,16,FALSE)=0,"",VLOOKUP($A95,DICO_Complet!$A$3:$U$983,16,FALSE))</f>
        <v/>
      </c>
      <c r="P95" s="53" t="str">
        <f>IF(VLOOKUP($A95,DICO_Complet!$A$3:$U$983,17,FALSE)=0,"",VLOOKUP($A95,DICO_Complet!$A$3:$U$983,17,FALSE))</f>
        <v/>
      </c>
      <c r="Q95" s="53" t="str">
        <f>IF(VLOOKUP($A95,DICO_Complet!$A$3:$U$983,18,FALSE)=0,"",VLOOKUP($A95,DICO_Complet!$A$3:$U$983,18,FALSE))</f>
        <v/>
      </c>
    </row>
    <row r="96" spans="1:17" ht="14.65" customHeight="1">
      <c r="A96" s="38">
        <v>250415120400</v>
      </c>
      <c r="B96" s="47" t="s">
        <v>858</v>
      </c>
      <c r="C96" s="3" t="str">
        <f>VLOOKUP($A96,DICO_Complet!$A$3:$U$983,3,FALSE)</f>
        <v>Context</v>
      </c>
      <c r="D96" s="3" t="str">
        <f>VLOOKUP($A96,DICO_Complet!$A$3:$U$983,4,FALSE)</f>
        <v>merchantParameters</v>
      </c>
      <c r="E96" s="2" t="str">
        <f>VLOOKUP($A96,DICO_Complet!$A$3:$U$983,5,FALSE)</f>
        <v>remittanceReceptionCutOff</v>
      </c>
      <c r="F96" s="2" t="str">
        <f>VLOOKUP($A96,DICO_Complet!$A$3:$U$983,6,FALSE)</f>
        <v>Max6NumericText</v>
      </c>
      <c r="G96" s="48">
        <f>VLOOKUP($A96,DICO_Complet!$A$3:$U$983,7,FALSE)</f>
        <v>0</v>
      </c>
      <c r="H96" s="48">
        <f>VLOOKUP($A96,DICO_Complet!$A$3:$U$983,8,FALSE)</f>
        <v>0</v>
      </c>
      <c r="I96" s="2" t="str">
        <f>IF(VLOOKUP($A96,DICO_Complet!$A$3:$U$983,9,FALSE)&lt;&gt;0,VLOOKUP($A96,DICO_Complet!$A$3:$U$983,9,FALSE),"")</f>
        <v/>
      </c>
      <c r="J96" s="1" t="str">
        <f>VLOOKUP($A96,DICO_Complet!$A$3:$U$983,10,FALSE)</f>
        <v xml:space="preserve">Remittance reception Limit hour </v>
      </c>
      <c r="K96" s="53" t="str">
        <f>IF(VLOOKUP($A96,DICO_Complet!$A$3:$U$983,12,FALSE)=0,"",VLOOKUP($A96,DICO_Complet!$A$3:$U$983,12,FALSE))</f>
        <v/>
      </c>
      <c r="L96" s="53" t="str">
        <f>IF(VLOOKUP($A96,DICO_Complet!$A$3:$U$983,13,FALSE)=0,"",VLOOKUP($A96,DICO_Complet!$A$3:$U$983,13,FALSE))</f>
        <v/>
      </c>
      <c r="M96" s="53" t="str">
        <f>IF(VLOOKUP($A96,DICO_Complet!$A$3:$U$983,14,FALSE)=0,"",VLOOKUP($A96,DICO_Complet!$A$3:$U$983,14,FALSE))</f>
        <v/>
      </c>
      <c r="N96" s="53" t="str">
        <f>IF(VLOOKUP($A96,DICO_Complet!$A$3:$U$983,15,FALSE)=0,"",VLOOKUP($A96,DICO_Complet!$A$3:$U$983,15,FALSE))</f>
        <v/>
      </c>
      <c r="O96" s="53" t="str">
        <f>IF(VLOOKUP($A96,DICO_Complet!$A$3:$U$983,16,FALSE)=0,"",VLOOKUP($A96,DICO_Complet!$A$3:$U$983,16,FALSE))</f>
        <v/>
      </c>
      <c r="P96" s="53" t="str">
        <f>IF(VLOOKUP($A96,DICO_Complet!$A$3:$U$983,17,FALSE)=0,"",VLOOKUP($A96,DICO_Complet!$A$3:$U$983,17,FALSE))</f>
        <v/>
      </c>
      <c r="Q96" s="53" t="str">
        <f>IF(VLOOKUP($A96,DICO_Complet!$A$3:$U$983,18,FALSE)=0,"",VLOOKUP($A96,DICO_Complet!$A$3:$U$983,18,FALSE))</f>
        <v/>
      </c>
    </row>
    <row r="97" spans="1:17" ht="14.65" customHeight="1">
      <c r="A97" s="38">
        <v>250408114700</v>
      </c>
      <c r="B97" s="47" t="s">
        <v>858</v>
      </c>
      <c r="C97" s="3" t="str">
        <f>VLOOKUP($A97,DICO_Complet!$A$3:$U$983,3,FALSE)</f>
        <v>Context</v>
      </c>
      <c r="D97" s="3" t="str">
        <f>VLOOKUP($A97,DICO_Complet!$A$3:$U$983,4,FALSE)</f>
        <v>merchantParameters</v>
      </c>
      <c r="E97" s="2" t="str">
        <f>VLOOKUP($A97,DICO_Complet!$A$3:$U$983,5,FALSE)</f>
        <v>secundaryGroupingIdentifier</v>
      </c>
      <c r="F97" s="2" t="str">
        <f>VLOOKUP($A97,DICO_Complet!$A$3:$U$983,6,FALSE)</f>
        <v>Max35Text</v>
      </c>
      <c r="G97" s="48">
        <f>VLOOKUP($A97,DICO_Complet!$A$3:$U$983,7,FALSE)</f>
        <v>0</v>
      </c>
      <c r="H97" s="48">
        <f>VLOOKUP($A97,DICO_Complet!$A$3:$U$983,8,FALSE)</f>
        <v>0</v>
      </c>
      <c r="I97" s="2" t="str">
        <f>IF(VLOOKUP($A97,DICO_Complet!$A$3:$U$983,9,FALSE)&lt;&gt;0,VLOOKUP($A97,DICO_Complet!$A$3:$U$983,9,FALSE),"")</f>
        <v/>
      </c>
      <c r="J97" s="1" t="str">
        <f>VLOOKUP($A97,DICO_Complet!$A$3:$U$983,10,FALSE)</f>
        <v>Identifiant de regroupement secondaire
Secondary grouping identifier</v>
      </c>
      <c r="K97" s="53" t="str">
        <f>IF(VLOOKUP($A97,DICO_Complet!$A$3:$U$983,12,FALSE)=0,"",VLOOKUP($A97,DICO_Complet!$A$3:$U$983,12,FALSE))</f>
        <v/>
      </c>
      <c r="L97" s="53" t="str">
        <f>IF(VLOOKUP($A97,DICO_Complet!$A$3:$U$983,13,FALSE)=0,"",VLOOKUP($A97,DICO_Complet!$A$3:$U$983,13,FALSE))</f>
        <v/>
      </c>
      <c r="M97" s="53" t="str">
        <f>IF(VLOOKUP($A97,DICO_Complet!$A$3:$U$983,14,FALSE)=0,"",VLOOKUP($A97,DICO_Complet!$A$3:$U$983,14,FALSE))</f>
        <v/>
      </c>
      <c r="N97" s="53" t="str">
        <f>IF(VLOOKUP($A97,DICO_Complet!$A$3:$U$983,15,FALSE)=0,"",VLOOKUP($A97,DICO_Complet!$A$3:$U$983,15,FALSE))</f>
        <v/>
      </c>
      <c r="O97" s="53" t="str">
        <f>IF(VLOOKUP($A97,DICO_Complet!$A$3:$U$983,16,FALSE)=0,"",VLOOKUP($A97,DICO_Complet!$A$3:$U$983,16,FALSE))</f>
        <v/>
      </c>
      <c r="P97" s="53" t="str">
        <f>IF(VLOOKUP($A97,DICO_Complet!$A$3:$U$983,17,FALSE)=0,"",VLOOKUP($A97,DICO_Complet!$A$3:$U$983,17,FALSE))</f>
        <v/>
      </c>
      <c r="Q97" s="53" t="str">
        <f>IF(VLOOKUP($A97,DICO_Complet!$A$3:$U$983,18,FALSE)=0,"",VLOOKUP($A97,DICO_Complet!$A$3:$U$983,18,FALSE))</f>
        <v/>
      </c>
    </row>
    <row r="98" spans="1:17" ht="14.65" customHeight="1">
      <c r="A98" s="38">
        <v>250428083300</v>
      </c>
      <c r="B98" s="47" t="s">
        <v>858</v>
      </c>
      <c r="C98" s="3" t="str">
        <f>VLOOKUP($A98,DICO_Complet!$A$3:$U$983,3,FALSE)</f>
        <v>Context</v>
      </c>
      <c r="D98" s="3" t="str">
        <f>VLOOKUP($A98,DICO_Complet!$A$3:$U$983,4,FALSE)</f>
        <v>merchantParameters</v>
      </c>
      <c r="E98" s="2" t="str">
        <f>VLOOKUP($A98,DICO_Complet!$A$3:$U$983,5,FALSE)</f>
        <v>singleTapIndicator</v>
      </c>
      <c r="F98" s="2" t="str">
        <f>VLOOKUP($A98,DICO_Complet!$A$3:$U$983,6,FALSE)</f>
        <v>TrueFalseIndicator</v>
      </c>
      <c r="G98" s="48">
        <f>VLOOKUP($A98,DICO_Complet!$A$3:$U$983,7,FALSE)</f>
        <v>0</v>
      </c>
      <c r="H98" s="48">
        <f>VLOOKUP($A98,DICO_Complet!$A$3:$U$983,8,FALSE)</f>
        <v>0</v>
      </c>
      <c r="I98" s="2" t="str">
        <f>IF(VLOOKUP($A98,DICO_Complet!$A$3:$U$983,9,FALSE)&lt;&gt;0,VLOOKUP($A98,DICO_Complet!$A$3:$U$983,9,FALSE),"")</f>
        <v/>
      </c>
      <c r="J98" s="1" t="str">
        <f>VLOOKUP($A98,DICO_Complet!$A$3:$U$983,10,FALSE)</f>
        <v>Indicate if the merchant can use single tap service</v>
      </c>
      <c r="K98" s="53" t="str">
        <f>IF(VLOOKUP($A98,DICO_Complet!$A$3:$U$983,12,FALSE)=0,"",VLOOKUP($A98,DICO_Complet!$A$3:$U$983,12,FALSE))</f>
        <v/>
      </c>
      <c r="L98" s="53" t="str">
        <f>IF(VLOOKUP($A98,DICO_Complet!$A$3:$U$983,13,FALSE)=0,"",VLOOKUP($A98,DICO_Complet!$A$3:$U$983,13,FALSE))</f>
        <v/>
      </c>
      <c r="M98" s="53" t="str">
        <f>IF(VLOOKUP($A98,DICO_Complet!$A$3:$U$983,14,FALSE)=0,"",VLOOKUP($A98,DICO_Complet!$A$3:$U$983,14,FALSE))</f>
        <v/>
      </c>
      <c r="N98" s="53" t="str">
        <f>IF(VLOOKUP($A98,DICO_Complet!$A$3:$U$983,15,FALSE)=0,"",VLOOKUP($A98,DICO_Complet!$A$3:$U$983,15,FALSE))</f>
        <v/>
      </c>
      <c r="O98" s="53" t="str">
        <f>IF(VLOOKUP($A98,DICO_Complet!$A$3:$U$983,16,FALSE)=0,"",VLOOKUP($A98,DICO_Complet!$A$3:$U$983,16,FALSE))</f>
        <v/>
      </c>
      <c r="P98" s="53" t="str">
        <f>IF(VLOOKUP($A98,DICO_Complet!$A$3:$U$983,17,FALSE)=0,"",VLOOKUP($A98,DICO_Complet!$A$3:$U$983,17,FALSE))</f>
        <v/>
      </c>
      <c r="Q98" s="53" t="str">
        <f>IF(VLOOKUP($A98,DICO_Complet!$A$3:$U$983,18,FALSE)=0,"",VLOOKUP($A98,DICO_Complet!$A$3:$U$983,18,FALSE))</f>
        <v/>
      </c>
    </row>
    <row r="99" spans="1:17" ht="14.65" customHeight="1">
      <c r="A99" s="38">
        <v>250408115400</v>
      </c>
      <c r="B99" s="47" t="s">
        <v>858</v>
      </c>
      <c r="C99" s="3" t="str">
        <f>VLOOKUP($A99,DICO_Complet!$A$3:$U$983,3,FALSE)</f>
        <v>Context</v>
      </c>
      <c r="D99" s="3" t="str">
        <f>VLOOKUP($A99,DICO_Complet!$A$3:$U$983,4,FALSE)</f>
        <v>merchantParameters</v>
      </c>
      <c r="E99" s="2" t="str">
        <f>VLOOKUP($A99,DICO_Complet!$A$3:$U$983,5,FALSE)</f>
        <v>statementIndicator</v>
      </c>
      <c r="F99" s="2" t="str">
        <f>VLOOKUP($A99,DICO_Complet!$A$3:$U$983,6,FALSE)</f>
        <v>TrueFalseIndicator</v>
      </c>
      <c r="G99" s="48">
        <f>VLOOKUP($A99,DICO_Complet!$A$3:$U$983,7,FALSE)</f>
        <v>0</v>
      </c>
      <c r="H99" s="48">
        <f>VLOOKUP($A99,DICO_Complet!$A$3:$U$983,8,FALSE)</f>
        <v>0</v>
      </c>
      <c r="I99" s="2" t="str">
        <f>IF(VLOOKUP($A99,DICO_Complet!$A$3:$U$983,9,FALSE)&lt;&gt;0,VLOOKUP($A99,DICO_Complet!$A$3:$U$983,9,FALSE),"")</f>
        <v/>
      </c>
      <c r="J99" s="1" t="str">
        <f>VLOOKUP($A99,DICO_Complet!$A$3:$U$983,10,FALSE)</f>
        <v>Indication whether the merchant get the option to periodic numeric statement reports</v>
      </c>
      <c r="K99" s="53" t="str">
        <f>IF(VLOOKUP($A99,DICO_Complet!$A$3:$U$983,12,FALSE)=0,"",VLOOKUP($A99,DICO_Complet!$A$3:$U$983,12,FALSE))</f>
        <v/>
      </c>
      <c r="L99" s="53" t="str">
        <f>IF(VLOOKUP($A99,DICO_Complet!$A$3:$U$983,13,FALSE)=0,"",VLOOKUP($A99,DICO_Complet!$A$3:$U$983,13,FALSE))</f>
        <v/>
      </c>
      <c r="M99" s="53" t="str">
        <f>IF(VLOOKUP($A99,DICO_Complet!$A$3:$U$983,14,FALSE)=0,"",VLOOKUP($A99,DICO_Complet!$A$3:$U$983,14,FALSE))</f>
        <v/>
      </c>
      <c r="N99" s="53" t="str">
        <f>IF(VLOOKUP($A99,DICO_Complet!$A$3:$U$983,15,FALSE)=0,"",VLOOKUP($A99,DICO_Complet!$A$3:$U$983,15,FALSE))</f>
        <v/>
      </c>
      <c r="O99" s="53" t="str">
        <f>IF(VLOOKUP($A99,DICO_Complet!$A$3:$U$983,16,FALSE)=0,"",VLOOKUP($A99,DICO_Complet!$A$3:$U$983,16,FALSE))</f>
        <v/>
      </c>
      <c r="P99" s="53" t="str">
        <f>IF(VLOOKUP($A99,DICO_Complet!$A$3:$U$983,17,FALSE)=0,"",VLOOKUP($A99,DICO_Complet!$A$3:$U$983,17,FALSE))</f>
        <v/>
      </c>
      <c r="Q99" s="53" t="str">
        <f>IF(VLOOKUP($A99,DICO_Complet!$A$3:$U$983,18,FALSE)=0,"",VLOOKUP($A99,DICO_Complet!$A$3:$U$983,18,FALSE))</f>
        <v/>
      </c>
    </row>
    <row r="100" spans="1:17">
      <c r="A100" s="38">
        <v>250415114700</v>
      </c>
      <c r="B100" s="47" t="s">
        <v>858</v>
      </c>
      <c r="C100" s="3" t="str">
        <f>VLOOKUP($A100,DICO_Complet!$A$3:$U$983,3,FALSE)</f>
        <v>Context</v>
      </c>
      <c r="D100" s="3" t="str">
        <f>VLOOKUP($A100,DICO_Complet!$A$3:$U$983,4,FALSE)</f>
        <v>merchantParameters</v>
      </c>
      <c r="E100" s="2" t="str">
        <f>VLOOKUP($A100,DICO_Complet!$A$3:$U$983,5,FALSE)</f>
        <v>telecomIndicator</v>
      </c>
      <c r="F100" s="2" t="str">
        <f>VLOOKUP($A100,DICO_Complet!$A$3:$U$983,6,FALSE)</f>
        <v>Exact2Text</v>
      </c>
      <c r="G100" s="48">
        <f>VLOOKUP($A100,DICO_Complet!$A$3:$U$983,7,FALSE)</f>
        <v>0</v>
      </c>
      <c r="H100" s="48">
        <f>VLOOKUP($A100,DICO_Complet!$A$3:$U$983,8,FALSE)</f>
        <v>0</v>
      </c>
      <c r="I100" s="2" t="str">
        <f>IF(VLOOKUP($A100,DICO_Complet!$A$3:$U$983,9,FALSE)&lt;&gt;0,VLOOKUP($A100,DICO_Complet!$A$3:$U$983,9,FALSE),"")</f>
        <v/>
      </c>
      <c r="J100" s="1" t="str">
        <f>VLOOKUP($A100,DICO_Complet!$A$3:$U$983,10,FALSE)</f>
        <v>Telecom Indicator</v>
      </c>
      <c r="K100" s="53" t="str">
        <f>IF(VLOOKUP($A100,DICO_Complet!$A$3:$U$983,12,FALSE)=0,"",VLOOKUP($A100,DICO_Complet!$A$3:$U$983,12,FALSE))</f>
        <v/>
      </c>
      <c r="L100" s="53" t="str">
        <f>IF(VLOOKUP($A100,DICO_Complet!$A$3:$U$983,13,FALSE)=0,"",VLOOKUP($A100,DICO_Complet!$A$3:$U$983,13,FALSE))</f>
        <v/>
      </c>
      <c r="M100" s="53" t="str">
        <f>IF(VLOOKUP($A100,DICO_Complet!$A$3:$U$983,14,FALSE)=0,"",VLOOKUP($A100,DICO_Complet!$A$3:$U$983,14,FALSE))</f>
        <v/>
      </c>
      <c r="N100" s="53" t="str">
        <f>IF(VLOOKUP($A100,DICO_Complet!$A$3:$U$983,15,FALSE)=0,"",VLOOKUP($A100,DICO_Complet!$A$3:$U$983,15,FALSE))</f>
        <v/>
      </c>
      <c r="O100" s="53" t="str">
        <f>IF(VLOOKUP($A100,DICO_Complet!$A$3:$U$983,16,FALSE)=0,"",VLOOKUP($A100,DICO_Complet!$A$3:$U$983,16,FALSE))</f>
        <v/>
      </c>
      <c r="P100" s="53" t="str">
        <f>IF(VLOOKUP($A100,DICO_Complet!$A$3:$U$983,17,FALSE)=0,"",VLOOKUP($A100,DICO_Complet!$A$3:$U$983,17,FALSE))</f>
        <v/>
      </c>
      <c r="Q100" s="53" t="str">
        <f>IF(VLOOKUP($A100,DICO_Complet!$A$3:$U$983,18,FALSE)=0,"",VLOOKUP($A100,DICO_Complet!$A$3:$U$983,18,FALSE))</f>
        <v/>
      </c>
    </row>
    <row r="101" spans="1:17" ht="14.65" customHeight="1">
      <c r="A101" s="38">
        <v>250425200700</v>
      </c>
      <c r="B101" s="47" t="s">
        <v>858</v>
      </c>
      <c r="C101" s="3" t="str">
        <f>VLOOKUP($A101,DICO_Complet!$A$3:$U$983,3,FALSE)</f>
        <v>Context</v>
      </c>
      <c r="D101" s="3" t="str">
        <f>VLOOKUP($A101,DICO_Complet!$A$3:$U$983,4,FALSE)</f>
        <v>merchantParameters</v>
      </c>
      <c r="E101" s="2" t="str">
        <f>VLOOKUP($A101,DICO_Complet!$A$3:$U$983,5,FALSE)</f>
        <v>temp_alphabeticCodeOfCurrency1</v>
      </c>
      <c r="F101" s="2" t="str">
        <f>VLOOKUP($A101,DICO_Complet!$A$3:$U$983,6,FALSE)</f>
        <v>ISO3AlphabeticCurrencyCode</v>
      </c>
      <c r="G101" s="48">
        <f>VLOOKUP($A101,DICO_Complet!$A$3:$U$983,7,FALSE)</f>
        <v>0</v>
      </c>
      <c r="H101" s="48">
        <f>VLOOKUP($A101,DICO_Complet!$A$3:$U$983,8,FALSE)</f>
        <v>0</v>
      </c>
      <c r="I101" s="2" t="str">
        <f>IF(VLOOKUP($A101,DICO_Complet!$A$3:$U$983,9,FALSE)&lt;&gt;0,VLOOKUP($A101,DICO_Complet!$A$3:$U$983,9,FALSE),"")</f>
        <v/>
      </c>
      <c r="J101" s="1" t="str">
        <f>VLOOKUP($A101,DICO_Complet!$A$3:$U$983,10,FALSE)</f>
        <v>Alphabetic code of currency 1</v>
      </c>
      <c r="K101" s="53" t="str">
        <f>IF(VLOOKUP($A101,DICO_Complet!$A$3:$U$983,12,FALSE)=0,"",VLOOKUP($A101,DICO_Complet!$A$3:$U$983,12,FALSE))</f>
        <v/>
      </c>
      <c r="L101" s="53" t="str">
        <f>IF(VLOOKUP($A101,DICO_Complet!$A$3:$U$983,13,FALSE)=0,"",VLOOKUP($A101,DICO_Complet!$A$3:$U$983,13,FALSE))</f>
        <v/>
      </c>
      <c r="M101" s="53" t="str">
        <f>IF(VLOOKUP($A101,DICO_Complet!$A$3:$U$983,14,FALSE)=0,"",VLOOKUP($A101,DICO_Complet!$A$3:$U$983,14,FALSE))</f>
        <v>72_DF01 part 2</v>
      </c>
      <c r="N101" s="53" t="str">
        <f>IF(VLOOKUP($A101,DICO_Complet!$A$3:$U$983,15,FALSE)=0,"",VLOOKUP($A101,DICO_Complet!$A$3:$U$983,15,FALSE))</f>
        <v/>
      </c>
      <c r="O101" s="53" t="str">
        <f>IF(VLOOKUP($A101,DICO_Complet!$A$3:$U$983,16,FALSE)=0,"",VLOOKUP($A101,DICO_Complet!$A$3:$U$983,16,FALSE))</f>
        <v/>
      </c>
      <c r="P101" s="53" t="str">
        <f>IF(VLOOKUP($A101,DICO_Complet!$A$3:$U$983,17,FALSE)=0,"",VLOOKUP($A101,DICO_Complet!$A$3:$U$983,17,FALSE))</f>
        <v/>
      </c>
      <c r="Q101" s="53" t="str">
        <f>IF(VLOOKUP($A101,DICO_Complet!$A$3:$U$983,18,FALSE)=0,"",VLOOKUP($A101,DICO_Complet!$A$3:$U$983,18,FALSE))</f>
        <v/>
      </c>
    </row>
    <row r="102" spans="1:17" ht="15" customHeight="1">
      <c r="A102" s="38">
        <v>250418220100</v>
      </c>
      <c r="B102" s="47" t="s">
        <v>858</v>
      </c>
      <c r="C102" s="3" t="str">
        <f>VLOOKUP($A102,DICO_Complet!$A$3:$U$983,3,FALSE)</f>
        <v>Context</v>
      </c>
      <c r="D102" s="3" t="str">
        <f>VLOOKUP($A102,DICO_Complet!$A$3:$U$983,4,FALSE)</f>
        <v>merchantParameters</v>
      </c>
      <c r="E102" s="2" t="str">
        <f>VLOOKUP($A102,DICO_Complet!$A$3:$U$983,5,FALSE)</f>
        <v>temp_commissionProcessingLevelCode</v>
      </c>
      <c r="F102" s="2" t="str">
        <f>VLOOKUP($A102,DICO_Complet!$A$3:$U$983,6,FALSE)</f>
        <v>temp_commissionProcessingLevelCodeCodeset</v>
      </c>
      <c r="G102" s="48">
        <f>VLOOKUP($A102,DICO_Complet!$A$3:$U$983,7,FALSE)</f>
        <v>0</v>
      </c>
      <c r="H102" s="48">
        <f>VLOOKUP($A102,DICO_Complet!$A$3:$U$983,8,FALSE)</f>
        <v>0</v>
      </c>
      <c r="I102" s="2" t="str">
        <f>IF(VLOOKUP($A102,DICO_Complet!$A$3:$U$983,9,FALSE)&lt;&gt;0,VLOOKUP($A102,DICO_Complet!$A$3:$U$983,9,FALSE),"")</f>
        <v/>
      </c>
      <c r="J102" s="1" t="str">
        <f>VLOOKUP($A102,DICO_Complet!$A$3:$U$983,10,FALSE)</f>
        <v xml:space="preserve">level of processing comission </v>
      </c>
      <c r="K102" s="53" t="str">
        <f>IF(VLOOKUP($A102,DICO_Complet!$A$3:$U$983,12,FALSE)=0,"",VLOOKUP($A102,DICO_Complet!$A$3:$U$983,12,FALSE))</f>
        <v/>
      </c>
      <c r="L102" s="53" t="str">
        <f>IF(VLOOKUP($A102,DICO_Complet!$A$3:$U$983,13,FALSE)=0,"",VLOOKUP($A102,DICO_Complet!$A$3:$U$983,13,FALSE))</f>
        <v/>
      </c>
      <c r="M102" s="53" t="str">
        <f>IF(VLOOKUP($A102,DICO_Complet!$A$3:$U$983,14,FALSE)=0,"",VLOOKUP($A102,DICO_Complet!$A$3:$U$983,14,FALSE))</f>
        <v/>
      </c>
      <c r="N102" s="53" t="str">
        <f>IF(VLOOKUP($A102,DICO_Complet!$A$3:$U$983,15,FALSE)=0,"",VLOOKUP($A102,DICO_Complet!$A$3:$U$983,15,FALSE))</f>
        <v/>
      </c>
      <c r="O102" s="53" t="str">
        <f>IF(VLOOKUP($A102,DICO_Complet!$A$3:$U$983,16,FALSE)=0,"",VLOOKUP($A102,DICO_Complet!$A$3:$U$983,16,FALSE))</f>
        <v/>
      </c>
      <c r="P102" s="53" t="str">
        <f>IF(VLOOKUP($A102,DICO_Complet!$A$3:$U$983,17,FALSE)=0,"",VLOOKUP($A102,DICO_Complet!$A$3:$U$983,17,FALSE))</f>
        <v/>
      </c>
      <c r="Q102" s="53" t="str">
        <f>IF(VLOOKUP($A102,DICO_Complet!$A$3:$U$983,18,FALSE)=0,"",VLOOKUP($A102,DICO_Complet!$A$3:$U$983,18,FALSE))</f>
        <v>CNIVCU</v>
      </c>
    </row>
    <row r="103" spans="1:17">
      <c r="A103" s="38">
        <v>250425200701</v>
      </c>
      <c r="B103" s="47" t="s">
        <v>858</v>
      </c>
      <c r="C103" s="3" t="str">
        <f>VLOOKUP($A103,DICO_Complet!$A$3:$U$983,3,FALSE)</f>
        <v>Context</v>
      </c>
      <c r="D103" s="3" t="str">
        <f>VLOOKUP($A103,DICO_Complet!$A$3:$U$983,4,FALSE)</f>
        <v>merchantParameters</v>
      </c>
      <c r="E103" s="2" t="str">
        <f>VLOOKUP($A103,DICO_Complet!$A$3:$U$983,5,FALSE)</f>
        <v>temp_conversionRate</v>
      </c>
      <c r="F103" s="2" t="str">
        <f>VLOOKUP($A103,DICO_Complet!$A$3:$U$983,6,FALSE)</f>
        <v>PercentageRate</v>
      </c>
      <c r="G103" s="48">
        <f>VLOOKUP($A103,DICO_Complet!$A$3:$U$983,7,FALSE)</f>
        <v>0</v>
      </c>
      <c r="H103" s="48">
        <f>VLOOKUP($A103,DICO_Complet!$A$3:$U$983,8,FALSE)</f>
        <v>0</v>
      </c>
      <c r="I103" s="2" t="str">
        <f>IF(VLOOKUP($A103,DICO_Complet!$A$3:$U$983,9,FALSE)&lt;&gt;0,VLOOKUP($A103,DICO_Complet!$A$3:$U$983,9,FALSE),"")</f>
        <v/>
      </c>
      <c r="J103" s="1" t="str">
        <f>VLOOKUP($A103,DICO_Complet!$A$3:$U$983,10,FALSE)</f>
        <v>Conversion rate</v>
      </c>
      <c r="K103" s="53" t="str">
        <f>IF(VLOOKUP($A103,DICO_Complet!$A$3:$U$983,12,FALSE)=0,"",VLOOKUP($A103,DICO_Complet!$A$3:$U$983,12,FALSE))</f>
        <v/>
      </c>
      <c r="L103" s="53" t="str">
        <f>IF(VLOOKUP($A103,DICO_Complet!$A$3:$U$983,13,FALSE)=0,"",VLOOKUP($A103,DICO_Complet!$A$3:$U$983,13,FALSE))</f>
        <v/>
      </c>
      <c r="M103" s="53" t="str">
        <f>IF(VLOOKUP($A103,DICO_Complet!$A$3:$U$983,14,FALSE)=0,"",VLOOKUP($A103,DICO_Complet!$A$3:$U$983,14,FALSE))</f>
        <v>72_DF01 part 8</v>
      </c>
      <c r="N103" s="53" t="str">
        <f>IF(VLOOKUP($A103,DICO_Complet!$A$3:$U$983,15,FALSE)=0,"",VLOOKUP($A103,DICO_Complet!$A$3:$U$983,15,FALSE))</f>
        <v/>
      </c>
      <c r="O103" s="53" t="str">
        <f>IF(VLOOKUP($A103,DICO_Complet!$A$3:$U$983,16,FALSE)=0,"",VLOOKUP($A103,DICO_Complet!$A$3:$U$983,16,FALSE))</f>
        <v/>
      </c>
      <c r="P103" s="53" t="str">
        <f>IF(VLOOKUP($A103,DICO_Complet!$A$3:$U$983,17,FALSE)=0,"",VLOOKUP($A103,DICO_Complet!$A$3:$U$983,17,FALSE))</f>
        <v/>
      </c>
      <c r="Q103" s="53" t="str">
        <f>IF(VLOOKUP($A103,DICO_Complet!$A$3:$U$983,18,FALSE)=0,"",VLOOKUP($A103,DICO_Complet!$A$3:$U$983,18,FALSE))</f>
        <v/>
      </c>
    </row>
    <row r="104" spans="1:17">
      <c r="A104" s="38">
        <v>250418220101</v>
      </c>
      <c r="B104" s="47" t="s">
        <v>858</v>
      </c>
      <c r="C104" s="3" t="str">
        <f>VLOOKUP($A104,DICO_Complet!$A$3:$U$983,3,FALSE)</f>
        <v>Context</v>
      </c>
      <c r="D104" s="3" t="str">
        <f>VLOOKUP($A104,DICO_Complet!$A$3:$U$983,4,FALSE)</f>
        <v>merchantParameters</v>
      </c>
      <c r="E104" s="2" t="str">
        <f>VLOOKUP($A104,DICO_Complet!$A$3:$U$983,5,FALSE)</f>
        <v>temp_genericMerchandIdCheckCode</v>
      </c>
      <c r="F104" s="2" t="str">
        <f>VLOOKUP($A104,DICO_Complet!$A$3:$U$983,6,FALSE)</f>
        <v>temp_genericMerchandIdCheckCodeset</v>
      </c>
      <c r="G104" s="48">
        <f>VLOOKUP($A104,DICO_Complet!$A$3:$U$983,7,FALSE)</f>
        <v>0</v>
      </c>
      <c r="H104" s="48">
        <f>VLOOKUP($A104,DICO_Complet!$A$3:$U$983,8,FALSE)</f>
        <v>0</v>
      </c>
      <c r="I104" s="2" t="str">
        <f>IF(VLOOKUP($A104,DICO_Complet!$A$3:$U$983,9,FALSE)&lt;&gt;0,VLOOKUP($A104,DICO_Complet!$A$3:$U$983,9,FALSE),"")</f>
        <v/>
      </c>
      <c r="J104" s="1" t="str">
        <f>VLOOKUP($A104,DICO_Complet!$A$3:$U$983,10,FALSE)</f>
        <v>Generic merchant id check code</v>
      </c>
      <c r="K104" s="53" t="str">
        <f>IF(VLOOKUP($A104,DICO_Complet!$A$3:$U$983,12,FALSE)=0,"",VLOOKUP($A104,DICO_Complet!$A$3:$U$983,12,FALSE))</f>
        <v/>
      </c>
      <c r="L104" s="53" t="str">
        <f>IF(VLOOKUP($A104,DICO_Complet!$A$3:$U$983,13,FALSE)=0,"",VLOOKUP($A104,DICO_Complet!$A$3:$U$983,13,FALSE))</f>
        <v/>
      </c>
      <c r="M104" s="53" t="str">
        <f>IF(VLOOKUP($A104,DICO_Complet!$A$3:$U$983,14,FALSE)=0,"",VLOOKUP($A104,DICO_Complet!$A$3:$U$983,14,FALSE))</f>
        <v/>
      </c>
      <c r="N104" s="53" t="str">
        <f>IF(VLOOKUP($A104,DICO_Complet!$A$3:$U$983,15,FALSE)=0,"",VLOOKUP($A104,DICO_Complet!$A$3:$U$983,15,FALSE))</f>
        <v/>
      </c>
      <c r="O104" s="53" t="str">
        <f>IF(VLOOKUP($A104,DICO_Complet!$A$3:$U$983,16,FALSE)=0,"",VLOOKUP($A104,DICO_Complet!$A$3:$U$983,16,FALSE))</f>
        <v/>
      </c>
      <c r="P104" s="53" t="str">
        <f>IF(VLOOKUP($A104,DICO_Complet!$A$3:$U$983,17,FALSE)=0,"",VLOOKUP($A104,DICO_Complet!$A$3:$U$983,17,FALSE))</f>
        <v/>
      </c>
      <c r="Q104" s="53" t="str">
        <f>IF(VLOOKUP($A104,DICO_Complet!$A$3:$U$983,18,FALSE)=0,"",VLOOKUP($A104,DICO_Complet!$A$3:$U$983,18,FALSE))</f>
        <v>CEMIDG</v>
      </c>
    </row>
    <row r="105" spans="1:17" ht="14.65" customHeight="1">
      <c r="A105" s="38">
        <v>250425200702</v>
      </c>
      <c r="B105" s="47" t="s">
        <v>858</v>
      </c>
      <c r="C105" s="3" t="str">
        <f>VLOOKUP($A105,DICO_Complet!$A$3:$U$983,3,FALSE)</f>
        <v>Context</v>
      </c>
      <c r="D105" s="3" t="str">
        <f>VLOOKUP($A105,DICO_Complet!$A$3:$U$983,4,FALSE)</f>
        <v>merchantParameters</v>
      </c>
      <c r="E105" s="2" t="str">
        <f>VLOOKUP($A105,DICO_Complet!$A$3:$U$983,5,FALSE)</f>
        <v>temp_languageAbbreviation</v>
      </c>
      <c r="F105" s="2" t="str">
        <f>VLOOKUP($A105,DICO_Complet!$A$3:$U$983,6,FALSE)</f>
        <v>ISOMax3ALanguageCode</v>
      </c>
      <c r="G105" s="48">
        <f>VLOOKUP($A105,DICO_Complet!$A$3:$U$983,7,FALSE)</f>
        <v>0</v>
      </c>
      <c r="H105" s="48">
        <f>VLOOKUP($A105,DICO_Complet!$A$3:$U$983,8,FALSE)</f>
        <v>0</v>
      </c>
      <c r="I105" s="2" t="str">
        <f>IF(VLOOKUP($A105,DICO_Complet!$A$3:$U$983,9,FALSE)&lt;&gt;0,VLOOKUP($A105,DICO_Complet!$A$3:$U$983,9,FALSE),"")</f>
        <v/>
      </c>
      <c r="J105" s="1" t="str">
        <f>VLOOKUP($A105,DICO_Complet!$A$3:$U$983,10,FALSE)</f>
        <v>language Abbreviation</v>
      </c>
      <c r="K105" s="53" t="str">
        <f>IF(VLOOKUP($A105,DICO_Complet!$A$3:$U$983,12,FALSE)=0,"",VLOOKUP($A105,DICO_Complet!$A$3:$U$983,12,FALSE))</f>
        <v/>
      </c>
      <c r="L105" s="53" t="str">
        <f>IF(VLOOKUP($A105,DICO_Complet!$A$3:$U$983,13,FALSE)=0,"",VLOOKUP($A105,DICO_Complet!$A$3:$U$983,13,FALSE))</f>
        <v/>
      </c>
      <c r="M105" s="53" t="str">
        <f>IF(VLOOKUP($A105,DICO_Complet!$A$3:$U$983,14,FALSE)=0,"",VLOOKUP($A105,DICO_Complet!$A$3:$U$983,14,FALSE))</f>
        <v>72_DF02 part 2</v>
      </c>
      <c r="N105" s="53" t="str">
        <f>IF(VLOOKUP($A105,DICO_Complet!$A$3:$U$983,15,FALSE)=0,"",VLOOKUP($A105,DICO_Complet!$A$3:$U$983,15,FALSE))</f>
        <v/>
      </c>
      <c r="O105" s="53" t="str">
        <f>IF(VLOOKUP($A105,DICO_Complet!$A$3:$U$983,16,FALSE)=0,"",VLOOKUP($A105,DICO_Complet!$A$3:$U$983,16,FALSE))</f>
        <v/>
      </c>
      <c r="P105" s="53" t="str">
        <f>IF(VLOOKUP($A105,DICO_Complet!$A$3:$U$983,17,FALSE)=0,"",VLOOKUP($A105,DICO_Complet!$A$3:$U$983,17,FALSE))</f>
        <v/>
      </c>
      <c r="Q105" s="53" t="str">
        <f>IF(VLOOKUP($A105,DICO_Complet!$A$3:$U$983,18,FALSE)=0,"",VLOOKUP($A105,DICO_Complet!$A$3:$U$983,18,FALSE))</f>
        <v/>
      </c>
    </row>
    <row r="106" spans="1:17">
      <c r="A106" s="38">
        <v>250425201707</v>
      </c>
      <c r="B106" s="47" t="s">
        <v>858</v>
      </c>
      <c r="C106" s="3" t="str">
        <f>VLOOKUP($A106,DICO_Complet!$A$3:$U$983,3,FALSE)</f>
        <v>Context</v>
      </c>
      <c r="D106" s="3" t="str">
        <f>VLOOKUP($A106,DICO_Complet!$A$3:$U$983,4,FALSE)</f>
        <v>merchantParameters</v>
      </c>
      <c r="E106" s="2" t="str">
        <f>VLOOKUP($A106,DICO_Complet!$A$3:$U$983,5,FALSE)</f>
        <v>temp_parametersPANEntryModeForDualApplication</v>
      </c>
      <c r="F106" s="2" t="str">
        <f>VLOOKUP($A106,DICO_Complet!$A$3:$U$983,6,FALSE)</f>
        <v>TrueFalseIndicator</v>
      </c>
      <c r="G106" s="48">
        <f>VLOOKUP($A106,DICO_Complet!$A$3:$U$983,7,FALSE)</f>
        <v>0</v>
      </c>
      <c r="H106" s="48">
        <f>VLOOKUP($A106,DICO_Complet!$A$3:$U$983,8,FALSE)</f>
        <v>0</v>
      </c>
      <c r="I106" s="2" t="str">
        <f>IF(VLOOKUP($A106,DICO_Complet!$A$3:$U$983,9,FALSE)&lt;&gt;0,VLOOKUP($A106,DICO_Complet!$A$3:$U$983,9,FALSE),"")</f>
        <v/>
      </c>
      <c r="J106" s="1" t="str">
        <f>VLOOKUP($A106,DICO_Complet!$A$3:$U$983,10,FALSE)</f>
        <v>Parameters, PAN entry mode for dual application</v>
      </c>
      <c r="K106" s="53" t="str">
        <f>IF(VLOOKUP($A106,DICO_Complet!$A$3:$U$983,12,FALSE)=0,"",VLOOKUP($A106,DICO_Complet!$A$3:$U$983,12,FALSE))</f>
        <v/>
      </c>
      <c r="L106" s="53" t="str">
        <f>IF(VLOOKUP($A106,DICO_Complet!$A$3:$U$983,13,FALSE)=0,"",VLOOKUP($A106,DICO_Complet!$A$3:$U$983,13,FALSE))</f>
        <v/>
      </c>
      <c r="M106" s="53" t="str">
        <f>IF(VLOOKUP($A106,DICO_Complet!$A$3:$U$983,14,FALSE)=0,"",VLOOKUP($A106,DICO_Complet!$A$3:$U$983,14,FALSE))</f>
        <v>72_DF29</v>
      </c>
      <c r="N106" s="53" t="str">
        <f>IF(VLOOKUP($A106,DICO_Complet!$A$3:$U$983,15,FALSE)=0,"",VLOOKUP($A106,DICO_Complet!$A$3:$U$983,15,FALSE))</f>
        <v/>
      </c>
      <c r="O106" s="53" t="str">
        <f>IF(VLOOKUP($A106,DICO_Complet!$A$3:$U$983,16,FALSE)=0,"",VLOOKUP($A106,DICO_Complet!$A$3:$U$983,16,FALSE))</f>
        <v/>
      </c>
      <c r="P106" s="53" t="str">
        <f>IF(VLOOKUP($A106,DICO_Complet!$A$3:$U$983,17,FALSE)=0,"",VLOOKUP($A106,DICO_Complet!$A$3:$U$983,17,FALSE))</f>
        <v/>
      </c>
      <c r="Q106" s="53" t="str">
        <f>IF(VLOOKUP($A106,DICO_Complet!$A$3:$U$983,18,FALSE)=0,"",VLOOKUP($A106,DICO_Complet!$A$3:$U$983,18,FALSE))</f>
        <v/>
      </c>
    </row>
    <row r="107" spans="1:17">
      <c r="A107" s="38">
        <v>250425200707</v>
      </c>
      <c r="B107" s="47" t="s">
        <v>858</v>
      </c>
      <c r="C107" s="3" t="str">
        <f>VLOOKUP($A107,DICO_Complet!$A$3:$U$983,3,FALSE)</f>
        <v>Context</v>
      </c>
      <c r="D107" s="3" t="str">
        <f>VLOOKUP($A107,DICO_Complet!$A$3:$U$983,4,FALSE)</f>
        <v>merchantParameters</v>
      </c>
      <c r="E107" s="2" t="str">
        <f>VLOOKUP($A107,DICO_Complet!$A$3:$U$983,5,FALSE)</f>
        <v>temp_signOfTimeDifference</v>
      </c>
      <c r="F107" s="2" t="str">
        <f>VLOOKUP($A107,DICO_Complet!$A$3:$U$983,6,FALSE)</f>
        <v>temp_signOfTimeDifferenceCodeset</v>
      </c>
      <c r="G107" s="48">
        <f>VLOOKUP($A107,DICO_Complet!$A$3:$U$983,7,FALSE)</f>
        <v>0</v>
      </c>
      <c r="H107" s="48">
        <f>VLOOKUP($A107,DICO_Complet!$A$3:$U$983,8,FALSE)</f>
        <v>0</v>
      </c>
      <c r="I107" s="2" t="str">
        <f>IF(VLOOKUP($A107,DICO_Complet!$A$3:$U$983,9,FALSE)&lt;&gt;0,VLOOKUP($A107,DICO_Complet!$A$3:$U$983,9,FALSE),"")</f>
        <v/>
      </c>
      <c r="J107" s="1" t="str">
        <f>VLOOKUP($A107,DICO_Complet!$A$3:$U$983,10,FALSE)</f>
        <v>Sign of time difference</v>
      </c>
      <c r="K107" s="53" t="str">
        <f>IF(VLOOKUP($A107,DICO_Complet!$A$3:$U$983,12,FALSE)=0,"",VLOOKUP($A107,DICO_Complet!$A$3:$U$983,12,FALSE))</f>
        <v/>
      </c>
      <c r="L107" s="53" t="str">
        <f>IF(VLOOKUP($A107,DICO_Complet!$A$3:$U$983,13,FALSE)=0,"",VLOOKUP($A107,DICO_Complet!$A$3:$U$983,13,FALSE))</f>
        <v/>
      </c>
      <c r="M107" s="53" t="str">
        <f>IF(VLOOKUP($A107,DICO_Complet!$A$3:$U$983,14,FALSE)=0,"",VLOOKUP($A107,DICO_Complet!$A$3:$U$983,14,FALSE))</f>
        <v>72_DF09 part 4</v>
      </c>
      <c r="N107" s="53" t="str">
        <f>IF(VLOOKUP($A107,DICO_Complet!$A$3:$U$983,15,FALSE)=0,"",VLOOKUP($A107,DICO_Complet!$A$3:$U$983,15,FALSE))</f>
        <v/>
      </c>
      <c r="O107" s="53" t="str">
        <f>IF(VLOOKUP($A107,DICO_Complet!$A$3:$U$983,16,FALSE)=0,"",VLOOKUP($A107,DICO_Complet!$A$3:$U$983,16,FALSE))</f>
        <v/>
      </c>
      <c r="P107" s="53" t="str">
        <f>IF(VLOOKUP($A107,DICO_Complet!$A$3:$U$983,17,FALSE)=0,"",VLOOKUP($A107,DICO_Complet!$A$3:$U$983,17,FALSE))</f>
        <v/>
      </c>
      <c r="Q107" s="53" t="str">
        <f>IF(VLOOKUP($A107,DICO_Complet!$A$3:$U$983,18,FALSE)=0,"",VLOOKUP($A107,DICO_Complet!$A$3:$U$983,18,FALSE))</f>
        <v/>
      </c>
    </row>
    <row r="108" spans="1:17">
      <c r="A108" s="38">
        <v>250425200703</v>
      </c>
      <c r="B108" s="47" t="s">
        <v>858</v>
      </c>
      <c r="C108" s="3" t="str">
        <f>VLOOKUP($A108,DICO_Complet!$A$3:$U$983,3,FALSE)</f>
        <v>Context</v>
      </c>
      <c r="D108" s="3" t="str">
        <f>VLOOKUP($A108,DICO_Complet!$A$3:$U$983,4,FALSE)</f>
        <v>merchantParameters</v>
      </c>
      <c r="E108" s="2" t="str">
        <f>VLOOKUP($A108,DICO_Complet!$A$3:$U$983,5,FALSE)</f>
        <v>temp_targetPercentageForRandomSelection</v>
      </c>
      <c r="F108" s="2" t="str">
        <f>VLOOKUP($A108,DICO_Complet!$A$3:$U$983,6,FALSE)</f>
        <v>Exact2AlphaNumericText</v>
      </c>
      <c r="G108" s="48">
        <f>VLOOKUP($A108,DICO_Complet!$A$3:$U$983,7,FALSE)</f>
        <v>0</v>
      </c>
      <c r="H108" s="48">
        <f>VLOOKUP($A108,DICO_Complet!$A$3:$U$983,8,FALSE)</f>
        <v>0</v>
      </c>
      <c r="I108" s="2" t="str">
        <f>IF(VLOOKUP($A108,DICO_Complet!$A$3:$U$983,9,FALSE)&lt;&gt;0,VLOOKUP($A108,DICO_Complet!$A$3:$U$983,9,FALSE),"")</f>
        <v/>
      </c>
      <c r="J108" s="1" t="str">
        <f>VLOOKUP($A108,DICO_Complet!$A$3:$U$983,10,FALSE)</f>
        <v xml:space="preserve">Target percentage for random selection </v>
      </c>
      <c r="K108" s="53" t="str">
        <f>IF(VLOOKUP($A108,DICO_Complet!$A$3:$U$983,12,FALSE)=0,"",VLOOKUP($A108,DICO_Complet!$A$3:$U$983,12,FALSE))</f>
        <v/>
      </c>
      <c r="L108" s="53" t="str">
        <f>IF(VLOOKUP($A108,DICO_Complet!$A$3:$U$983,13,FALSE)=0,"",VLOOKUP($A108,DICO_Complet!$A$3:$U$983,13,FALSE))</f>
        <v/>
      </c>
      <c r="M108" s="53" t="str">
        <f>IF(VLOOKUP($A108,DICO_Complet!$A$3:$U$983,14,FALSE)=0,"",VLOOKUP($A108,DICO_Complet!$A$3:$U$983,14,FALSE))</f>
        <v>72_DF08</v>
      </c>
      <c r="N108" s="53" t="str">
        <f>IF(VLOOKUP($A108,DICO_Complet!$A$3:$U$983,15,FALSE)=0,"",VLOOKUP($A108,DICO_Complet!$A$3:$U$983,15,FALSE))</f>
        <v/>
      </c>
      <c r="O108" s="53" t="str">
        <f>IF(VLOOKUP($A108,DICO_Complet!$A$3:$U$983,16,FALSE)=0,"",VLOOKUP($A108,DICO_Complet!$A$3:$U$983,16,FALSE))</f>
        <v/>
      </c>
      <c r="P108" s="53" t="str">
        <f>IF(VLOOKUP($A108,DICO_Complet!$A$3:$U$983,17,FALSE)=0,"",VLOOKUP($A108,DICO_Complet!$A$3:$U$983,17,FALSE))</f>
        <v/>
      </c>
      <c r="Q108" s="53" t="str">
        <f>IF(VLOOKUP($A108,DICO_Complet!$A$3:$U$983,18,FALSE)=0,"",VLOOKUP($A108,DICO_Complet!$A$3:$U$983,18,FALSE))</f>
        <v/>
      </c>
    </row>
    <row r="109" spans="1:17" ht="15" customHeight="1">
      <c r="A109" s="38">
        <v>250428083550</v>
      </c>
      <c r="B109" s="47" t="s">
        <v>858</v>
      </c>
      <c r="C109" s="3" t="str">
        <f>VLOOKUP($A109,DICO_Complet!$A$3:$U$983,3,FALSE)</f>
        <v>Context</v>
      </c>
      <c r="D109" s="3" t="str">
        <f>VLOOKUP($A109,DICO_Complet!$A$3:$U$983,4,FALSE)</f>
        <v>merchantParameters</v>
      </c>
      <c r="E109" s="2" t="str">
        <f>VLOOKUP($A109,DICO_Complet!$A$3:$U$983,5,FALSE)</f>
        <v>ticketPrintedMessage</v>
      </c>
      <c r="F109" s="2" t="str">
        <f>VLOOKUP($A109,DICO_Complet!$A$3:$U$983,6,FALSE)</f>
        <v>Max40Text</v>
      </c>
      <c r="G109" s="48">
        <f>VLOOKUP($A109,DICO_Complet!$A$3:$U$983,7,FALSE)</f>
        <v>0</v>
      </c>
      <c r="H109" s="48">
        <f>VLOOKUP($A109,DICO_Complet!$A$3:$U$983,8,FALSE)</f>
        <v>0</v>
      </c>
      <c r="I109" s="2" t="str">
        <f>IF(VLOOKUP($A109,DICO_Complet!$A$3:$U$983,9,FALSE)&lt;&gt;0,VLOOKUP($A109,DICO_Complet!$A$3:$U$983,9,FALSE),"")</f>
        <v/>
      </c>
      <c r="J109" s="1" t="str">
        <f>VLOOKUP($A109,DICO_Complet!$A$3:$U$983,10,FALSE)</f>
        <v>Indicate the message to print on the ticket (cardholder or merchant)</v>
      </c>
      <c r="K109" s="53" t="str">
        <f>IF(VLOOKUP($A109,DICO_Complet!$A$3:$U$983,12,FALSE)=0,"",VLOOKUP($A109,DICO_Complet!$A$3:$U$983,12,FALSE))</f>
        <v/>
      </c>
      <c r="L109" s="53" t="str">
        <f>IF(VLOOKUP($A109,DICO_Complet!$A$3:$U$983,13,FALSE)=0,"",VLOOKUP($A109,DICO_Complet!$A$3:$U$983,13,FALSE))</f>
        <v/>
      </c>
      <c r="M109" s="53" t="str">
        <f>IF(VLOOKUP($A109,DICO_Complet!$A$3:$U$983,14,FALSE)=0,"",VLOOKUP($A109,DICO_Complet!$A$3:$U$983,14,FALSE))</f>
        <v/>
      </c>
      <c r="N109" s="53" t="str">
        <f>IF(VLOOKUP($A109,DICO_Complet!$A$3:$U$983,15,FALSE)=0,"",VLOOKUP($A109,DICO_Complet!$A$3:$U$983,15,FALSE))</f>
        <v/>
      </c>
      <c r="O109" s="53" t="str">
        <f>IF(VLOOKUP($A109,DICO_Complet!$A$3:$U$983,16,FALSE)=0,"",VLOOKUP($A109,DICO_Complet!$A$3:$U$983,16,FALSE))</f>
        <v/>
      </c>
      <c r="P109" s="53" t="str">
        <f>IF(VLOOKUP($A109,DICO_Complet!$A$3:$U$983,17,FALSE)=0,"",VLOOKUP($A109,DICO_Complet!$A$3:$U$983,17,FALSE))</f>
        <v/>
      </c>
      <c r="Q109" s="53" t="str">
        <f>IF(VLOOKUP($A109,DICO_Complet!$A$3:$U$983,18,FALSE)=0,"",VLOOKUP($A109,DICO_Complet!$A$3:$U$983,18,FALSE))</f>
        <v/>
      </c>
    </row>
    <row r="110" spans="1:17">
      <c r="A110" s="38">
        <v>250415115600</v>
      </c>
      <c r="B110" s="47" t="s">
        <v>858</v>
      </c>
      <c r="C110" s="3" t="str">
        <f>VLOOKUP($A110,DICO_Complet!$A$3:$U$983,3,FALSE)</f>
        <v>Context</v>
      </c>
      <c r="D110" s="3" t="str">
        <f>VLOOKUP($A110,DICO_Complet!$A$3:$U$983,4,FALSE)</f>
        <v>merchantParameters</v>
      </c>
      <c r="E110" s="2" t="str">
        <f>VLOOKUP($A110,DICO_Complet!$A$3:$U$983,5,FALSE)</f>
        <v>ticketPrintIndicator</v>
      </c>
      <c r="F110" s="2" t="str">
        <f>VLOOKUP($A110,DICO_Complet!$A$3:$U$983,6,FALSE)</f>
        <v>TrueFalseIndicator</v>
      </c>
      <c r="G110" s="48">
        <f>VLOOKUP($A110,DICO_Complet!$A$3:$U$983,7,FALSE)</f>
        <v>0</v>
      </c>
      <c r="H110" s="48">
        <f>VLOOKUP($A110,DICO_Complet!$A$3:$U$983,8,FALSE)</f>
        <v>0</v>
      </c>
      <c r="I110" s="2" t="str">
        <f>IF(VLOOKUP($A110,DICO_Complet!$A$3:$U$983,9,FALSE)&lt;&gt;0,VLOOKUP($A110,DICO_Complet!$A$3:$U$983,9,FALSE),"")</f>
        <v/>
      </c>
      <c r="J110" s="1" t="str">
        <f>VLOOKUP($A110,DICO_Complet!$A$3:$U$983,10,FALSE)</f>
        <v>Indicator of the choice of ticket printing</v>
      </c>
      <c r="K110" s="53" t="str">
        <f>IF(VLOOKUP($A110,DICO_Complet!$A$3:$U$983,12,FALSE)=0,"",VLOOKUP($A110,DICO_Complet!$A$3:$U$983,12,FALSE))</f>
        <v/>
      </c>
      <c r="L110" s="53" t="str">
        <f>IF(VLOOKUP($A110,DICO_Complet!$A$3:$U$983,13,FALSE)=0,"",VLOOKUP($A110,DICO_Complet!$A$3:$U$983,13,FALSE))</f>
        <v/>
      </c>
      <c r="M110" s="53" t="str">
        <f>IF(VLOOKUP($A110,DICO_Complet!$A$3:$U$983,14,FALSE)=0,"",VLOOKUP($A110,DICO_Complet!$A$3:$U$983,14,FALSE))</f>
        <v/>
      </c>
      <c r="N110" s="53" t="str">
        <f>IF(VLOOKUP($A110,DICO_Complet!$A$3:$U$983,15,FALSE)=0,"",VLOOKUP($A110,DICO_Complet!$A$3:$U$983,15,FALSE))</f>
        <v/>
      </c>
      <c r="O110" s="53" t="str">
        <f>IF(VLOOKUP($A110,DICO_Complet!$A$3:$U$983,16,FALSE)=0,"",VLOOKUP($A110,DICO_Complet!$A$3:$U$983,16,FALSE))</f>
        <v/>
      </c>
      <c r="P110" s="53" t="str">
        <f>IF(VLOOKUP($A110,DICO_Complet!$A$3:$U$983,17,FALSE)=0,"",VLOOKUP($A110,DICO_Complet!$A$3:$U$983,17,FALSE))</f>
        <v/>
      </c>
      <c r="Q110" s="53" t="str">
        <f>IF(VLOOKUP($A110,DICO_Complet!$A$3:$U$983,18,FALSE)=0,"",VLOOKUP($A110,DICO_Complet!$A$3:$U$983,18,FALSE))</f>
        <v/>
      </c>
    </row>
    <row r="111" spans="1:17">
      <c r="A111" s="38">
        <v>250401140500</v>
      </c>
      <c r="B111" s="47" t="s">
        <v>858</v>
      </c>
      <c r="C111" s="3" t="str">
        <f>VLOOKUP($A111,DICO_Complet!$A$3:$U$983,3,FALSE)</f>
        <v>Context</v>
      </c>
      <c r="D111" s="3" t="str">
        <f>VLOOKUP($A111,DICO_Complet!$A$3:$U$983,4,FALSE)</f>
        <v>merchantParameters</v>
      </c>
      <c r="E111" s="2" t="str">
        <f>VLOOKUP($A111,DICO_Complet!$A$3:$U$983,5,FALSE)</f>
        <v>transactionNumericStatementIndicator</v>
      </c>
      <c r="F111" s="2" t="str">
        <f>VLOOKUP($A111,DICO_Complet!$A$3:$U$983,6,FALSE)</f>
        <v>TrueFalseIndicator</v>
      </c>
      <c r="G111" s="48">
        <f>VLOOKUP($A111,DICO_Complet!$A$3:$U$983,7,FALSE)</f>
        <v>0</v>
      </c>
      <c r="H111" s="48">
        <f>VLOOKUP($A111,DICO_Complet!$A$3:$U$983,8,FALSE)</f>
        <v>0</v>
      </c>
      <c r="I111" s="2" t="str">
        <f>IF(VLOOKUP($A111,DICO_Complet!$A$3:$U$983,9,FALSE)&lt;&gt;0,VLOOKUP($A111,DICO_Complet!$A$3:$U$983,9,FALSE),"")</f>
        <v/>
      </c>
      <c r="J111" s="1" t="str">
        <f>VLOOKUP($A111,DICO_Complet!$A$3:$U$983,10,FALSE)</f>
        <v>Transaction numeric statement indicator</v>
      </c>
      <c r="K111" s="53" t="str">
        <f>IF(VLOOKUP($A111,DICO_Complet!$A$3:$U$983,12,FALSE)=0,"",VLOOKUP($A111,DICO_Complet!$A$3:$U$983,12,FALSE))</f>
        <v/>
      </c>
      <c r="L111" s="53" t="str">
        <f>IF(VLOOKUP($A111,DICO_Complet!$A$3:$U$983,13,FALSE)=0,"",VLOOKUP($A111,DICO_Complet!$A$3:$U$983,13,FALSE))</f>
        <v/>
      </c>
      <c r="M111" s="53" t="str">
        <f>IF(VLOOKUP($A111,DICO_Complet!$A$3:$U$983,14,FALSE)=0,"",VLOOKUP($A111,DICO_Complet!$A$3:$U$983,14,FALSE))</f>
        <v/>
      </c>
      <c r="N111" s="53" t="str">
        <f>IF(VLOOKUP($A111,DICO_Complet!$A$3:$U$983,15,FALSE)=0,"",VLOOKUP($A111,DICO_Complet!$A$3:$U$983,15,FALSE))</f>
        <v/>
      </c>
      <c r="O111" s="53" t="str">
        <f>IF(VLOOKUP($A111,DICO_Complet!$A$3:$U$983,16,FALSE)=0,"",VLOOKUP($A111,DICO_Complet!$A$3:$U$983,16,FALSE))</f>
        <v/>
      </c>
      <c r="P111" s="53" t="str">
        <f>IF(VLOOKUP($A111,DICO_Complet!$A$3:$U$983,17,FALSE)=0,"",VLOOKUP($A111,DICO_Complet!$A$3:$U$983,17,FALSE))</f>
        <v/>
      </c>
      <c r="Q111" s="53" t="str">
        <f>IF(VLOOKUP($A111,DICO_Complet!$A$3:$U$983,18,FALSE)=0,"",VLOOKUP($A111,DICO_Complet!$A$3:$U$983,18,FALSE))</f>
        <v/>
      </c>
    </row>
    <row r="112" spans="1:17">
      <c r="A112" s="38">
        <v>250401140400</v>
      </c>
      <c r="B112" s="47" t="s">
        <v>858</v>
      </c>
      <c r="C112" s="3" t="str">
        <f>VLOOKUP($A112,DICO_Complet!$A$3:$U$983,3,FALSE)</f>
        <v>Context</v>
      </c>
      <c r="D112" s="3" t="str">
        <f>VLOOKUP($A112,DICO_Complet!$A$3:$U$983,4,FALSE)</f>
        <v>merchantParameters</v>
      </c>
      <c r="E112" s="2" t="str">
        <f>VLOOKUP($A112,DICO_Complet!$A$3:$U$983,5,FALSE)</f>
        <v>transactionPaperStatementIndicator</v>
      </c>
      <c r="F112" s="2" t="str">
        <f>VLOOKUP($A112,DICO_Complet!$A$3:$U$983,6,FALSE)</f>
        <v>TrueFalseIndicator</v>
      </c>
      <c r="G112" s="48">
        <f>VLOOKUP($A112,DICO_Complet!$A$3:$U$983,7,FALSE)</f>
        <v>0</v>
      </c>
      <c r="H112" s="48">
        <f>VLOOKUP($A112,DICO_Complet!$A$3:$U$983,8,FALSE)</f>
        <v>0</v>
      </c>
      <c r="I112" s="2" t="str">
        <f>IF(VLOOKUP($A112,DICO_Complet!$A$3:$U$983,9,FALSE)&lt;&gt;0,VLOOKUP($A112,DICO_Complet!$A$3:$U$983,9,FALSE),"")</f>
        <v/>
      </c>
      <c r="J112" s="1" t="str">
        <f>VLOOKUP($A112,DICO_Complet!$A$3:$U$983,10,FALSE)</f>
        <v>Transaction paper statement indicator</v>
      </c>
      <c r="K112" s="53" t="str">
        <f>IF(VLOOKUP($A112,DICO_Complet!$A$3:$U$983,12,FALSE)=0,"",VLOOKUP($A112,DICO_Complet!$A$3:$U$983,12,FALSE))</f>
        <v/>
      </c>
      <c r="L112" s="53" t="str">
        <f>IF(VLOOKUP($A112,DICO_Complet!$A$3:$U$983,13,FALSE)=0,"",VLOOKUP($A112,DICO_Complet!$A$3:$U$983,13,FALSE))</f>
        <v/>
      </c>
      <c r="M112" s="53" t="str">
        <f>IF(VLOOKUP($A112,DICO_Complet!$A$3:$U$983,14,FALSE)=0,"",VLOOKUP($A112,DICO_Complet!$A$3:$U$983,14,FALSE))</f>
        <v/>
      </c>
      <c r="N112" s="53" t="str">
        <f>IF(VLOOKUP($A112,DICO_Complet!$A$3:$U$983,15,FALSE)=0,"",VLOOKUP($A112,DICO_Complet!$A$3:$U$983,15,FALSE))</f>
        <v/>
      </c>
      <c r="O112" s="53" t="str">
        <f>IF(VLOOKUP($A112,DICO_Complet!$A$3:$U$983,16,FALSE)=0,"",VLOOKUP($A112,DICO_Complet!$A$3:$U$983,16,FALSE))</f>
        <v/>
      </c>
      <c r="P112" s="53" t="str">
        <f>IF(VLOOKUP($A112,DICO_Complet!$A$3:$U$983,17,FALSE)=0,"",VLOOKUP($A112,DICO_Complet!$A$3:$U$983,17,FALSE))</f>
        <v/>
      </c>
      <c r="Q112" s="53" t="str">
        <f>IF(VLOOKUP($A112,DICO_Complet!$A$3:$U$983,18,FALSE)=0,"",VLOOKUP($A112,DICO_Complet!$A$3:$U$983,18,FALSE))</f>
        <v/>
      </c>
    </row>
    <row r="113" spans="1:17">
      <c r="A113" s="38">
        <v>250415115000</v>
      </c>
      <c r="B113" s="47" t="s">
        <v>858</v>
      </c>
      <c r="C113" s="3" t="str">
        <f>VLOOKUP($A113,DICO_Complet!$A$3:$U$983,3,FALSE)</f>
        <v>Context</v>
      </c>
      <c r="D113" s="3" t="str">
        <f>VLOOKUP($A113,DICO_Complet!$A$3:$U$983,4,FALSE)</f>
        <v>merchantParameters</v>
      </c>
      <c r="E113" s="2" t="str">
        <f>VLOOKUP($A113,DICO_Complet!$A$3:$U$983,5,FALSE)</f>
        <v>visaVerificationIndicator</v>
      </c>
      <c r="F113" s="2" t="str">
        <f>VLOOKUP($A113,DICO_Complet!$A$3:$U$983,6,FALSE)</f>
        <v>TrueFalseIndicator</v>
      </c>
      <c r="G113" s="48">
        <f>VLOOKUP($A113,DICO_Complet!$A$3:$U$983,7,FALSE)</f>
        <v>0</v>
      </c>
      <c r="H113" s="48">
        <f>VLOOKUP($A113,DICO_Complet!$A$3:$U$983,8,FALSE)</f>
        <v>0</v>
      </c>
      <c r="I113" s="2" t="str">
        <f>IF(VLOOKUP($A113,DICO_Complet!$A$3:$U$983,9,FALSE)&lt;&gt;0,VLOOKUP($A113,DICO_Complet!$A$3:$U$983,9,FALSE),"")</f>
        <v/>
      </c>
      <c r="J113" s="1" t="str">
        <f>VLOOKUP($A113,DICO_Complet!$A$3:$U$983,10,FALSE)</f>
        <v>Indicator if Visa Verification is to process</v>
      </c>
      <c r="K113" s="53" t="str">
        <f>IF(VLOOKUP($A113,DICO_Complet!$A$3:$U$983,12,FALSE)=0,"",VLOOKUP($A113,DICO_Complet!$A$3:$U$983,12,FALSE))</f>
        <v/>
      </c>
      <c r="L113" s="53" t="str">
        <f>IF(VLOOKUP($A113,DICO_Complet!$A$3:$U$983,13,FALSE)=0,"",VLOOKUP($A113,DICO_Complet!$A$3:$U$983,13,FALSE))</f>
        <v/>
      </c>
      <c r="M113" s="53" t="str">
        <f>IF(VLOOKUP($A113,DICO_Complet!$A$3:$U$983,14,FALSE)=0,"",VLOOKUP($A113,DICO_Complet!$A$3:$U$983,14,FALSE))</f>
        <v/>
      </c>
      <c r="N113" s="53" t="str">
        <f>IF(VLOOKUP($A113,DICO_Complet!$A$3:$U$983,15,FALSE)=0,"",VLOOKUP($A113,DICO_Complet!$A$3:$U$983,15,FALSE))</f>
        <v/>
      </c>
      <c r="O113" s="53" t="str">
        <f>IF(VLOOKUP($A113,DICO_Complet!$A$3:$U$983,16,FALSE)=0,"",VLOOKUP($A113,DICO_Complet!$A$3:$U$983,16,FALSE))</f>
        <v/>
      </c>
      <c r="P113" s="53" t="str">
        <f>IF(VLOOKUP($A113,DICO_Complet!$A$3:$U$983,17,FALSE)=0,"",VLOOKUP($A113,DICO_Complet!$A$3:$U$983,17,FALSE))</f>
        <v/>
      </c>
      <c r="Q113" s="53" t="str">
        <f>IF(VLOOKUP($A113,DICO_Complet!$A$3:$U$983,18,FALSE)=0,"",VLOOKUP($A113,DICO_Complet!$A$3:$U$983,18,FALSE))</f>
        <v/>
      </c>
    </row>
    <row r="114" spans="1:17" ht="15" customHeight="1">
      <c r="A114" s="38">
        <v>250428083200</v>
      </c>
      <c r="B114" s="47" t="s">
        <v>858</v>
      </c>
      <c r="C114" s="3" t="str">
        <f>VLOOKUP($A114,DICO_Complet!$A$3:$U$983,3,FALSE)</f>
        <v>Context</v>
      </c>
      <c r="D114" s="3" t="str">
        <f>VLOOKUP($A114,DICO_Complet!$A$3:$U$983,4,FALSE)</f>
        <v>merchantParameters</v>
      </c>
      <c r="E114" s="2" t="str">
        <f>VLOOKUP($A114,DICO_Complet!$A$3:$U$983,5,FALSE)</f>
        <v>whiteListeDistributionIndicator</v>
      </c>
      <c r="F114" s="2" t="str">
        <f>VLOOKUP($A114,DICO_Complet!$A$3:$U$983,6,FALSE)</f>
        <v>TrueFalseIndicator</v>
      </c>
      <c r="G114" s="48">
        <f>VLOOKUP($A114,DICO_Complet!$A$3:$U$983,7,FALSE)</f>
        <v>0</v>
      </c>
      <c r="H114" s="48">
        <f>VLOOKUP($A114,DICO_Complet!$A$3:$U$983,8,FALSE)</f>
        <v>0</v>
      </c>
      <c r="I114" s="2" t="str">
        <f>IF(VLOOKUP($A114,DICO_Complet!$A$3:$U$983,9,FALSE)&lt;&gt;0,VLOOKUP($A114,DICO_Complet!$A$3:$U$983,9,FALSE),"")</f>
        <v/>
      </c>
      <c r="J114" s="1" t="str">
        <f>VLOOKUP($A114,DICO_Complet!$A$3:$U$983,10,FALSE)</f>
        <v>Indicate if the whitelist has to be transmitted (open payment)</v>
      </c>
      <c r="K114" s="53" t="str">
        <f>IF(VLOOKUP($A114,DICO_Complet!$A$3:$U$983,12,FALSE)=0,"",VLOOKUP($A114,DICO_Complet!$A$3:$U$983,12,FALSE))</f>
        <v/>
      </c>
      <c r="L114" s="53" t="str">
        <f>IF(VLOOKUP($A114,DICO_Complet!$A$3:$U$983,13,FALSE)=0,"",VLOOKUP($A114,DICO_Complet!$A$3:$U$983,13,FALSE))</f>
        <v/>
      </c>
      <c r="M114" s="53" t="str">
        <f>IF(VLOOKUP($A114,DICO_Complet!$A$3:$U$983,14,FALSE)=0,"",VLOOKUP($A114,DICO_Complet!$A$3:$U$983,14,FALSE))</f>
        <v/>
      </c>
      <c r="N114" s="53" t="str">
        <f>IF(VLOOKUP($A114,DICO_Complet!$A$3:$U$983,15,FALSE)=0,"",VLOOKUP($A114,DICO_Complet!$A$3:$U$983,15,FALSE))</f>
        <v/>
      </c>
      <c r="O114" s="53" t="str">
        <f>IF(VLOOKUP($A114,DICO_Complet!$A$3:$U$983,16,FALSE)=0,"",VLOOKUP($A114,DICO_Complet!$A$3:$U$983,16,FALSE))</f>
        <v/>
      </c>
      <c r="P114" s="53" t="str">
        <f>IF(VLOOKUP($A114,DICO_Complet!$A$3:$U$983,17,FALSE)=0,"",VLOOKUP($A114,DICO_Complet!$A$3:$U$983,17,FALSE))</f>
        <v/>
      </c>
      <c r="Q114" s="53" t="str">
        <f>IF(VLOOKUP($A114,DICO_Complet!$A$3:$U$983,18,FALSE)=0,"",VLOOKUP($A114,DICO_Complet!$A$3:$U$983,18,FALSE))</f>
        <v/>
      </c>
    </row>
    <row r="115" spans="1:17">
      <c r="A115" s="38">
        <v>250425153910</v>
      </c>
      <c r="B115" s="47" t="s">
        <v>858</v>
      </c>
      <c r="C115" s="3" t="str">
        <f>VLOOKUP($A115,DICO_Complet!$A$3:$U$983,3,FALSE)</f>
        <v>Context</v>
      </c>
      <c r="D115" s="3" t="str">
        <f>VLOOKUP($A115,DICO_Complet!$A$3:$U$983,4,FALSE)</f>
        <v>pointOfServiceContext</v>
      </c>
      <c r="E115" s="2" t="str">
        <f>VLOOKUP($A115,DICO_Complet!$A$3:$U$983,5,FALSE)</f>
        <v>acceptanceSystemCurrentConnectingMode</v>
      </c>
      <c r="F115" s="2" t="str">
        <f>VLOOKUP($A115,DICO_Complet!$A$3:$U$983,6,FALSE)</f>
        <v>AcceptanceSystemCurrentConnectingModeCodeset</v>
      </c>
      <c r="G115" s="48">
        <f>VLOOKUP($A115,DICO_Complet!$A$3:$U$983,7,FALSE)</f>
        <v>0</v>
      </c>
      <c r="H115" s="48">
        <f>VLOOKUP($A115,DICO_Complet!$A$3:$U$983,8,FALSE)</f>
        <v>0</v>
      </c>
      <c r="I115" s="2" t="str">
        <f>IF(VLOOKUP($A115,DICO_Complet!$A$3:$U$983,9,FALSE)&lt;&gt;0,VLOOKUP($A115,DICO_Complet!$A$3:$U$983,9,FALSE),"")</f>
        <v/>
      </c>
      <c r="J115" s="1" t="str">
        <f>VLOOKUP($A115,DICO_Complet!$A$3:$U$983,10,FALSE)</f>
        <v>ACCEPTANCE SYSTEM CURRENT CONNECTING MODE</v>
      </c>
      <c r="K115" s="53" t="str">
        <f>IF(VLOOKUP($A115,DICO_Complet!$A$3:$U$983,12,FALSE)=0,"",VLOOKUP($A115,DICO_Complet!$A$3:$U$983,12,FALSE))</f>
        <v/>
      </c>
      <c r="L115" s="53" t="str">
        <f>IF(VLOOKUP($A115,DICO_Complet!$A$3:$U$983,13,FALSE)=0,"",VLOOKUP($A115,DICO_Complet!$A$3:$U$983,13,FALSE))</f>
        <v/>
      </c>
      <c r="M115" s="53" t="str">
        <f>IF(VLOOKUP($A115,DICO_Complet!$A$3:$U$983,14,FALSE)=0,"",VLOOKUP($A115,DICO_Complet!$A$3:$U$983,14,FALSE))</f>
        <v>46_DF65</v>
      </c>
      <c r="N115" s="53" t="str">
        <f>IF(VLOOKUP($A115,DICO_Complet!$A$3:$U$983,15,FALSE)=0,"",VLOOKUP($A115,DICO_Complet!$A$3:$U$983,15,FALSE))</f>
        <v/>
      </c>
      <c r="O115" s="53" t="str">
        <f>IF(VLOOKUP($A115,DICO_Complet!$A$3:$U$983,16,FALSE)=0,"",VLOOKUP($A115,DICO_Complet!$A$3:$U$983,16,FALSE))</f>
        <v/>
      </c>
      <c r="P115" s="53" t="str">
        <f>IF(VLOOKUP($A115,DICO_Complet!$A$3:$U$983,17,FALSE)=0,"",VLOOKUP($A115,DICO_Complet!$A$3:$U$983,17,FALSE))</f>
        <v/>
      </c>
      <c r="Q115" s="53" t="str">
        <f>IF(VLOOKUP($A115,DICO_Complet!$A$3:$U$983,18,FALSE)=0,"",VLOOKUP($A115,DICO_Complet!$A$3:$U$983,18,FALSE))</f>
        <v/>
      </c>
    </row>
    <row r="116" spans="1:17">
      <c r="A116" s="38">
        <v>250331102100</v>
      </c>
      <c r="B116" s="47" t="s">
        <v>858</v>
      </c>
      <c r="C116" s="3" t="str">
        <f>VLOOKUP($A116,DICO_Complet!$A$3:$U$983,3,FALSE)</f>
        <v>Context</v>
      </c>
      <c r="D116" s="3" t="str">
        <f>VLOOKUP($A116,DICO_Complet!$A$3:$U$983,4,FALSE)</f>
        <v>pointOfServiceContext</v>
      </c>
      <c r="E116" s="2" t="str">
        <f>VLOOKUP($A116,DICO_Complet!$A$3:$U$983,5,FALSE)</f>
        <v>contactlessApplicationIndicator</v>
      </c>
      <c r="F116" s="2" t="str">
        <f>VLOOKUP($A116,DICO_Complet!$A$3:$U$983,6,FALSE)</f>
        <v>TrueFalseIndicator</v>
      </c>
      <c r="G116" s="48">
        <f>VLOOKUP($A116,DICO_Complet!$A$3:$U$983,7,FALSE)</f>
        <v>0</v>
      </c>
      <c r="H116" s="48">
        <f>VLOOKUP($A116,DICO_Complet!$A$3:$U$983,8,FALSE)</f>
        <v>0</v>
      </c>
      <c r="I116" s="2" t="str">
        <f>IF(VLOOKUP($A116,DICO_Complet!$A$3:$U$983,9,FALSE)&lt;&gt;0,VLOOKUP($A116,DICO_Complet!$A$3:$U$983,9,FALSE),"")</f>
        <v/>
      </c>
      <c r="J116" s="1" t="str">
        <f>VLOOKUP($A116,DICO_Complet!$A$3:$U$983,10,FALSE)</f>
        <v>Contactless application is active or not</v>
      </c>
      <c r="K116" s="53" t="str">
        <f>IF(VLOOKUP($A116,DICO_Complet!$A$3:$U$983,12,FALSE)=0,"",VLOOKUP($A116,DICO_Complet!$A$3:$U$983,12,FALSE))</f>
        <v/>
      </c>
      <c r="L116" s="53" t="str">
        <f>IF(VLOOKUP($A116,DICO_Complet!$A$3:$U$983,13,FALSE)=0,"",VLOOKUP($A116,DICO_Complet!$A$3:$U$983,13,FALSE))</f>
        <v>47-30</v>
      </c>
      <c r="M116" s="53" t="str">
        <f>IF(VLOOKUP($A116,DICO_Complet!$A$3:$U$983,14,FALSE)=0,"",VLOOKUP($A116,DICO_Complet!$A$3:$U$983,14,FALSE))</f>
        <v>47_30</v>
      </c>
      <c r="N116" s="53" t="str">
        <f>IF(VLOOKUP($A116,DICO_Complet!$A$3:$U$983,15,FALSE)=0,"",VLOOKUP($A116,DICO_Complet!$A$3:$U$983,15,FALSE))</f>
        <v>47-30</v>
      </c>
      <c r="O116" s="53" t="str">
        <f>IF(VLOOKUP($A116,DICO_Complet!$A$3:$U$983,16,FALSE)=0,"",VLOOKUP($A116,DICO_Complet!$A$3:$U$983,16,FALSE))</f>
        <v/>
      </c>
      <c r="P116" s="53" t="str">
        <f>IF(VLOOKUP($A116,DICO_Complet!$A$3:$U$983,17,FALSE)=0,"",VLOOKUP($A116,DICO_Complet!$A$3:$U$983,17,FALSE))</f>
        <v/>
      </c>
      <c r="Q116" s="53" t="str">
        <f>IF(VLOOKUP($A116,DICO_Complet!$A$3:$U$983,18,FALSE)=0,"",VLOOKUP($A116,DICO_Complet!$A$3:$U$983,18,FALSE))</f>
        <v/>
      </c>
    </row>
    <row r="117" spans="1:17" ht="15" customHeight="1">
      <c r="A117" s="38">
        <v>250220102901</v>
      </c>
      <c r="B117" s="47" t="s">
        <v>858</v>
      </c>
      <c r="C117" s="3" t="str">
        <f>VLOOKUP($A117,DICO_Complet!$A$3:$U$983,3,FALSE)</f>
        <v>Context</v>
      </c>
      <c r="D117" s="3" t="str">
        <f>VLOOKUP($A117,DICO_Complet!$A$3:$U$983,4,FALSE)</f>
        <v>pointOfServiceContext</v>
      </c>
      <c r="E117" s="2" t="str">
        <f>VLOOKUP($A117,DICO_Complet!$A$3:$U$983,5,FALSE)</f>
        <v>digitalCommerceCheckinEntity</v>
      </c>
      <c r="F117" s="2" t="str">
        <f>VLOOKUP($A117,DICO_Complet!$A$3:$U$983,6,FALSE)</f>
        <v>Max15Text</v>
      </c>
      <c r="G117" s="48">
        <f>VLOOKUP($A117,DICO_Complet!$A$3:$U$983,7,FALSE)</f>
        <v>0</v>
      </c>
      <c r="H117" s="48">
        <f>VLOOKUP($A117,DICO_Complet!$A$3:$U$983,8,FALSE)</f>
        <v>0</v>
      </c>
      <c r="I117" s="2" t="str">
        <f>IF(VLOOKUP($A117,DICO_Complet!$A$3:$U$983,9,FALSE)&lt;&gt;0,VLOOKUP($A117,DICO_Complet!$A$3:$U$983,9,FALSE),"")</f>
        <v/>
      </c>
      <c r="J117" s="1" t="str">
        <f>VLOOKUP($A117,DICO_Complet!$A$3:$U$983,10,FALSE)</f>
        <v>Digital Commerce Check-In Entity Type and Name</v>
      </c>
      <c r="K117" s="53" t="str">
        <f>IF(VLOOKUP($A117,DICO_Complet!$A$3:$U$983,12,FALSE)=0,"",VLOOKUP($A117,DICO_Complet!$A$3:$U$983,12,FALSE))</f>
        <v/>
      </c>
      <c r="L117" s="53" t="str">
        <f>IF(VLOOKUP($A117,DICO_Complet!$A$3:$U$983,13,FALSE)=0,"",VLOOKUP($A117,DICO_Complet!$A$3:$U$983,13,FALSE))</f>
        <v>[112-0205-p3]</v>
      </c>
      <c r="M117" s="53" t="str">
        <f>IF(VLOOKUP($A117,DICO_Complet!$A$3:$U$983,14,FALSE)=0,"",VLOOKUP($A117,DICO_Complet!$A$3:$U$983,14,FALSE))</f>
        <v/>
      </c>
      <c r="N117" s="53" t="str">
        <f>IF(VLOOKUP($A117,DICO_Complet!$A$3:$U$983,15,FALSE)=0,"",VLOOKUP($A117,DICO_Complet!$A$3:$U$983,15,FALSE))</f>
        <v/>
      </c>
      <c r="O117" s="53" t="str">
        <f>IF(VLOOKUP($A117,DICO_Complet!$A$3:$U$983,16,FALSE)=0,"",VLOOKUP($A117,DICO_Complet!$A$3:$U$983,16,FALSE))</f>
        <v/>
      </c>
      <c r="P117" s="53" t="str">
        <f>IF(VLOOKUP($A117,DICO_Complet!$A$3:$U$983,17,FALSE)=0,"",VLOOKUP($A117,DICO_Complet!$A$3:$U$983,17,FALSE))</f>
        <v>DE 48 SE 48 SF 03</v>
      </c>
      <c r="Q117" s="53" t="str">
        <f>IF(VLOOKUP($A117,DICO_Complet!$A$3:$U$983,18,FALSE)=0,"",VLOOKUP($A117,DICO_Complet!$A$3:$U$983,18,FALSE))</f>
        <v/>
      </c>
    </row>
    <row r="118" spans="1:17" ht="14.1" customHeight="1">
      <c r="A118" s="38">
        <v>250220102902</v>
      </c>
      <c r="B118" s="47" t="s">
        <v>858</v>
      </c>
      <c r="C118" s="3" t="str">
        <f>VLOOKUP($A118,DICO_Complet!$A$3:$U$983,3,FALSE)</f>
        <v>Context</v>
      </c>
      <c r="D118" s="3" t="str">
        <f>VLOOKUP($A118,DICO_Complet!$A$3:$U$983,4,FALSE)</f>
        <v>pointOfServiceContext</v>
      </c>
      <c r="E118" s="2" t="str">
        <f>VLOOKUP($A118,DICO_Complet!$A$3:$U$983,5,FALSE)</f>
        <v>digitalCommerceCheckinMethod</v>
      </c>
      <c r="F118" s="2" t="str">
        <f>VLOOKUP($A118,DICO_Complet!$A$3:$U$983,6,FALSE)</f>
        <v>Max40Text</v>
      </c>
      <c r="G118" s="48">
        <f>VLOOKUP($A118,DICO_Complet!$A$3:$U$983,7,FALSE)</f>
        <v>0</v>
      </c>
      <c r="H118" s="48">
        <f>VLOOKUP($A118,DICO_Complet!$A$3:$U$983,8,FALSE)</f>
        <v>0</v>
      </c>
      <c r="I118" s="2" t="str">
        <f>IF(VLOOKUP($A118,DICO_Complet!$A$3:$U$983,9,FALSE)&lt;&gt;0,VLOOKUP($A118,DICO_Complet!$A$3:$U$983,9,FALSE),"")</f>
        <v/>
      </c>
      <c r="J118" s="1" t="str">
        <f>VLOOKUP($A118,DICO_Complet!$A$3:$U$983,10,FALSE)</f>
        <v>Digital Commerce Check-In Method</v>
      </c>
      <c r="K118" s="53" t="str">
        <f>IF(VLOOKUP($A118,DICO_Complet!$A$3:$U$983,12,FALSE)=0,"",VLOOKUP($A118,DICO_Complet!$A$3:$U$983,12,FALSE))</f>
        <v/>
      </c>
      <c r="L118" s="53" t="str">
        <f>IF(VLOOKUP($A118,DICO_Complet!$A$3:$U$983,13,FALSE)=0,"",VLOOKUP($A118,DICO_Complet!$A$3:$U$983,13,FALSE))</f>
        <v>[112-0205-p4]</v>
      </c>
      <c r="M118" s="53" t="str">
        <f>IF(VLOOKUP($A118,DICO_Complet!$A$3:$U$983,14,FALSE)=0,"",VLOOKUP($A118,DICO_Complet!$A$3:$U$983,14,FALSE))</f>
        <v/>
      </c>
      <c r="N118" s="53" t="str">
        <f>IF(VLOOKUP($A118,DICO_Complet!$A$3:$U$983,15,FALSE)=0,"",VLOOKUP($A118,DICO_Complet!$A$3:$U$983,15,FALSE))</f>
        <v/>
      </c>
      <c r="O118" s="53" t="str">
        <f>IF(VLOOKUP($A118,DICO_Complet!$A$3:$U$983,16,FALSE)=0,"",VLOOKUP($A118,DICO_Complet!$A$3:$U$983,16,FALSE))</f>
        <v/>
      </c>
      <c r="P118" s="53" t="str">
        <f>IF(VLOOKUP($A118,DICO_Complet!$A$3:$U$983,17,FALSE)=0,"",VLOOKUP($A118,DICO_Complet!$A$3:$U$983,17,FALSE))</f>
        <v>DE 48 SE 48 SF 04</v>
      </c>
      <c r="Q118" s="53" t="str">
        <f>IF(VLOOKUP($A118,DICO_Complet!$A$3:$U$983,18,FALSE)=0,"",VLOOKUP($A118,DICO_Complet!$A$3:$U$983,18,FALSE))</f>
        <v/>
      </c>
    </row>
    <row r="119" spans="1:17" ht="14.1" customHeight="1">
      <c r="A119" s="38">
        <v>250220100701</v>
      </c>
      <c r="B119" s="47" t="s">
        <v>858</v>
      </c>
      <c r="C119" s="3" t="str">
        <f>VLOOKUP($A119,DICO_Complet!$A$3:$U$983,3,FALSE)</f>
        <v>Context</v>
      </c>
      <c r="D119" s="3" t="str">
        <f>VLOOKUP($A119,DICO_Complet!$A$3:$U$983,4,FALSE)</f>
        <v>pointOfServiceContext</v>
      </c>
      <c r="E119" s="2" t="str">
        <f>VLOOKUP($A119,DICO_Complet!$A$3:$U$983,5,FALSE)</f>
        <v>digitalCommerceDomainId</v>
      </c>
      <c r="F119" s="2" t="str">
        <f>VLOOKUP($A119,DICO_Complet!$A$3:$U$983,6,FALSE)</f>
        <v>DigitalCommerceDomainIdCodeset</v>
      </c>
      <c r="G119" s="48">
        <f>VLOOKUP($A119,DICO_Complet!$A$3:$U$983,7,FALSE)</f>
        <v>0</v>
      </c>
      <c r="H119" s="48">
        <f>VLOOKUP($A119,DICO_Complet!$A$3:$U$983,8,FALSE)</f>
        <v>0</v>
      </c>
      <c r="I119" s="2" t="str">
        <f>IF(VLOOKUP($A119,DICO_Complet!$A$3:$U$983,9,FALSE)&lt;&gt;0,VLOOKUP($A119,DICO_Complet!$A$3:$U$983,9,FALSE),"")</f>
        <v/>
      </c>
      <c r="J119" s="1" t="str">
        <f>VLOOKUP($A119,DICO_Complet!$A$3:$U$983,10,FALSE)</f>
        <v>Digital Commerce Domain Identifier</v>
      </c>
      <c r="K119" s="53" t="str">
        <f>IF(VLOOKUP($A119,DICO_Complet!$A$3:$U$983,12,FALSE)=0,"",VLOOKUP($A119,DICO_Complet!$A$3:$U$983,12,FALSE))</f>
        <v/>
      </c>
      <c r="L119" s="53" t="str">
        <f>IF(VLOOKUP($A119,DICO_Complet!$A$3:$U$983,13,FALSE)=0,"",VLOOKUP($A119,DICO_Complet!$A$3:$U$983,13,FALSE))</f>
        <v>[112-0205-p1]</v>
      </c>
      <c r="M119" s="53" t="str">
        <f>IF(VLOOKUP($A119,DICO_Complet!$A$3:$U$983,14,FALSE)=0,"",VLOOKUP($A119,DICO_Complet!$A$3:$U$983,14,FALSE))</f>
        <v/>
      </c>
      <c r="N119" s="53" t="str">
        <f>IF(VLOOKUP($A119,DICO_Complet!$A$3:$U$983,15,FALSE)=0,"",VLOOKUP($A119,DICO_Complet!$A$3:$U$983,15,FALSE))</f>
        <v/>
      </c>
      <c r="O119" s="53" t="str">
        <f>IF(VLOOKUP($A119,DICO_Complet!$A$3:$U$983,16,FALSE)=0,"",VLOOKUP($A119,DICO_Complet!$A$3:$U$983,16,FALSE))</f>
        <v/>
      </c>
      <c r="P119" s="53" t="str">
        <f>IF(VLOOKUP($A119,DICO_Complet!$A$3:$U$983,17,FALSE)=0,"",VLOOKUP($A119,DICO_Complet!$A$3:$U$983,17,FALSE))</f>
        <v>DE 48 SE 48 SF 01</v>
      </c>
      <c r="Q119" s="53" t="str">
        <f>IF(VLOOKUP($A119,DICO_Complet!$A$3:$U$983,18,FALSE)=0,"",VLOOKUP($A119,DICO_Complet!$A$3:$U$983,18,FALSE))</f>
        <v/>
      </c>
    </row>
    <row r="120" spans="1:17" ht="17.100000000000001" customHeight="1">
      <c r="A120" s="38">
        <v>250220102900</v>
      </c>
      <c r="B120" s="47" t="s">
        <v>858</v>
      </c>
      <c r="C120" s="3" t="str">
        <f>VLOOKUP($A120,DICO_Complet!$A$3:$U$983,3,FALSE)</f>
        <v>Context</v>
      </c>
      <c r="D120" s="3" t="str">
        <f>VLOOKUP($A120,DICO_Complet!$A$3:$U$983,4,FALSE)</f>
        <v>pointOfServiceContext</v>
      </c>
      <c r="E120" s="2" t="str">
        <f>VLOOKUP($A120,DICO_Complet!$A$3:$U$983,5,FALSE)</f>
        <v>digitalCommerceProgram</v>
      </c>
      <c r="F120" s="2" t="str">
        <f>VLOOKUP($A120,DICO_Complet!$A$3:$U$983,6,FALSE)</f>
        <v>DigitalCommerceProgramCodeset</v>
      </c>
      <c r="G120" s="48">
        <f>VLOOKUP($A120,DICO_Complet!$A$3:$U$983,7,FALSE)</f>
        <v>0</v>
      </c>
      <c r="H120" s="48">
        <f>VLOOKUP($A120,DICO_Complet!$A$3:$U$983,8,FALSE)</f>
        <v>0</v>
      </c>
      <c r="I120" s="2" t="str">
        <f>IF(VLOOKUP($A120,DICO_Complet!$A$3:$U$983,9,FALSE)&lt;&gt;0,VLOOKUP($A120,DICO_Complet!$A$3:$U$983,9,FALSE),"")</f>
        <v/>
      </c>
      <c r="J120" s="1" t="str">
        <f>VLOOKUP($A120,DICO_Complet!$A$3:$U$983,10,FALSE)</f>
        <v>Digital Commerce Program Type</v>
      </c>
      <c r="K120" s="53" t="str">
        <f>IF(VLOOKUP($A120,DICO_Complet!$A$3:$U$983,12,FALSE)=0,"",VLOOKUP($A120,DICO_Complet!$A$3:$U$983,12,FALSE))</f>
        <v/>
      </c>
      <c r="L120" s="53" t="str">
        <f>IF(VLOOKUP($A120,DICO_Complet!$A$3:$U$983,13,FALSE)=0,"",VLOOKUP($A120,DICO_Complet!$A$3:$U$983,13,FALSE))</f>
        <v>[112-0205-p1]</v>
      </c>
      <c r="M120" s="53" t="str">
        <f>IF(VLOOKUP($A120,DICO_Complet!$A$3:$U$983,14,FALSE)=0,"",VLOOKUP($A120,DICO_Complet!$A$3:$U$983,14,FALSE))</f>
        <v/>
      </c>
      <c r="N120" s="53" t="str">
        <f>IF(VLOOKUP($A120,DICO_Complet!$A$3:$U$983,15,FALSE)=0,"",VLOOKUP($A120,DICO_Complet!$A$3:$U$983,15,FALSE))</f>
        <v/>
      </c>
      <c r="O120" s="53" t="str">
        <f>IF(VLOOKUP($A120,DICO_Complet!$A$3:$U$983,16,FALSE)=0,"",VLOOKUP($A120,DICO_Complet!$A$3:$U$983,16,FALSE))</f>
        <v/>
      </c>
      <c r="P120" s="53" t="str">
        <f>IF(VLOOKUP($A120,DICO_Complet!$A$3:$U$983,17,FALSE)=0,"",VLOOKUP($A120,DICO_Complet!$A$3:$U$983,17,FALSE))</f>
        <v>DE 48 SE 48 SF 02</v>
      </c>
      <c r="Q120" s="53" t="str">
        <f>IF(VLOOKUP($A120,DICO_Complet!$A$3:$U$983,18,FALSE)=0,"",VLOOKUP($A120,DICO_Complet!$A$3:$U$983,18,FALSE))</f>
        <v/>
      </c>
    </row>
    <row r="121" spans="1:17" ht="15" customHeight="1">
      <c r="A121" s="38">
        <v>250325134509</v>
      </c>
      <c r="B121" s="47" t="s">
        <v>858</v>
      </c>
      <c r="C121" s="3" t="str">
        <f>VLOOKUP($A121,DICO_Complet!$A$3:$U$983,3,FALSE)</f>
        <v>Context</v>
      </c>
      <c r="D121" s="3" t="str">
        <f>VLOOKUP($A121,DICO_Complet!$A$3:$U$983,4,FALSE)</f>
        <v>pointOfServiceContext</v>
      </c>
      <c r="E121" s="2" t="str">
        <f>VLOOKUP($A121,DICO_Complet!$A$3:$U$983,5,FALSE)</f>
        <v>inputCapabilities</v>
      </c>
      <c r="F121" s="2" t="str">
        <f>VLOOKUP($A121,DICO_Complet!$A$3:$U$983,6,FALSE)</f>
        <v>Exact4Text</v>
      </c>
      <c r="G121" s="48">
        <f>VLOOKUP($A121,DICO_Complet!$A$3:$U$983,7,FALSE)</f>
        <v>0</v>
      </c>
      <c r="H121" s="48">
        <f>VLOOKUP($A121,DICO_Complet!$A$3:$U$983,8,FALSE)</f>
        <v>0</v>
      </c>
      <c r="I121" s="2" t="str">
        <f>IF(VLOOKUP($A121,DICO_Complet!$A$3:$U$983,9,FALSE)&lt;&gt;0,VLOOKUP($A121,DICO_Complet!$A$3:$U$983,9,FALSE),"")</f>
        <v/>
      </c>
      <c r="J121" s="1" t="str">
        <f>VLOOKUP($A121,DICO_Complet!$A$3:$U$983,10,FALSE)</f>
        <v>input capabilities of pos</v>
      </c>
      <c r="K121" s="53" t="str">
        <f>IF(VLOOKUP($A121,DICO_Complet!$A$3:$U$983,12,FALSE)=0,"",VLOOKUP($A121,DICO_Complet!$A$3:$U$983,12,FALSE))</f>
        <v/>
      </c>
      <c r="L121" s="53" t="str">
        <f>IF(VLOOKUP($A121,DICO_Complet!$A$3:$U$983,13,FALSE)=0,"",VLOOKUP($A121,DICO_Complet!$A$3:$U$983,13,FALSE))</f>
        <v/>
      </c>
      <c r="M121" s="53" t="str">
        <f>IF(VLOOKUP($A121,DICO_Complet!$A$3:$U$983,14,FALSE)=0,"",VLOOKUP($A121,DICO_Complet!$A$3:$U$983,14,FALSE))</f>
        <v/>
      </c>
      <c r="N121" s="53" t="str">
        <f>IF(VLOOKUP($A121,DICO_Complet!$A$3:$U$983,15,FALSE)=0,"",VLOOKUP($A121,DICO_Complet!$A$3:$U$983,15,FALSE))</f>
        <v>119_1003</v>
      </c>
      <c r="O121" s="53" t="str">
        <f>IF(VLOOKUP($A121,DICO_Complet!$A$3:$U$983,16,FALSE)=0,"",VLOOKUP($A121,DICO_Complet!$A$3:$U$983,16,FALSE))</f>
        <v/>
      </c>
      <c r="P121" s="53" t="str">
        <f>IF(VLOOKUP($A121,DICO_Complet!$A$3:$U$983,17,FALSE)=0,"",VLOOKUP($A121,DICO_Complet!$A$3:$U$983,17,FALSE))</f>
        <v/>
      </c>
      <c r="Q121" s="53" t="str">
        <f>IF(VLOOKUP($A121,DICO_Complet!$A$3:$U$983,18,FALSE)=0,"",VLOOKUP($A121,DICO_Complet!$A$3:$U$983,18,FALSE))</f>
        <v/>
      </c>
    </row>
    <row r="122" spans="1:17">
      <c r="A122" s="38">
        <v>241112000009</v>
      </c>
      <c r="B122" s="47" t="s">
        <v>858</v>
      </c>
      <c r="C122" s="3" t="str">
        <f>VLOOKUP($A122,DICO_Complet!$A$3:$U$983,3,FALSE)</f>
        <v>Context</v>
      </c>
      <c r="D122" s="3" t="str">
        <f>VLOOKUP($A122,DICO_Complet!$A$3:$U$983,4,FALSE)</f>
        <v>pointOfServiceContext</v>
      </c>
      <c r="E122" s="2" t="str">
        <f>VLOOKUP($A122,DICO_Complet!$A$3:$U$983,5,FALSE)</f>
        <v>merchantSchemeTokenizationIndicator</v>
      </c>
      <c r="F122" s="2" t="str">
        <f>VLOOKUP($A122,DICO_Complet!$A$3:$U$983,6,FALSE)</f>
        <v>MerchantSchemeTokenizationIndicatorCodeset</v>
      </c>
      <c r="G122" s="48">
        <f>VLOOKUP($A122,DICO_Complet!$A$3:$U$983,7,FALSE)</f>
        <v>0</v>
      </c>
      <c r="H122" s="48">
        <f>VLOOKUP($A122,DICO_Complet!$A$3:$U$983,8,FALSE)</f>
        <v>0</v>
      </c>
      <c r="I122" s="2" t="str">
        <f>IF(VLOOKUP($A122,DICO_Complet!$A$3:$U$983,9,FALSE)&lt;&gt;0,VLOOKUP($A122,DICO_Complet!$A$3:$U$983,9,FALSE),"")</f>
        <v/>
      </c>
      <c r="J122" s="1" t="str">
        <f>VLOOKUP($A122,DICO_Complet!$A$3:$U$983,10,FALSE)</f>
        <v>Merchant scheme tokenisation indicator</v>
      </c>
      <c r="K122" s="53" t="str">
        <f>IF(VLOOKUP($A122,DICO_Complet!$A$3:$U$983,12,FALSE)=0,"",VLOOKUP($A122,DICO_Complet!$A$3:$U$983,12,FALSE))</f>
        <v>RSB119_0001</v>
      </c>
      <c r="L122" s="53" t="str">
        <f>IF(VLOOKUP($A122,DICO_Complet!$A$3:$U$983,13,FALSE)=0,"",VLOOKUP($A122,DICO_Complet!$A$3:$U$983,13,FALSE))</f>
        <v/>
      </c>
      <c r="M122" s="53" t="str">
        <f>IF(VLOOKUP($A122,DICO_Complet!$A$3:$U$983,14,FALSE)=0,"",VLOOKUP($A122,DICO_Complet!$A$3:$U$983,14,FALSE))</f>
        <v/>
      </c>
      <c r="N122" s="53" t="str">
        <f>IF(VLOOKUP($A122,DICO_Complet!$A$3:$U$983,15,FALSE)=0,"",VLOOKUP($A122,DICO_Complet!$A$3:$U$983,15,FALSE))</f>
        <v>[119-0001]</v>
      </c>
      <c r="O122" s="53" t="str">
        <f>IF(VLOOKUP($A122,DICO_Complet!$A$3:$U$983,16,FALSE)=0,"",VLOOKUP($A122,DICO_Complet!$A$3:$U$983,16,FALSE))</f>
        <v/>
      </c>
      <c r="P122" s="53" t="str">
        <f>IF(VLOOKUP($A122,DICO_Complet!$A$3:$U$983,17,FALSE)=0,"",VLOOKUP($A122,DICO_Complet!$A$3:$U$983,17,FALSE))</f>
        <v/>
      </c>
      <c r="Q122" s="53" t="str">
        <f>IF(VLOOKUP($A122,DICO_Complet!$A$3:$U$983,18,FALSE)=0,"",VLOOKUP($A122,DICO_Complet!$A$3:$U$983,18,FALSE))</f>
        <v/>
      </c>
    </row>
    <row r="123" spans="1:17">
      <c r="A123" s="38">
        <v>250331162604</v>
      </c>
      <c r="B123" s="47" t="s">
        <v>858</v>
      </c>
      <c r="C123" s="3" t="str">
        <f>VLOOKUP($A123,DICO_Complet!$A$3:$U$983,3,FALSE)</f>
        <v>Context</v>
      </c>
      <c r="D123" s="3" t="str">
        <f>VLOOKUP($A123,DICO_Complet!$A$3:$U$983,4,FALSE)</f>
        <v>pointOfServiceContext</v>
      </c>
      <c r="E123" s="2" t="str">
        <f>VLOOKUP($A123,DICO_Complet!$A$3:$U$983,5,FALSE)</f>
        <v>nameOfTheMessageDisplayedOrPrinted</v>
      </c>
      <c r="F123" s="2" t="str">
        <f>VLOOKUP($A123,DICO_Complet!$A$3:$U$983,6,FALSE)</f>
        <v>Max40AlphaNumericText</v>
      </c>
      <c r="G123" s="48">
        <f>VLOOKUP($A123,DICO_Complet!$A$3:$U$983,7,FALSE)</f>
        <v>0</v>
      </c>
      <c r="H123" s="48">
        <f>VLOOKUP($A123,DICO_Complet!$A$3:$U$983,8,FALSE)</f>
        <v>0</v>
      </c>
      <c r="I123" s="2" t="str">
        <f>IF(VLOOKUP($A123,DICO_Complet!$A$3:$U$983,9,FALSE)&lt;&gt;0,VLOOKUP($A123,DICO_Complet!$A$3:$U$983,9,FALSE),"")</f>
        <v/>
      </c>
      <c r="J123" s="1" t="str">
        <f>VLOOKUP($A123,DICO_Complet!$A$3:$U$983,10,FALSE)</f>
        <v>Name of the message displayed or printed</v>
      </c>
      <c r="K123" s="53" t="str">
        <f>IF(VLOOKUP($A123,DICO_Complet!$A$3:$U$983,12,FALSE)=0,"",VLOOKUP($A123,DICO_Complet!$A$3:$U$983,12,FALSE))</f>
        <v/>
      </c>
      <c r="L123" s="53" t="str">
        <f>IF(VLOOKUP($A123,DICO_Complet!$A$3:$U$983,13,FALSE)=0,"",VLOOKUP($A123,DICO_Complet!$A$3:$U$983,13,FALSE))</f>
        <v/>
      </c>
      <c r="M123" s="53" t="str">
        <f>IF(VLOOKUP($A123,DICO_Complet!$A$3:$U$983,14,FALSE)=0,"",VLOOKUP($A123,DICO_Complet!$A$3:$U$983,14,FALSE))</f>
        <v>72_DF03 part 4</v>
      </c>
      <c r="N123" s="53" t="str">
        <f>IF(VLOOKUP($A123,DICO_Complet!$A$3:$U$983,15,FALSE)=0,"",VLOOKUP($A123,DICO_Complet!$A$3:$U$983,15,FALSE))</f>
        <v/>
      </c>
      <c r="O123" s="53" t="str">
        <f>IF(VLOOKUP($A123,DICO_Complet!$A$3:$U$983,16,FALSE)=0,"",VLOOKUP($A123,DICO_Complet!$A$3:$U$983,16,FALSE))</f>
        <v/>
      </c>
      <c r="P123" s="53" t="str">
        <f>IF(VLOOKUP($A123,DICO_Complet!$A$3:$U$983,17,FALSE)=0,"",VLOOKUP($A123,DICO_Complet!$A$3:$U$983,17,FALSE))</f>
        <v/>
      </c>
      <c r="Q123" s="53" t="str">
        <f>IF(VLOOKUP($A123,DICO_Complet!$A$3:$U$983,18,FALSE)=0,"",VLOOKUP($A123,DICO_Complet!$A$3:$U$983,18,FALSE))</f>
        <v/>
      </c>
    </row>
    <row r="124" spans="1:17">
      <c r="A124" s="38">
        <v>250331162603</v>
      </c>
      <c r="B124" s="47" t="s">
        <v>858</v>
      </c>
      <c r="C124" s="3" t="str">
        <f>VLOOKUP($A124,DICO_Complet!$A$3:$U$983,3,FALSE)</f>
        <v>Context</v>
      </c>
      <c r="D124" s="3" t="str">
        <f>VLOOKUP($A124,DICO_Complet!$A$3:$U$983,4,FALSE)</f>
        <v>pointOfServiceContext</v>
      </c>
      <c r="E124" s="2" t="str">
        <f>VLOOKUP($A124,DICO_Complet!$A$3:$U$983,5,FALSE)</f>
        <v>numberOfTheMessageDisplayedOrPrinted</v>
      </c>
      <c r="F124" s="2" t="str">
        <f>VLOOKUP($A124,DICO_Complet!$A$3:$U$983,6,FALSE)</f>
        <v>Max2NumericText</v>
      </c>
      <c r="G124" s="48">
        <f>VLOOKUP($A124,DICO_Complet!$A$3:$U$983,7,FALSE)</f>
        <v>0</v>
      </c>
      <c r="H124" s="48">
        <f>VLOOKUP($A124,DICO_Complet!$A$3:$U$983,8,FALSE)</f>
        <v>0</v>
      </c>
      <c r="I124" s="2" t="str">
        <f>IF(VLOOKUP($A124,DICO_Complet!$A$3:$U$983,9,FALSE)&lt;&gt;0,VLOOKUP($A124,DICO_Complet!$A$3:$U$983,9,FALSE),"")</f>
        <v/>
      </c>
      <c r="J124" s="1" t="str">
        <f>VLOOKUP($A124,DICO_Complet!$A$3:$U$983,10,FALSE)</f>
        <v>Number of the message displayed or printed</v>
      </c>
      <c r="K124" s="53" t="str">
        <f>IF(VLOOKUP($A124,DICO_Complet!$A$3:$U$983,12,FALSE)=0,"",VLOOKUP($A124,DICO_Complet!$A$3:$U$983,12,FALSE))</f>
        <v/>
      </c>
      <c r="L124" s="53" t="str">
        <f>IF(VLOOKUP($A124,DICO_Complet!$A$3:$U$983,13,FALSE)=0,"",VLOOKUP($A124,DICO_Complet!$A$3:$U$983,13,FALSE))</f>
        <v/>
      </c>
      <c r="M124" s="53" t="str">
        <f>IF(VLOOKUP($A124,DICO_Complet!$A$3:$U$983,14,FALSE)=0,"",VLOOKUP($A124,DICO_Complet!$A$3:$U$983,14,FALSE))</f>
        <v>72_DF03 part 3</v>
      </c>
      <c r="N124" s="53" t="str">
        <f>IF(VLOOKUP($A124,DICO_Complet!$A$3:$U$983,15,FALSE)=0,"",VLOOKUP($A124,DICO_Complet!$A$3:$U$983,15,FALSE))</f>
        <v/>
      </c>
      <c r="O124" s="53" t="str">
        <f>IF(VLOOKUP($A124,DICO_Complet!$A$3:$U$983,16,FALSE)=0,"",VLOOKUP($A124,DICO_Complet!$A$3:$U$983,16,FALSE))</f>
        <v/>
      </c>
      <c r="P124" s="53" t="str">
        <f>IF(VLOOKUP($A124,DICO_Complet!$A$3:$U$983,17,FALSE)=0,"",VLOOKUP($A124,DICO_Complet!$A$3:$U$983,17,FALSE))</f>
        <v/>
      </c>
      <c r="Q124" s="53" t="str">
        <f>IF(VLOOKUP($A124,DICO_Complet!$A$3:$U$983,18,FALSE)=0,"",VLOOKUP($A124,DICO_Complet!$A$3:$U$983,18,FALSE))</f>
        <v/>
      </c>
    </row>
    <row r="125" spans="1:17">
      <c r="A125" s="38">
        <v>241112000010</v>
      </c>
      <c r="B125" s="47" t="s">
        <v>858</v>
      </c>
      <c r="C125" s="3" t="str">
        <f>VLOOKUP($A125,DICO_Complet!$A$3:$U$983,3,FALSE)</f>
        <v>Context</v>
      </c>
      <c r="D125" s="3" t="str">
        <f>VLOOKUP($A125,DICO_Complet!$A$3:$U$983,4,FALSE)</f>
        <v>pointOfServiceContext</v>
      </c>
      <c r="E125" s="2" t="str">
        <f>VLOOKUP($A125,DICO_Complet!$A$3:$U$983,5,FALSE)</f>
        <v>pinEntryCapability</v>
      </c>
      <c r="F125" s="2" t="str">
        <f>VLOOKUP($A125,DICO_Complet!$A$3:$U$983,6,FALSE)</f>
        <v>PinEntryCapabilityCodeset</v>
      </c>
      <c r="G125" s="48">
        <f>VLOOKUP($A125,DICO_Complet!$A$3:$U$983,7,FALSE)</f>
        <v>0</v>
      </c>
      <c r="H125" s="48">
        <f>VLOOKUP($A125,DICO_Complet!$A$3:$U$983,8,FALSE)</f>
        <v>0</v>
      </c>
      <c r="I125" s="2" t="str">
        <f>IF(VLOOKUP($A125,DICO_Complet!$A$3:$U$983,9,FALSE)&lt;&gt;0,VLOOKUP($A125,DICO_Complet!$A$3:$U$983,9,FALSE),"")</f>
        <v/>
      </c>
      <c r="J125" s="1" t="str">
        <f>VLOOKUP($A125,DICO_Complet!$A$3:$U$983,10,FALSE)</f>
        <v>Pin Entry Capability</v>
      </c>
      <c r="K125" s="53" t="str">
        <f>IF(VLOOKUP($A125,DICO_Complet!$A$3:$U$983,12,FALSE)=0,"",VLOOKUP($A125,DICO_Complet!$A$3:$U$983,12,FALSE))</f>
        <v>ISO22_p2</v>
      </c>
      <c r="L125" s="53" t="str">
        <f>IF(VLOOKUP($A125,DICO_Complet!$A$3:$U$983,13,FALSE)=0,"",VLOOKUP($A125,DICO_Complet!$A$3:$U$983,13,FALSE))</f>
        <v>[22-p2]</v>
      </c>
      <c r="M125" s="53" t="str">
        <f>IF(VLOOKUP($A125,DICO_Complet!$A$3:$U$983,14,FALSE)=0,"",VLOOKUP($A125,DICO_Complet!$A$3:$U$983,14,FALSE))</f>
        <v/>
      </c>
      <c r="N125" s="53" t="str">
        <f>IF(VLOOKUP($A125,DICO_Complet!$A$3:$U$983,15,FALSE)=0,"",VLOOKUP($A125,DICO_Complet!$A$3:$U$983,15,FALSE))</f>
        <v/>
      </c>
      <c r="O125" s="53" t="str">
        <f>IF(VLOOKUP($A125,DICO_Complet!$A$3:$U$983,16,FALSE)=0,"",VLOOKUP($A125,DICO_Complet!$A$3:$U$983,16,FALSE))</f>
        <v/>
      </c>
      <c r="P125" s="53" t="str">
        <f>IF(VLOOKUP($A125,DICO_Complet!$A$3:$U$983,17,FALSE)=0,"",VLOOKUP($A125,DICO_Complet!$A$3:$U$983,17,FALSE))</f>
        <v/>
      </c>
      <c r="Q125" s="53" t="str">
        <f>IF(VLOOKUP($A125,DICO_Complet!$A$3:$U$983,18,FALSE)=0,"",VLOOKUP($A125,DICO_Complet!$A$3:$U$983,18,FALSE))</f>
        <v/>
      </c>
    </row>
    <row r="126" spans="1:17">
      <c r="A126" s="38">
        <v>250325134510</v>
      </c>
      <c r="B126" s="47" t="s">
        <v>858</v>
      </c>
      <c r="C126" s="3" t="str">
        <f>VLOOKUP($A126,DICO_Complet!$A$3:$U$983,3,FALSE)</f>
        <v>Context</v>
      </c>
      <c r="D126" s="3" t="str">
        <f>VLOOKUP($A126,DICO_Complet!$A$3:$U$983,4,FALSE)</f>
        <v>pointOfServiceContext</v>
      </c>
      <c r="E126" s="2" t="str">
        <f>VLOOKUP($A126,DICO_Complet!$A$3:$U$983,5,FALSE)</f>
        <v>printCapabilities</v>
      </c>
      <c r="F126" s="2" t="str">
        <f>VLOOKUP($A126,DICO_Complet!$A$3:$U$983,6,FALSE)</f>
        <v>Max100Text</v>
      </c>
      <c r="G126" s="48">
        <f>VLOOKUP($A126,DICO_Complet!$A$3:$U$983,7,FALSE)</f>
        <v>0</v>
      </c>
      <c r="H126" s="48">
        <f>VLOOKUP($A126,DICO_Complet!$A$3:$U$983,8,FALSE)</f>
        <v>0</v>
      </c>
      <c r="I126" s="2" t="str">
        <f>IF(VLOOKUP($A126,DICO_Complet!$A$3:$U$983,9,FALSE)&lt;&gt;0,VLOOKUP($A126,DICO_Complet!$A$3:$U$983,9,FALSE),"")</f>
        <v/>
      </c>
      <c r="J126" s="1" t="str">
        <f>VLOOKUP($A126,DICO_Complet!$A$3:$U$983,10,FALSE)</f>
        <v>print capabilities of pos</v>
      </c>
      <c r="K126" s="53" t="str">
        <f>IF(VLOOKUP($A126,DICO_Complet!$A$3:$U$983,12,FALSE)=0,"",VLOOKUP($A126,DICO_Complet!$A$3:$U$983,12,FALSE))</f>
        <v/>
      </c>
      <c r="L126" s="53" t="str">
        <f>IF(VLOOKUP($A126,DICO_Complet!$A$3:$U$983,13,FALSE)=0,"",VLOOKUP($A126,DICO_Complet!$A$3:$U$983,13,FALSE))</f>
        <v/>
      </c>
      <c r="M126" s="53" t="str">
        <f>IF(VLOOKUP($A126,DICO_Complet!$A$3:$U$983,14,FALSE)=0,"",VLOOKUP($A126,DICO_Complet!$A$3:$U$983,14,FALSE))</f>
        <v/>
      </c>
      <c r="N126" s="53" t="str">
        <f>IF(VLOOKUP($A126,DICO_Complet!$A$3:$U$983,15,FALSE)=0,"",VLOOKUP($A126,DICO_Complet!$A$3:$U$983,15,FALSE))</f>
        <v>119_1004</v>
      </c>
      <c r="O126" s="53" t="str">
        <f>IF(VLOOKUP($A126,DICO_Complet!$A$3:$U$983,16,FALSE)=0,"",VLOOKUP($A126,DICO_Complet!$A$3:$U$983,16,FALSE))</f>
        <v/>
      </c>
      <c r="P126" s="53" t="str">
        <f>IF(VLOOKUP($A126,DICO_Complet!$A$3:$U$983,17,FALSE)=0,"",VLOOKUP($A126,DICO_Complet!$A$3:$U$983,17,FALSE))</f>
        <v/>
      </c>
      <c r="Q126" s="53" t="str">
        <f>IF(VLOOKUP($A126,DICO_Complet!$A$3:$U$983,18,FALSE)=0,"",VLOOKUP($A126,DICO_Complet!$A$3:$U$983,18,FALSE))</f>
        <v/>
      </c>
    </row>
    <row r="127" spans="1:17">
      <c r="A127" s="38">
        <v>250425201003</v>
      </c>
      <c r="B127" s="47" t="s">
        <v>858</v>
      </c>
      <c r="C127" s="3" t="str">
        <f>VLOOKUP($A127,DICO_Complet!$A$3:$U$983,3,FALSE)</f>
        <v>Context</v>
      </c>
      <c r="D127" s="3" t="str">
        <f>VLOOKUP($A127,DICO_Complet!$A$3:$U$983,4,FALSE)</f>
        <v>pointOfServiceContext</v>
      </c>
      <c r="E127" s="2" t="str">
        <f>VLOOKUP($A127,DICO_Complet!$A$3:$U$983,5,FALSE)</f>
        <v>temp_acquiringInstitutionIdentificationCode</v>
      </c>
      <c r="F127" s="2" t="str">
        <f>VLOOKUP($A127,DICO_Complet!$A$3:$U$983,6,FALSE)</f>
        <v>Exact11NumericText</v>
      </c>
      <c r="G127" s="48">
        <f>VLOOKUP($A127,DICO_Complet!$A$3:$U$983,7,FALSE)</f>
        <v>0</v>
      </c>
      <c r="H127" s="48">
        <f>VLOOKUP($A127,DICO_Complet!$A$3:$U$983,8,FALSE)</f>
        <v>0</v>
      </c>
      <c r="I127" s="2" t="str">
        <f>IF(VLOOKUP($A127,DICO_Complet!$A$3:$U$983,9,FALSE)&lt;&gt;0,VLOOKUP($A127,DICO_Complet!$A$3:$U$983,9,FALSE),"")</f>
        <v/>
      </c>
      <c r="J127" s="1" t="str">
        <f>VLOOKUP($A127,DICO_Complet!$A$3:$U$983,10,FALSE)</f>
        <v>Acquiring institution identification code</v>
      </c>
      <c r="K127" s="53" t="str">
        <f>IF(VLOOKUP($A127,DICO_Complet!$A$3:$U$983,12,FALSE)=0,"",VLOOKUP($A127,DICO_Complet!$A$3:$U$983,12,FALSE))</f>
        <v/>
      </c>
      <c r="L127" s="53" t="str">
        <f>IF(VLOOKUP($A127,DICO_Complet!$A$3:$U$983,13,FALSE)=0,"",VLOOKUP($A127,DICO_Complet!$A$3:$U$983,13,FALSE))</f>
        <v/>
      </c>
      <c r="M127" s="53" t="str">
        <f>IF(VLOOKUP($A127,DICO_Complet!$A$3:$U$983,14,FALSE)=0,"",VLOOKUP($A127,DICO_Complet!$A$3:$U$983,14,FALSE))</f>
        <v>72_DF44 Part 2</v>
      </c>
      <c r="N127" s="53" t="str">
        <f>IF(VLOOKUP($A127,DICO_Complet!$A$3:$U$983,15,FALSE)=0,"",VLOOKUP($A127,DICO_Complet!$A$3:$U$983,15,FALSE))</f>
        <v/>
      </c>
      <c r="O127" s="53" t="str">
        <f>IF(VLOOKUP($A127,DICO_Complet!$A$3:$U$983,16,FALSE)=0,"",VLOOKUP($A127,DICO_Complet!$A$3:$U$983,16,FALSE))</f>
        <v/>
      </c>
      <c r="P127" s="53" t="str">
        <f>IF(VLOOKUP($A127,DICO_Complet!$A$3:$U$983,17,FALSE)=0,"",VLOOKUP($A127,DICO_Complet!$A$3:$U$983,17,FALSE))</f>
        <v/>
      </c>
      <c r="Q127" s="53" t="str">
        <f>IF(VLOOKUP($A127,DICO_Complet!$A$3:$U$983,18,FALSE)=0,"",VLOOKUP($A127,DICO_Complet!$A$3:$U$983,18,FALSE))</f>
        <v/>
      </c>
    </row>
    <row r="128" spans="1:17">
      <c r="A128" s="38">
        <v>250425201512</v>
      </c>
      <c r="B128" s="47" t="s">
        <v>858</v>
      </c>
      <c r="C128" s="3" t="str">
        <f>VLOOKUP($A128,DICO_Complet!$A$3:$U$983,3,FALSE)</f>
        <v>Context</v>
      </c>
      <c r="D128" s="3" t="str">
        <f>VLOOKUP($A128,DICO_Complet!$A$3:$U$983,4,FALSE)</f>
        <v>pointOfServiceContext</v>
      </c>
      <c r="E128" s="2" t="str">
        <f>VLOOKUP($A128,DICO_Complet!$A$3:$U$983,5,FALSE)</f>
        <v>temp_aID</v>
      </c>
      <c r="F128" s="2" t="str">
        <f>VLOOKUP($A128,DICO_Complet!$A$3:$U$983,6,FALSE)</f>
        <v>Min5Max16HexBinaryText</v>
      </c>
      <c r="G128" s="48">
        <f>VLOOKUP($A128,DICO_Complet!$A$3:$U$983,7,FALSE)</f>
        <v>0</v>
      </c>
      <c r="H128" s="48">
        <f>VLOOKUP($A128,DICO_Complet!$A$3:$U$983,8,FALSE)</f>
        <v>0</v>
      </c>
      <c r="I128" s="2" t="str">
        <f>IF(VLOOKUP($A128,DICO_Complet!$A$3:$U$983,9,FALSE)&lt;&gt;0,VLOOKUP($A128,DICO_Complet!$A$3:$U$983,9,FALSE),"")</f>
        <v/>
      </c>
      <c r="J128" s="1" t="str">
        <f>VLOOKUP($A128,DICO_Complet!$A$3:$U$983,10,FALSE)</f>
        <v xml:space="preserve">AID </v>
      </c>
      <c r="K128" s="53" t="str">
        <f>IF(VLOOKUP($A128,DICO_Complet!$A$3:$U$983,12,FALSE)=0,"",VLOOKUP($A128,DICO_Complet!$A$3:$U$983,12,FALSE))</f>
        <v/>
      </c>
      <c r="L128" s="53" t="str">
        <f>IF(VLOOKUP($A128,DICO_Complet!$A$3:$U$983,13,FALSE)=0,"",VLOOKUP($A128,DICO_Complet!$A$3:$U$983,13,FALSE))</f>
        <v/>
      </c>
      <c r="M128" s="53" t="str">
        <f>IF(VLOOKUP($A128,DICO_Complet!$A$3:$U$983,14,FALSE)=0,"",VLOOKUP($A128,DICO_Complet!$A$3:$U$983,14,FALSE))</f>
        <v>72_DF98 part 3</v>
      </c>
      <c r="N128" s="53" t="str">
        <f>IF(VLOOKUP($A128,DICO_Complet!$A$3:$U$983,15,FALSE)=0,"",VLOOKUP($A128,DICO_Complet!$A$3:$U$983,15,FALSE))</f>
        <v/>
      </c>
      <c r="O128" s="53" t="str">
        <f>IF(VLOOKUP($A128,DICO_Complet!$A$3:$U$983,16,FALSE)=0,"",VLOOKUP($A128,DICO_Complet!$A$3:$U$983,16,FALSE))</f>
        <v/>
      </c>
      <c r="P128" s="53" t="str">
        <f>IF(VLOOKUP($A128,DICO_Complet!$A$3:$U$983,17,FALSE)=0,"",VLOOKUP($A128,DICO_Complet!$A$3:$U$983,17,FALSE))</f>
        <v/>
      </c>
      <c r="Q128" s="53" t="str">
        <f>IF(VLOOKUP($A128,DICO_Complet!$A$3:$U$983,18,FALSE)=0,"",VLOOKUP($A128,DICO_Complet!$A$3:$U$983,18,FALSE))</f>
        <v/>
      </c>
    </row>
    <row r="129" spans="1:17" ht="15" customHeight="1">
      <c r="A129" s="38">
        <v>250425201619</v>
      </c>
      <c r="B129" s="47" t="s">
        <v>858</v>
      </c>
      <c r="C129" s="3" t="str">
        <f>VLOOKUP($A129,DICO_Complet!$A$3:$U$983,3,FALSE)</f>
        <v>Context</v>
      </c>
      <c r="D129" s="3" t="str">
        <f>VLOOKUP($A129,DICO_Complet!$A$3:$U$983,4,FALSE)</f>
        <v>pointOfServiceContext</v>
      </c>
      <c r="E129" s="2" t="str">
        <f>VLOOKUP($A129,DICO_Complet!$A$3:$U$983,5,FALSE)</f>
        <v>temp_applicationsManagerPublisherCode</v>
      </c>
      <c r="F129" s="2" t="str">
        <f>VLOOKUP($A129,DICO_Complet!$A$3:$U$983,6,FALSE)</f>
        <v>Exact3Text</v>
      </c>
      <c r="G129" s="48">
        <f>VLOOKUP($A129,DICO_Complet!$A$3:$U$983,7,FALSE)</f>
        <v>0</v>
      </c>
      <c r="H129" s="48">
        <f>VLOOKUP($A129,DICO_Complet!$A$3:$U$983,8,FALSE)</f>
        <v>0</v>
      </c>
      <c r="I129" s="2" t="str">
        <f>IF(VLOOKUP($A129,DICO_Complet!$A$3:$U$983,9,FALSE)&lt;&gt;0,VLOOKUP($A129,DICO_Complet!$A$3:$U$983,9,FALSE),"")</f>
        <v/>
      </c>
      <c r="J129" s="1" t="str">
        <f>VLOOKUP($A129,DICO_Complet!$A$3:$U$983,10,FALSE)</f>
        <v>Applications manager publisher code</v>
      </c>
      <c r="K129" s="53" t="str">
        <f>IF(VLOOKUP($A129,DICO_Complet!$A$3:$U$983,12,FALSE)=0,"",VLOOKUP($A129,DICO_Complet!$A$3:$U$983,12,FALSE))</f>
        <v/>
      </c>
      <c r="L129" s="53" t="str">
        <f>IF(VLOOKUP($A129,DICO_Complet!$A$3:$U$983,13,FALSE)=0,"",VLOOKUP($A129,DICO_Complet!$A$3:$U$983,13,FALSE))</f>
        <v/>
      </c>
      <c r="M129" s="53" t="str">
        <f>IF(VLOOKUP($A129,DICO_Complet!$A$3:$U$983,14,FALSE)=0,"",VLOOKUP($A129,DICO_Complet!$A$3:$U$983,14,FALSE))</f>
        <v>614_46 DF67 part 3</v>
      </c>
      <c r="N129" s="53" t="str">
        <f>IF(VLOOKUP($A129,DICO_Complet!$A$3:$U$983,15,FALSE)=0,"",VLOOKUP($A129,DICO_Complet!$A$3:$U$983,15,FALSE))</f>
        <v/>
      </c>
      <c r="O129" s="53" t="str">
        <f>IF(VLOOKUP($A129,DICO_Complet!$A$3:$U$983,16,FALSE)=0,"",VLOOKUP($A129,DICO_Complet!$A$3:$U$983,16,FALSE))</f>
        <v/>
      </c>
      <c r="P129" s="53" t="str">
        <f>IF(VLOOKUP($A129,DICO_Complet!$A$3:$U$983,17,FALSE)=0,"",VLOOKUP($A129,DICO_Complet!$A$3:$U$983,17,FALSE))</f>
        <v/>
      </c>
      <c r="Q129" s="53" t="str">
        <f>IF(VLOOKUP($A129,DICO_Complet!$A$3:$U$983,18,FALSE)=0,"",VLOOKUP($A129,DICO_Complet!$A$3:$U$983,18,FALSE))</f>
        <v/>
      </c>
    </row>
    <row r="130" spans="1:17" ht="15" customHeight="1">
      <c r="A130" s="38">
        <v>250425201618</v>
      </c>
      <c r="B130" s="47" t="s">
        <v>858</v>
      </c>
      <c r="C130" s="3" t="str">
        <f>VLOOKUP($A130,DICO_Complet!$A$3:$U$983,3,FALSE)</f>
        <v>Context</v>
      </c>
      <c r="D130" s="3" t="str">
        <f>VLOOKUP($A130,DICO_Complet!$A$3:$U$983,4,FALSE)</f>
        <v>pointOfServiceContext</v>
      </c>
      <c r="E130" s="2" t="str">
        <f>VLOOKUP($A130,DICO_Complet!$A$3:$U$983,5,FALSE)</f>
        <v>temp_applicationsManagerSoftwareVersionNumber</v>
      </c>
      <c r="F130" s="2" t="str">
        <f>VLOOKUP($A130,DICO_Complet!$A$3:$U$983,6,FALSE)</f>
        <v>Exact4Text</v>
      </c>
      <c r="G130" s="48">
        <f>VLOOKUP($A130,DICO_Complet!$A$3:$U$983,7,FALSE)</f>
        <v>0</v>
      </c>
      <c r="H130" s="48">
        <f>VLOOKUP($A130,DICO_Complet!$A$3:$U$983,8,FALSE)</f>
        <v>0</v>
      </c>
      <c r="I130" s="2" t="str">
        <f>IF(VLOOKUP($A130,DICO_Complet!$A$3:$U$983,9,FALSE)&lt;&gt;0,VLOOKUP($A130,DICO_Complet!$A$3:$U$983,9,FALSE),"")</f>
        <v/>
      </c>
      <c r="J130" s="1" t="str">
        <f>VLOOKUP($A130,DICO_Complet!$A$3:$U$983,10,FALSE)</f>
        <v>Applications manager software version number</v>
      </c>
      <c r="K130" s="53" t="str">
        <f>IF(VLOOKUP($A130,DICO_Complet!$A$3:$U$983,12,FALSE)=0,"",VLOOKUP($A130,DICO_Complet!$A$3:$U$983,12,FALSE))</f>
        <v/>
      </c>
      <c r="L130" s="53" t="str">
        <f>IF(VLOOKUP($A130,DICO_Complet!$A$3:$U$983,13,FALSE)=0,"",VLOOKUP($A130,DICO_Complet!$A$3:$U$983,13,FALSE))</f>
        <v/>
      </c>
      <c r="M130" s="53" t="str">
        <f>IF(VLOOKUP($A130,DICO_Complet!$A$3:$U$983,14,FALSE)=0,"",VLOOKUP($A130,DICO_Complet!$A$3:$U$983,14,FALSE))</f>
        <v>614_46 DF67 part 2</v>
      </c>
      <c r="N130" s="53" t="str">
        <f>IF(VLOOKUP($A130,DICO_Complet!$A$3:$U$983,15,FALSE)=0,"",VLOOKUP($A130,DICO_Complet!$A$3:$U$983,15,FALSE))</f>
        <v/>
      </c>
      <c r="O130" s="53" t="str">
        <f>IF(VLOOKUP($A130,DICO_Complet!$A$3:$U$983,16,FALSE)=0,"",VLOOKUP($A130,DICO_Complet!$A$3:$U$983,16,FALSE))</f>
        <v/>
      </c>
      <c r="P130" s="53" t="str">
        <f>IF(VLOOKUP($A130,DICO_Complet!$A$3:$U$983,17,FALSE)=0,"",VLOOKUP($A130,DICO_Complet!$A$3:$U$983,17,FALSE))</f>
        <v/>
      </c>
      <c r="Q130" s="53" t="str">
        <f>IF(VLOOKUP($A130,DICO_Complet!$A$3:$U$983,18,FALSE)=0,"",VLOOKUP($A130,DICO_Complet!$A$3:$U$983,18,FALSE))</f>
        <v/>
      </c>
    </row>
    <row r="131" spans="1:17" ht="15" customHeight="1">
      <c r="A131" s="38">
        <v>250425201617</v>
      </c>
      <c r="B131" s="47" t="s">
        <v>858</v>
      </c>
      <c r="C131" s="3" t="str">
        <f>VLOOKUP($A131,DICO_Complet!$A$3:$U$983,3,FALSE)</f>
        <v>Context</v>
      </c>
      <c r="D131" s="3" t="str">
        <f>VLOOKUP($A131,DICO_Complet!$A$3:$U$983,4,FALSE)</f>
        <v>pointOfServiceContext</v>
      </c>
      <c r="E131" s="2" t="str">
        <f>VLOOKUP($A131,DICO_Complet!$A$3:$U$983,5,FALSE)</f>
        <v>temp_applicationSoftwarePublisherCode</v>
      </c>
      <c r="F131" s="2" t="str">
        <f>VLOOKUP($A131,DICO_Complet!$A$3:$U$983,6,FALSE)</f>
        <v>Exact3Text</v>
      </c>
      <c r="G131" s="48">
        <f>VLOOKUP($A131,DICO_Complet!$A$3:$U$983,7,FALSE)</f>
        <v>0</v>
      </c>
      <c r="H131" s="48">
        <f>VLOOKUP($A131,DICO_Complet!$A$3:$U$983,8,FALSE)</f>
        <v>0</v>
      </c>
      <c r="I131" s="2" t="str">
        <f>IF(VLOOKUP($A131,DICO_Complet!$A$3:$U$983,9,FALSE)&lt;&gt;0,VLOOKUP($A131,DICO_Complet!$A$3:$U$983,9,FALSE),"")</f>
        <v/>
      </c>
      <c r="J131" s="1" t="str">
        <f>VLOOKUP($A131,DICO_Complet!$A$3:$U$983,10,FALSE)</f>
        <v>Application software publisher code _</v>
      </c>
      <c r="K131" s="53" t="str">
        <f>IF(VLOOKUP($A131,DICO_Complet!$A$3:$U$983,12,FALSE)=0,"",VLOOKUP($A131,DICO_Complet!$A$3:$U$983,12,FALSE))</f>
        <v/>
      </c>
      <c r="L131" s="53" t="str">
        <f>IF(VLOOKUP($A131,DICO_Complet!$A$3:$U$983,13,FALSE)=0,"",VLOOKUP($A131,DICO_Complet!$A$3:$U$983,13,FALSE))</f>
        <v/>
      </c>
      <c r="M131" s="53" t="str">
        <f>IF(VLOOKUP($A131,DICO_Complet!$A$3:$U$983,14,FALSE)=0,"",VLOOKUP($A131,DICO_Complet!$A$3:$U$983,14,FALSE))</f>
        <v>614_46 DF67 part 1</v>
      </c>
      <c r="N131" s="53" t="str">
        <f>IF(VLOOKUP($A131,DICO_Complet!$A$3:$U$983,15,FALSE)=0,"",VLOOKUP($A131,DICO_Complet!$A$3:$U$983,15,FALSE))</f>
        <v/>
      </c>
      <c r="O131" s="53" t="str">
        <f>IF(VLOOKUP($A131,DICO_Complet!$A$3:$U$983,16,FALSE)=0,"",VLOOKUP($A131,DICO_Complet!$A$3:$U$983,16,FALSE))</f>
        <v/>
      </c>
      <c r="P131" s="53" t="str">
        <f>IF(VLOOKUP($A131,DICO_Complet!$A$3:$U$983,17,FALSE)=0,"",VLOOKUP($A131,DICO_Complet!$A$3:$U$983,17,FALSE))</f>
        <v/>
      </c>
      <c r="Q131" s="53" t="str">
        <f>IF(VLOOKUP($A131,DICO_Complet!$A$3:$U$983,18,FALSE)=0,"",VLOOKUP($A131,DICO_Complet!$A$3:$U$983,18,FALSE))</f>
        <v/>
      </c>
    </row>
    <row r="132" spans="1:17" ht="15" customHeight="1">
      <c r="A132" s="38">
        <v>250425201614</v>
      </c>
      <c r="B132" s="47" t="s">
        <v>858</v>
      </c>
      <c r="C132" s="3" t="str">
        <f>VLOOKUP($A132,DICO_Complet!$A$3:$U$983,3,FALSE)</f>
        <v>Context</v>
      </c>
      <c r="D132" s="3" t="str">
        <f>VLOOKUP($A132,DICO_Complet!$A$3:$U$983,4,FALSE)</f>
        <v>pointOfServiceContext</v>
      </c>
      <c r="E132" s="2" t="str">
        <f>VLOOKUP($A132,DICO_Complet!$A$3:$U$983,5,FALSE)</f>
        <v>temp_appliedRestriction</v>
      </c>
      <c r="F132" s="2" t="str">
        <f>VLOOKUP($A132,DICO_Complet!$A$3:$U$983,6,FALSE)</f>
        <v>temp_appliedRestrictionCodeset</v>
      </c>
      <c r="G132" s="48">
        <f>VLOOKUP($A132,DICO_Complet!$A$3:$U$983,7,FALSE)</f>
        <v>0</v>
      </c>
      <c r="H132" s="48">
        <f>VLOOKUP($A132,DICO_Complet!$A$3:$U$983,8,FALSE)</f>
        <v>0</v>
      </c>
      <c r="I132" s="2" t="str">
        <f>IF(VLOOKUP($A132,DICO_Complet!$A$3:$U$983,9,FALSE)&lt;&gt;0,VLOOKUP($A132,DICO_Complet!$A$3:$U$983,9,FALSE),"")</f>
        <v/>
      </c>
      <c r="J132" s="1" t="str">
        <f>VLOOKUP($A132,DICO_Complet!$A$3:$U$983,10,FALSE)</f>
        <v>Applied restrictions</v>
      </c>
      <c r="K132" s="53" t="str">
        <f>IF(VLOOKUP($A132,DICO_Complet!$A$3:$U$983,12,FALSE)=0,"",VLOOKUP($A132,DICO_Complet!$A$3:$U$983,12,FALSE))</f>
        <v/>
      </c>
      <c r="L132" s="53" t="str">
        <f>IF(VLOOKUP($A132,DICO_Complet!$A$3:$U$983,13,FALSE)=0,"",VLOOKUP($A132,DICO_Complet!$A$3:$U$983,13,FALSE))</f>
        <v/>
      </c>
      <c r="M132" s="53" t="str">
        <f>IF(VLOOKUP($A132,DICO_Complet!$A$3:$U$983,14,FALSE)=0,"",VLOOKUP($A132,DICO_Complet!$A$3:$U$983,14,FALSE))</f>
        <v>814_46 DF 57</v>
      </c>
      <c r="N132" s="53" t="str">
        <f>IF(VLOOKUP($A132,DICO_Complet!$A$3:$U$983,15,FALSE)=0,"",VLOOKUP($A132,DICO_Complet!$A$3:$U$983,15,FALSE))</f>
        <v/>
      </c>
      <c r="O132" s="53" t="str">
        <f>IF(VLOOKUP($A132,DICO_Complet!$A$3:$U$983,16,FALSE)=0,"",VLOOKUP($A132,DICO_Complet!$A$3:$U$983,16,FALSE))</f>
        <v/>
      </c>
      <c r="P132" s="53" t="str">
        <f>IF(VLOOKUP($A132,DICO_Complet!$A$3:$U$983,17,FALSE)=0,"",VLOOKUP($A132,DICO_Complet!$A$3:$U$983,17,FALSE))</f>
        <v/>
      </c>
      <c r="Q132" s="53" t="str">
        <f>IF(VLOOKUP($A132,DICO_Complet!$A$3:$U$983,18,FALSE)=0,"",VLOOKUP($A132,DICO_Complet!$A$3:$U$983,18,FALSE))</f>
        <v/>
      </c>
    </row>
    <row r="133" spans="1:17" ht="15" customHeight="1">
      <c r="A133" s="38">
        <v>250425201034</v>
      </c>
      <c r="B133" s="47" t="s">
        <v>858</v>
      </c>
      <c r="C133" s="3" t="str">
        <f>VLOOKUP($A133,DICO_Complet!$A$3:$U$983,3,FALSE)</f>
        <v>Context</v>
      </c>
      <c r="D133" s="3" t="str">
        <f>VLOOKUP($A133,DICO_Complet!$A$3:$U$983,4,FALSE)</f>
        <v>pointOfServiceContext</v>
      </c>
      <c r="E133" s="2" t="str">
        <f>VLOOKUP($A133,DICO_Complet!$A$3:$U$983,5,FALSE)</f>
        <v>temp_aslternateServiceName</v>
      </c>
      <c r="F133" s="2" t="str">
        <f>VLOOKUP($A133,DICO_Complet!$A$3:$U$983,6,FALSE)</f>
        <v>Exact16Text</v>
      </c>
      <c r="G133" s="48">
        <f>VLOOKUP($A133,DICO_Complet!$A$3:$U$983,7,FALSE)</f>
        <v>0</v>
      </c>
      <c r="H133" s="48">
        <f>VLOOKUP($A133,DICO_Complet!$A$3:$U$983,8,FALSE)</f>
        <v>0</v>
      </c>
      <c r="I133" s="2" t="str">
        <f>IF(VLOOKUP($A133,DICO_Complet!$A$3:$U$983,9,FALSE)&lt;&gt;0,VLOOKUP($A133,DICO_Complet!$A$3:$U$983,9,FALSE),"")</f>
        <v/>
      </c>
      <c r="J133" s="1" t="str">
        <f>VLOOKUP($A133,DICO_Complet!$A$3:$U$983,10,FALSE)</f>
        <v>Alternate service name</v>
      </c>
      <c r="K133" s="53" t="str">
        <f>IF(VLOOKUP($A133,DICO_Complet!$A$3:$U$983,12,FALSE)=0,"",VLOOKUP($A133,DICO_Complet!$A$3:$U$983,12,FALSE))</f>
        <v/>
      </c>
      <c r="L133" s="53" t="str">
        <f>IF(VLOOKUP($A133,DICO_Complet!$A$3:$U$983,13,FALSE)=0,"",VLOOKUP($A133,DICO_Complet!$A$3:$U$983,13,FALSE))</f>
        <v/>
      </c>
      <c r="M133" s="53" t="str">
        <f>IF(VLOOKUP($A133,DICO_Complet!$A$3:$U$983,14,FALSE)=0,"",VLOOKUP($A133,DICO_Complet!$A$3:$U$983,14,FALSE))</f>
        <v>72_DF50 part 2</v>
      </c>
      <c r="N133" s="53" t="str">
        <f>IF(VLOOKUP($A133,DICO_Complet!$A$3:$U$983,15,FALSE)=0,"",VLOOKUP($A133,DICO_Complet!$A$3:$U$983,15,FALSE))</f>
        <v/>
      </c>
      <c r="O133" s="53" t="str">
        <f>IF(VLOOKUP($A133,DICO_Complet!$A$3:$U$983,16,FALSE)=0,"",VLOOKUP($A133,DICO_Complet!$A$3:$U$983,16,FALSE))</f>
        <v/>
      </c>
      <c r="P133" s="53" t="str">
        <f>IF(VLOOKUP($A133,DICO_Complet!$A$3:$U$983,17,FALSE)=0,"",VLOOKUP($A133,DICO_Complet!$A$3:$U$983,17,FALSE))</f>
        <v/>
      </c>
      <c r="Q133" s="53" t="str">
        <f>IF(VLOOKUP($A133,DICO_Complet!$A$3:$U$983,18,FALSE)=0,"",VLOOKUP($A133,DICO_Complet!$A$3:$U$983,18,FALSE))</f>
        <v/>
      </c>
    </row>
    <row r="134" spans="1:17" ht="15" customHeight="1">
      <c r="A134" s="38">
        <v>250425201615</v>
      </c>
      <c r="B134" s="47" t="s">
        <v>858</v>
      </c>
      <c r="C134" s="3" t="str">
        <f>VLOOKUP($A134,DICO_Complet!$A$3:$U$983,3,FALSE)</f>
        <v>Context</v>
      </c>
      <c r="D134" s="3" t="str">
        <f>VLOOKUP($A134,DICO_Complet!$A$3:$U$983,4,FALSE)</f>
        <v>pointOfServiceContext</v>
      </c>
      <c r="E134" s="2" t="str">
        <f>VLOOKUP($A134,DICO_Complet!$A$3:$U$983,5,FALSE)</f>
        <v>temp_bitmapOfTheCardAcceptorConnectionCapabilites</v>
      </c>
      <c r="F134" s="2" t="str">
        <f>VLOOKUP($A134,DICO_Complet!$A$3:$U$983,6,FALSE)</f>
        <v>temp_bitmapOfTheCardAcceptorConnectionCapabilitesCodeset</v>
      </c>
      <c r="G134" s="48">
        <f>VLOOKUP($A134,DICO_Complet!$A$3:$U$983,7,FALSE)</f>
        <v>0</v>
      </c>
      <c r="H134" s="48">
        <f>VLOOKUP($A134,DICO_Complet!$A$3:$U$983,8,FALSE)</f>
        <v>0</v>
      </c>
      <c r="I134" s="2" t="str">
        <f>IF(VLOOKUP($A134,DICO_Complet!$A$3:$U$983,9,FALSE)&lt;&gt;0,VLOOKUP($A134,DICO_Complet!$A$3:$U$983,9,FALSE),"")</f>
        <v/>
      </c>
      <c r="J134" s="1" t="str">
        <f>VLOOKUP($A134,DICO_Complet!$A$3:$U$983,10,FALSE)</f>
        <v>Bitmap of the card acceptor connection capability</v>
      </c>
      <c r="K134" s="53" t="str">
        <f>IF(VLOOKUP($A134,DICO_Complet!$A$3:$U$983,12,FALSE)=0,"",VLOOKUP($A134,DICO_Complet!$A$3:$U$983,12,FALSE))</f>
        <v/>
      </c>
      <c r="L134" s="53" t="str">
        <f>IF(VLOOKUP($A134,DICO_Complet!$A$3:$U$983,13,FALSE)=0,"",VLOOKUP($A134,DICO_Complet!$A$3:$U$983,13,FALSE))</f>
        <v/>
      </c>
      <c r="M134" s="53" t="str">
        <f>IF(VLOOKUP($A134,DICO_Complet!$A$3:$U$983,14,FALSE)=0,"",VLOOKUP($A134,DICO_Complet!$A$3:$U$983,14,FALSE))</f>
        <v>814_46 DF 55 part 1</v>
      </c>
      <c r="N134" s="53" t="str">
        <f>IF(VLOOKUP($A134,DICO_Complet!$A$3:$U$983,15,FALSE)=0,"",VLOOKUP($A134,DICO_Complet!$A$3:$U$983,15,FALSE))</f>
        <v/>
      </c>
      <c r="O134" s="53" t="str">
        <f>IF(VLOOKUP($A134,DICO_Complet!$A$3:$U$983,16,FALSE)=0,"",VLOOKUP($A134,DICO_Complet!$A$3:$U$983,16,FALSE))</f>
        <v/>
      </c>
      <c r="P134" s="53" t="str">
        <f>IF(VLOOKUP($A134,DICO_Complet!$A$3:$U$983,17,FALSE)=0,"",VLOOKUP($A134,DICO_Complet!$A$3:$U$983,17,FALSE))</f>
        <v/>
      </c>
      <c r="Q134" s="53" t="str">
        <f>IF(VLOOKUP($A134,DICO_Complet!$A$3:$U$983,18,FALSE)=0,"",VLOOKUP($A134,DICO_Complet!$A$3:$U$983,18,FALSE))</f>
        <v/>
      </c>
    </row>
    <row r="135" spans="1:17" ht="15" customHeight="1">
      <c r="A135" s="38">
        <v>250425201616</v>
      </c>
      <c r="B135" s="47" t="s">
        <v>858</v>
      </c>
      <c r="C135" s="3" t="str">
        <f>VLOOKUP($A135,DICO_Complet!$A$3:$U$983,3,FALSE)</f>
        <v>Context</v>
      </c>
      <c r="D135" s="3" t="str">
        <f>VLOOKUP($A135,DICO_Complet!$A$3:$U$983,4,FALSE)</f>
        <v>pointOfServiceContext</v>
      </c>
      <c r="E135" s="2" t="str">
        <f>VLOOKUP($A135,DICO_Complet!$A$3:$U$983,5,FALSE)</f>
        <v>temp_bitmapOfTheCardacceptorEntryCapabilites</v>
      </c>
      <c r="F135" s="2" t="str">
        <f>VLOOKUP($A135,DICO_Complet!$A$3:$U$983,6,FALSE)</f>
        <v>temp_bitmapOfTheCardacceptorEntryCapabilitesCodeset</v>
      </c>
      <c r="G135" s="48">
        <f>VLOOKUP($A135,DICO_Complet!$A$3:$U$983,7,FALSE)</f>
        <v>0</v>
      </c>
      <c r="H135" s="48">
        <f>VLOOKUP($A135,DICO_Complet!$A$3:$U$983,8,FALSE)</f>
        <v>0</v>
      </c>
      <c r="I135" s="2" t="str">
        <f>IF(VLOOKUP($A135,DICO_Complet!$A$3:$U$983,9,FALSE)&lt;&gt;0,VLOOKUP($A135,DICO_Complet!$A$3:$U$983,9,FALSE),"")</f>
        <v/>
      </c>
      <c r="J135" s="1" t="str">
        <f>VLOOKUP($A135,DICO_Complet!$A$3:$U$983,10,FALSE)</f>
        <v>Bitmap of the card acceptor entry capability</v>
      </c>
      <c r="K135" s="53" t="str">
        <f>IF(VLOOKUP($A135,DICO_Complet!$A$3:$U$983,12,FALSE)=0,"",VLOOKUP($A135,DICO_Complet!$A$3:$U$983,12,FALSE))</f>
        <v/>
      </c>
      <c r="L135" s="53" t="str">
        <f>IF(VLOOKUP($A135,DICO_Complet!$A$3:$U$983,13,FALSE)=0,"",VLOOKUP($A135,DICO_Complet!$A$3:$U$983,13,FALSE))</f>
        <v/>
      </c>
      <c r="M135" s="53" t="str">
        <f>IF(VLOOKUP($A135,DICO_Complet!$A$3:$U$983,14,FALSE)=0,"",VLOOKUP($A135,DICO_Complet!$A$3:$U$983,14,FALSE))</f>
        <v>814_46 DF 55 part 2</v>
      </c>
      <c r="N135" s="53" t="str">
        <f>IF(VLOOKUP($A135,DICO_Complet!$A$3:$U$983,15,FALSE)=0,"",VLOOKUP($A135,DICO_Complet!$A$3:$U$983,15,FALSE))</f>
        <v/>
      </c>
      <c r="O135" s="53" t="str">
        <f>IF(VLOOKUP($A135,DICO_Complet!$A$3:$U$983,16,FALSE)=0,"",VLOOKUP($A135,DICO_Complet!$A$3:$U$983,16,FALSE))</f>
        <v/>
      </c>
      <c r="P135" s="53" t="str">
        <f>IF(VLOOKUP($A135,DICO_Complet!$A$3:$U$983,17,FALSE)=0,"",VLOOKUP($A135,DICO_Complet!$A$3:$U$983,17,FALSE))</f>
        <v/>
      </c>
      <c r="Q135" s="53" t="str">
        <f>IF(VLOOKUP($A135,DICO_Complet!$A$3:$U$983,18,FALSE)=0,"",VLOOKUP($A135,DICO_Complet!$A$3:$U$983,18,FALSE))</f>
        <v/>
      </c>
    </row>
    <row r="136" spans="1:17" ht="15" customHeight="1">
      <c r="A136" s="38">
        <v>250425201613</v>
      </c>
      <c r="B136" s="47" t="s">
        <v>858</v>
      </c>
      <c r="C136" s="3" t="str">
        <f>VLOOKUP($A136,DICO_Complet!$A$3:$U$983,3,FALSE)</f>
        <v>Context</v>
      </c>
      <c r="D136" s="3" t="str">
        <f>VLOOKUP($A136,DICO_Complet!$A$3:$U$983,4,FALSE)</f>
        <v>pointOfServiceContext</v>
      </c>
      <c r="E136" s="2" t="str">
        <f>VLOOKUP($A136,DICO_Complet!$A$3:$U$983,5,FALSE)</f>
        <v>temp_bitmapOfThePOIEntryCapability</v>
      </c>
      <c r="F136" s="2" t="str">
        <f>VLOOKUP($A136,DICO_Complet!$A$3:$U$983,6,FALSE)</f>
        <v>temp_bitmapOfThePOIEntryCapabilityCodeset</v>
      </c>
      <c r="G136" s="48">
        <f>VLOOKUP($A136,DICO_Complet!$A$3:$U$983,7,FALSE)</f>
        <v>0</v>
      </c>
      <c r="H136" s="48">
        <f>VLOOKUP($A136,DICO_Complet!$A$3:$U$983,8,FALSE)</f>
        <v>0</v>
      </c>
      <c r="I136" s="2" t="str">
        <f>IF(VLOOKUP($A136,DICO_Complet!$A$3:$U$983,9,FALSE)&lt;&gt;0,VLOOKUP($A136,DICO_Complet!$A$3:$U$983,9,FALSE),"")</f>
        <v/>
      </c>
      <c r="J136" s="1" t="str">
        <f>VLOOKUP($A136,DICO_Complet!$A$3:$U$983,10,FALSE)</f>
        <v>Bitmap of the POI entry capability</v>
      </c>
      <c r="K136" s="53" t="str">
        <f>IF(VLOOKUP($A136,DICO_Complet!$A$3:$U$983,12,FALSE)=0,"",VLOOKUP($A136,DICO_Complet!$A$3:$U$983,12,FALSE))</f>
        <v/>
      </c>
      <c r="L136" s="53" t="str">
        <f>IF(VLOOKUP($A136,DICO_Complet!$A$3:$U$983,13,FALSE)=0,"",VLOOKUP($A136,DICO_Complet!$A$3:$U$983,13,FALSE))</f>
        <v/>
      </c>
      <c r="M136" s="53" t="str">
        <f>IF(VLOOKUP($A136,DICO_Complet!$A$3:$U$983,14,FALSE)=0,"",VLOOKUP($A136,DICO_Complet!$A$3:$U$983,14,FALSE))</f>
        <v>814_46 DF 56 part 1</v>
      </c>
      <c r="N136" s="53" t="str">
        <f>IF(VLOOKUP($A136,DICO_Complet!$A$3:$U$983,15,FALSE)=0,"",VLOOKUP($A136,DICO_Complet!$A$3:$U$983,15,FALSE))</f>
        <v/>
      </c>
      <c r="O136" s="53" t="str">
        <f>IF(VLOOKUP($A136,DICO_Complet!$A$3:$U$983,16,FALSE)=0,"",VLOOKUP($A136,DICO_Complet!$A$3:$U$983,16,FALSE))</f>
        <v/>
      </c>
      <c r="P136" s="53" t="str">
        <f>IF(VLOOKUP($A136,DICO_Complet!$A$3:$U$983,17,FALSE)=0,"",VLOOKUP($A136,DICO_Complet!$A$3:$U$983,17,FALSE))</f>
        <v/>
      </c>
      <c r="Q136" s="53" t="str">
        <f>IF(VLOOKUP($A136,DICO_Complet!$A$3:$U$983,18,FALSE)=0,"",VLOOKUP($A136,DICO_Complet!$A$3:$U$983,18,FALSE))</f>
        <v/>
      </c>
    </row>
    <row r="137" spans="1:17" ht="15" customHeight="1">
      <c r="A137" s="38">
        <v>250425201000</v>
      </c>
      <c r="B137" s="47" t="s">
        <v>858</v>
      </c>
      <c r="C137" s="3" t="str">
        <f>VLOOKUP($A137,DICO_Complet!$A$3:$U$983,3,FALSE)</f>
        <v>Context</v>
      </c>
      <c r="D137" s="3" t="str">
        <f>VLOOKUP($A137,DICO_Complet!$A$3:$U$983,4,FALSE)</f>
        <v>pointOfServiceContext</v>
      </c>
      <c r="E137" s="2" t="str">
        <f>VLOOKUP($A137,DICO_Complet!$A$3:$U$983,5,FALSE)</f>
        <v>temp_callApprovalMode</v>
      </c>
      <c r="F137" s="2" t="str">
        <f>VLOOKUP($A137,DICO_Complet!$A$3:$U$983,6,FALSE)</f>
        <v>temp_callApprovalModeCodeset</v>
      </c>
      <c r="G137" s="48">
        <f>VLOOKUP($A137,DICO_Complet!$A$3:$U$983,7,FALSE)</f>
        <v>0</v>
      </c>
      <c r="H137" s="48">
        <f>VLOOKUP($A137,DICO_Complet!$A$3:$U$983,8,FALSE)</f>
        <v>0</v>
      </c>
      <c r="I137" s="2" t="str">
        <f>IF(VLOOKUP($A137,DICO_Complet!$A$3:$U$983,9,FALSE)&lt;&gt;0,VLOOKUP($A137,DICO_Complet!$A$3:$U$983,9,FALSE),"")</f>
        <v/>
      </c>
      <c r="J137" s="1" t="str">
        <f>VLOOKUP($A137,DICO_Complet!$A$3:$U$983,10,FALSE)</f>
        <v>Approval mode</v>
      </c>
      <c r="K137" s="53" t="str">
        <f>IF(VLOOKUP($A137,DICO_Complet!$A$3:$U$983,12,FALSE)=0,"",VLOOKUP($A137,DICO_Complet!$A$3:$U$983,12,FALSE))</f>
        <v/>
      </c>
      <c r="L137" s="53" t="str">
        <f>IF(VLOOKUP($A137,DICO_Complet!$A$3:$U$983,13,FALSE)=0,"",VLOOKUP($A137,DICO_Complet!$A$3:$U$983,13,FALSE))</f>
        <v/>
      </c>
      <c r="M137" s="53" t="str">
        <f>IF(VLOOKUP($A137,DICO_Complet!$A$3:$U$983,14,FALSE)=0,"",VLOOKUP($A137,DICO_Complet!$A$3:$U$983,14,FALSE))</f>
        <v>72_DF24 part 2</v>
      </c>
      <c r="N137" s="53" t="str">
        <f>IF(VLOOKUP($A137,DICO_Complet!$A$3:$U$983,15,FALSE)=0,"",VLOOKUP($A137,DICO_Complet!$A$3:$U$983,15,FALSE))</f>
        <v/>
      </c>
      <c r="O137" s="53" t="str">
        <f>IF(VLOOKUP($A137,DICO_Complet!$A$3:$U$983,16,FALSE)=0,"",VLOOKUP($A137,DICO_Complet!$A$3:$U$983,16,FALSE))</f>
        <v/>
      </c>
      <c r="P137" s="53" t="str">
        <f>IF(VLOOKUP($A137,DICO_Complet!$A$3:$U$983,17,FALSE)=0,"",VLOOKUP($A137,DICO_Complet!$A$3:$U$983,17,FALSE))</f>
        <v/>
      </c>
      <c r="Q137" s="53" t="str">
        <f>IF(VLOOKUP($A137,DICO_Complet!$A$3:$U$983,18,FALSE)=0,"",VLOOKUP($A137,DICO_Complet!$A$3:$U$983,18,FALSE))</f>
        <v/>
      </c>
    </row>
    <row r="138" spans="1:17">
      <c r="A138" s="38">
        <v>250425200815</v>
      </c>
      <c r="B138" s="47" t="s">
        <v>858</v>
      </c>
      <c r="C138" s="3" t="str">
        <f>VLOOKUP($A138,DICO_Complet!$A$3:$U$983,3,FALSE)</f>
        <v>Context</v>
      </c>
      <c r="D138" s="3" t="str">
        <f>VLOOKUP($A138,DICO_Complet!$A$3:$U$983,4,FALSE)</f>
        <v>pointOfServiceContext</v>
      </c>
      <c r="E138" s="2" t="str">
        <f>VLOOKUP($A138,DICO_Complet!$A$3:$U$983,5,FALSE)</f>
        <v>temp_calledModeActivationCode</v>
      </c>
      <c r="F138" s="2" t="str">
        <f>VLOOKUP($A138,DICO_Complet!$A$3:$U$983,6,FALSE)</f>
        <v>TrueFalseIndicator</v>
      </c>
      <c r="G138" s="48">
        <f>VLOOKUP($A138,DICO_Complet!$A$3:$U$983,7,FALSE)</f>
        <v>0</v>
      </c>
      <c r="H138" s="48">
        <f>VLOOKUP($A138,DICO_Complet!$A$3:$U$983,8,FALSE)</f>
        <v>0</v>
      </c>
      <c r="I138" s="2" t="str">
        <f>IF(VLOOKUP($A138,DICO_Complet!$A$3:$U$983,9,FALSE)&lt;&gt;0,VLOOKUP($A138,DICO_Complet!$A$3:$U$983,9,FALSE),"")</f>
        <v/>
      </c>
      <c r="J138" s="1" t="str">
        <f>VLOOKUP($A138,DICO_Complet!$A$3:$U$983,10,FALSE)</f>
        <v>called mode activation code : 0 desactived/ 1 actived</v>
      </c>
      <c r="K138" s="53" t="str">
        <f>IF(VLOOKUP($A138,DICO_Complet!$A$3:$U$983,12,FALSE)=0,"",VLOOKUP($A138,DICO_Complet!$A$3:$U$983,12,FALSE))</f>
        <v/>
      </c>
      <c r="L138" s="53" t="str">
        <f>IF(VLOOKUP($A138,DICO_Complet!$A$3:$U$983,13,FALSE)=0,"",VLOOKUP($A138,DICO_Complet!$A$3:$U$983,13,FALSE))</f>
        <v/>
      </c>
      <c r="M138" s="53" t="str">
        <f>IF(VLOOKUP($A138,DICO_Complet!$A$3:$U$983,14,FALSE)=0,"",VLOOKUP($A138,DICO_Complet!$A$3:$U$983,14,FALSE))</f>
        <v>72_DF21</v>
      </c>
      <c r="N138" s="53" t="str">
        <f>IF(VLOOKUP($A138,DICO_Complet!$A$3:$U$983,15,FALSE)=0,"",VLOOKUP($A138,DICO_Complet!$A$3:$U$983,15,FALSE))</f>
        <v/>
      </c>
      <c r="O138" s="53" t="str">
        <f>IF(VLOOKUP($A138,DICO_Complet!$A$3:$U$983,16,FALSE)=0,"",VLOOKUP($A138,DICO_Complet!$A$3:$U$983,16,FALSE))</f>
        <v/>
      </c>
      <c r="P138" s="53" t="str">
        <f>IF(VLOOKUP($A138,DICO_Complet!$A$3:$U$983,17,FALSE)=0,"",VLOOKUP($A138,DICO_Complet!$A$3:$U$983,17,FALSE))</f>
        <v/>
      </c>
      <c r="Q138" s="53" t="str">
        <f>IF(VLOOKUP($A138,DICO_Complet!$A$3:$U$983,18,FALSE)=0,"",VLOOKUP($A138,DICO_Complet!$A$3:$U$983,18,FALSE))</f>
        <v/>
      </c>
    </row>
    <row r="139" spans="1:17" ht="15" customHeight="1">
      <c r="A139" s="38">
        <v>250425201023</v>
      </c>
      <c r="B139" s="47" t="s">
        <v>858</v>
      </c>
      <c r="C139" s="3" t="str">
        <f>VLOOKUP($A139,DICO_Complet!$A$3:$U$983,3,FALSE)</f>
        <v>Context</v>
      </c>
      <c r="D139" s="3" t="str">
        <f>VLOOKUP($A139,DICO_Complet!$A$3:$U$983,4,FALSE)</f>
        <v>pointOfServiceContext</v>
      </c>
      <c r="E139" s="2" t="str">
        <f>VLOOKUP($A139,DICO_Complet!$A$3:$U$983,5,FALSE)</f>
        <v>temp_callFrequency</v>
      </c>
      <c r="F139" s="2" t="str">
        <f>VLOOKUP($A139,DICO_Complet!$A$3:$U$983,6,FALSE)</f>
        <v>Exact4NumericText</v>
      </c>
      <c r="G139" s="48">
        <f>VLOOKUP($A139,DICO_Complet!$A$3:$U$983,7,FALSE)</f>
        <v>0</v>
      </c>
      <c r="H139" s="48">
        <f>VLOOKUP($A139,DICO_Complet!$A$3:$U$983,8,FALSE)</f>
        <v>0</v>
      </c>
      <c r="I139" s="2" t="str">
        <f>IF(VLOOKUP($A139,DICO_Complet!$A$3:$U$983,9,FALSE)&lt;&gt;0,VLOOKUP($A139,DICO_Complet!$A$3:$U$983,9,FALSE),"")</f>
        <v/>
      </c>
      <c r="J139" s="1" t="str">
        <f>VLOOKUP($A139,DICO_Complet!$A$3:$U$983,10,FALSE)</f>
        <v>Call frequency</v>
      </c>
      <c r="K139" s="53" t="str">
        <f>IF(VLOOKUP($A139,DICO_Complet!$A$3:$U$983,12,FALSE)=0,"",VLOOKUP($A139,DICO_Complet!$A$3:$U$983,12,FALSE))</f>
        <v/>
      </c>
      <c r="L139" s="53" t="str">
        <f>IF(VLOOKUP($A139,DICO_Complet!$A$3:$U$983,13,FALSE)=0,"",VLOOKUP($A139,DICO_Complet!$A$3:$U$983,13,FALSE))</f>
        <v/>
      </c>
      <c r="M139" s="53" t="str">
        <f>IF(VLOOKUP($A139,DICO_Complet!$A$3:$U$983,14,FALSE)=0,"",VLOOKUP($A139,DICO_Complet!$A$3:$U$983,14,FALSE))</f>
        <v>72_DF43 Part 6</v>
      </c>
      <c r="N139" s="53" t="str">
        <f>IF(VLOOKUP($A139,DICO_Complet!$A$3:$U$983,15,FALSE)=0,"",VLOOKUP($A139,DICO_Complet!$A$3:$U$983,15,FALSE))</f>
        <v/>
      </c>
      <c r="O139" s="53" t="str">
        <f>IF(VLOOKUP($A139,DICO_Complet!$A$3:$U$983,16,FALSE)=0,"",VLOOKUP($A139,DICO_Complet!$A$3:$U$983,16,FALSE))</f>
        <v/>
      </c>
      <c r="P139" s="53" t="str">
        <f>IF(VLOOKUP($A139,DICO_Complet!$A$3:$U$983,17,FALSE)=0,"",VLOOKUP($A139,DICO_Complet!$A$3:$U$983,17,FALSE))</f>
        <v/>
      </c>
      <c r="Q139" s="53" t="str">
        <f>IF(VLOOKUP($A139,DICO_Complet!$A$3:$U$983,18,FALSE)=0,"",VLOOKUP($A139,DICO_Complet!$A$3:$U$983,18,FALSE))</f>
        <v/>
      </c>
    </row>
    <row r="140" spans="1:17" ht="15" customHeight="1">
      <c r="A140" s="38">
        <v>250425201001</v>
      </c>
      <c r="B140" s="47" t="s">
        <v>858</v>
      </c>
      <c r="C140" s="3" t="str">
        <f>VLOOKUP($A140,DICO_Complet!$A$3:$U$983,3,FALSE)</f>
        <v>Context</v>
      </c>
      <c r="D140" s="3" t="str">
        <f>VLOOKUP($A140,DICO_Complet!$A$3:$U$983,4,FALSE)</f>
        <v>pointOfServiceContext</v>
      </c>
      <c r="E140" s="2" t="str">
        <f>VLOOKUP($A140,DICO_Complet!$A$3:$U$983,5,FALSE)</f>
        <v>temp_callLocalTimeStart</v>
      </c>
      <c r="F140" s="2" t="str">
        <f>VLOOKUP($A140,DICO_Complet!$A$3:$U$983,6,FALSE)</f>
        <v>Exact4AlphaNumericText</v>
      </c>
      <c r="G140" s="48">
        <f>VLOOKUP($A140,DICO_Complet!$A$3:$U$983,7,FALSE)</f>
        <v>0</v>
      </c>
      <c r="H140" s="48">
        <f>VLOOKUP($A140,DICO_Complet!$A$3:$U$983,8,FALSE)</f>
        <v>0</v>
      </c>
      <c r="I140" s="2" t="str">
        <f>IF(VLOOKUP($A140,DICO_Complet!$A$3:$U$983,9,FALSE)&lt;&gt;0,VLOOKUP($A140,DICO_Complet!$A$3:$U$983,9,FALSE),"")</f>
        <v/>
      </c>
      <c r="J140" s="1" t="str">
        <f>VLOOKUP($A140,DICO_Complet!$A$3:$U$983,10,FALSE)</f>
        <v>Local time start (acceptance system application) associated with the approval mode</v>
      </c>
      <c r="K140" s="53" t="str">
        <f>IF(VLOOKUP($A140,DICO_Complet!$A$3:$U$983,12,FALSE)=0,"",VLOOKUP($A140,DICO_Complet!$A$3:$U$983,12,FALSE))</f>
        <v/>
      </c>
      <c r="L140" s="53" t="str">
        <f>IF(VLOOKUP($A140,DICO_Complet!$A$3:$U$983,13,FALSE)=0,"",VLOOKUP($A140,DICO_Complet!$A$3:$U$983,13,FALSE))</f>
        <v/>
      </c>
      <c r="M140" s="53" t="str">
        <f>IF(VLOOKUP($A140,DICO_Complet!$A$3:$U$983,14,FALSE)=0,"",VLOOKUP($A140,DICO_Complet!$A$3:$U$983,14,FALSE))</f>
        <v>72_DF24 part 3</v>
      </c>
      <c r="N140" s="53" t="str">
        <f>IF(VLOOKUP($A140,DICO_Complet!$A$3:$U$983,15,FALSE)=0,"",VLOOKUP($A140,DICO_Complet!$A$3:$U$983,15,FALSE))</f>
        <v/>
      </c>
      <c r="O140" s="53" t="str">
        <f>IF(VLOOKUP($A140,DICO_Complet!$A$3:$U$983,16,FALSE)=0,"",VLOOKUP($A140,DICO_Complet!$A$3:$U$983,16,FALSE))</f>
        <v/>
      </c>
      <c r="P140" s="53" t="str">
        <f>IF(VLOOKUP($A140,DICO_Complet!$A$3:$U$983,17,FALSE)=0,"",VLOOKUP($A140,DICO_Complet!$A$3:$U$983,17,FALSE))</f>
        <v/>
      </c>
      <c r="Q140" s="53" t="str">
        <f>IF(VLOOKUP($A140,DICO_Complet!$A$3:$U$983,18,FALSE)=0,"",VLOOKUP($A140,DICO_Complet!$A$3:$U$983,18,FALSE))</f>
        <v/>
      </c>
    </row>
    <row r="141" spans="1:17" ht="15" customHeight="1">
      <c r="A141" s="38">
        <v>250425201701</v>
      </c>
      <c r="B141" s="47" t="s">
        <v>858</v>
      </c>
      <c r="C141" s="3" t="str">
        <f>VLOOKUP($A141,DICO_Complet!$A$3:$U$983,3,FALSE)</f>
        <v>Context</v>
      </c>
      <c r="D141" s="3" t="str">
        <f>VLOOKUP($A141,DICO_Complet!$A$3:$U$983,4,FALSE)</f>
        <v>pointOfServiceContext</v>
      </c>
      <c r="E141" s="2" t="str">
        <f>VLOOKUP($A141,DICO_Complet!$A$3:$U$983,5,FALSE)</f>
        <v>temp_cardAcceptorRAMmemorycapacity</v>
      </c>
      <c r="F141" s="2" t="str">
        <f>VLOOKUP($A141,DICO_Complet!$A$3:$U$983,6,FALSE)</f>
        <v>Exact6Text</v>
      </c>
      <c r="G141" s="48">
        <f>VLOOKUP($A141,DICO_Complet!$A$3:$U$983,7,FALSE)</f>
        <v>0</v>
      </c>
      <c r="H141" s="48">
        <f>VLOOKUP($A141,DICO_Complet!$A$3:$U$983,8,FALSE)</f>
        <v>0</v>
      </c>
      <c r="I141" s="2" t="str">
        <f>IF(VLOOKUP($A141,DICO_Complet!$A$3:$U$983,9,FALSE)&lt;&gt;0,VLOOKUP($A141,DICO_Complet!$A$3:$U$983,9,FALSE),"")</f>
        <v/>
      </c>
      <c r="J141" s="1" t="str">
        <f>VLOOKUP($A141,DICO_Complet!$A$3:$U$983,10,FALSE)</f>
        <v>Card acceptor RAM memory capacity (KB)</v>
      </c>
      <c r="K141" s="53" t="str">
        <f>IF(VLOOKUP($A141,DICO_Complet!$A$3:$U$983,12,FALSE)=0,"",VLOOKUP($A141,DICO_Complet!$A$3:$U$983,12,FALSE))</f>
        <v/>
      </c>
      <c r="L141" s="53" t="str">
        <f>IF(VLOOKUP($A141,DICO_Complet!$A$3:$U$983,13,FALSE)=0,"",VLOOKUP($A141,DICO_Complet!$A$3:$U$983,13,FALSE))</f>
        <v/>
      </c>
      <c r="M141" s="53" t="str">
        <f>IF(VLOOKUP($A141,DICO_Complet!$A$3:$U$983,14,FALSE)=0,"",VLOOKUP($A141,DICO_Complet!$A$3:$U$983,14,FALSE))</f>
        <v>614_46 DF67 part 11</v>
      </c>
      <c r="N141" s="53" t="str">
        <f>IF(VLOOKUP($A141,DICO_Complet!$A$3:$U$983,15,FALSE)=0,"",VLOOKUP($A141,DICO_Complet!$A$3:$U$983,15,FALSE))</f>
        <v/>
      </c>
      <c r="O141" s="53" t="str">
        <f>IF(VLOOKUP($A141,DICO_Complet!$A$3:$U$983,16,FALSE)=0,"",VLOOKUP($A141,DICO_Complet!$A$3:$U$983,16,FALSE))</f>
        <v/>
      </c>
      <c r="P141" s="53" t="str">
        <f>IF(VLOOKUP($A141,DICO_Complet!$A$3:$U$983,17,FALSE)=0,"",VLOOKUP($A141,DICO_Complet!$A$3:$U$983,17,FALSE))</f>
        <v/>
      </c>
      <c r="Q141" s="53" t="str">
        <f>IF(VLOOKUP($A141,DICO_Complet!$A$3:$U$983,18,FALSE)=0,"",VLOOKUP($A141,DICO_Complet!$A$3:$U$983,18,FALSE))</f>
        <v/>
      </c>
    </row>
    <row r="142" spans="1:17" ht="15" customHeight="1">
      <c r="A142" s="38">
        <v>250425201700</v>
      </c>
      <c r="B142" s="47" t="s">
        <v>858</v>
      </c>
      <c r="C142" s="3" t="str">
        <f>VLOOKUP($A142,DICO_Complet!$A$3:$U$983,3,FALSE)</f>
        <v>Context</v>
      </c>
      <c r="D142" s="3" t="str">
        <f>VLOOKUP($A142,DICO_Complet!$A$3:$U$983,4,FALSE)</f>
        <v>pointOfServiceContext</v>
      </c>
      <c r="E142" s="2" t="str">
        <f>VLOOKUP($A142,DICO_Complet!$A$3:$U$983,5,FALSE)</f>
        <v>temp_cardAcceptorRemainingFlshStorageCapacity</v>
      </c>
      <c r="F142" s="2" t="str">
        <f>VLOOKUP($A142,DICO_Complet!$A$3:$U$983,6,FALSE)</f>
        <v>Exact6Text</v>
      </c>
      <c r="G142" s="48">
        <f>VLOOKUP($A142,DICO_Complet!$A$3:$U$983,7,FALSE)</f>
        <v>0</v>
      </c>
      <c r="H142" s="48">
        <f>VLOOKUP($A142,DICO_Complet!$A$3:$U$983,8,FALSE)</f>
        <v>0</v>
      </c>
      <c r="I142" s="2" t="str">
        <f>IF(VLOOKUP($A142,DICO_Complet!$A$3:$U$983,9,FALSE)&lt;&gt;0,VLOOKUP($A142,DICO_Complet!$A$3:$U$983,9,FALSE),"")</f>
        <v/>
      </c>
      <c r="J142" s="1" t="str">
        <f>VLOOKUP($A142,DICO_Complet!$A$3:$U$983,10,FALSE)</f>
        <v>Card acceptor remaining FLASH storage capacity (KB)</v>
      </c>
      <c r="K142" s="53" t="str">
        <f>IF(VLOOKUP($A142,DICO_Complet!$A$3:$U$983,12,FALSE)=0,"",VLOOKUP($A142,DICO_Complet!$A$3:$U$983,12,FALSE))</f>
        <v/>
      </c>
      <c r="L142" s="53" t="str">
        <f>IF(VLOOKUP($A142,DICO_Complet!$A$3:$U$983,13,FALSE)=0,"",VLOOKUP($A142,DICO_Complet!$A$3:$U$983,13,FALSE))</f>
        <v/>
      </c>
      <c r="M142" s="53" t="str">
        <f>IF(VLOOKUP($A142,DICO_Complet!$A$3:$U$983,14,FALSE)=0,"",VLOOKUP($A142,DICO_Complet!$A$3:$U$983,14,FALSE))</f>
        <v>614_46 DF67 part 10</v>
      </c>
      <c r="N142" s="53" t="str">
        <f>IF(VLOOKUP($A142,DICO_Complet!$A$3:$U$983,15,FALSE)=0,"",VLOOKUP($A142,DICO_Complet!$A$3:$U$983,15,FALSE))</f>
        <v/>
      </c>
      <c r="O142" s="53" t="str">
        <f>IF(VLOOKUP($A142,DICO_Complet!$A$3:$U$983,16,FALSE)=0,"",VLOOKUP($A142,DICO_Complet!$A$3:$U$983,16,FALSE))</f>
        <v/>
      </c>
      <c r="P142" s="53" t="str">
        <f>IF(VLOOKUP($A142,DICO_Complet!$A$3:$U$983,17,FALSE)=0,"",VLOOKUP($A142,DICO_Complet!$A$3:$U$983,17,FALSE))</f>
        <v/>
      </c>
      <c r="Q142" s="53" t="str">
        <f>IF(VLOOKUP($A142,DICO_Complet!$A$3:$U$983,18,FALSE)=0,"",VLOOKUP($A142,DICO_Complet!$A$3:$U$983,18,FALSE))</f>
        <v/>
      </c>
    </row>
    <row r="143" spans="1:17">
      <c r="A143" s="38">
        <v>250425201702</v>
      </c>
      <c r="B143" s="47" t="s">
        <v>858</v>
      </c>
      <c r="C143" s="3" t="str">
        <f>VLOOKUP($A143,DICO_Complet!$A$3:$U$983,3,FALSE)</f>
        <v>Context</v>
      </c>
      <c r="D143" s="3" t="str">
        <f>VLOOKUP($A143,DICO_Complet!$A$3:$U$983,4,FALSE)</f>
        <v>pointOfServiceContext</v>
      </c>
      <c r="E143" s="2" t="str">
        <f>VLOOKUP($A143,DICO_Complet!$A$3:$U$983,5,FALSE)</f>
        <v>temp_cardAcceptorRemainingRAMStorageCapacity</v>
      </c>
      <c r="F143" s="2" t="str">
        <f>VLOOKUP($A143,DICO_Complet!$A$3:$U$983,6,FALSE)</f>
        <v>Exact6Text</v>
      </c>
      <c r="G143" s="48">
        <f>VLOOKUP($A143,DICO_Complet!$A$3:$U$983,7,FALSE)</f>
        <v>0</v>
      </c>
      <c r="H143" s="48">
        <f>VLOOKUP($A143,DICO_Complet!$A$3:$U$983,8,FALSE)</f>
        <v>0</v>
      </c>
      <c r="I143" s="2" t="str">
        <f>IF(VLOOKUP($A143,DICO_Complet!$A$3:$U$983,9,FALSE)&lt;&gt;0,VLOOKUP($A143,DICO_Complet!$A$3:$U$983,9,FALSE),"")</f>
        <v/>
      </c>
      <c r="J143" s="1" t="str">
        <f>VLOOKUP($A143,DICO_Complet!$A$3:$U$983,10,FALSE)</f>
        <v>Card acceptor remaining RAM storage capacity (KB)</v>
      </c>
      <c r="K143" s="53" t="str">
        <f>IF(VLOOKUP($A143,DICO_Complet!$A$3:$U$983,12,FALSE)=0,"",VLOOKUP($A143,DICO_Complet!$A$3:$U$983,12,FALSE))</f>
        <v/>
      </c>
      <c r="L143" s="53" t="str">
        <f>IF(VLOOKUP($A143,DICO_Complet!$A$3:$U$983,13,FALSE)=0,"",VLOOKUP($A143,DICO_Complet!$A$3:$U$983,13,FALSE))</f>
        <v/>
      </c>
      <c r="M143" s="53" t="str">
        <f>IF(VLOOKUP($A143,DICO_Complet!$A$3:$U$983,14,FALSE)=0,"",VLOOKUP($A143,DICO_Complet!$A$3:$U$983,14,FALSE))</f>
        <v>614_46 DF67 part 12</v>
      </c>
      <c r="N143" s="53" t="str">
        <f>IF(VLOOKUP($A143,DICO_Complet!$A$3:$U$983,15,FALSE)=0,"",VLOOKUP($A143,DICO_Complet!$A$3:$U$983,15,FALSE))</f>
        <v/>
      </c>
      <c r="O143" s="53" t="str">
        <f>IF(VLOOKUP($A143,DICO_Complet!$A$3:$U$983,16,FALSE)=0,"",VLOOKUP($A143,DICO_Complet!$A$3:$U$983,16,FALSE))</f>
        <v/>
      </c>
      <c r="P143" s="53" t="str">
        <f>IF(VLOOKUP($A143,DICO_Complet!$A$3:$U$983,17,FALSE)=0,"",VLOOKUP($A143,DICO_Complet!$A$3:$U$983,17,FALSE))</f>
        <v/>
      </c>
      <c r="Q143" s="53" t="str">
        <f>IF(VLOOKUP($A143,DICO_Complet!$A$3:$U$983,18,FALSE)=0,"",VLOOKUP($A143,DICO_Complet!$A$3:$U$983,18,FALSE))</f>
        <v/>
      </c>
    </row>
    <row r="144" spans="1:17">
      <c r="A144" s="38">
        <v>250425201706</v>
      </c>
      <c r="B144" s="47" t="s">
        <v>858</v>
      </c>
      <c r="C144" s="3" t="str">
        <f>VLOOKUP($A144,DICO_Complet!$A$3:$U$983,3,FALSE)</f>
        <v>Context</v>
      </c>
      <c r="D144" s="3" t="str">
        <f>VLOOKUP($A144,DICO_Complet!$A$3:$U$983,4,FALSE)</f>
        <v>pointOfServiceContext</v>
      </c>
      <c r="E144" s="2" t="str">
        <f>VLOOKUP($A144,DICO_Complet!$A$3:$U$983,5,FALSE)</f>
        <v>temp_couplerSpecificationsVersionNumber</v>
      </c>
      <c r="F144" s="2" t="str">
        <f>VLOOKUP($A144,DICO_Complet!$A$3:$U$983,6,FALSE)</f>
        <v>Exact4AlphaNumericText</v>
      </c>
      <c r="G144" s="48">
        <f>VLOOKUP($A144,DICO_Complet!$A$3:$U$983,7,FALSE)</f>
        <v>0</v>
      </c>
      <c r="H144" s="48">
        <f>VLOOKUP($A144,DICO_Complet!$A$3:$U$983,8,FALSE)</f>
        <v>0</v>
      </c>
      <c r="I144" s="2" t="str">
        <f>IF(VLOOKUP($A144,DICO_Complet!$A$3:$U$983,9,FALSE)&lt;&gt;0,VLOOKUP($A144,DICO_Complet!$A$3:$U$983,9,FALSE),"")</f>
        <v/>
      </c>
      <c r="J144" s="1" t="str">
        <f>VLOOKUP($A144,DICO_Complet!$A$3:$U$983,10,FALSE)</f>
        <v>Coupler specifications version number</v>
      </c>
      <c r="K144" s="53" t="str">
        <f>IF(VLOOKUP($A144,DICO_Complet!$A$3:$U$983,12,FALSE)=0,"",VLOOKUP($A144,DICO_Complet!$A$3:$U$983,12,FALSE))</f>
        <v/>
      </c>
      <c r="L144" s="53" t="str">
        <f>IF(VLOOKUP($A144,DICO_Complet!$A$3:$U$983,13,FALSE)=0,"",VLOOKUP($A144,DICO_Complet!$A$3:$U$983,13,FALSE))</f>
        <v/>
      </c>
      <c r="M144" s="53" t="str">
        <f>IF(VLOOKUP($A144,DICO_Complet!$A$3:$U$983,14,FALSE)=0,"",VLOOKUP($A144,DICO_Complet!$A$3:$U$983,14,FALSE))</f>
        <v>614_46 DF67 part 16</v>
      </c>
      <c r="N144" s="53" t="str">
        <f>IF(VLOOKUP($A144,DICO_Complet!$A$3:$U$983,15,FALSE)=0,"",VLOOKUP($A144,DICO_Complet!$A$3:$U$983,15,FALSE))</f>
        <v/>
      </c>
      <c r="O144" s="53" t="str">
        <f>IF(VLOOKUP($A144,DICO_Complet!$A$3:$U$983,16,FALSE)=0,"",VLOOKUP($A144,DICO_Complet!$A$3:$U$983,16,FALSE))</f>
        <v/>
      </c>
      <c r="P144" s="53" t="str">
        <f>IF(VLOOKUP($A144,DICO_Complet!$A$3:$U$983,17,FALSE)=0,"",VLOOKUP($A144,DICO_Complet!$A$3:$U$983,17,FALSE))</f>
        <v/>
      </c>
      <c r="Q144" s="53" t="str">
        <f>IF(VLOOKUP($A144,DICO_Complet!$A$3:$U$983,18,FALSE)=0,"",VLOOKUP($A144,DICO_Complet!$A$3:$U$983,18,FALSE))</f>
        <v/>
      </c>
    </row>
    <row r="145" spans="1:17">
      <c r="A145" s="38">
        <v>250425201611</v>
      </c>
      <c r="B145" s="47" t="s">
        <v>858</v>
      </c>
      <c r="C145" s="3" t="str">
        <f>VLOOKUP($A145,DICO_Complet!$A$3:$U$983,3,FALSE)</f>
        <v>Context</v>
      </c>
      <c r="D145" s="3" t="str">
        <f>VLOOKUP($A145,DICO_Complet!$A$3:$U$983,4,FALSE)</f>
        <v>pointOfServiceContext</v>
      </c>
      <c r="E145" s="2" t="str">
        <f>VLOOKUP($A145,DICO_Complet!$A$3:$U$983,5,FALSE)</f>
        <v>temp_dataCategory</v>
      </c>
      <c r="F145" s="2" t="str">
        <f>VLOOKUP($A145,DICO_Complet!$A$3:$U$983,6,FALSE)</f>
        <v>temp_dataCategoryCodeset</v>
      </c>
      <c r="G145" s="48">
        <f>VLOOKUP($A145,DICO_Complet!$A$3:$U$983,7,FALSE)</f>
        <v>0</v>
      </c>
      <c r="H145" s="48">
        <f>VLOOKUP($A145,DICO_Complet!$A$3:$U$983,8,FALSE)</f>
        <v>0</v>
      </c>
      <c r="I145" s="2" t="str">
        <f>IF(VLOOKUP($A145,DICO_Complet!$A$3:$U$983,9,FALSE)&lt;&gt;0,VLOOKUP($A145,DICO_Complet!$A$3:$U$983,9,FALSE),"")</f>
        <v/>
      </c>
      <c r="J145" s="1" t="str">
        <f>VLOOKUP($A145,DICO_Complet!$A$3:$U$983,10,FALSE)</f>
        <v>Data type</v>
      </c>
      <c r="K145" s="53" t="str">
        <f>IF(VLOOKUP($A145,DICO_Complet!$A$3:$U$983,12,FALSE)=0,"",VLOOKUP($A145,DICO_Complet!$A$3:$U$983,12,FALSE))</f>
        <v/>
      </c>
      <c r="L145" s="53" t="str">
        <f>IF(VLOOKUP($A145,DICO_Complet!$A$3:$U$983,13,FALSE)=0,"",VLOOKUP($A145,DICO_Complet!$A$3:$U$983,13,FALSE))</f>
        <v/>
      </c>
      <c r="M145" s="53" t="str">
        <f>IF(VLOOKUP($A145,DICO_Complet!$A$3:$U$983,14,FALSE)=0,"",VLOOKUP($A145,DICO_Complet!$A$3:$U$983,14,FALSE))</f>
        <v>814_31 part 1</v>
      </c>
      <c r="N145" s="53" t="str">
        <f>IF(VLOOKUP($A145,DICO_Complet!$A$3:$U$983,15,FALSE)=0,"",VLOOKUP($A145,DICO_Complet!$A$3:$U$983,15,FALSE))</f>
        <v/>
      </c>
      <c r="O145" s="53" t="str">
        <f>IF(VLOOKUP($A145,DICO_Complet!$A$3:$U$983,16,FALSE)=0,"",VLOOKUP($A145,DICO_Complet!$A$3:$U$983,16,FALSE))</f>
        <v/>
      </c>
      <c r="P145" s="53" t="str">
        <f>IF(VLOOKUP($A145,DICO_Complet!$A$3:$U$983,17,FALSE)=0,"",VLOOKUP($A145,DICO_Complet!$A$3:$U$983,17,FALSE))</f>
        <v/>
      </c>
      <c r="Q145" s="53" t="str">
        <f>IF(VLOOKUP($A145,DICO_Complet!$A$3:$U$983,18,FALSE)=0,"",VLOOKUP($A145,DICO_Complet!$A$3:$U$983,18,FALSE))</f>
        <v/>
      </c>
    </row>
    <row r="146" spans="1:17">
      <c r="A146" s="38">
        <v>250425201514</v>
      </c>
      <c r="B146" s="47" t="s">
        <v>858</v>
      </c>
      <c r="C146" s="3" t="str">
        <f>VLOOKUP($A146,DICO_Complet!$A$3:$U$983,3,FALSE)</f>
        <v>Context</v>
      </c>
      <c r="D146" s="3" t="str">
        <f>VLOOKUP($A146,DICO_Complet!$A$3:$U$983,4,FALSE)</f>
        <v>pointOfServiceContext</v>
      </c>
      <c r="E146" s="2" t="str">
        <f>VLOOKUP($A146,DICO_Complet!$A$3:$U$983,5,FALSE)</f>
        <v>temp_functionActivationCodes</v>
      </c>
      <c r="F146" s="2" t="str">
        <f>VLOOKUP($A146,DICO_Complet!$A$3:$U$983,6,FALSE)</f>
        <v>Exact16HexBinaryText</v>
      </c>
      <c r="G146" s="48">
        <f>VLOOKUP($A146,DICO_Complet!$A$3:$U$983,7,FALSE)</f>
        <v>0</v>
      </c>
      <c r="H146" s="48">
        <f>VLOOKUP($A146,DICO_Complet!$A$3:$U$983,8,FALSE)</f>
        <v>0</v>
      </c>
      <c r="I146" s="2" t="str">
        <f>IF(VLOOKUP($A146,DICO_Complet!$A$3:$U$983,9,FALSE)&lt;&gt;0,VLOOKUP($A146,DICO_Complet!$A$3:$U$983,9,FALSE),"")</f>
        <v/>
      </c>
      <c r="J146" s="1" t="str">
        <f>VLOOKUP($A146,DICO_Complet!$A$3:$U$983,10,FALSE)</f>
        <v>Function activation codes</v>
      </c>
      <c r="K146" s="53" t="str">
        <f>IF(VLOOKUP($A146,DICO_Complet!$A$3:$U$983,12,FALSE)=0,"",VLOOKUP($A146,DICO_Complet!$A$3:$U$983,12,FALSE))</f>
        <v/>
      </c>
      <c r="L146" s="53" t="str">
        <f>IF(VLOOKUP($A146,DICO_Complet!$A$3:$U$983,13,FALSE)=0,"",VLOOKUP($A146,DICO_Complet!$A$3:$U$983,13,FALSE))</f>
        <v/>
      </c>
      <c r="M146" s="53" t="str">
        <f>IF(VLOOKUP($A146,DICO_Complet!$A$3:$U$983,14,FALSE)=0,"",VLOOKUP($A146,DICO_Complet!$A$3:$U$983,14,FALSE))</f>
        <v>72_DF99 part 4</v>
      </c>
      <c r="N146" s="53" t="str">
        <f>IF(VLOOKUP($A146,DICO_Complet!$A$3:$U$983,15,FALSE)=0,"",VLOOKUP($A146,DICO_Complet!$A$3:$U$983,15,FALSE))</f>
        <v/>
      </c>
      <c r="O146" s="53" t="str">
        <f>IF(VLOOKUP($A146,DICO_Complet!$A$3:$U$983,16,FALSE)=0,"",VLOOKUP($A146,DICO_Complet!$A$3:$U$983,16,FALSE))</f>
        <v/>
      </c>
      <c r="P146" s="53" t="str">
        <f>IF(VLOOKUP($A146,DICO_Complet!$A$3:$U$983,17,FALSE)=0,"",VLOOKUP($A146,DICO_Complet!$A$3:$U$983,17,FALSE))</f>
        <v/>
      </c>
      <c r="Q146" s="53" t="str">
        <f>IF(VLOOKUP($A146,DICO_Complet!$A$3:$U$983,18,FALSE)=0,"",VLOOKUP($A146,DICO_Complet!$A$3:$U$983,18,FALSE))</f>
        <v/>
      </c>
    </row>
    <row r="147" spans="1:17">
      <c r="A147" s="38">
        <v>250425201704</v>
      </c>
      <c r="B147" s="47" t="s">
        <v>858</v>
      </c>
      <c r="C147" s="3" t="str">
        <f>VLOOKUP($A147,DICO_Complet!$A$3:$U$983,3,FALSE)</f>
        <v>Context</v>
      </c>
      <c r="D147" s="3" t="str">
        <f>VLOOKUP($A147,DICO_Complet!$A$3:$U$983,4,FALSE)</f>
        <v>pointOfServiceContext</v>
      </c>
      <c r="E147" s="2" t="str">
        <f>VLOOKUP($A147,DICO_Complet!$A$3:$U$983,5,FALSE)</f>
        <v>temp_hardwareCouplerVersionNumber</v>
      </c>
      <c r="F147" s="2" t="str">
        <f>VLOOKUP($A147,DICO_Complet!$A$3:$U$983,6,FALSE)</f>
        <v>Exact4AlphaNumericText</v>
      </c>
      <c r="G147" s="48">
        <f>VLOOKUP($A147,DICO_Complet!$A$3:$U$983,7,FALSE)</f>
        <v>0</v>
      </c>
      <c r="H147" s="48">
        <f>VLOOKUP($A147,DICO_Complet!$A$3:$U$983,8,FALSE)</f>
        <v>0</v>
      </c>
      <c r="I147" s="2" t="str">
        <f>IF(VLOOKUP($A147,DICO_Complet!$A$3:$U$983,9,FALSE)&lt;&gt;0,VLOOKUP($A147,DICO_Complet!$A$3:$U$983,9,FALSE),"")</f>
        <v/>
      </c>
      <c r="J147" s="1" t="str">
        <f>VLOOKUP($A147,DICO_Complet!$A$3:$U$983,10,FALSE)</f>
        <v>Hardware coupler version number</v>
      </c>
      <c r="K147" s="53" t="str">
        <f>IF(VLOOKUP($A147,DICO_Complet!$A$3:$U$983,12,FALSE)=0,"",VLOOKUP($A147,DICO_Complet!$A$3:$U$983,12,FALSE))</f>
        <v/>
      </c>
      <c r="L147" s="53" t="str">
        <f>IF(VLOOKUP($A147,DICO_Complet!$A$3:$U$983,13,FALSE)=0,"",VLOOKUP($A147,DICO_Complet!$A$3:$U$983,13,FALSE))</f>
        <v/>
      </c>
      <c r="M147" s="53" t="str">
        <f>IF(VLOOKUP($A147,DICO_Complet!$A$3:$U$983,14,FALSE)=0,"",VLOOKUP($A147,DICO_Complet!$A$3:$U$983,14,FALSE))</f>
        <v>614_46 DF67 part 14</v>
      </c>
      <c r="N147" s="53" t="str">
        <f>IF(VLOOKUP($A147,DICO_Complet!$A$3:$U$983,15,FALSE)=0,"",VLOOKUP($A147,DICO_Complet!$A$3:$U$983,15,FALSE))</f>
        <v/>
      </c>
      <c r="O147" s="53" t="str">
        <f>IF(VLOOKUP($A147,DICO_Complet!$A$3:$U$983,16,FALSE)=0,"",VLOOKUP($A147,DICO_Complet!$A$3:$U$983,16,FALSE))</f>
        <v/>
      </c>
      <c r="P147" s="53" t="str">
        <f>IF(VLOOKUP($A147,DICO_Complet!$A$3:$U$983,17,FALSE)=0,"",VLOOKUP($A147,DICO_Complet!$A$3:$U$983,17,FALSE))</f>
        <v/>
      </c>
      <c r="Q147" s="53" t="str">
        <f>IF(VLOOKUP($A147,DICO_Complet!$A$3:$U$983,18,FALSE)=0,"",VLOOKUP($A147,DICO_Complet!$A$3:$U$983,18,FALSE))</f>
        <v/>
      </c>
    </row>
    <row r="148" spans="1:17">
      <c r="A148" s="38">
        <v>250425201521</v>
      </c>
      <c r="B148" s="47" t="s">
        <v>858</v>
      </c>
      <c r="C148" s="3" t="str">
        <f>VLOOKUP($A148,DICO_Complet!$A$3:$U$983,3,FALSE)</f>
        <v>Context</v>
      </c>
      <c r="D148" s="3" t="str">
        <f>VLOOKUP($A148,DICO_Complet!$A$3:$U$983,4,FALSE)</f>
        <v>pointOfServiceContext</v>
      </c>
      <c r="E148" s="2" t="str">
        <f>VLOOKUP($A148,DICO_Complet!$A$3:$U$983,5,FALSE)</f>
        <v>temp_identifier</v>
      </c>
      <c r="F148" s="2" t="str">
        <f>VLOOKUP($A148,DICO_Complet!$A$3:$U$983,6,FALSE)</f>
        <v>Exact15HexBinaryText</v>
      </c>
      <c r="G148" s="48">
        <f>VLOOKUP($A148,DICO_Complet!$A$3:$U$983,7,FALSE)</f>
        <v>0</v>
      </c>
      <c r="H148" s="48">
        <f>VLOOKUP($A148,DICO_Complet!$A$3:$U$983,8,FALSE)</f>
        <v>0</v>
      </c>
      <c r="I148" s="2" t="str">
        <f>IF(VLOOKUP($A148,DICO_Complet!$A$3:$U$983,9,FALSE)&lt;&gt;0,VLOOKUP($A148,DICO_Complet!$A$3:$U$983,9,FALSE),"")</f>
        <v/>
      </c>
      <c r="J148" s="1" t="str">
        <f>VLOOKUP($A148,DICO_Complet!$A$3:$U$983,10,FALSE)</f>
        <v>Identifier</v>
      </c>
      <c r="K148" s="53" t="str">
        <f>IF(VLOOKUP($A148,DICO_Complet!$A$3:$U$983,12,FALSE)=0,"",VLOOKUP($A148,DICO_Complet!$A$3:$U$983,12,FALSE))</f>
        <v/>
      </c>
      <c r="L148" s="53" t="str">
        <f>IF(VLOOKUP($A148,DICO_Complet!$A$3:$U$983,13,FALSE)=0,"",VLOOKUP($A148,DICO_Complet!$A$3:$U$983,13,FALSE))</f>
        <v/>
      </c>
      <c r="M148" s="53" t="str">
        <f>IF(VLOOKUP($A148,DICO_Complet!$A$3:$U$983,14,FALSE)=0,"",VLOOKUP($A148,DICO_Complet!$A$3:$U$983,14,FALSE))</f>
        <v>72_DFAB part 2</v>
      </c>
      <c r="N148" s="53" t="str">
        <f>IF(VLOOKUP($A148,DICO_Complet!$A$3:$U$983,15,FALSE)=0,"",VLOOKUP($A148,DICO_Complet!$A$3:$U$983,15,FALSE))</f>
        <v/>
      </c>
      <c r="O148" s="53" t="str">
        <f>IF(VLOOKUP($A148,DICO_Complet!$A$3:$U$983,16,FALSE)=0,"",VLOOKUP($A148,DICO_Complet!$A$3:$U$983,16,FALSE))</f>
        <v/>
      </c>
      <c r="P148" s="53" t="str">
        <f>IF(VLOOKUP($A148,DICO_Complet!$A$3:$U$983,17,FALSE)=0,"",VLOOKUP($A148,DICO_Complet!$A$3:$U$983,17,FALSE))</f>
        <v/>
      </c>
      <c r="Q148" s="53" t="str">
        <f>IF(VLOOKUP($A148,DICO_Complet!$A$3:$U$983,18,FALSE)=0,"",VLOOKUP($A148,DICO_Complet!$A$3:$U$983,18,FALSE))</f>
        <v/>
      </c>
    </row>
    <row r="149" spans="1:17">
      <c r="A149" s="38">
        <v>250425201520</v>
      </c>
      <c r="B149" s="47" t="s">
        <v>858</v>
      </c>
      <c r="C149" s="3" t="str">
        <f>VLOOKUP($A149,DICO_Complet!$A$3:$U$983,3,FALSE)</f>
        <v>Context</v>
      </c>
      <c r="D149" s="3" t="str">
        <f>VLOOKUP($A149,DICO_Complet!$A$3:$U$983,4,FALSE)</f>
        <v>pointOfServiceContext</v>
      </c>
      <c r="E149" s="2" t="str">
        <f>VLOOKUP($A149,DICO_Complet!$A$3:$U$983,5,FALSE)</f>
        <v>temp_identifierLength</v>
      </c>
      <c r="F149" s="2" t="str">
        <f>VLOOKUP($A149,DICO_Complet!$A$3:$U$983,6,FALSE)</f>
        <v>Exact2NumericText</v>
      </c>
      <c r="G149" s="48">
        <f>VLOOKUP($A149,DICO_Complet!$A$3:$U$983,7,FALSE)</f>
        <v>0</v>
      </c>
      <c r="H149" s="48">
        <f>VLOOKUP($A149,DICO_Complet!$A$3:$U$983,8,FALSE)</f>
        <v>0</v>
      </c>
      <c r="I149" s="2" t="str">
        <f>IF(VLOOKUP($A149,DICO_Complet!$A$3:$U$983,9,FALSE)&lt;&gt;0,VLOOKUP($A149,DICO_Complet!$A$3:$U$983,9,FALSE),"")</f>
        <v/>
      </c>
      <c r="J149" s="1" t="str">
        <f>VLOOKUP($A149,DICO_Complet!$A$3:$U$983,10,FALSE)</f>
        <v>Identifier length</v>
      </c>
      <c r="K149" s="53" t="str">
        <f>IF(VLOOKUP($A149,DICO_Complet!$A$3:$U$983,12,FALSE)=0,"",VLOOKUP($A149,DICO_Complet!$A$3:$U$983,12,FALSE))</f>
        <v/>
      </c>
      <c r="L149" s="53" t="str">
        <f>IF(VLOOKUP($A149,DICO_Complet!$A$3:$U$983,13,FALSE)=0,"",VLOOKUP($A149,DICO_Complet!$A$3:$U$983,13,FALSE))</f>
        <v/>
      </c>
      <c r="M149" s="53" t="str">
        <f>IF(VLOOKUP($A149,DICO_Complet!$A$3:$U$983,14,FALSE)=0,"",VLOOKUP($A149,DICO_Complet!$A$3:$U$983,14,FALSE))</f>
        <v>72_DFAB part 1</v>
      </c>
      <c r="N149" s="53" t="str">
        <f>IF(VLOOKUP($A149,DICO_Complet!$A$3:$U$983,15,FALSE)=0,"",VLOOKUP($A149,DICO_Complet!$A$3:$U$983,15,FALSE))</f>
        <v/>
      </c>
      <c r="O149" s="53" t="str">
        <f>IF(VLOOKUP($A149,DICO_Complet!$A$3:$U$983,16,FALSE)=0,"",VLOOKUP($A149,DICO_Complet!$A$3:$U$983,16,FALSE))</f>
        <v/>
      </c>
      <c r="P149" s="53" t="str">
        <f>IF(VLOOKUP($A149,DICO_Complet!$A$3:$U$983,17,FALSE)=0,"",VLOOKUP($A149,DICO_Complet!$A$3:$U$983,17,FALSE))</f>
        <v/>
      </c>
      <c r="Q149" s="53" t="str">
        <f>IF(VLOOKUP($A149,DICO_Complet!$A$3:$U$983,18,FALSE)=0,"",VLOOKUP($A149,DICO_Complet!$A$3:$U$983,18,FALSE))</f>
        <v/>
      </c>
    </row>
    <row r="150" spans="1:17">
      <c r="A150" s="38">
        <v>250425201703</v>
      </c>
      <c r="B150" s="47" t="s">
        <v>858</v>
      </c>
      <c r="C150" s="3" t="str">
        <f>VLOOKUP($A150,DICO_Complet!$A$3:$U$983,3,FALSE)</f>
        <v>Context</v>
      </c>
      <c r="D150" s="3" t="str">
        <f>VLOOKUP($A150,DICO_Complet!$A$3:$U$983,4,FALSE)</f>
        <v>pointOfServiceContext</v>
      </c>
      <c r="E150" s="2" t="str">
        <f>VLOOKUP($A150,DICO_Complet!$A$3:$U$983,5,FALSE)</f>
        <v>temp_kernelEditorCode</v>
      </c>
      <c r="F150" s="2" t="str">
        <f>VLOOKUP($A150,DICO_Complet!$A$3:$U$983,6,FALSE)</f>
        <v>Exact3Text</v>
      </c>
      <c r="G150" s="48">
        <f>VLOOKUP($A150,DICO_Complet!$A$3:$U$983,7,FALSE)</f>
        <v>0</v>
      </c>
      <c r="H150" s="48">
        <f>VLOOKUP($A150,DICO_Complet!$A$3:$U$983,8,FALSE)</f>
        <v>0</v>
      </c>
      <c r="I150" s="2" t="str">
        <f>IF(VLOOKUP($A150,DICO_Complet!$A$3:$U$983,9,FALSE)&lt;&gt;0,VLOOKUP($A150,DICO_Complet!$A$3:$U$983,9,FALSE),"")</f>
        <v/>
      </c>
      <c r="J150" s="1" t="str">
        <f>VLOOKUP($A150,DICO_Complet!$A$3:$U$983,10,FALSE)</f>
        <v>Kernel editor code</v>
      </c>
      <c r="K150" s="53" t="str">
        <f>IF(VLOOKUP($A150,DICO_Complet!$A$3:$U$983,12,FALSE)=0,"",VLOOKUP($A150,DICO_Complet!$A$3:$U$983,12,FALSE))</f>
        <v/>
      </c>
      <c r="L150" s="53" t="str">
        <f>IF(VLOOKUP($A150,DICO_Complet!$A$3:$U$983,13,FALSE)=0,"",VLOOKUP($A150,DICO_Complet!$A$3:$U$983,13,FALSE))</f>
        <v/>
      </c>
      <c r="M150" s="53" t="str">
        <f>IF(VLOOKUP($A150,DICO_Complet!$A$3:$U$983,14,FALSE)=0,"",VLOOKUP($A150,DICO_Complet!$A$3:$U$983,14,FALSE))</f>
        <v>614_46 DF67 part 13</v>
      </c>
      <c r="N150" s="53" t="str">
        <f>IF(VLOOKUP($A150,DICO_Complet!$A$3:$U$983,15,FALSE)=0,"",VLOOKUP($A150,DICO_Complet!$A$3:$U$983,15,FALSE))</f>
        <v/>
      </c>
      <c r="O150" s="53" t="str">
        <f>IF(VLOOKUP($A150,DICO_Complet!$A$3:$U$983,16,FALSE)=0,"",VLOOKUP($A150,DICO_Complet!$A$3:$U$983,16,FALSE))</f>
        <v/>
      </c>
      <c r="P150" s="53" t="str">
        <f>IF(VLOOKUP($A150,DICO_Complet!$A$3:$U$983,17,FALSE)=0,"",VLOOKUP($A150,DICO_Complet!$A$3:$U$983,17,FALSE))</f>
        <v/>
      </c>
      <c r="Q150" s="53" t="str">
        <f>IF(VLOOKUP($A150,DICO_Complet!$A$3:$U$983,18,FALSE)=0,"",VLOOKUP($A150,DICO_Complet!$A$3:$U$983,18,FALSE))</f>
        <v/>
      </c>
    </row>
    <row r="151" spans="1:17">
      <c r="A151" s="38">
        <v>250425201620</v>
      </c>
      <c r="B151" s="47" t="s">
        <v>858</v>
      </c>
      <c r="C151" s="3" t="str">
        <f>VLOOKUP($A151,DICO_Complet!$A$3:$U$983,3,FALSE)</f>
        <v>Context</v>
      </c>
      <c r="D151" s="3" t="str">
        <f>VLOOKUP($A151,DICO_Complet!$A$3:$U$983,4,FALSE)</f>
        <v>pointOfServiceContext</v>
      </c>
      <c r="E151" s="2" t="str">
        <f>VLOOKUP($A151,DICO_Complet!$A$3:$U$983,5,FALSE)</f>
        <v>temp_kernelSoftwareVersionReference</v>
      </c>
      <c r="F151" s="2" t="str">
        <f>VLOOKUP($A151,DICO_Complet!$A$3:$U$983,6,FALSE)</f>
        <v>Exact4Text</v>
      </c>
      <c r="G151" s="48">
        <f>VLOOKUP($A151,DICO_Complet!$A$3:$U$983,7,FALSE)</f>
        <v>0</v>
      </c>
      <c r="H151" s="48">
        <f>VLOOKUP($A151,DICO_Complet!$A$3:$U$983,8,FALSE)</f>
        <v>0</v>
      </c>
      <c r="I151" s="2" t="str">
        <f>IF(VLOOKUP($A151,DICO_Complet!$A$3:$U$983,9,FALSE)&lt;&gt;0,VLOOKUP($A151,DICO_Complet!$A$3:$U$983,9,FALSE),"")</f>
        <v/>
      </c>
      <c r="J151" s="1" t="str">
        <f>VLOOKUP($A151,DICO_Complet!$A$3:$U$983,10,FALSE)</f>
        <v>Kernel software version reference</v>
      </c>
      <c r="K151" s="53" t="str">
        <f>IF(VLOOKUP($A151,DICO_Complet!$A$3:$U$983,12,FALSE)=0,"",VLOOKUP($A151,DICO_Complet!$A$3:$U$983,12,FALSE))</f>
        <v/>
      </c>
      <c r="L151" s="53" t="str">
        <f>IF(VLOOKUP($A151,DICO_Complet!$A$3:$U$983,13,FALSE)=0,"",VLOOKUP($A151,DICO_Complet!$A$3:$U$983,13,FALSE))</f>
        <v/>
      </c>
      <c r="M151" s="53" t="str">
        <f>IF(VLOOKUP($A151,DICO_Complet!$A$3:$U$983,14,FALSE)=0,"",VLOOKUP($A151,DICO_Complet!$A$3:$U$983,14,FALSE))</f>
        <v>614_46 DF67 part 4</v>
      </c>
      <c r="N151" s="53" t="str">
        <f>IF(VLOOKUP($A151,DICO_Complet!$A$3:$U$983,15,FALSE)=0,"",VLOOKUP($A151,DICO_Complet!$A$3:$U$983,15,FALSE))</f>
        <v/>
      </c>
      <c r="O151" s="53" t="str">
        <f>IF(VLOOKUP($A151,DICO_Complet!$A$3:$U$983,16,FALSE)=0,"",VLOOKUP($A151,DICO_Complet!$A$3:$U$983,16,FALSE))</f>
        <v/>
      </c>
      <c r="P151" s="53" t="str">
        <f>IF(VLOOKUP($A151,DICO_Complet!$A$3:$U$983,17,FALSE)=0,"",VLOOKUP($A151,DICO_Complet!$A$3:$U$983,17,FALSE))</f>
        <v/>
      </c>
      <c r="Q151" s="53" t="str">
        <f>IF(VLOOKUP($A151,DICO_Complet!$A$3:$U$983,18,FALSE)=0,"",VLOOKUP($A151,DICO_Complet!$A$3:$U$983,18,FALSE))</f>
        <v/>
      </c>
    </row>
    <row r="152" spans="1:17">
      <c r="A152" s="38">
        <v>250425201612</v>
      </c>
      <c r="B152" s="47" t="s">
        <v>858</v>
      </c>
      <c r="C152" s="3" t="str">
        <f>VLOOKUP($A152,DICO_Complet!$A$3:$U$983,3,FALSE)</f>
        <v>Context</v>
      </c>
      <c r="D152" s="3" t="str">
        <f>VLOOKUP($A152,DICO_Complet!$A$3:$U$983,4,FALSE)</f>
        <v>pointOfServiceContext</v>
      </c>
      <c r="E152" s="2" t="str">
        <f>VLOOKUP($A152,DICO_Complet!$A$3:$U$983,5,FALSE)</f>
        <v>temp_lengthOfDataElementToFollow</v>
      </c>
      <c r="F152" s="2" t="str">
        <f>VLOOKUP($A152,DICO_Complet!$A$3:$U$983,6,FALSE)</f>
        <v>Exact3AlphaNumericText</v>
      </c>
      <c r="G152" s="48">
        <f>VLOOKUP($A152,DICO_Complet!$A$3:$U$983,7,FALSE)</f>
        <v>0</v>
      </c>
      <c r="H152" s="48">
        <f>VLOOKUP($A152,DICO_Complet!$A$3:$U$983,8,FALSE)</f>
        <v>0</v>
      </c>
      <c r="I152" s="2" t="str">
        <f>IF(VLOOKUP($A152,DICO_Complet!$A$3:$U$983,9,FALSE)&lt;&gt;0,VLOOKUP($A152,DICO_Complet!$A$3:$U$983,9,FALSE),"")</f>
        <v/>
      </c>
      <c r="J152" s="1" t="str">
        <f>VLOOKUP($A152,DICO_Complet!$A$3:$U$983,10,FALSE)</f>
        <v>Length of data element to follow</v>
      </c>
      <c r="K152" s="53" t="str">
        <f>IF(VLOOKUP($A152,DICO_Complet!$A$3:$U$983,12,FALSE)=0,"",VLOOKUP($A152,DICO_Complet!$A$3:$U$983,12,FALSE))</f>
        <v/>
      </c>
      <c r="L152" s="53" t="str">
        <f>IF(VLOOKUP($A152,DICO_Complet!$A$3:$U$983,13,FALSE)=0,"",VLOOKUP($A152,DICO_Complet!$A$3:$U$983,13,FALSE))</f>
        <v/>
      </c>
      <c r="M152" s="53" t="str">
        <f>IF(VLOOKUP($A152,DICO_Complet!$A$3:$U$983,14,FALSE)=0,"",VLOOKUP($A152,DICO_Complet!$A$3:$U$983,14,FALSE))</f>
        <v>814_31 part 2</v>
      </c>
      <c r="N152" s="53" t="str">
        <f>IF(VLOOKUP($A152,DICO_Complet!$A$3:$U$983,15,FALSE)=0,"",VLOOKUP($A152,DICO_Complet!$A$3:$U$983,15,FALSE))</f>
        <v/>
      </c>
      <c r="O152" s="53" t="str">
        <f>IF(VLOOKUP($A152,DICO_Complet!$A$3:$U$983,16,FALSE)=0,"",VLOOKUP($A152,DICO_Complet!$A$3:$U$983,16,FALSE))</f>
        <v/>
      </c>
      <c r="P152" s="53" t="str">
        <f>IF(VLOOKUP($A152,DICO_Complet!$A$3:$U$983,17,FALSE)=0,"",VLOOKUP($A152,DICO_Complet!$A$3:$U$983,17,FALSE))</f>
        <v/>
      </c>
      <c r="Q152" s="53" t="str">
        <f>IF(VLOOKUP($A152,DICO_Complet!$A$3:$U$983,18,FALSE)=0,"",VLOOKUP($A152,DICO_Complet!$A$3:$U$983,18,FALSE))</f>
        <v/>
      </c>
    </row>
    <row r="153" spans="1:17">
      <c r="A153" s="38">
        <v>250425201025</v>
      </c>
      <c r="B153" s="47" t="s">
        <v>858</v>
      </c>
      <c r="C153" s="3" t="str">
        <f>VLOOKUP($A153,DICO_Complet!$A$3:$U$983,3,FALSE)</f>
        <v>Context</v>
      </c>
      <c r="D153" s="3" t="str">
        <f>VLOOKUP($A153,DICO_Complet!$A$3:$U$983,4,FALSE)</f>
        <v>pointOfServiceContext</v>
      </c>
      <c r="E153" s="2" t="str">
        <f>VLOOKUP($A153,DICO_Complet!$A$3:$U$983,5,FALSE)</f>
        <v>temp_localDateAutomaticCall</v>
      </c>
      <c r="F153" s="2" t="str">
        <f>VLOOKUP($A153,DICO_Complet!$A$3:$U$983,6,FALSE)</f>
        <v>Exact6NumericText</v>
      </c>
      <c r="G153" s="48">
        <f>VLOOKUP($A153,DICO_Complet!$A$3:$U$983,7,FALSE)</f>
        <v>0</v>
      </c>
      <c r="H153" s="48">
        <f>VLOOKUP($A153,DICO_Complet!$A$3:$U$983,8,FALSE)</f>
        <v>0</v>
      </c>
      <c r="I153" s="2" t="str">
        <f>IF(VLOOKUP($A153,DICO_Complet!$A$3:$U$983,9,FALSE)&lt;&gt;0,VLOOKUP($A153,DICO_Complet!$A$3:$U$983,9,FALSE),"")</f>
        <v/>
      </c>
      <c r="J153" s="1" t="str">
        <f>VLOOKUP($A153,DICO_Complet!$A$3:$U$983,10,FALSE)</f>
        <v>Local date, automatic call</v>
      </c>
      <c r="K153" s="53" t="str">
        <f>IF(VLOOKUP($A153,DICO_Complet!$A$3:$U$983,12,FALSE)=0,"",VLOOKUP($A153,DICO_Complet!$A$3:$U$983,12,FALSE))</f>
        <v/>
      </c>
      <c r="L153" s="53" t="str">
        <f>IF(VLOOKUP($A153,DICO_Complet!$A$3:$U$983,13,FALSE)=0,"",VLOOKUP($A153,DICO_Complet!$A$3:$U$983,13,FALSE))</f>
        <v/>
      </c>
      <c r="M153" s="53" t="str">
        <f>IF(VLOOKUP($A153,DICO_Complet!$A$3:$U$983,14,FALSE)=0,"",VLOOKUP($A153,DICO_Complet!$A$3:$U$983,14,FALSE))</f>
        <v>72_DF43 Part 8</v>
      </c>
      <c r="N153" s="53" t="str">
        <f>IF(VLOOKUP($A153,DICO_Complet!$A$3:$U$983,15,FALSE)=0,"",VLOOKUP($A153,DICO_Complet!$A$3:$U$983,15,FALSE))</f>
        <v/>
      </c>
      <c r="O153" s="53" t="str">
        <f>IF(VLOOKUP($A153,DICO_Complet!$A$3:$U$983,16,FALSE)=0,"",VLOOKUP($A153,DICO_Complet!$A$3:$U$983,16,FALSE))</f>
        <v/>
      </c>
      <c r="P153" s="53" t="str">
        <f>IF(VLOOKUP($A153,DICO_Complet!$A$3:$U$983,17,FALSE)=0,"",VLOOKUP($A153,DICO_Complet!$A$3:$U$983,17,FALSE))</f>
        <v/>
      </c>
      <c r="Q153" s="53" t="str">
        <f>IF(VLOOKUP($A153,DICO_Complet!$A$3:$U$983,18,FALSE)=0,"",VLOOKUP($A153,DICO_Complet!$A$3:$U$983,18,FALSE))</f>
        <v/>
      </c>
    </row>
    <row r="154" spans="1:17">
      <c r="A154" s="38">
        <v>250425201024</v>
      </c>
      <c r="B154" s="47" t="s">
        <v>858</v>
      </c>
      <c r="C154" s="3" t="str">
        <f>VLOOKUP($A154,DICO_Complet!$A$3:$U$983,3,FALSE)</f>
        <v>Context</v>
      </c>
      <c r="D154" s="3" t="str">
        <f>VLOOKUP($A154,DICO_Complet!$A$3:$U$983,4,FALSE)</f>
        <v>pointOfServiceContext</v>
      </c>
      <c r="E154" s="2" t="str">
        <f>VLOOKUP($A154,DICO_Complet!$A$3:$U$983,5,FALSE)</f>
        <v>temp_localTimeAutomaticCall</v>
      </c>
      <c r="F154" s="2" t="str">
        <f>VLOOKUP($A154,DICO_Complet!$A$3:$U$983,6,FALSE)</f>
        <v>Exact4NumericText</v>
      </c>
      <c r="G154" s="48">
        <f>VLOOKUP($A154,DICO_Complet!$A$3:$U$983,7,FALSE)</f>
        <v>0</v>
      </c>
      <c r="H154" s="48">
        <f>VLOOKUP($A154,DICO_Complet!$A$3:$U$983,8,FALSE)</f>
        <v>0</v>
      </c>
      <c r="I154" s="2" t="str">
        <f>IF(VLOOKUP($A154,DICO_Complet!$A$3:$U$983,9,FALSE)&lt;&gt;0,VLOOKUP($A154,DICO_Complet!$A$3:$U$983,9,FALSE),"")</f>
        <v/>
      </c>
      <c r="J154" s="1" t="str">
        <f>VLOOKUP($A154,DICO_Complet!$A$3:$U$983,10,FALSE)</f>
        <v>Local time , automatic call</v>
      </c>
      <c r="K154" s="53" t="str">
        <f>IF(VLOOKUP($A154,DICO_Complet!$A$3:$U$983,12,FALSE)=0,"",VLOOKUP($A154,DICO_Complet!$A$3:$U$983,12,FALSE))</f>
        <v/>
      </c>
      <c r="L154" s="53" t="str">
        <f>IF(VLOOKUP($A154,DICO_Complet!$A$3:$U$983,13,FALSE)=0,"",VLOOKUP($A154,DICO_Complet!$A$3:$U$983,13,FALSE))</f>
        <v/>
      </c>
      <c r="M154" s="53" t="str">
        <f>IF(VLOOKUP($A154,DICO_Complet!$A$3:$U$983,14,FALSE)=0,"",VLOOKUP($A154,DICO_Complet!$A$3:$U$983,14,FALSE))</f>
        <v>72_DF43 Part 7</v>
      </c>
      <c r="N154" s="53" t="str">
        <f>IF(VLOOKUP($A154,DICO_Complet!$A$3:$U$983,15,FALSE)=0,"",VLOOKUP($A154,DICO_Complet!$A$3:$U$983,15,FALSE))</f>
        <v/>
      </c>
      <c r="O154" s="53" t="str">
        <f>IF(VLOOKUP($A154,DICO_Complet!$A$3:$U$983,16,FALSE)=0,"",VLOOKUP($A154,DICO_Complet!$A$3:$U$983,16,FALSE))</f>
        <v/>
      </c>
      <c r="P154" s="53" t="str">
        <f>IF(VLOOKUP($A154,DICO_Complet!$A$3:$U$983,17,FALSE)=0,"",VLOOKUP($A154,DICO_Complet!$A$3:$U$983,17,FALSE))</f>
        <v/>
      </c>
      <c r="Q154" s="53" t="str">
        <f>IF(VLOOKUP($A154,DICO_Complet!$A$3:$U$983,18,FALSE)=0,"",VLOOKUP($A154,DICO_Complet!$A$3:$U$983,18,FALSE))</f>
        <v/>
      </c>
    </row>
    <row r="155" spans="1:17">
      <c r="A155" s="38">
        <v>250425201002</v>
      </c>
      <c r="B155" s="47" t="s">
        <v>858</v>
      </c>
      <c r="C155" s="3" t="str">
        <f>VLOOKUP($A155,DICO_Complet!$A$3:$U$983,3,FALSE)</f>
        <v>Context</v>
      </c>
      <c r="D155" s="3" t="str">
        <f>VLOOKUP($A155,DICO_Complet!$A$3:$U$983,4,FALSE)</f>
        <v>pointOfServiceContext</v>
      </c>
      <c r="E155" s="2" t="str">
        <f>VLOOKUP($A155,DICO_Complet!$A$3:$U$983,5,FALSE)</f>
        <v>temp_localTimeEnd</v>
      </c>
      <c r="F155" s="2" t="str">
        <f>VLOOKUP($A155,DICO_Complet!$A$3:$U$983,6,FALSE)</f>
        <v>Exact4AlphaNumericText</v>
      </c>
      <c r="G155" s="48">
        <f>VLOOKUP($A155,DICO_Complet!$A$3:$U$983,7,FALSE)</f>
        <v>0</v>
      </c>
      <c r="H155" s="48">
        <f>VLOOKUP($A155,DICO_Complet!$A$3:$U$983,8,FALSE)</f>
        <v>0</v>
      </c>
      <c r="I155" s="2" t="str">
        <f>IF(VLOOKUP($A155,DICO_Complet!$A$3:$U$983,9,FALSE)&lt;&gt;0,VLOOKUP($A155,DICO_Complet!$A$3:$U$983,9,FALSE),"")</f>
        <v/>
      </c>
      <c r="J155" s="1" t="str">
        <f>VLOOKUP($A155,DICO_Complet!$A$3:$U$983,10,FALSE)</f>
        <v>Local time end (acceptance system application) associated with the approval mode</v>
      </c>
      <c r="K155" s="53" t="str">
        <f>IF(VLOOKUP($A155,DICO_Complet!$A$3:$U$983,12,FALSE)=0,"",VLOOKUP($A155,DICO_Complet!$A$3:$U$983,12,FALSE))</f>
        <v/>
      </c>
      <c r="L155" s="53" t="str">
        <f>IF(VLOOKUP($A155,DICO_Complet!$A$3:$U$983,13,FALSE)=0,"",VLOOKUP($A155,DICO_Complet!$A$3:$U$983,13,FALSE))</f>
        <v/>
      </c>
      <c r="M155" s="53" t="str">
        <f>IF(VLOOKUP($A155,DICO_Complet!$A$3:$U$983,14,FALSE)=0,"",VLOOKUP($A155,DICO_Complet!$A$3:$U$983,14,FALSE))</f>
        <v>72_DF24 part 4</v>
      </c>
      <c r="N155" s="53" t="str">
        <f>IF(VLOOKUP($A155,DICO_Complet!$A$3:$U$983,15,FALSE)=0,"",VLOOKUP($A155,DICO_Complet!$A$3:$U$983,15,FALSE))</f>
        <v/>
      </c>
      <c r="O155" s="53" t="str">
        <f>IF(VLOOKUP($A155,DICO_Complet!$A$3:$U$983,16,FALSE)=0,"",VLOOKUP($A155,DICO_Complet!$A$3:$U$983,16,FALSE))</f>
        <v/>
      </c>
      <c r="P155" s="53" t="str">
        <f>IF(VLOOKUP($A155,DICO_Complet!$A$3:$U$983,17,FALSE)=0,"",VLOOKUP($A155,DICO_Complet!$A$3:$U$983,17,FALSE))</f>
        <v/>
      </c>
      <c r="Q155" s="53" t="str">
        <f>IF(VLOOKUP($A155,DICO_Complet!$A$3:$U$983,18,FALSE)=0,"",VLOOKUP($A155,DICO_Complet!$A$3:$U$983,18,FALSE))</f>
        <v/>
      </c>
    </row>
    <row r="156" spans="1:17">
      <c r="A156" s="38">
        <v>250425201624</v>
      </c>
      <c r="B156" s="47" t="s">
        <v>858</v>
      </c>
      <c r="C156" s="3" t="str">
        <f>VLOOKUP($A156,DICO_Complet!$A$3:$U$983,3,FALSE)</f>
        <v>Context</v>
      </c>
      <c r="D156" s="3" t="str">
        <f>VLOOKUP($A156,DICO_Complet!$A$3:$U$983,4,FALSE)</f>
        <v>pointOfServiceContext</v>
      </c>
      <c r="E156" s="2" t="str">
        <f>VLOOKUP($A156,DICO_Complet!$A$3:$U$983,5,FALSE)</f>
        <v>temp_magstripeReaderNumber</v>
      </c>
      <c r="F156" s="2" t="str">
        <f>VLOOKUP($A156,DICO_Complet!$A$3:$U$983,6,FALSE)</f>
        <v>Exact1Text</v>
      </c>
      <c r="G156" s="48">
        <f>VLOOKUP($A156,DICO_Complet!$A$3:$U$983,7,FALSE)</f>
        <v>0</v>
      </c>
      <c r="H156" s="48">
        <f>VLOOKUP($A156,DICO_Complet!$A$3:$U$983,8,FALSE)</f>
        <v>0</v>
      </c>
      <c r="I156" s="2" t="str">
        <f>IF(VLOOKUP($A156,DICO_Complet!$A$3:$U$983,9,FALSE)&lt;&gt;0,VLOOKUP($A156,DICO_Complet!$A$3:$U$983,9,FALSE),"")</f>
        <v/>
      </c>
      <c r="J156" s="1" t="str">
        <f>VLOOKUP($A156,DICO_Complet!$A$3:$U$983,10,FALSE)</f>
        <v>Magstripe reader number</v>
      </c>
      <c r="K156" s="53" t="str">
        <f>IF(VLOOKUP($A156,DICO_Complet!$A$3:$U$983,12,FALSE)=0,"",VLOOKUP($A156,DICO_Complet!$A$3:$U$983,12,FALSE))</f>
        <v/>
      </c>
      <c r="L156" s="53" t="str">
        <f>IF(VLOOKUP($A156,DICO_Complet!$A$3:$U$983,13,FALSE)=0,"",VLOOKUP($A156,DICO_Complet!$A$3:$U$983,13,FALSE))</f>
        <v/>
      </c>
      <c r="M156" s="53" t="str">
        <f>IF(VLOOKUP($A156,DICO_Complet!$A$3:$U$983,14,FALSE)=0,"",VLOOKUP($A156,DICO_Complet!$A$3:$U$983,14,FALSE))</f>
        <v>614_46 DF67 part 8</v>
      </c>
      <c r="N156" s="53" t="str">
        <f>IF(VLOOKUP($A156,DICO_Complet!$A$3:$U$983,15,FALSE)=0,"",VLOOKUP($A156,DICO_Complet!$A$3:$U$983,15,FALSE))</f>
        <v/>
      </c>
      <c r="O156" s="53" t="str">
        <f>IF(VLOOKUP($A156,DICO_Complet!$A$3:$U$983,16,FALSE)=0,"",VLOOKUP($A156,DICO_Complet!$A$3:$U$983,16,FALSE))</f>
        <v/>
      </c>
      <c r="P156" s="53" t="str">
        <f>IF(VLOOKUP($A156,DICO_Complet!$A$3:$U$983,17,FALSE)=0,"",VLOOKUP($A156,DICO_Complet!$A$3:$U$983,17,FALSE))</f>
        <v/>
      </c>
      <c r="Q156" s="53" t="str">
        <f>IF(VLOOKUP($A156,DICO_Complet!$A$3:$U$983,18,FALSE)=0,"",VLOOKUP($A156,DICO_Complet!$A$3:$U$983,18,FALSE))</f>
        <v/>
      </c>
    </row>
    <row r="157" spans="1:17">
      <c r="A157" s="38">
        <v>250425201513</v>
      </c>
      <c r="B157" s="47" t="s">
        <v>858</v>
      </c>
      <c r="C157" s="3" t="str">
        <f>VLOOKUP($A157,DICO_Complet!$A$3:$U$983,3,FALSE)</f>
        <v>Context</v>
      </c>
      <c r="D157" s="3" t="str">
        <f>VLOOKUP($A157,DICO_Complet!$A$3:$U$983,4,FALSE)</f>
        <v>pointOfServiceContext</v>
      </c>
      <c r="E157" s="2" t="str">
        <f>VLOOKUP($A157,DICO_Complet!$A$3:$U$983,5,FALSE)</f>
        <v>temp_maximumAcceptedCardLifeDuration</v>
      </c>
      <c r="F157" s="2" t="str">
        <f>VLOOKUP($A157,DICO_Complet!$A$3:$U$983,6,FALSE)</f>
        <v>Exact2AlphaNumericText</v>
      </c>
      <c r="G157" s="48">
        <f>VLOOKUP($A157,DICO_Complet!$A$3:$U$983,7,FALSE)</f>
        <v>0</v>
      </c>
      <c r="H157" s="48">
        <f>VLOOKUP($A157,DICO_Complet!$A$3:$U$983,8,FALSE)</f>
        <v>0</v>
      </c>
      <c r="I157" s="2" t="str">
        <f>IF(VLOOKUP($A157,DICO_Complet!$A$3:$U$983,9,FALSE)&lt;&gt;0,VLOOKUP($A157,DICO_Complet!$A$3:$U$983,9,FALSE),"")</f>
        <v/>
      </c>
      <c r="J157" s="1" t="str">
        <f>VLOOKUP($A157,DICO_Complet!$A$3:$U$983,10,FALSE)</f>
        <v>Maximum accepted card life duration</v>
      </c>
      <c r="K157" s="53" t="str">
        <f>IF(VLOOKUP($A157,DICO_Complet!$A$3:$U$983,12,FALSE)=0,"",VLOOKUP($A157,DICO_Complet!$A$3:$U$983,12,FALSE))</f>
        <v/>
      </c>
      <c r="L157" s="53" t="str">
        <f>IF(VLOOKUP($A157,DICO_Complet!$A$3:$U$983,13,FALSE)=0,"",VLOOKUP($A157,DICO_Complet!$A$3:$U$983,13,FALSE))</f>
        <v/>
      </c>
      <c r="M157" s="53" t="str">
        <f>IF(VLOOKUP($A157,DICO_Complet!$A$3:$U$983,14,FALSE)=0,"",VLOOKUP($A157,DICO_Complet!$A$3:$U$983,14,FALSE))</f>
        <v>72_DF99 part 3</v>
      </c>
      <c r="N157" s="53" t="str">
        <f>IF(VLOOKUP($A157,DICO_Complet!$A$3:$U$983,15,FALSE)=0,"",VLOOKUP($A157,DICO_Complet!$A$3:$U$983,15,FALSE))</f>
        <v/>
      </c>
      <c r="O157" s="53" t="str">
        <f>IF(VLOOKUP($A157,DICO_Complet!$A$3:$U$983,16,FALSE)=0,"",VLOOKUP($A157,DICO_Complet!$A$3:$U$983,16,FALSE))</f>
        <v/>
      </c>
      <c r="P157" s="53" t="str">
        <f>IF(VLOOKUP($A157,DICO_Complet!$A$3:$U$983,17,FALSE)=0,"",VLOOKUP($A157,DICO_Complet!$A$3:$U$983,17,FALSE))</f>
        <v/>
      </c>
      <c r="Q157" s="53" t="str">
        <f>IF(VLOOKUP($A157,DICO_Complet!$A$3:$U$983,18,FALSE)=0,"",VLOOKUP($A157,DICO_Complet!$A$3:$U$983,18,FALSE))</f>
        <v/>
      </c>
    </row>
    <row r="158" spans="1:17">
      <c r="A158" s="38">
        <v>250425201021</v>
      </c>
      <c r="B158" s="47" t="s">
        <v>858</v>
      </c>
      <c r="C158" s="3" t="str">
        <f>VLOOKUP($A158,DICO_Complet!$A$3:$U$983,3,FALSE)</f>
        <v>Context</v>
      </c>
      <c r="D158" s="3" t="str">
        <f>VLOOKUP($A158,DICO_Complet!$A$3:$U$983,4,FALSE)</f>
        <v>pointOfServiceContext</v>
      </c>
      <c r="E158" s="2" t="str">
        <f>VLOOKUP($A158,DICO_Complet!$A$3:$U$983,5,FALSE)</f>
        <v>temp_maximumNumberOfCallTests</v>
      </c>
      <c r="F158" s="2" t="str">
        <f>VLOOKUP($A158,DICO_Complet!$A$3:$U$983,6,FALSE)</f>
        <v>Exact2NumericText</v>
      </c>
      <c r="G158" s="48">
        <f>VLOOKUP($A158,DICO_Complet!$A$3:$U$983,7,FALSE)</f>
        <v>0</v>
      </c>
      <c r="H158" s="48">
        <f>VLOOKUP($A158,DICO_Complet!$A$3:$U$983,8,FALSE)</f>
        <v>0</v>
      </c>
      <c r="I158" s="2" t="str">
        <f>IF(VLOOKUP($A158,DICO_Complet!$A$3:$U$983,9,FALSE)&lt;&gt;0,VLOOKUP($A158,DICO_Complet!$A$3:$U$983,9,FALSE),"")</f>
        <v/>
      </c>
      <c r="J158" s="1" t="str">
        <f>VLOOKUP($A158,DICO_Complet!$A$3:$U$983,10,FALSE)</f>
        <v>Maximum number of call tests</v>
      </c>
      <c r="K158" s="53" t="str">
        <f>IF(VLOOKUP($A158,DICO_Complet!$A$3:$U$983,12,FALSE)=0,"",VLOOKUP($A158,DICO_Complet!$A$3:$U$983,12,FALSE))</f>
        <v/>
      </c>
      <c r="L158" s="53" t="str">
        <f>IF(VLOOKUP($A158,DICO_Complet!$A$3:$U$983,13,FALSE)=0,"",VLOOKUP($A158,DICO_Complet!$A$3:$U$983,13,FALSE))</f>
        <v/>
      </c>
      <c r="M158" s="53" t="str">
        <f>IF(VLOOKUP($A158,DICO_Complet!$A$3:$U$983,14,FALSE)=0,"",VLOOKUP($A158,DICO_Complet!$A$3:$U$983,14,FALSE))</f>
        <v>72_DF43 Part 4</v>
      </c>
      <c r="N158" s="53" t="str">
        <f>IF(VLOOKUP($A158,DICO_Complet!$A$3:$U$983,15,FALSE)=0,"",VLOOKUP($A158,DICO_Complet!$A$3:$U$983,15,FALSE))</f>
        <v/>
      </c>
      <c r="O158" s="53" t="str">
        <f>IF(VLOOKUP($A158,DICO_Complet!$A$3:$U$983,16,FALSE)=0,"",VLOOKUP($A158,DICO_Complet!$A$3:$U$983,16,FALSE))</f>
        <v/>
      </c>
      <c r="P158" s="53" t="str">
        <f>IF(VLOOKUP($A158,DICO_Complet!$A$3:$U$983,17,FALSE)=0,"",VLOOKUP($A158,DICO_Complet!$A$3:$U$983,17,FALSE))</f>
        <v/>
      </c>
      <c r="Q158" s="53" t="str">
        <f>IF(VLOOKUP($A158,DICO_Complet!$A$3:$U$983,18,FALSE)=0,"",VLOOKUP($A158,DICO_Complet!$A$3:$U$983,18,FALSE))</f>
        <v/>
      </c>
    </row>
    <row r="159" spans="1:17">
      <c r="A159" s="38">
        <v>250425201020</v>
      </c>
      <c r="B159" s="47" t="s">
        <v>858</v>
      </c>
      <c r="C159" s="3" t="str">
        <f>VLOOKUP($A159,DICO_Complet!$A$3:$U$983,3,FALSE)</f>
        <v>Context</v>
      </c>
      <c r="D159" s="3" t="str">
        <f>VLOOKUP($A159,DICO_Complet!$A$3:$U$983,4,FALSE)</f>
        <v>pointOfServiceContext</v>
      </c>
      <c r="E159" s="2" t="str">
        <f>VLOOKUP($A159,DICO_Complet!$A$3:$U$983,5,FALSE)</f>
        <v>temp_maximumNumberOfMessagesPerMinute</v>
      </c>
      <c r="F159" s="2" t="str">
        <f>VLOOKUP($A159,DICO_Complet!$A$3:$U$983,6,FALSE)</f>
        <v>Exact4NumericText</v>
      </c>
      <c r="G159" s="48">
        <f>VLOOKUP($A159,DICO_Complet!$A$3:$U$983,7,FALSE)</f>
        <v>0</v>
      </c>
      <c r="H159" s="48">
        <f>VLOOKUP($A159,DICO_Complet!$A$3:$U$983,8,FALSE)</f>
        <v>0</v>
      </c>
      <c r="I159" s="2" t="str">
        <f>IF(VLOOKUP($A159,DICO_Complet!$A$3:$U$983,9,FALSE)&lt;&gt;0,VLOOKUP($A159,DICO_Complet!$A$3:$U$983,9,FALSE),"")</f>
        <v/>
      </c>
      <c r="J159" s="1" t="str">
        <f>VLOOKUP($A159,DICO_Complet!$A$3:$U$983,10,FALSE)</f>
        <v>Maximum number of messages per minute</v>
      </c>
      <c r="K159" s="53" t="str">
        <f>IF(VLOOKUP($A159,DICO_Complet!$A$3:$U$983,12,FALSE)=0,"",VLOOKUP($A159,DICO_Complet!$A$3:$U$983,12,FALSE))</f>
        <v/>
      </c>
      <c r="L159" s="53" t="str">
        <f>IF(VLOOKUP($A159,DICO_Complet!$A$3:$U$983,13,FALSE)=0,"",VLOOKUP($A159,DICO_Complet!$A$3:$U$983,13,FALSE))</f>
        <v/>
      </c>
      <c r="M159" s="53" t="str">
        <f>IF(VLOOKUP($A159,DICO_Complet!$A$3:$U$983,14,FALSE)=0,"",VLOOKUP($A159,DICO_Complet!$A$3:$U$983,14,FALSE))</f>
        <v>72_DF43 Part 3</v>
      </c>
      <c r="N159" s="53" t="str">
        <f>IF(VLOOKUP($A159,DICO_Complet!$A$3:$U$983,15,FALSE)=0,"",VLOOKUP($A159,DICO_Complet!$A$3:$U$983,15,FALSE))</f>
        <v/>
      </c>
      <c r="O159" s="53" t="str">
        <f>IF(VLOOKUP($A159,DICO_Complet!$A$3:$U$983,16,FALSE)=0,"",VLOOKUP($A159,DICO_Complet!$A$3:$U$983,16,FALSE))</f>
        <v/>
      </c>
      <c r="P159" s="53" t="str">
        <f>IF(VLOOKUP($A159,DICO_Complet!$A$3:$U$983,17,FALSE)=0,"",VLOOKUP($A159,DICO_Complet!$A$3:$U$983,17,FALSE))</f>
        <v/>
      </c>
      <c r="Q159" s="53" t="str">
        <f>IF(VLOOKUP($A159,DICO_Complet!$A$3:$U$983,18,FALSE)=0,"",VLOOKUP($A159,DICO_Complet!$A$3:$U$983,18,FALSE))</f>
        <v/>
      </c>
    </row>
    <row r="160" spans="1:17">
      <c r="A160" s="38">
        <v>250425201026</v>
      </c>
      <c r="B160" s="47" t="s">
        <v>858</v>
      </c>
      <c r="C160" s="3" t="str">
        <f>VLOOKUP($A160,DICO_Complet!$A$3:$U$983,3,FALSE)</f>
        <v>Context</v>
      </c>
      <c r="D160" s="3" t="str">
        <f>VLOOKUP($A160,DICO_Complet!$A$3:$U$983,4,FALSE)</f>
        <v>pointOfServiceContext</v>
      </c>
      <c r="E160" s="2" t="str">
        <f>VLOOKUP($A160,DICO_Complet!$A$3:$U$983,5,FALSE)</f>
        <v>temp_maximumNumberOfRetries</v>
      </c>
      <c r="F160" s="2" t="str">
        <f>VLOOKUP($A160,DICO_Complet!$A$3:$U$983,6,FALSE)</f>
        <v>Exact2NumericText</v>
      </c>
      <c r="G160" s="48">
        <f>VLOOKUP($A160,DICO_Complet!$A$3:$U$983,7,FALSE)</f>
        <v>0</v>
      </c>
      <c r="H160" s="48">
        <f>VLOOKUP($A160,DICO_Complet!$A$3:$U$983,8,FALSE)</f>
        <v>0</v>
      </c>
      <c r="I160" s="2" t="str">
        <f>IF(VLOOKUP($A160,DICO_Complet!$A$3:$U$983,9,FALSE)&lt;&gt;0,VLOOKUP($A160,DICO_Complet!$A$3:$U$983,9,FALSE),"")</f>
        <v/>
      </c>
      <c r="J160" s="1" t="str">
        <f>VLOOKUP($A160,DICO_Complet!$A$3:$U$983,10,FALSE)</f>
        <v>Maximum number of retries</v>
      </c>
      <c r="K160" s="53" t="str">
        <f>IF(VLOOKUP($A160,DICO_Complet!$A$3:$U$983,12,FALSE)=0,"",VLOOKUP($A160,DICO_Complet!$A$3:$U$983,12,FALSE))</f>
        <v/>
      </c>
      <c r="L160" s="53" t="str">
        <f>IF(VLOOKUP($A160,DICO_Complet!$A$3:$U$983,13,FALSE)=0,"",VLOOKUP($A160,DICO_Complet!$A$3:$U$983,13,FALSE))</f>
        <v/>
      </c>
      <c r="M160" s="53" t="str">
        <f>IF(VLOOKUP($A160,DICO_Complet!$A$3:$U$983,14,FALSE)=0,"",VLOOKUP($A160,DICO_Complet!$A$3:$U$983,14,FALSE))</f>
        <v>72_DF43 Part 9</v>
      </c>
      <c r="N160" s="53" t="str">
        <f>IF(VLOOKUP($A160,DICO_Complet!$A$3:$U$983,15,FALSE)=0,"",VLOOKUP($A160,DICO_Complet!$A$3:$U$983,15,FALSE))</f>
        <v/>
      </c>
      <c r="O160" s="53" t="str">
        <f>IF(VLOOKUP($A160,DICO_Complet!$A$3:$U$983,16,FALSE)=0,"",VLOOKUP($A160,DICO_Complet!$A$3:$U$983,16,FALSE))</f>
        <v/>
      </c>
      <c r="P160" s="53" t="str">
        <f>IF(VLOOKUP($A160,DICO_Complet!$A$3:$U$983,17,FALSE)=0,"",VLOOKUP($A160,DICO_Complet!$A$3:$U$983,17,FALSE))</f>
        <v/>
      </c>
      <c r="Q160" s="53" t="str">
        <f>IF(VLOOKUP($A160,DICO_Complet!$A$3:$U$983,18,FALSE)=0,"",VLOOKUP($A160,DICO_Complet!$A$3:$U$983,18,FALSE))</f>
        <v/>
      </c>
    </row>
    <row r="161" spans="1:17">
      <c r="A161" s="38">
        <v>250425201623</v>
      </c>
      <c r="B161" s="47" t="s">
        <v>858</v>
      </c>
      <c r="C161" s="3" t="str">
        <f>VLOOKUP($A161,DICO_Complet!$A$3:$U$983,3,FALSE)</f>
        <v>Context</v>
      </c>
      <c r="D161" s="3" t="str">
        <f>VLOOKUP($A161,DICO_Complet!$A$3:$U$983,4,FALSE)</f>
        <v>pointOfServiceContext</v>
      </c>
      <c r="E161" s="2" t="str">
        <f>VLOOKUP($A161,DICO_Complet!$A$3:$U$983,5,FALSE)</f>
        <v>temp_memoryCardReaderNumber</v>
      </c>
      <c r="F161" s="2" t="str">
        <f>VLOOKUP($A161,DICO_Complet!$A$3:$U$983,6,FALSE)</f>
        <v>Exact1Text</v>
      </c>
      <c r="G161" s="48">
        <f>VLOOKUP($A161,DICO_Complet!$A$3:$U$983,7,FALSE)</f>
        <v>0</v>
      </c>
      <c r="H161" s="48">
        <f>VLOOKUP($A161,DICO_Complet!$A$3:$U$983,8,FALSE)</f>
        <v>0</v>
      </c>
      <c r="I161" s="2" t="str">
        <f>IF(VLOOKUP($A161,DICO_Complet!$A$3:$U$983,9,FALSE)&lt;&gt;0,VLOOKUP($A161,DICO_Complet!$A$3:$U$983,9,FALSE),"")</f>
        <v/>
      </c>
      <c r="J161" s="1" t="str">
        <f>VLOOKUP($A161,DICO_Complet!$A$3:$U$983,10,FALSE)</f>
        <v>Memory card reader number</v>
      </c>
      <c r="K161" s="53" t="str">
        <f>IF(VLOOKUP($A161,DICO_Complet!$A$3:$U$983,12,FALSE)=0,"",VLOOKUP($A161,DICO_Complet!$A$3:$U$983,12,FALSE))</f>
        <v/>
      </c>
      <c r="L161" s="53" t="str">
        <f>IF(VLOOKUP($A161,DICO_Complet!$A$3:$U$983,13,FALSE)=0,"",VLOOKUP($A161,DICO_Complet!$A$3:$U$983,13,FALSE))</f>
        <v/>
      </c>
      <c r="M161" s="53" t="str">
        <f>IF(VLOOKUP($A161,DICO_Complet!$A$3:$U$983,14,FALSE)=0,"",VLOOKUP($A161,DICO_Complet!$A$3:$U$983,14,FALSE))</f>
        <v>614_46 DF67 part 7</v>
      </c>
      <c r="N161" s="53" t="str">
        <f>IF(VLOOKUP($A161,DICO_Complet!$A$3:$U$983,15,FALSE)=0,"",VLOOKUP($A161,DICO_Complet!$A$3:$U$983,15,FALSE))</f>
        <v/>
      </c>
      <c r="O161" s="53" t="str">
        <f>IF(VLOOKUP($A161,DICO_Complet!$A$3:$U$983,16,FALSE)=0,"",VLOOKUP($A161,DICO_Complet!$A$3:$U$983,16,FALSE))</f>
        <v/>
      </c>
      <c r="P161" s="53" t="str">
        <f>IF(VLOOKUP($A161,DICO_Complet!$A$3:$U$983,17,FALSE)=0,"",VLOOKUP($A161,DICO_Complet!$A$3:$U$983,17,FALSE))</f>
        <v/>
      </c>
      <c r="Q161" s="53" t="str">
        <f>IF(VLOOKUP($A161,DICO_Complet!$A$3:$U$983,18,FALSE)=0,"",VLOOKUP($A161,DICO_Complet!$A$3:$U$983,18,FALSE))</f>
        <v/>
      </c>
    </row>
    <row r="162" spans="1:17">
      <c r="A162" s="38">
        <v>250425201019</v>
      </c>
      <c r="B162" s="47" t="s">
        <v>858</v>
      </c>
      <c r="C162" s="3" t="str">
        <f>VLOOKUP($A162,DICO_Complet!$A$3:$U$983,3,FALSE)</f>
        <v>Context</v>
      </c>
      <c r="D162" s="3" t="str">
        <f>VLOOKUP($A162,DICO_Complet!$A$3:$U$983,4,FALSE)</f>
        <v>pointOfServiceContext</v>
      </c>
      <c r="E162" s="2" t="str">
        <f>VLOOKUP($A162,DICO_Complet!$A$3:$U$983,5,FALSE)</f>
        <v>temp_numberOfSimultaneousConnections</v>
      </c>
      <c r="F162" s="2" t="str">
        <f>VLOOKUP($A162,DICO_Complet!$A$3:$U$983,6,FALSE)</f>
        <v>Exact4NumericText</v>
      </c>
      <c r="G162" s="48">
        <f>VLOOKUP($A162,DICO_Complet!$A$3:$U$983,7,FALSE)</f>
        <v>0</v>
      </c>
      <c r="H162" s="48">
        <f>VLOOKUP($A162,DICO_Complet!$A$3:$U$983,8,FALSE)</f>
        <v>0</v>
      </c>
      <c r="I162" s="2" t="str">
        <f>IF(VLOOKUP($A162,DICO_Complet!$A$3:$U$983,9,FALSE)&lt;&gt;0,VLOOKUP($A162,DICO_Complet!$A$3:$U$983,9,FALSE),"")</f>
        <v/>
      </c>
      <c r="J162" s="1" t="str">
        <f>VLOOKUP($A162,DICO_Complet!$A$3:$U$983,10,FALSE)</f>
        <v>Number of simultaneous connections</v>
      </c>
      <c r="K162" s="53" t="str">
        <f>IF(VLOOKUP($A162,DICO_Complet!$A$3:$U$983,12,FALSE)=0,"",VLOOKUP($A162,DICO_Complet!$A$3:$U$983,12,FALSE))</f>
        <v/>
      </c>
      <c r="L162" s="53" t="str">
        <f>IF(VLOOKUP($A162,DICO_Complet!$A$3:$U$983,13,FALSE)=0,"",VLOOKUP($A162,DICO_Complet!$A$3:$U$983,13,FALSE))</f>
        <v/>
      </c>
      <c r="M162" s="53" t="str">
        <f>IF(VLOOKUP($A162,DICO_Complet!$A$3:$U$983,14,FALSE)=0,"",VLOOKUP($A162,DICO_Complet!$A$3:$U$983,14,FALSE))</f>
        <v>72_DF43 Part 2</v>
      </c>
      <c r="N162" s="53" t="str">
        <f>IF(VLOOKUP($A162,DICO_Complet!$A$3:$U$983,15,FALSE)=0,"",VLOOKUP($A162,DICO_Complet!$A$3:$U$983,15,FALSE))</f>
        <v/>
      </c>
      <c r="O162" s="53" t="str">
        <f>IF(VLOOKUP($A162,DICO_Complet!$A$3:$U$983,16,FALSE)=0,"",VLOOKUP($A162,DICO_Complet!$A$3:$U$983,16,FALSE))</f>
        <v/>
      </c>
      <c r="P162" s="53" t="str">
        <f>IF(VLOOKUP($A162,DICO_Complet!$A$3:$U$983,17,FALSE)=0,"",VLOOKUP($A162,DICO_Complet!$A$3:$U$983,17,FALSE))</f>
        <v/>
      </c>
      <c r="Q162" s="53" t="str">
        <f>IF(VLOOKUP($A162,DICO_Complet!$A$3:$U$983,18,FALSE)=0,"",VLOOKUP($A162,DICO_Complet!$A$3:$U$983,18,FALSE))</f>
        <v/>
      </c>
    </row>
    <row r="163" spans="1:17">
      <c r="A163" s="38">
        <v>250425200800</v>
      </c>
      <c r="B163" s="47" t="s">
        <v>858</v>
      </c>
      <c r="C163" s="3" t="str">
        <f>VLOOKUP($A163,DICO_Complet!$A$3:$U$983,3,FALSE)</f>
        <v>Context</v>
      </c>
      <c r="D163" s="3" t="str">
        <f>VLOOKUP($A163,DICO_Complet!$A$3:$U$983,4,FALSE)</f>
        <v>pointOfServiceContext</v>
      </c>
      <c r="E163" s="2" t="str">
        <f>VLOOKUP($A163,DICO_Complet!$A$3:$U$983,5,FALSE)</f>
        <v>temp_numericCurrencyCode</v>
      </c>
      <c r="F163" s="2" t="str">
        <f>VLOOKUP($A163,DICO_Complet!$A$3:$U$983,6,FALSE)</f>
        <v>Exact3NumericText</v>
      </c>
      <c r="G163" s="48">
        <f>VLOOKUP($A163,DICO_Complet!$A$3:$U$983,7,FALSE)</f>
        <v>0</v>
      </c>
      <c r="H163" s="48">
        <f>VLOOKUP($A163,DICO_Complet!$A$3:$U$983,8,FALSE)</f>
        <v>0</v>
      </c>
      <c r="I163" s="2" t="str">
        <f>IF(VLOOKUP($A163,DICO_Complet!$A$3:$U$983,9,FALSE)&lt;&gt;0,VLOOKUP($A163,DICO_Complet!$A$3:$U$983,9,FALSE),"")</f>
        <v/>
      </c>
      <c r="J163" s="1" t="str">
        <f>VLOOKUP($A163,DICO_Complet!$A$3:$U$983,10,FALSE)</f>
        <v xml:space="preserve"> Numeric currency code</v>
      </c>
      <c r="K163" s="53" t="str">
        <f>IF(VLOOKUP($A163,DICO_Complet!$A$3:$U$983,12,FALSE)=0,"",VLOOKUP($A163,DICO_Complet!$A$3:$U$983,12,FALSE))</f>
        <v/>
      </c>
      <c r="L163" s="53" t="str">
        <f>IF(VLOOKUP($A163,DICO_Complet!$A$3:$U$983,13,FALSE)=0,"",VLOOKUP($A163,DICO_Complet!$A$3:$U$983,13,FALSE))</f>
        <v/>
      </c>
      <c r="M163" s="53" t="str">
        <f>IF(VLOOKUP($A163,DICO_Complet!$A$3:$U$983,14,FALSE)=0,"",VLOOKUP($A163,DICO_Complet!$A$3:$U$983,14,FALSE))</f>
        <v>72_DF1B part 3</v>
      </c>
      <c r="N163" s="53" t="str">
        <f>IF(VLOOKUP($A163,DICO_Complet!$A$3:$U$983,15,FALSE)=0,"",VLOOKUP($A163,DICO_Complet!$A$3:$U$983,15,FALSE))</f>
        <v/>
      </c>
      <c r="O163" s="53" t="str">
        <f>IF(VLOOKUP($A163,DICO_Complet!$A$3:$U$983,16,FALSE)=0,"",VLOOKUP($A163,DICO_Complet!$A$3:$U$983,16,FALSE))</f>
        <v/>
      </c>
      <c r="P163" s="53" t="str">
        <f>IF(VLOOKUP($A163,DICO_Complet!$A$3:$U$983,17,FALSE)=0,"",VLOOKUP($A163,DICO_Complet!$A$3:$U$983,17,FALSE))</f>
        <v/>
      </c>
      <c r="Q163" s="53" t="str">
        <f>IF(VLOOKUP($A163,DICO_Complet!$A$3:$U$983,18,FALSE)=0,"",VLOOKUP($A163,DICO_Complet!$A$3:$U$983,18,FALSE))</f>
        <v/>
      </c>
    </row>
    <row r="164" spans="1:17" ht="15" customHeight="1">
      <c r="A164" s="38">
        <v>250425201523</v>
      </c>
      <c r="B164" s="47" t="s">
        <v>858</v>
      </c>
      <c r="C164" s="3" t="str">
        <f>VLOOKUP($A164,DICO_Complet!$A$3:$U$983,3,FALSE)</f>
        <v>Context</v>
      </c>
      <c r="D164" s="3" t="str">
        <f>VLOOKUP($A164,DICO_Complet!$A$3:$U$983,4,FALSE)</f>
        <v>pointOfServiceContext</v>
      </c>
      <c r="E164" s="2" t="str">
        <f>VLOOKUP($A164,DICO_Complet!$A$3:$U$983,5,FALSE)</f>
        <v>temp_operatingMode</v>
      </c>
      <c r="F164" s="2" t="str">
        <f>VLOOKUP($A164,DICO_Complet!$A$3:$U$983,6,FALSE)</f>
        <v>Exact1NumericText</v>
      </c>
      <c r="G164" s="48">
        <f>VLOOKUP($A164,DICO_Complet!$A$3:$U$983,7,FALSE)</f>
        <v>0</v>
      </c>
      <c r="H164" s="48">
        <f>VLOOKUP($A164,DICO_Complet!$A$3:$U$983,8,FALSE)</f>
        <v>0</v>
      </c>
      <c r="I164" s="2" t="str">
        <f>IF(VLOOKUP($A164,DICO_Complet!$A$3:$U$983,9,FALSE)&lt;&gt;0,VLOOKUP($A164,DICO_Complet!$A$3:$U$983,9,FALSE),"")</f>
        <v/>
      </c>
      <c r="J164" s="1" t="str">
        <f>VLOOKUP($A164,DICO_Complet!$A$3:$U$983,10,FALSE)</f>
        <v>Operating mode</v>
      </c>
      <c r="K164" s="53" t="str">
        <f>IF(VLOOKUP($A164,DICO_Complet!$A$3:$U$983,12,FALSE)=0,"",VLOOKUP($A164,DICO_Complet!$A$3:$U$983,12,FALSE))</f>
        <v/>
      </c>
      <c r="L164" s="53" t="str">
        <f>IF(VLOOKUP($A164,DICO_Complet!$A$3:$U$983,13,FALSE)=0,"",VLOOKUP($A164,DICO_Complet!$A$3:$U$983,13,FALSE))</f>
        <v/>
      </c>
      <c r="M164" s="53" t="str">
        <f>IF(VLOOKUP($A164,DICO_Complet!$A$3:$U$983,14,FALSE)=0,"",VLOOKUP($A164,DICO_Complet!$A$3:$U$983,14,FALSE))</f>
        <v>72_DFAD</v>
      </c>
      <c r="N164" s="53" t="str">
        <f>IF(VLOOKUP($A164,DICO_Complet!$A$3:$U$983,15,FALSE)=0,"",VLOOKUP($A164,DICO_Complet!$A$3:$U$983,15,FALSE))</f>
        <v/>
      </c>
      <c r="O164" s="53" t="str">
        <f>IF(VLOOKUP($A164,DICO_Complet!$A$3:$U$983,16,FALSE)=0,"",VLOOKUP($A164,DICO_Complet!$A$3:$U$983,16,FALSE))</f>
        <v/>
      </c>
      <c r="P164" s="53" t="str">
        <f>IF(VLOOKUP($A164,DICO_Complet!$A$3:$U$983,17,FALSE)=0,"",VLOOKUP($A164,DICO_Complet!$A$3:$U$983,17,FALSE))</f>
        <v/>
      </c>
      <c r="Q164" s="53" t="str">
        <f>IF(VLOOKUP($A164,DICO_Complet!$A$3:$U$983,18,FALSE)=0,"",VLOOKUP($A164,DICO_Complet!$A$3:$U$983,18,FALSE))</f>
        <v/>
      </c>
    </row>
    <row r="165" spans="1:17">
      <c r="A165" s="38">
        <v>250425201012</v>
      </c>
      <c r="B165" s="47" t="s">
        <v>858</v>
      </c>
      <c r="C165" s="3" t="str">
        <f>VLOOKUP($A165,DICO_Complet!$A$3:$U$983,3,FALSE)</f>
        <v>Context</v>
      </c>
      <c r="D165" s="3" t="str">
        <f>VLOOKUP($A165,DICO_Complet!$A$3:$U$983,4,FALSE)</f>
        <v>pointOfServiceContext</v>
      </c>
      <c r="E165" s="2" t="str">
        <f>VLOOKUP($A165,DICO_Complet!$A$3:$U$983,5,FALSE)</f>
        <v>temp_ParametersAcquirerTelecommunicationCategory</v>
      </c>
      <c r="F165" s="2" t="str">
        <f>VLOOKUP($A165,DICO_Complet!$A$3:$U$983,6,FALSE)</f>
        <v>temp_ParametersAcquirerTelecommunicationCategoryType</v>
      </c>
      <c r="G165" s="48">
        <f>VLOOKUP($A165,DICO_Complet!$A$3:$U$983,7,FALSE)</f>
        <v>0</v>
      </c>
      <c r="H165" s="48">
        <f>VLOOKUP($A165,DICO_Complet!$A$3:$U$983,8,FALSE)</f>
        <v>0</v>
      </c>
      <c r="I165" s="2" t="str">
        <f>IF(VLOOKUP($A165,DICO_Complet!$A$3:$U$983,9,FALSE)&lt;&gt;0,VLOOKUP($A165,DICO_Complet!$A$3:$U$983,9,FALSE),"")</f>
        <v/>
      </c>
      <c r="J165" s="1" t="str">
        <f>VLOOKUP($A165,DICO_Complet!$A$3:$U$983,10,FALSE)</f>
        <v>Parameters Acquire rTelecommunication</v>
      </c>
      <c r="K165" s="53" t="str">
        <f>IF(VLOOKUP($A165,DICO_Complet!$A$3:$U$983,12,FALSE)=0,"",VLOOKUP($A165,DICO_Complet!$A$3:$U$983,12,FALSE))</f>
        <v/>
      </c>
      <c r="L165" s="53" t="str">
        <f>IF(VLOOKUP($A165,DICO_Complet!$A$3:$U$983,13,FALSE)=0,"",VLOOKUP($A165,DICO_Complet!$A$3:$U$983,13,FALSE))</f>
        <v/>
      </c>
      <c r="M165" s="53" t="str">
        <f>IF(VLOOKUP($A165,DICO_Complet!$A$3:$U$983,14,FALSE)=0,"",VLOOKUP($A165,DICO_Complet!$A$3:$U$983,14,FALSE))</f>
        <v>72_DF41 Part 4</v>
      </c>
      <c r="N165" s="53" t="str">
        <f>IF(VLOOKUP($A165,DICO_Complet!$A$3:$U$983,15,FALSE)=0,"",VLOOKUP($A165,DICO_Complet!$A$3:$U$983,15,FALSE))</f>
        <v/>
      </c>
      <c r="O165" s="53" t="str">
        <f>IF(VLOOKUP($A165,DICO_Complet!$A$3:$U$983,16,FALSE)=0,"",VLOOKUP($A165,DICO_Complet!$A$3:$U$983,16,FALSE))</f>
        <v/>
      </c>
      <c r="P165" s="53" t="str">
        <f>IF(VLOOKUP($A165,DICO_Complet!$A$3:$U$983,17,FALSE)=0,"",VLOOKUP($A165,DICO_Complet!$A$3:$U$983,17,FALSE))</f>
        <v/>
      </c>
      <c r="Q165" s="53" t="str">
        <f>IF(VLOOKUP($A165,DICO_Complet!$A$3:$U$983,18,FALSE)=0,"",VLOOKUP($A165,DICO_Complet!$A$3:$U$983,18,FALSE))</f>
        <v/>
      </c>
    </row>
    <row r="166" spans="1:17">
      <c r="A166" s="38">
        <v>250425201625</v>
      </c>
      <c r="B166" s="47" t="s">
        <v>858</v>
      </c>
      <c r="C166" s="3" t="str">
        <f>VLOOKUP($A166,DICO_Complet!$A$3:$U$983,3,FALSE)</f>
        <v>Context</v>
      </c>
      <c r="D166" s="3" t="str">
        <f>VLOOKUP($A166,DICO_Complet!$A$3:$U$983,4,FALSE)</f>
        <v>pointOfServiceContext</v>
      </c>
      <c r="E166" s="2" t="str">
        <f>VLOOKUP($A166,DICO_Complet!$A$3:$U$983,5,FALSE)</f>
        <v>temp_poiFlashMemoryCapacity</v>
      </c>
      <c r="F166" s="2" t="str">
        <f>VLOOKUP($A166,DICO_Complet!$A$3:$U$983,6,FALSE)</f>
        <v>Exact6Text</v>
      </c>
      <c r="G166" s="48">
        <f>VLOOKUP($A166,DICO_Complet!$A$3:$U$983,7,FALSE)</f>
        <v>0</v>
      </c>
      <c r="H166" s="48">
        <f>VLOOKUP($A166,DICO_Complet!$A$3:$U$983,8,FALSE)</f>
        <v>0</v>
      </c>
      <c r="I166" s="2" t="str">
        <f>IF(VLOOKUP($A166,DICO_Complet!$A$3:$U$983,9,FALSE)&lt;&gt;0,VLOOKUP($A166,DICO_Complet!$A$3:$U$983,9,FALSE),"")</f>
        <v/>
      </c>
      <c r="J166" s="1" t="str">
        <f>VLOOKUP($A166,DICO_Complet!$A$3:$U$983,10,FALSE)</f>
        <v>POI FLASH memory capacity (KB) (Ko) _</v>
      </c>
      <c r="K166" s="53" t="str">
        <f>IF(VLOOKUP($A166,DICO_Complet!$A$3:$U$983,12,FALSE)=0,"",VLOOKUP($A166,DICO_Complet!$A$3:$U$983,12,FALSE))</f>
        <v/>
      </c>
      <c r="L166" s="53" t="str">
        <f>IF(VLOOKUP($A166,DICO_Complet!$A$3:$U$983,13,FALSE)=0,"",VLOOKUP($A166,DICO_Complet!$A$3:$U$983,13,FALSE))</f>
        <v/>
      </c>
      <c r="M166" s="53" t="str">
        <f>IF(VLOOKUP($A166,DICO_Complet!$A$3:$U$983,14,FALSE)=0,"",VLOOKUP($A166,DICO_Complet!$A$3:$U$983,14,FALSE))</f>
        <v>614_46 DF67 part 9</v>
      </c>
      <c r="N166" s="53" t="str">
        <f>IF(VLOOKUP($A166,DICO_Complet!$A$3:$U$983,15,FALSE)=0,"",VLOOKUP($A166,DICO_Complet!$A$3:$U$983,15,FALSE))</f>
        <v/>
      </c>
      <c r="O166" s="53" t="str">
        <f>IF(VLOOKUP($A166,DICO_Complet!$A$3:$U$983,16,FALSE)=0,"",VLOOKUP($A166,DICO_Complet!$A$3:$U$983,16,FALSE))</f>
        <v/>
      </c>
      <c r="P166" s="53" t="str">
        <f>IF(VLOOKUP($A166,DICO_Complet!$A$3:$U$983,17,FALSE)=0,"",VLOOKUP($A166,DICO_Complet!$A$3:$U$983,17,FALSE))</f>
        <v/>
      </c>
      <c r="Q166" s="53" t="str">
        <f>IF(VLOOKUP($A166,DICO_Complet!$A$3:$U$983,18,FALSE)=0,"",VLOOKUP($A166,DICO_Complet!$A$3:$U$983,18,FALSE))</f>
        <v/>
      </c>
    </row>
    <row r="167" spans="1:17" ht="15" customHeight="1">
      <c r="A167" s="38">
        <v>250425201622</v>
      </c>
      <c r="B167" s="47" t="s">
        <v>858</v>
      </c>
      <c r="C167" s="3" t="str">
        <f>VLOOKUP($A167,DICO_Complet!$A$3:$U$983,3,FALSE)</f>
        <v>Context</v>
      </c>
      <c r="D167" s="3" t="str">
        <f>VLOOKUP($A167,DICO_Complet!$A$3:$U$983,4,FALSE)</f>
        <v>pointOfServiceContext</v>
      </c>
      <c r="E167" s="2" t="str">
        <f>VLOOKUP($A167,DICO_Complet!$A$3:$U$983,5,FALSE)</f>
        <v>temp_pOISerialNumber</v>
      </c>
      <c r="F167" s="2" t="str">
        <f>VLOOKUP($A167,DICO_Complet!$A$3:$U$983,6,FALSE)</f>
        <v>Exact12Text</v>
      </c>
      <c r="G167" s="48">
        <f>VLOOKUP($A167,DICO_Complet!$A$3:$U$983,7,FALSE)</f>
        <v>0</v>
      </c>
      <c r="H167" s="48">
        <f>VLOOKUP($A167,DICO_Complet!$A$3:$U$983,8,FALSE)</f>
        <v>0</v>
      </c>
      <c r="I167" s="2" t="str">
        <f>IF(VLOOKUP($A167,DICO_Complet!$A$3:$U$983,9,FALSE)&lt;&gt;0,VLOOKUP($A167,DICO_Complet!$A$3:$U$983,9,FALSE),"")</f>
        <v/>
      </c>
      <c r="J167" s="1" t="str">
        <f>VLOOKUP($A167,DICO_Complet!$A$3:$U$983,10,FALSE)</f>
        <v>POI serial number</v>
      </c>
      <c r="K167" s="53" t="str">
        <f>IF(VLOOKUP($A167,DICO_Complet!$A$3:$U$983,12,FALSE)=0,"",VLOOKUP($A167,DICO_Complet!$A$3:$U$983,12,FALSE))</f>
        <v/>
      </c>
      <c r="L167" s="53" t="str">
        <f>IF(VLOOKUP($A167,DICO_Complet!$A$3:$U$983,13,FALSE)=0,"",VLOOKUP($A167,DICO_Complet!$A$3:$U$983,13,FALSE))</f>
        <v/>
      </c>
      <c r="M167" s="53" t="str">
        <f>IF(VLOOKUP($A167,DICO_Complet!$A$3:$U$983,14,FALSE)=0,"",VLOOKUP($A167,DICO_Complet!$A$3:$U$983,14,FALSE))</f>
        <v>614_46 DF67 part 6</v>
      </c>
      <c r="N167" s="53" t="str">
        <f>IF(VLOOKUP($A167,DICO_Complet!$A$3:$U$983,15,FALSE)=0,"",VLOOKUP($A167,DICO_Complet!$A$3:$U$983,15,FALSE))</f>
        <v/>
      </c>
      <c r="O167" s="53" t="str">
        <f>IF(VLOOKUP($A167,DICO_Complet!$A$3:$U$983,16,FALSE)=0,"",VLOOKUP($A167,DICO_Complet!$A$3:$U$983,16,FALSE))</f>
        <v/>
      </c>
      <c r="P167" s="53" t="str">
        <f>IF(VLOOKUP($A167,DICO_Complet!$A$3:$U$983,17,FALSE)=0,"",VLOOKUP($A167,DICO_Complet!$A$3:$U$983,17,FALSE))</f>
        <v/>
      </c>
      <c r="Q167" s="53" t="str">
        <f>IF(VLOOKUP($A167,DICO_Complet!$A$3:$U$983,18,FALSE)=0,"",VLOOKUP($A167,DICO_Complet!$A$3:$U$983,18,FALSE))</f>
        <v/>
      </c>
    </row>
    <row r="168" spans="1:17" ht="15" customHeight="1">
      <c r="A168" s="38">
        <v>250425201017</v>
      </c>
      <c r="B168" s="47" t="s">
        <v>858</v>
      </c>
      <c r="C168" s="3" t="str">
        <f>VLOOKUP($A168,DICO_Complet!$A$3:$U$983,3,FALSE)</f>
        <v>Context</v>
      </c>
      <c r="D168" s="3" t="str">
        <f>VLOOKUP($A168,DICO_Complet!$A$3:$U$983,4,FALSE)</f>
        <v>pointOfServiceContext</v>
      </c>
      <c r="E168" s="2" t="str">
        <f>VLOOKUP($A168,DICO_Complet!$A$3:$U$983,5,FALSE)</f>
        <v>temp_pOSActivity</v>
      </c>
      <c r="F168" s="2" t="str">
        <f>VLOOKUP($A168,DICO_Complet!$A$3:$U$983,6,FALSE)</f>
        <v>Exact10AlphaNumericText</v>
      </c>
      <c r="G168" s="48">
        <f>VLOOKUP($A168,DICO_Complet!$A$3:$U$983,7,FALSE)</f>
        <v>0</v>
      </c>
      <c r="H168" s="48">
        <f>VLOOKUP($A168,DICO_Complet!$A$3:$U$983,8,FALSE)</f>
        <v>0</v>
      </c>
      <c r="I168" s="2" t="str">
        <f>IF(VLOOKUP($A168,DICO_Complet!$A$3:$U$983,9,FALSE)&lt;&gt;0,VLOOKUP($A168,DICO_Complet!$A$3:$U$983,9,FALSE),"")</f>
        <v/>
      </c>
      <c r="J168" s="1" t="str">
        <f>VLOOKUP($A168,DICO_Complet!$A$3:$U$983,10,FALSE)</f>
        <v>POS activity</v>
      </c>
      <c r="K168" s="53" t="str">
        <f>IF(VLOOKUP($A168,DICO_Complet!$A$3:$U$983,12,FALSE)=0,"",VLOOKUP($A168,DICO_Complet!$A$3:$U$983,12,FALSE))</f>
        <v/>
      </c>
      <c r="L168" s="53" t="str">
        <f>IF(VLOOKUP($A168,DICO_Complet!$A$3:$U$983,13,FALSE)=0,"",VLOOKUP($A168,DICO_Complet!$A$3:$U$983,13,FALSE))</f>
        <v/>
      </c>
      <c r="M168" s="53" t="str">
        <f>IF(VLOOKUP($A168,DICO_Complet!$A$3:$U$983,14,FALSE)=0,"",VLOOKUP($A168,DICO_Complet!$A$3:$U$983,14,FALSE))</f>
        <v>72_DF42</v>
      </c>
      <c r="N168" s="53" t="str">
        <f>IF(VLOOKUP($A168,DICO_Complet!$A$3:$U$983,15,FALSE)=0,"",VLOOKUP($A168,DICO_Complet!$A$3:$U$983,15,FALSE))</f>
        <v/>
      </c>
      <c r="O168" s="53" t="str">
        <f>IF(VLOOKUP($A168,DICO_Complet!$A$3:$U$983,16,FALSE)=0,"",VLOOKUP($A168,DICO_Complet!$A$3:$U$983,16,FALSE))</f>
        <v/>
      </c>
      <c r="P168" s="53" t="str">
        <f>IF(VLOOKUP($A168,DICO_Complet!$A$3:$U$983,17,FALSE)=0,"",VLOOKUP($A168,DICO_Complet!$A$3:$U$983,17,FALSE))</f>
        <v/>
      </c>
      <c r="Q168" s="53" t="str">
        <f>IF(VLOOKUP($A168,DICO_Complet!$A$3:$U$983,18,FALSE)=0,"",VLOOKUP($A168,DICO_Complet!$A$3:$U$983,18,FALSE))</f>
        <v/>
      </c>
    </row>
    <row r="169" spans="1:17">
      <c r="A169" s="38">
        <v>250425201511</v>
      </c>
      <c r="B169" s="47" t="s">
        <v>858</v>
      </c>
      <c r="C169" s="3" t="str">
        <f>VLOOKUP($A169,DICO_Complet!$A$3:$U$983,3,FALSE)</f>
        <v>Context</v>
      </c>
      <c r="D169" s="3" t="str">
        <f>VLOOKUP($A169,DICO_Complet!$A$3:$U$983,4,FALSE)</f>
        <v>pointOfServiceContext</v>
      </c>
      <c r="E169" s="2" t="str">
        <f>VLOOKUP($A169,DICO_Complet!$A$3:$U$983,5,FALSE)</f>
        <v>temp_processingIndicator</v>
      </c>
      <c r="F169" s="2" t="str">
        <f>VLOOKUP($A169,DICO_Complet!$A$3:$U$983,6,FALSE)</f>
        <v>temp_processingIndicatorCodeset</v>
      </c>
      <c r="G169" s="48">
        <f>VLOOKUP($A169,DICO_Complet!$A$3:$U$983,7,FALSE)</f>
        <v>0</v>
      </c>
      <c r="H169" s="48">
        <f>VLOOKUP($A169,DICO_Complet!$A$3:$U$983,8,FALSE)</f>
        <v>0</v>
      </c>
      <c r="I169" s="2" t="str">
        <f>IF(VLOOKUP($A169,DICO_Complet!$A$3:$U$983,9,FALSE)&lt;&gt;0,VLOOKUP($A169,DICO_Complet!$A$3:$U$983,9,FALSE),"")</f>
        <v/>
      </c>
      <c r="J169" s="1" t="str">
        <f>VLOOKUP($A169,DICO_Complet!$A$3:$U$983,10,FALSE)</f>
        <v>Processing indicator</v>
      </c>
      <c r="K169" s="53" t="str">
        <f>IF(VLOOKUP($A169,DICO_Complet!$A$3:$U$983,12,FALSE)=0,"",VLOOKUP($A169,DICO_Complet!$A$3:$U$983,12,FALSE))</f>
        <v/>
      </c>
      <c r="L169" s="53" t="str">
        <f>IF(VLOOKUP($A169,DICO_Complet!$A$3:$U$983,13,FALSE)=0,"",VLOOKUP($A169,DICO_Complet!$A$3:$U$983,13,FALSE))</f>
        <v/>
      </c>
      <c r="M169" s="53" t="str">
        <f>IF(VLOOKUP($A169,DICO_Complet!$A$3:$U$983,14,FALSE)=0,"",VLOOKUP($A169,DICO_Complet!$A$3:$U$983,14,FALSE))</f>
        <v>72_DF98 part 1</v>
      </c>
      <c r="N169" s="53" t="str">
        <f>IF(VLOOKUP($A169,DICO_Complet!$A$3:$U$983,15,FALSE)=0,"",VLOOKUP($A169,DICO_Complet!$A$3:$U$983,15,FALSE))</f>
        <v/>
      </c>
      <c r="O169" s="53" t="str">
        <f>IF(VLOOKUP($A169,DICO_Complet!$A$3:$U$983,16,FALSE)=0,"",VLOOKUP($A169,DICO_Complet!$A$3:$U$983,16,FALSE))</f>
        <v/>
      </c>
      <c r="P169" s="53" t="str">
        <f>IF(VLOOKUP($A169,DICO_Complet!$A$3:$U$983,17,FALSE)=0,"",VLOOKUP($A169,DICO_Complet!$A$3:$U$983,17,FALSE))</f>
        <v/>
      </c>
      <c r="Q169" s="53" t="str">
        <f>IF(VLOOKUP($A169,DICO_Complet!$A$3:$U$983,18,FALSE)=0,"",VLOOKUP($A169,DICO_Complet!$A$3:$U$983,18,FALSE))</f>
        <v/>
      </c>
    </row>
    <row r="170" spans="1:17">
      <c r="A170" s="38">
        <v>250425201608</v>
      </c>
      <c r="B170" s="47" t="s">
        <v>858</v>
      </c>
      <c r="C170" s="3" t="str">
        <f>VLOOKUP($A170,DICO_Complet!$A$3:$U$983,3,FALSE)</f>
        <v>Context</v>
      </c>
      <c r="D170" s="3" t="str">
        <f>VLOOKUP($A170,DICO_Complet!$A$3:$U$983,4,FALSE)</f>
        <v>pointOfServiceContext</v>
      </c>
      <c r="E170" s="2" t="str">
        <f>VLOOKUP($A170,DICO_Complet!$A$3:$U$983,5,FALSE)</f>
        <v>temp_receiptCategory</v>
      </c>
      <c r="F170" s="2" t="str">
        <f>VLOOKUP($A170,DICO_Complet!$A$3:$U$983,6,FALSE)</f>
        <v>temp_receiptCategoryCodeset</v>
      </c>
      <c r="G170" s="48">
        <f>VLOOKUP($A170,DICO_Complet!$A$3:$U$983,7,FALSE)</f>
        <v>0</v>
      </c>
      <c r="H170" s="48">
        <f>VLOOKUP($A170,DICO_Complet!$A$3:$U$983,8,FALSE)</f>
        <v>0</v>
      </c>
      <c r="I170" s="2" t="str">
        <f>IF(VLOOKUP($A170,DICO_Complet!$A$3:$U$983,9,FALSE)&lt;&gt;0,VLOOKUP($A170,DICO_Complet!$A$3:$U$983,9,FALSE),"")</f>
        <v/>
      </c>
      <c r="J170" s="1" t="str">
        <f>VLOOKUP($A170,DICO_Complet!$A$3:$U$983,10,FALSE)</f>
        <v>Receipt type</v>
      </c>
      <c r="K170" s="53" t="str">
        <f>IF(VLOOKUP($A170,DICO_Complet!$A$3:$U$983,12,FALSE)=0,"",VLOOKUP($A170,DICO_Complet!$A$3:$U$983,12,FALSE))</f>
        <v/>
      </c>
      <c r="L170" s="53" t="str">
        <f>IF(VLOOKUP($A170,DICO_Complet!$A$3:$U$983,13,FALSE)=0,"",VLOOKUP($A170,DICO_Complet!$A$3:$U$983,13,FALSE))</f>
        <v/>
      </c>
      <c r="M170" s="53" t="str">
        <f>IF(VLOOKUP($A170,DICO_Complet!$A$3:$U$983,14,FALSE)=0,"",VLOOKUP($A170,DICO_Complet!$A$3:$U$983,14,FALSE))</f>
        <v>72_DFB4 part 1</v>
      </c>
      <c r="N170" s="53" t="str">
        <f>IF(VLOOKUP($A170,DICO_Complet!$A$3:$U$983,15,FALSE)=0,"",VLOOKUP($A170,DICO_Complet!$A$3:$U$983,15,FALSE))</f>
        <v/>
      </c>
      <c r="O170" s="53" t="str">
        <f>IF(VLOOKUP($A170,DICO_Complet!$A$3:$U$983,16,FALSE)=0,"",VLOOKUP($A170,DICO_Complet!$A$3:$U$983,16,FALSE))</f>
        <v/>
      </c>
      <c r="P170" s="53" t="str">
        <f>IF(VLOOKUP($A170,DICO_Complet!$A$3:$U$983,17,FALSE)=0,"",VLOOKUP($A170,DICO_Complet!$A$3:$U$983,17,FALSE))</f>
        <v/>
      </c>
      <c r="Q170" s="53" t="str">
        <f>IF(VLOOKUP($A170,DICO_Complet!$A$3:$U$983,18,FALSE)=0,"",VLOOKUP($A170,DICO_Complet!$A$3:$U$983,18,FALSE))</f>
        <v/>
      </c>
    </row>
    <row r="171" spans="1:17">
      <c r="A171" s="38">
        <v>250425201609</v>
      </c>
      <c r="B171" s="47" t="s">
        <v>858</v>
      </c>
      <c r="C171" s="3" t="str">
        <f>VLOOKUP($A171,DICO_Complet!$A$3:$U$983,3,FALSE)</f>
        <v>Context</v>
      </c>
      <c r="D171" s="3" t="str">
        <f>VLOOKUP($A171,DICO_Complet!$A$3:$U$983,4,FALSE)</f>
        <v>pointOfServiceContext</v>
      </c>
      <c r="E171" s="2" t="str">
        <f>VLOOKUP($A171,DICO_Complet!$A$3:$U$983,5,FALSE)</f>
        <v>temp_receiptPrintingMode</v>
      </c>
      <c r="F171" s="2" t="str">
        <f>VLOOKUP($A171,DICO_Complet!$A$3:$U$983,6,FALSE)</f>
        <v>temp_receiptPrintingModeCodeset</v>
      </c>
      <c r="G171" s="48">
        <f>VLOOKUP($A171,DICO_Complet!$A$3:$U$983,7,FALSE)</f>
        <v>0</v>
      </c>
      <c r="H171" s="48">
        <f>VLOOKUP($A171,DICO_Complet!$A$3:$U$983,8,FALSE)</f>
        <v>0</v>
      </c>
      <c r="I171" s="2" t="str">
        <f>IF(VLOOKUP($A171,DICO_Complet!$A$3:$U$983,9,FALSE)&lt;&gt;0,VLOOKUP($A171,DICO_Complet!$A$3:$U$983,9,FALSE),"")</f>
        <v/>
      </c>
      <c r="J171" s="1" t="str">
        <f>VLOOKUP($A171,DICO_Complet!$A$3:$U$983,10,FALSE)</f>
        <v>Receipt printing mode</v>
      </c>
      <c r="K171" s="53" t="str">
        <f>IF(VLOOKUP($A171,DICO_Complet!$A$3:$U$983,12,FALSE)=0,"",VLOOKUP($A171,DICO_Complet!$A$3:$U$983,12,FALSE))</f>
        <v/>
      </c>
      <c r="L171" s="53" t="str">
        <f>IF(VLOOKUP($A171,DICO_Complet!$A$3:$U$983,13,FALSE)=0,"",VLOOKUP($A171,DICO_Complet!$A$3:$U$983,13,FALSE))</f>
        <v/>
      </c>
      <c r="M171" s="53" t="str">
        <f>IF(VLOOKUP($A171,DICO_Complet!$A$3:$U$983,14,FALSE)=0,"",VLOOKUP($A171,DICO_Complet!$A$3:$U$983,14,FALSE))</f>
        <v>72_DFB4 part 2</v>
      </c>
      <c r="N171" s="53" t="str">
        <f>IF(VLOOKUP($A171,DICO_Complet!$A$3:$U$983,15,FALSE)=0,"",VLOOKUP($A171,DICO_Complet!$A$3:$U$983,15,FALSE))</f>
        <v/>
      </c>
      <c r="O171" s="53" t="str">
        <f>IF(VLOOKUP($A171,DICO_Complet!$A$3:$U$983,16,FALSE)=0,"",VLOOKUP($A171,DICO_Complet!$A$3:$U$983,16,FALSE))</f>
        <v/>
      </c>
      <c r="P171" s="53" t="str">
        <f>IF(VLOOKUP($A171,DICO_Complet!$A$3:$U$983,17,FALSE)=0,"",VLOOKUP($A171,DICO_Complet!$A$3:$U$983,17,FALSE))</f>
        <v/>
      </c>
      <c r="Q171" s="53" t="str">
        <f>IF(VLOOKUP($A171,DICO_Complet!$A$3:$U$983,18,FALSE)=0,"",VLOOKUP($A171,DICO_Complet!$A$3:$U$983,18,FALSE))</f>
        <v/>
      </c>
    </row>
    <row r="172" spans="1:17">
      <c r="A172" s="38">
        <v>250425201029</v>
      </c>
      <c r="B172" s="47" t="s">
        <v>858</v>
      </c>
      <c r="C172" s="3" t="str">
        <f>VLOOKUP($A172,DICO_Complet!$A$3:$U$983,3,FALSE)</f>
        <v>Context</v>
      </c>
      <c r="D172" s="3" t="str">
        <f>VLOOKUP($A172,DICO_Complet!$A$3:$U$983,4,FALSE)</f>
        <v>pointOfServiceContext</v>
      </c>
      <c r="E172" s="2" t="str">
        <f>VLOOKUP($A172,DICO_Complet!$A$3:$U$983,5,FALSE)</f>
        <v>temp_recurrentCallEndDate</v>
      </c>
      <c r="F172" s="2" t="str">
        <f>VLOOKUP($A172,DICO_Complet!$A$3:$U$983,6,FALSE)</f>
        <v>ISODateTime</v>
      </c>
      <c r="G172" s="48">
        <f>VLOOKUP($A172,DICO_Complet!$A$3:$U$983,7,FALSE)</f>
        <v>0</v>
      </c>
      <c r="H172" s="48">
        <f>VLOOKUP($A172,DICO_Complet!$A$3:$U$983,8,FALSE)</f>
        <v>0</v>
      </c>
      <c r="I172" s="2" t="str">
        <f>IF(VLOOKUP($A172,DICO_Complet!$A$3:$U$983,9,FALSE)&lt;&gt;0,VLOOKUP($A172,DICO_Complet!$A$3:$U$983,9,FALSE),"")</f>
        <v/>
      </c>
      <c r="J172" s="1" t="str">
        <f>VLOOKUP($A172,DICO_Complet!$A$3:$U$983,10,FALSE)</f>
        <v>Recurrent call end date</v>
      </c>
      <c r="K172" s="53" t="str">
        <f>IF(VLOOKUP($A172,DICO_Complet!$A$3:$U$983,12,FALSE)=0,"",VLOOKUP($A172,DICO_Complet!$A$3:$U$983,12,FALSE))</f>
        <v/>
      </c>
      <c r="L172" s="53" t="str">
        <f>IF(VLOOKUP($A172,DICO_Complet!$A$3:$U$983,13,FALSE)=0,"",VLOOKUP($A172,DICO_Complet!$A$3:$U$983,13,FALSE))</f>
        <v/>
      </c>
      <c r="M172" s="53" t="str">
        <f>IF(VLOOKUP($A172,DICO_Complet!$A$3:$U$983,14,FALSE)=0,"",VLOOKUP($A172,DICO_Complet!$A$3:$U$983,14,FALSE))</f>
        <v>72_DF46 part 3</v>
      </c>
      <c r="N172" s="53" t="str">
        <f>IF(VLOOKUP($A172,DICO_Complet!$A$3:$U$983,15,FALSE)=0,"",VLOOKUP($A172,DICO_Complet!$A$3:$U$983,15,FALSE))</f>
        <v/>
      </c>
      <c r="O172" s="53" t="str">
        <f>IF(VLOOKUP($A172,DICO_Complet!$A$3:$U$983,16,FALSE)=0,"",VLOOKUP($A172,DICO_Complet!$A$3:$U$983,16,FALSE))</f>
        <v/>
      </c>
      <c r="P172" s="53" t="str">
        <f>IF(VLOOKUP($A172,DICO_Complet!$A$3:$U$983,17,FALSE)=0,"",VLOOKUP($A172,DICO_Complet!$A$3:$U$983,17,FALSE))</f>
        <v/>
      </c>
      <c r="Q172" s="53" t="str">
        <f>IF(VLOOKUP($A172,DICO_Complet!$A$3:$U$983,18,FALSE)=0,"",VLOOKUP($A172,DICO_Complet!$A$3:$U$983,18,FALSE))</f>
        <v/>
      </c>
    </row>
    <row r="173" spans="1:17">
      <c r="A173" s="38">
        <v>250425201027</v>
      </c>
      <c r="B173" s="47" t="s">
        <v>858</v>
      </c>
      <c r="C173" s="3" t="str">
        <f>VLOOKUP($A173,DICO_Complet!$A$3:$U$983,3,FALSE)</f>
        <v>Context</v>
      </c>
      <c r="D173" s="3" t="str">
        <f>VLOOKUP($A173,DICO_Complet!$A$3:$U$983,4,FALSE)</f>
        <v>pointOfServiceContext</v>
      </c>
      <c r="E173" s="2" t="str">
        <f>VLOOKUP($A173,DICO_Complet!$A$3:$U$983,5,FALSE)</f>
        <v>temp_recurrentCallIndicator</v>
      </c>
      <c r="F173" s="2" t="str">
        <f>VLOOKUP($A173,DICO_Complet!$A$3:$U$983,6,FALSE)</f>
        <v>TrueFalseIndicator</v>
      </c>
      <c r="G173" s="48">
        <f>VLOOKUP($A173,DICO_Complet!$A$3:$U$983,7,FALSE)</f>
        <v>0</v>
      </c>
      <c r="H173" s="48">
        <f>VLOOKUP($A173,DICO_Complet!$A$3:$U$983,8,FALSE)</f>
        <v>0</v>
      </c>
      <c r="I173" s="2" t="str">
        <f>IF(VLOOKUP($A173,DICO_Complet!$A$3:$U$983,9,FALSE)&lt;&gt;0,VLOOKUP($A173,DICO_Complet!$A$3:$U$983,9,FALSE),"")</f>
        <v/>
      </c>
      <c r="J173" s="1" t="str">
        <f>VLOOKUP($A173,DICO_Complet!$A$3:$U$983,10,FALSE)</f>
        <v>Recurrent call indicator</v>
      </c>
      <c r="K173" s="53" t="str">
        <f>IF(VLOOKUP($A173,DICO_Complet!$A$3:$U$983,12,FALSE)=0,"",VLOOKUP($A173,DICO_Complet!$A$3:$U$983,12,FALSE))</f>
        <v/>
      </c>
      <c r="L173" s="53" t="str">
        <f>IF(VLOOKUP($A173,DICO_Complet!$A$3:$U$983,13,FALSE)=0,"",VLOOKUP($A173,DICO_Complet!$A$3:$U$983,13,FALSE))</f>
        <v/>
      </c>
      <c r="M173" s="53" t="str">
        <f>IF(VLOOKUP($A173,DICO_Complet!$A$3:$U$983,14,FALSE)=0,"",VLOOKUP($A173,DICO_Complet!$A$3:$U$983,14,FALSE))</f>
        <v>72_DF46 part 1</v>
      </c>
      <c r="N173" s="53" t="str">
        <f>IF(VLOOKUP($A173,DICO_Complet!$A$3:$U$983,15,FALSE)=0,"",VLOOKUP($A173,DICO_Complet!$A$3:$U$983,15,FALSE))</f>
        <v/>
      </c>
      <c r="O173" s="53" t="str">
        <f>IF(VLOOKUP($A173,DICO_Complet!$A$3:$U$983,16,FALSE)=0,"",VLOOKUP($A173,DICO_Complet!$A$3:$U$983,16,FALSE))</f>
        <v/>
      </c>
      <c r="P173" s="53" t="str">
        <f>IF(VLOOKUP($A173,DICO_Complet!$A$3:$U$983,17,FALSE)=0,"",VLOOKUP($A173,DICO_Complet!$A$3:$U$983,17,FALSE))</f>
        <v/>
      </c>
      <c r="Q173" s="53" t="str">
        <f>IF(VLOOKUP($A173,DICO_Complet!$A$3:$U$983,18,FALSE)=0,"",VLOOKUP($A173,DICO_Complet!$A$3:$U$983,18,FALSE))</f>
        <v/>
      </c>
    </row>
    <row r="174" spans="1:17">
      <c r="A174" s="38">
        <v>250425201607</v>
      </c>
      <c r="B174" s="47" t="s">
        <v>858</v>
      </c>
      <c r="C174" s="3" t="str">
        <f>VLOOKUP($A174,DICO_Complet!$A$3:$U$983,3,FALSE)</f>
        <v>Context</v>
      </c>
      <c r="D174" s="3" t="str">
        <f>VLOOKUP($A174,DICO_Complet!$A$3:$U$983,4,FALSE)</f>
        <v>pointOfServiceContext</v>
      </c>
      <c r="E174" s="2" t="str">
        <f>VLOOKUP($A174,DICO_Complet!$A$3:$U$983,5,FALSE)</f>
        <v>temp_regionIndicator</v>
      </c>
      <c r="F174" s="2" t="str">
        <f>VLOOKUP($A174,DICO_Complet!$A$3:$U$983,6,FALSE)</f>
        <v>Exact2Text</v>
      </c>
      <c r="G174" s="48">
        <f>VLOOKUP($A174,DICO_Complet!$A$3:$U$983,7,FALSE)</f>
        <v>0</v>
      </c>
      <c r="H174" s="48">
        <f>VLOOKUP($A174,DICO_Complet!$A$3:$U$983,8,FALSE)</f>
        <v>0</v>
      </c>
      <c r="I174" s="2" t="str">
        <f>IF(VLOOKUP($A174,DICO_Complet!$A$3:$U$983,9,FALSE)&lt;&gt;0,VLOOKUP($A174,DICO_Complet!$A$3:$U$983,9,FALSE),"")</f>
        <v/>
      </c>
      <c r="J174" s="1" t="str">
        <f>VLOOKUP($A174,DICO_Complet!$A$3:$U$983,10,FALSE)</f>
        <v>Region indicator</v>
      </c>
      <c r="K174" s="53" t="str">
        <f>IF(VLOOKUP($A174,DICO_Complet!$A$3:$U$983,12,FALSE)=0,"",VLOOKUP($A174,DICO_Complet!$A$3:$U$983,12,FALSE))</f>
        <v/>
      </c>
      <c r="L174" s="53" t="str">
        <f>IF(VLOOKUP($A174,DICO_Complet!$A$3:$U$983,13,FALSE)=0,"",VLOOKUP($A174,DICO_Complet!$A$3:$U$983,13,FALSE))</f>
        <v/>
      </c>
      <c r="M174" s="53" t="str">
        <f>IF(VLOOKUP($A174,DICO_Complet!$A$3:$U$983,14,FALSE)=0,"",VLOOKUP($A174,DICO_Complet!$A$3:$U$983,14,FALSE))</f>
        <v>72_DFB2</v>
      </c>
      <c r="N174" s="53" t="str">
        <f>IF(VLOOKUP($A174,DICO_Complet!$A$3:$U$983,15,FALSE)=0,"",VLOOKUP($A174,DICO_Complet!$A$3:$U$983,15,FALSE))</f>
        <v/>
      </c>
      <c r="O174" s="53" t="str">
        <f>IF(VLOOKUP($A174,DICO_Complet!$A$3:$U$983,16,FALSE)=0,"",VLOOKUP($A174,DICO_Complet!$A$3:$U$983,16,FALSE))</f>
        <v/>
      </c>
      <c r="P174" s="53" t="str">
        <f>IF(VLOOKUP($A174,DICO_Complet!$A$3:$U$983,17,FALSE)=0,"",VLOOKUP($A174,DICO_Complet!$A$3:$U$983,17,FALSE))</f>
        <v/>
      </c>
      <c r="Q174" s="53" t="str">
        <f>IF(VLOOKUP($A174,DICO_Complet!$A$3:$U$983,18,FALSE)=0,"",VLOOKUP($A174,DICO_Complet!$A$3:$U$983,18,FALSE))</f>
        <v/>
      </c>
    </row>
    <row r="175" spans="1:17">
      <c r="A175" s="38">
        <v>250425201033</v>
      </c>
      <c r="B175" s="47" t="s">
        <v>858</v>
      </c>
      <c r="C175" s="3" t="str">
        <f>VLOOKUP($A175,DICO_Complet!$A$3:$U$983,3,FALSE)</f>
        <v>Context</v>
      </c>
      <c r="D175" s="3" t="str">
        <f>VLOOKUP($A175,DICO_Complet!$A$3:$U$983,4,FALSE)</f>
        <v>pointOfServiceContext</v>
      </c>
      <c r="E175" s="2" t="str">
        <f>VLOOKUP($A175,DICO_Complet!$A$3:$U$983,5,FALSE)</f>
        <v>temp_serviceName</v>
      </c>
      <c r="F175" s="2" t="str">
        <f>VLOOKUP($A175,DICO_Complet!$A$3:$U$983,6,FALSE)</f>
        <v>Exact32Text</v>
      </c>
      <c r="G175" s="48">
        <f>VLOOKUP($A175,DICO_Complet!$A$3:$U$983,7,FALSE)</f>
        <v>0</v>
      </c>
      <c r="H175" s="48">
        <f>VLOOKUP($A175,DICO_Complet!$A$3:$U$983,8,FALSE)</f>
        <v>0</v>
      </c>
      <c r="I175" s="2" t="str">
        <f>IF(VLOOKUP($A175,DICO_Complet!$A$3:$U$983,9,FALSE)&lt;&gt;0,VLOOKUP($A175,DICO_Complet!$A$3:$U$983,9,FALSE),"")</f>
        <v/>
      </c>
      <c r="J175" s="1" t="str">
        <f>VLOOKUP($A175,DICO_Complet!$A$3:$U$983,10,FALSE)</f>
        <v>Service name</v>
      </c>
      <c r="K175" s="53" t="str">
        <f>IF(VLOOKUP($A175,DICO_Complet!$A$3:$U$983,12,FALSE)=0,"",VLOOKUP($A175,DICO_Complet!$A$3:$U$983,12,FALSE))</f>
        <v/>
      </c>
      <c r="L175" s="53" t="str">
        <f>IF(VLOOKUP($A175,DICO_Complet!$A$3:$U$983,13,FALSE)=0,"",VLOOKUP($A175,DICO_Complet!$A$3:$U$983,13,FALSE))</f>
        <v/>
      </c>
      <c r="M175" s="53" t="str">
        <f>IF(VLOOKUP($A175,DICO_Complet!$A$3:$U$983,14,FALSE)=0,"",VLOOKUP($A175,DICO_Complet!$A$3:$U$983,14,FALSE))</f>
        <v>72_DF50 part 1</v>
      </c>
      <c r="N175" s="53" t="str">
        <f>IF(VLOOKUP($A175,DICO_Complet!$A$3:$U$983,15,FALSE)=0,"",VLOOKUP($A175,DICO_Complet!$A$3:$U$983,15,FALSE))</f>
        <v/>
      </c>
      <c r="O175" s="53" t="str">
        <f>IF(VLOOKUP($A175,DICO_Complet!$A$3:$U$983,16,FALSE)=0,"",VLOOKUP($A175,DICO_Complet!$A$3:$U$983,16,FALSE))</f>
        <v/>
      </c>
      <c r="P175" s="53" t="str">
        <f>IF(VLOOKUP($A175,DICO_Complet!$A$3:$U$983,17,FALSE)=0,"",VLOOKUP($A175,DICO_Complet!$A$3:$U$983,17,FALSE))</f>
        <v/>
      </c>
      <c r="Q175" s="53" t="str">
        <f>IF(VLOOKUP($A175,DICO_Complet!$A$3:$U$983,18,FALSE)=0,"",VLOOKUP($A175,DICO_Complet!$A$3:$U$983,18,FALSE))</f>
        <v/>
      </c>
    </row>
    <row r="176" spans="1:17">
      <c r="A176" s="38">
        <v>250425201705</v>
      </c>
      <c r="B176" s="47" t="s">
        <v>858</v>
      </c>
      <c r="C176" s="3" t="str">
        <f>VLOOKUP($A176,DICO_Complet!$A$3:$U$983,3,FALSE)</f>
        <v>Context</v>
      </c>
      <c r="D176" s="3" t="str">
        <f>VLOOKUP($A176,DICO_Complet!$A$3:$U$983,4,FALSE)</f>
        <v>pointOfServiceContext</v>
      </c>
      <c r="E176" s="2" t="str">
        <f>VLOOKUP($A176,DICO_Complet!$A$3:$U$983,5,FALSE)</f>
        <v>temp_softwareCouplerVersionNumber</v>
      </c>
      <c r="F176" s="2" t="str">
        <f>VLOOKUP($A176,DICO_Complet!$A$3:$U$983,6,FALSE)</f>
        <v>Exact4AlphaNumericText</v>
      </c>
      <c r="G176" s="48">
        <f>VLOOKUP($A176,DICO_Complet!$A$3:$U$983,7,FALSE)</f>
        <v>0</v>
      </c>
      <c r="H176" s="48">
        <f>VLOOKUP($A176,DICO_Complet!$A$3:$U$983,8,FALSE)</f>
        <v>0</v>
      </c>
      <c r="I176" s="2" t="str">
        <f>IF(VLOOKUP($A176,DICO_Complet!$A$3:$U$983,9,FALSE)&lt;&gt;0,VLOOKUP($A176,DICO_Complet!$A$3:$U$983,9,FALSE),"")</f>
        <v/>
      </c>
      <c r="J176" s="1" t="str">
        <f>VLOOKUP($A176,DICO_Complet!$A$3:$U$983,10,FALSE)</f>
        <v>Software coupler version number</v>
      </c>
      <c r="K176" s="53" t="str">
        <f>IF(VLOOKUP($A176,DICO_Complet!$A$3:$U$983,12,FALSE)=0,"",VLOOKUP($A176,DICO_Complet!$A$3:$U$983,12,FALSE))</f>
        <v/>
      </c>
      <c r="L176" s="53" t="str">
        <f>IF(VLOOKUP($A176,DICO_Complet!$A$3:$U$983,13,FALSE)=0,"",VLOOKUP($A176,DICO_Complet!$A$3:$U$983,13,FALSE))</f>
        <v/>
      </c>
      <c r="M176" s="53" t="str">
        <f>IF(VLOOKUP($A176,DICO_Complet!$A$3:$U$983,14,FALSE)=0,"",VLOOKUP($A176,DICO_Complet!$A$3:$U$983,14,FALSE))</f>
        <v>614_46 DF67 part 15</v>
      </c>
      <c r="N176" s="53" t="str">
        <f>IF(VLOOKUP($A176,DICO_Complet!$A$3:$U$983,15,FALSE)=0,"",VLOOKUP($A176,DICO_Complet!$A$3:$U$983,15,FALSE))</f>
        <v/>
      </c>
      <c r="O176" s="53" t="str">
        <f>IF(VLOOKUP($A176,DICO_Complet!$A$3:$U$983,16,FALSE)=0,"",VLOOKUP($A176,DICO_Complet!$A$3:$U$983,16,FALSE))</f>
        <v/>
      </c>
      <c r="P176" s="53" t="str">
        <f>IF(VLOOKUP($A176,DICO_Complet!$A$3:$U$983,17,FALSE)=0,"",VLOOKUP($A176,DICO_Complet!$A$3:$U$983,17,FALSE))</f>
        <v/>
      </c>
      <c r="Q176" s="53" t="str">
        <f>IF(VLOOKUP($A176,DICO_Complet!$A$3:$U$983,18,FALSE)=0,"",VLOOKUP($A176,DICO_Complet!$A$3:$U$983,18,FALSE))</f>
        <v/>
      </c>
    </row>
    <row r="177" spans="1:17" ht="15" customHeight="1">
      <c r="A177" s="38">
        <v>250425201621</v>
      </c>
      <c r="B177" s="47" t="s">
        <v>858</v>
      </c>
      <c r="C177" s="3" t="str">
        <f>VLOOKUP($A177,DICO_Complet!$A$3:$U$983,3,FALSE)</f>
        <v>Context</v>
      </c>
      <c r="D177" s="3" t="str">
        <f>VLOOKUP($A177,DICO_Complet!$A$3:$U$983,4,FALSE)</f>
        <v>pointOfServiceContext</v>
      </c>
      <c r="E177" s="2" t="str">
        <f>VLOOKUP($A177,DICO_Complet!$A$3:$U$983,5,FALSE)</f>
        <v>temp_softwareVersionNumberOfTheResident</v>
      </c>
      <c r="F177" s="2" t="str">
        <f>VLOOKUP($A177,DICO_Complet!$A$3:$U$983,6,FALSE)</f>
        <v>Exact12Text</v>
      </c>
      <c r="G177" s="48">
        <f>VLOOKUP($A177,DICO_Complet!$A$3:$U$983,7,FALSE)</f>
        <v>0</v>
      </c>
      <c r="H177" s="48">
        <f>VLOOKUP($A177,DICO_Complet!$A$3:$U$983,8,FALSE)</f>
        <v>0</v>
      </c>
      <c r="I177" s="2" t="str">
        <f>IF(VLOOKUP($A177,DICO_Complet!$A$3:$U$983,9,FALSE)&lt;&gt;0,VLOOKUP($A177,DICO_Complet!$A$3:$U$983,9,FALSE),"")</f>
        <v/>
      </c>
      <c r="J177" s="1" t="str">
        <f>VLOOKUP($A177,DICO_Complet!$A$3:$U$983,10,FALSE)</f>
        <v>Software version number of the resident</v>
      </c>
      <c r="K177" s="53" t="str">
        <f>IF(VLOOKUP($A177,DICO_Complet!$A$3:$U$983,12,FALSE)=0,"",VLOOKUP($A177,DICO_Complet!$A$3:$U$983,12,FALSE))</f>
        <v/>
      </c>
      <c r="L177" s="53" t="str">
        <f>IF(VLOOKUP($A177,DICO_Complet!$A$3:$U$983,13,FALSE)=0,"",VLOOKUP($A177,DICO_Complet!$A$3:$U$983,13,FALSE))</f>
        <v/>
      </c>
      <c r="M177" s="53" t="str">
        <f>IF(VLOOKUP($A177,DICO_Complet!$A$3:$U$983,14,FALSE)=0,"",VLOOKUP($A177,DICO_Complet!$A$3:$U$983,14,FALSE))</f>
        <v>614_46 DF67 part 5</v>
      </c>
      <c r="N177" s="53" t="str">
        <f>IF(VLOOKUP($A177,DICO_Complet!$A$3:$U$983,15,FALSE)=0,"",VLOOKUP($A177,DICO_Complet!$A$3:$U$983,15,FALSE))</f>
        <v/>
      </c>
      <c r="O177" s="53" t="str">
        <f>IF(VLOOKUP($A177,DICO_Complet!$A$3:$U$983,16,FALSE)=0,"",VLOOKUP($A177,DICO_Complet!$A$3:$U$983,16,FALSE))</f>
        <v/>
      </c>
      <c r="P177" s="53" t="str">
        <f>IF(VLOOKUP($A177,DICO_Complet!$A$3:$U$983,17,FALSE)=0,"",VLOOKUP($A177,DICO_Complet!$A$3:$U$983,17,FALSE))</f>
        <v/>
      </c>
      <c r="Q177" s="53" t="str">
        <f>IF(VLOOKUP($A177,DICO_Complet!$A$3:$U$983,18,FALSE)=0,"",VLOOKUP($A177,DICO_Complet!$A$3:$U$983,18,FALSE))</f>
        <v/>
      </c>
    </row>
    <row r="178" spans="1:17" ht="15" customHeight="1">
      <c r="A178" s="38">
        <v>250425201708</v>
      </c>
      <c r="B178" s="47" t="s">
        <v>858</v>
      </c>
      <c r="C178" s="3" t="str">
        <f>VLOOKUP($A178,DICO_Complet!$A$3:$U$983,3,FALSE)</f>
        <v>Context</v>
      </c>
      <c r="D178" s="3" t="str">
        <f>VLOOKUP($A178,DICO_Complet!$A$3:$U$983,4,FALSE)</f>
        <v>pointOfServiceContext</v>
      </c>
      <c r="E178" s="2" t="str">
        <f>VLOOKUP($A178,DICO_Complet!$A$3:$U$983,5,FALSE)</f>
        <v>temp_supportedprotocolFunctions</v>
      </c>
      <c r="F178" s="2" t="str">
        <f>VLOOKUP($A178,DICO_Complet!$A$3:$U$983,6,FALSE)</f>
        <v>temp_supportedprotocolFunctionsCodeset</v>
      </c>
      <c r="G178" s="48">
        <f>VLOOKUP($A178,DICO_Complet!$A$3:$U$983,7,FALSE)</f>
        <v>0</v>
      </c>
      <c r="H178" s="48">
        <f>VLOOKUP($A178,DICO_Complet!$A$3:$U$983,8,FALSE)</f>
        <v>0</v>
      </c>
      <c r="I178" s="2" t="str">
        <f>IF(VLOOKUP($A178,DICO_Complet!$A$3:$U$983,9,FALSE)&lt;&gt;0,VLOOKUP($A178,DICO_Complet!$A$3:$U$983,9,FALSE),"")</f>
        <v/>
      </c>
      <c r="J178" s="1" t="str">
        <f>VLOOKUP($A178,DICO_Complet!$A$3:$U$983,10,FALSE)</f>
        <v>SUPPORTED PROTOCOL FUNCTIONS</v>
      </c>
      <c r="K178" s="53" t="str">
        <f>IF(VLOOKUP($A178,DICO_Complet!$A$3:$U$983,12,FALSE)=0,"",VLOOKUP($A178,DICO_Complet!$A$3:$U$983,12,FALSE))</f>
        <v/>
      </c>
      <c r="L178" s="53" t="str">
        <f>IF(VLOOKUP($A178,DICO_Complet!$A$3:$U$983,13,FALSE)=0,"",VLOOKUP($A178,DICO_Complet!$A$3:$U$983,13,FALSE))</f>
        <v/>
      </c>
      <c r="M178" s="53" t="str">
        <f>IF(VLOOKUP($A178,DICO_Complet!$A$3:$U$983,14,FALSE)=0,"",VLOOKUP($A178,DICO_Complet!$A$3:$U$983,14,FALSE))</f>
        <v>47 16</v>
      </c>
      <c r="N178" s="53" t="str">
        <f>IF(VLOOKUP($A178,DICO_Complet!$A$3:$U$983,15,FALSE)=0,"",VLOOKUP($A178,DICO_Complet!$A$3:$U$983,15,FALSE))</f>
        <v/>
      </c>
      <c r="O178" s="53" t="str">
        <f>IF(VLOOKUP($A178,DICO_Complet!$A$3:$U$983,16,FALSE)=0,"",VLOOKUP($A178,DICO_Complet!$A$3:$U$983,16,FALSE))</f>
        <v/>
      </c>
      <c r="P178" s="53" t="str">
        <f>IF(VLOOKUP($A178,DICO_Complet!$A$3:$U$983,17,FALSE)=0,"",VLOOKUP($A178,DICO_Complet!$A$3:$U$983,17,FALSE))</f>
        <v/>
      </c>
      <c r="Q178" s="53" t="str">
        <f>IF(VLOOKUP($A178,DICO_Complet!$A$3:$U$983,18,FALSE)=0,"",VLOOKUP($A178,DICO_Complet!$A$3:$U$983,18,FALSE))</f>
        <v/>
      </c>
    </row>
    <row r="179" spans="1:17">
      <c r="A179" s="38">
        <v>250425201018</v>
      </c>
      <c r="B179" s="47" t="s">
        <v>858</v>
      </c>
      <c r="C179" s="3" t="str">
        <f>VLOOKUP($A179,DICO_Complet!$A$3:$U$983,3,FALSE)</f>
        <v>Context</v>
      </c>
      <c r="D179" s="3" t="str">
        <f>VLOOKUP($A179,DICO_Complet!$A$3:$U$983,4,FALSE)</f>
        <v>pointOfServiceContext</v>
      </c>
      <c r="E179" s="2" t="str">
        <f>VLOOKUP($A179,DICO_Complet!$A$3:$U$983,5,FALSE)</f>
        <v>temp_switchoverModeToBackupLink</v>
      </c>
      <c r="F179" s="2" t="str">
        <f>VLOOKUP($A179,DICO_Complet!$A$3:$U$983,6,FALSE)</f>
        <v>Exact1NumericText</v>
      </c>
      <c r="G179" s="48">
        <f>VLOOKUP($A179,DICO_Complet!$A$3:$U$983,7,FALSE)</f>
        <v>0</v>
      </c>
      <c r="H179" s="48">
        <f>VLOOKUP($A179,DICO_Complet!$A$3:$U$983,8,FALSE)</f>
        <v>0</v>
      </c>
      <c r="I179" s="2" t="str">
        <f>IF(VLOOKUP($A179,DICO_Complet!$A$3:$U$983,9,FALSE)&lt;&gt;0,VLOOKUP($A179,DICO_Complet!$A$3:$U$983,9,FALSE),"")</f>
        <v/>
      </c>
      <c r="J179" s="1" t="str">
        <f>VLOOKUP($A179,DICO_Complet!$A$3:$U$983,10,FALSE)</f>
        <v>Switchover mode to the backup link</v>
      </c>
      <c r="K179" s="53" t="str">
        <f>IF(VLOOKUP($A179,DICO_Complet!$A$3:$U$983,12,FALSE)=0,"",VLOOKUP($A179,DICO_Complet!$A$3:$U$983,12,FALSE))</f>
        <v/>
      </c>
      <c r="L179" s="53" t="str">
        <f>IF(VLOOKUP($A179,DICO_Complet!$A$3:$U$983,13,FALSE)=0,"",VLOOKUP($A179,DICO_Complet!$A$3:$U$983,13,FALSE))</f>
        <v/>
      </c>
      <c r="M179" s="53" t="str">
        <f>IF(VLOOKUP($A179,DICO_Complet!$A$3:$U$983,14,FALSE)=0,"",VLOOKUP($A179,DICO_Complet!$A$3:$U$983,14,FALSE))</f>
        <v>72_DF43 Part 1</v>
      </c>
      <c r="N179" s="53" t="str">
        <f>IF(VLOOKUP($A179,DICO_Complet!$A$3:$U$983,15,FALSE)=0,"",VLOOKUP($A179,DICO_Complet!$A$3:$U$983,15,FALSE))</f>
        <v/>
      </c>
      <c r="O179" s="53" t="str">
        <f>IF(VLOOKUP($A179,DICO_Complet!$A$3:$U$983,16,FALSE)=0,"",VLOOKUP($A179,DICO_Complet!$A$3:$U$983,16,FALSE))</f>
        <v/>
      </c>
      <c r="P179" s="53" t="str">
        <f>IF(VLOOKUP($A179,DICO_Complet!$A$3:$U$983,17,FALSE)=0,"",VLOOKUP($A179,DICO_Complet!$A$3:$U$983,17,FALSE))</f>
        <v/>
      </c>
      <c r="Q179" s="53" t="str">
        <f>IF(VLOOKUP($A179,DICO_Complet!$A$3:$U$983,18,FALSE)=0,"",VLOOKUP($A179,DICO_Complet!$A$3:$U$983,18,FALSE))</f>
        <v/>
      </c>
    </row>
    <row r="180" spans="1:17">
      <c r="A180" s="38">
        <v>250425201709</v>
      </c>
      <c r="B180" s="47" t="s">
        <v>858</v>
      </c>
      <c r="C180" s="3" t="str">
        <f>VLOOKUP($A180,DICO_Complet!$A$3:$U$983,3,FALSE)</f>
        <v>Context</v>
      </c>
      <c r="D180" s="3" t="str">
        <f>VLOOKUP($A180,DICO_Complet!$A$3:$U$983,4,FALSE)</f>
        <v>pointOfServiceContext</v>
      </c>
      <c r="E180" s="2" t="str">
        <f>VLOOKUP($A180,DICO_Complet!$A$3:$U$983,5,FALSE)</f>
        <v>temp_tableIdentifier</v>
      </c>
      <c r="F180" s="2" t="str">
        <f>VLOOKUP($A180,DICO_Complet!$A$3:$U$983,6,FALSE)</f>
        <v>temp_TableIdentifierCodeset</v>
      </c>
      <c r="G180" s="48">
        <f>VLOOKUP($A180,DICO_Complet!$A$3:$U$983,7,FALSE)</f>
        <v>0</v>
      </c>
      <c r="H180" s="48">
        <f>VLOOKUP($A180,DICO_Complet!$A$3:$U$983,8,FALSE)</f>
        <v>0</v>
      </c>
      <c r="I180" s="2" t="str">
        <f>IF(VLOOKUP($A180,DICO_Complet!$A$3:$U$983,9,FALSE)&lt;&gt;0,VLOOKUP($A180,DICO_Complet!$A$3:$U$983,9,FALSE),"")</f>
        <v/>
      </c>
      <c r="J180" s="1" t="str">
        <f>VLOOKUP($A180,DICO_Complet!$A$3:$U$983,10,FALSE)</f>
        <v>Table identifier</v>
      </c>
      <c r="K180" s="53" t="str">
        <f>IF(VLOOKUP($A180,DICO_Complet!$A$3:$U$983,12,FALSE)=0,"",VLOOKUP($A180,DICO_Complet!$A$3:$U$983,12,FALSE))</f>
        <v/>
      </c>
      <c r="L180" s="53" t="str">
        <f>IF(VLOOKUP($A180,DICO_Complet!$A$3:$U$983,13,FALSE)=0,"",VLOOKUP($A180,DICO_Complet!$A$3:$U$983,13,FALSE))</f>
        <v/>
      </c>
      <c r="M180" s="53" t="str">
        <f>IF(VLOOKUP($A180,DICO_Complet!$A$3:$U$983,14,FALSE)=0,"",VLOOKUP($A180,DICO_Complet!$A$3:$U$983,14,FALSE))</f>
        <v>46 DF58_001</v>
      </c>
      <c r="N180" s="53" t="str">
        <f>IF(VLOOKUP($A180,DICO_Complet!$A$3:$U$983,15,FALSE)=0,"",VLOOKUP($A180,DICO_Complet!$A$3:$U$983,15,FALSE))</f>
        <v/>
      </c>
      <c r="O180" s="53" t="str">
        <f>IF(VLOOKUP($A180,DICO_Complet!$A$3:$U$983,16,FALSE)=0,"",VLOOKUP($A180,DICO_Complet!$A$3:$U$983,16,FALSE))</f>
        <v/>
      </c>
      <c r="P180" s="53" t="str">
        <f>IF(VLOOKUP($A180,DICO_Complet!$A$3:$U$983,17,FALSE)=0,"",VLOOKUP($A180,DICO_Complet!$A$3:$U$983,17,FALSE))</f>
        <v/>
      </c>
      <c r="Q180" s="53" t="str">
        <f>IF(VLOOKUP($A180,DICO_Complet!$A$3:$U$983,18,FALSE)=0,"",VLOOKUP($A180,DICO_Complet!$A$3:$U$983,18,FALSE))</f>
        <v/>
      </c>
    </row>
    <row r="181" spans="1:17">
      <c r="A181" s="38">
        <v>250425201711</v>
      </c>
      <c r="B181" s="47" t="s">
        <v>858</v>
      </c>
      <c r="C181" s="3" t="str">
        <f>VLOOKUP($A181,DICO_Complet!$A$3:$U$983,3,FALSE)</f>
        <v>Context</v>
      </c>
      <c r="D181" s="3" t="str">
        <f>VLOOKUP($A181,DICO_Complet!$A$3:$U$983,4,FALSE)</f>
        <v>pointOfServiceContext</v>
      </c>
      <c r="E181" s="2" t="str">
        <f>VLOOKUP($A181,DICO_Complet!$A$3:$U$983,5,FALSE)</f>
        <v>temp_tableStatusCode</v>
      </c>
      <c r="F181" s="2" t="str">
        <f>VLOOKUP($A181,DICO_Complet!$A$3:$U$983,6,FALSE)</f>
        <v>temp_TableStatusCodeCodeset</v>
      </c>
      <c r="G181" s="48">
        <f>VLOOKUP($A181,DICO_Complet!$A$3:$U$983,7,FALSE)</f>
        <v>0</v>
      </c>
      <c r="H181" s="48">
        <f>VLOOKUP($A181,DICO_Complet!$A$3:$U$983,8,FALSE)</f>
        <v>0</v>
      </c>
      <c r="I181" s="2" t="str">
        <f>IF(VLOOKUP($A181,DICO_Complet!$A$3:$U$983,9,FALSE)&lt;&gt;0,VLOOKUP($A181,DICO_Complet!$A$3:$U$983,9,FALSE),"")</f>
        <v/>
      </c>
      <c r="J181" s="1" t="str">
        <f>VLOOKUP($A181,DICO_Complet!$A$3:$U$983,10,FALSE)</f>
        <v>status table</v>
      </c>
      <c r="K181" s="53" t="str">
        <f>IF(VLOOKUP($A181,DICO_Complet!$A$3:$U$983,12,FALSE)=0,"",VLOOKUP($A181,DICO_Complet!$A$3:$U$983,12,FALSE))</f>
        <v/>
      </c>
      <c r="L181" s="53" t="str">
        <f>IF(VLOOKUP($A181,DICO_Complet!$A$3:$U$983,13,FALSE)=0,"",VLOOKUP($A181,DICO_Complet!$A$3:$U$983,13,FALSE))</f>
        <v/>
      </c>
      <c r="M181" s="53" t="str">
        <f>IF(VLOOKUP($A181,DICO_Complet!$A$3:$U$983,14,FALSE)=0,"",VLOOKUP($A181,DICO_Complet!$A$3:$U$983,14,FALSE))</f>
        <v>46 DF58_003</v>
      </c>
      <c r="N181" s="53" t="str">
        <f>IF(VLOOKUP($A181,DICO_Complet!$A$3:$U$983,15,FALSE)=0,"",VLOOKUP($A181,DICO_Complet!$A$3:$U$983,15,FALSE))</f>
        <v/>
      </c>
      <c r="O181" s="53" t="str">
        <f>IF(VLOOKUP($A181,DICO_Complet!$A$3:$U$983,16,FALSE)=0,"",VLOOKUP($A181,DICO_Complet!$A$3:$U$983,16,FALSE))</f>
        <v/>
      </c>
      <c r="P181" s="53" t="str">
        <f>IF(VLOOKUP($A181,DICO_Complet!$A$3:$U$983,17,FALSE)=0,"",VLOOKUP($A181,DICO_Complet!$A$3:$U$983,17,FALSE))</f>
        <v/>
      </c>
      <c r="Q181" s="53" t="str">
        <f>IF(VLOOKUP($A181,DICO_Complet!$A$3:$U$983,18,FALSE)=0,"",VLOOKUP($A181,DICO_Complet!$A$3:$U$983,18,FALSE))</f>
        <v/>
      </c>
    </row>
    <row r="182" spans="1:17">
      <c r="A182" s="38">
        <v>250425201710</v>
      </c>
      <c r="B182" s="47" t="s">
        <v>858</v>
      </c>
      <c r="C182" s="3" t="str">
        <f>VLOOKUP($A182,DICO_Complet!$A$3:$U$983,3,FALSE)</f>
        <v>Context</v>
      </c>
      <c r="D182" s="3" t="str">
        <f>VLOOKUP($A182,DICO_Complet!$A$3:$U$983,4,FALSE)</f>
        <v>pointOfServiceContext</v>
      </c>
      <c r="E182" s="2" t="str">
        <f>VLOOKUP($A182,DICO_Complet!$A$3:$U$983,5,FALSE)</f>
        <v>temp_tableVersionNumber</v>
      </c>
      <c r="F182" s="2" t="str">
        <f>VLOOKUP($A182,DICO_Complet!$A$3:$U$983,6,FALSE)</f>
        <v>Exact4Text</v>
      </c>
      <c r="G182" s="48">
        <f>VLOOKUP($A182,DICO_Complet!$A$3:$U$983,7,FALSE)</f>
        <v>0</v>
      </c>
      <c r="H182" s="48">
        <f>VLOOKUP($A182,DICO_Complet!$A$3:$U$983,8,FALSE)</f>
        <v>0</v>
      </c>
      <c r="I182" s="2" t="str">
        <f>IF(VLOOKUP($A182,DICO_Complet!$A$3:$U$983,9,FALSE)&lt;&gt;0,VLOOKUP($A182,DICO_Complet!$A$3:$U$983,9,FALSE),"")</f>
        <v/>
      </c>
      <c r="J182" s="1" t="str">
        <f>VLOOKUP($A182,DICO_Complet!$A$3:$U$983,10,FALSE)</f>
        <v>Table version number</v>
      </c>
      <c r="K182" s="53" t="str">
        <f>IF(VLOOKUP($A182,DICO_Complet!$A$3:$U$983,12,FALSE)=0,"",VLOOKUP($A182,DICO_Complet!$A$3:$U$983,12,FALSE))</f>
        <v/>
      </c>
      <c r="L182" s="53" t="str">
        <f>IF(VLOOKUP($A182,DICO_Complet!$A$3:$U$983,13,FALSE)=0,"",VLOOKUP($A182,DICO_Complet!$A$3:$U$983,13,FALSE))</f>
        <v/>
      </c>
      <c r="M182" s="53" t="str">
        <f>IF(VLOOKUP($A182,DICO_Complet!$A$3:$U$983,14,FALSE)=0,"",VLOOKUP($A182,DICO_Complet!$A$3:$U$983,14,FALSE))</f>
        <v>46 DF58_002</v>
      </c>
      <c r="N182" s="53" t="str">
        <f>IF(VLOOKUP($A182,DICO_Complet!$A$3:$U$983,15,FALSE)=0,"",VLOOKUP($A182,DICO_Complet!$A$3:$U$983,15,FALSE))</f>
        <v/>
      </c>
      <c r="O182" s="53" t="str">
        <f>IF(VLOOKUP($A182,DICO_Complet!$A$3:$U$983,16,FALSE)=0,"",VLOOKUP($A182,DICO_Complet!$A$3:$U$983,16,FALSE))</f>
        <v/>
      </c>
      <c r="P182" s="53" t="str">
        <f>IF(VLOOKUP($A182,DICO_Complet!$A$3:$U$983,17,FALSE)=0,"",VLOOKUP($A182,DICO_Complet!$A$3:$U$983,17,FALSE))</f>
        <v/>
      </c>
      <c r="Q182" s="53" t="str">
        <f>IF(VLOOKUP($A182,DICO_Complet!$A$3:$U$983,18,FALSE)=0,"",VLOOKUP($A182,DICO_Complet!$A$3:$U$983,18,FALSE))</f>
        <v/>
      </c>
    </row>
    <row r="183" spans="1:17">
      <c r="A183" s="38">
        <v>250425201030</v>
      </c>
      <c r="B183" s="47" t="s">
        <v>858</v>
      </c>
      <c r="C183" s="3" t="str">
        <f>VLOOKUP($A183,DICO_Complet!$A$3:$U$983,3,FALSE)</f>
        <v>Context</v>
      </c>
      <c r="D183" s="3" t="str">
        <f>VLOOKUP($A183,DICO_Complet!$A$3:$U$983,4,FALSE)</f>
        <v>pointOfServiceContext</v>
      </c>
      <c r="E183" s="2" t="str">
        <f>VLOOKUP($A183,DICO_Complet!$A$3:$U$983,5,FALSE)</f>
        <v>temp_technicalActivations</v>
      </c>
      <c r="F183" s="2" t="str">
        <f>VLOOKUP($A183,DICO_Complet!$A$3:$U$983,6,FALSE)</f>
        <v>TrueFalseIndicator</v>
      </c>
      <c r="G183" s="48">
        <f>VLOOKUP($A183,DICO_Complet!$A$3:$U$983,7,FALSE)</f>
        <v>0</v>
      </c>
      <c r="H183" s="48">
        <f>VLOOKUP($A183,DICO_Complet!$A$3:$U$983,8,FALSE)</f>
        <v>0</v>
      </c>
      <c r="I183" s="2" t="str">
        <f>IF(VLOOKUP($A183,DICO_Complet!$A$3:$U$983,9,FALSE)&lt;&gt;0,VLOOKUP($A183,DICO_Complet!$A$3:$U$983,9,FALSE),"")</f>
        <v/>
      </c>
      <c r="J183" s="1" t="str">
        <f>VLOOKUP($A183,DICO_Complet!$A$3:$U$983,10,FALSE)</f>
        <v>Technical activations</v>
      </c>
      <c r="K183" s="53" t="str">
        <f>IF(VLOOKUP($A183,DICO_Complet!$A$3:$U$983,12,FALSE)=0,"",VLOOKUP($A183,DICO_Complet!$A$3:$U$983,12,FALSE))</f>
        <v/>
      </c>
      <c r="L183" s="53" t="str">
        <f>IF(VLOOKUP($A183,DICO_Complet!$A$3:$U$983,13,FALSE)=0,"",VLOOKUP($A183,DICO_Complet!$A$3:$U$983,13,FALSE))</f>
        <v/>
      </c>
      <c r="M183" s="53" t="str">
        <f>IF(VLOOKUP($A183,DICO_Complet!$A$3:$U$983,14,FALSE)=0,"",VLOOKUP($A183,DICO_Complet!$A$3:$U$983,14,FALSE))</f>
        <v>72_DF47</v>
      </c>
      <c r="N183" s="53" t="str">
        <f>IF(VLOOKUP($A183,DICO_Complet!$A$3:$U$983,15,FALSE)=0,"",VLOOKUP($A183,DICO_Complet!$A$3:$U$983,15,FALSE))</f>
        <v/>
      </c>
      <c r="O183" s="53" t="str">
        <f>IF(VLOOKUP($A183,DICO_Complet!$A$3:$U$983,16,FALSE)=0,"",VLOOKUP($A183,DICO_Complet!$A$3:$U$983,16,FALSE))</f>
        <v/>
      </c>
      <c r="P183" s="53" t="str">
        <f>IF(VLOOKUP($A183,DICO_Complet!$A$3:$U$983,17,FALSE)=0,"",VLOOKUP($A183,DICO_Complet!$A$3:$U$983,17,FALSE))</f>
        <v/>
      </c>
      <c r="Q183" s="53" t="str">
        <f>IF(VLOOKUP($A183,DICO_Complet!$A$3:$U$983,18,FALSE)=0,"",VLOOKUP($A183,DICO_Complet!$A$3:$U$983,18,FALSE))</f>
        <v/>
      </c>
    </row>
    <row r="184" spans="1:17">
      <c r="A184" s="38">
        <v>250425200814</v>
      </c>
      <c r="B184" s="47" t="s">
        <v>858</v>
      </c>
      <c r="C184" s="3" t="str">
        <f>VLOOKUP($A184,DICO_Complet!$A$3:$U$983,3,FALSE)</f>
        <v>Context</v>
      </c>
      <c r="D184" s="3" t="str">
        <f>VLOOKUP($A184,DICO_Complet!$A$3:$U$983,4,FALSE)</f>
        <v>pointOfServiceContext</v>
      </c>
      <c r="E184" s="2" t="str">
        <f>VLOOKUP($A184,DICO_Complet!$A$3:$U$983,5,FALSE)</f>
        <v>temp_telecomBillingMode</v>
      </c>
      <c r="F184" s="2" t="str">
        <f>VLOOKUP($A184,DICO_Complet!$A$3:$U$983,6,FALSE)</f>
        <v>temp_telecomBillingModeCodeset</v>
      </c>
      <c r="G184" s="48">
        <f>VLOOKUP($A184,DICO_Complet!$A$3:$U$983,7,FALSE)</f>
        <v>0</v>
      </c>
      <c r="H184" s="48">
        <f>VLOOKUP($A184,DICO_Complet!$A$3:$U$983,8,FALSE)</f>
        <v>0</v>
      </c>
      <c r="I184" s="2" t="str">
        <f>IF(VLOOKUP($A184,DICO_Complet!$A$3:$U$983,9,FALSE)&lt;&gt;0,VLOOKUP($A184,DICO_Complet!$A$3:$U$983,9,FALSE),"")</f>
        <v/>
      </c>
      <c r="J184" s="1" t="str">
        <f>VLOOKUP($A184,DICO_Complet!$A$3:$U$983,10,FALSE)</f>
        <v>telecom billing mode : 0 Called party/1 Calling party</v>
      </c>
      <c r="K184" s="53" t="str">
        <f>IF(VLOOKUP($A184,DICO_Complet!$A$3:$U$983,12,FALSE)=0,"",VLOOKUP($A184,DICO_Complet!$A$3:$U$983,12,FALSE))</f>
        <v/>
      </c>
      <c r="L184" s="53" t="str">
        <f>IF(VLOOKUP($A184,DICO_Complet!$A$3:$U$983,13,FALSE)=0,"",VLOOKUP($A184,DICO_Complet!$A$3:$U$983,13,FALSE))</f>
        <v/>
      </c>
      <c r="M184" s="53" t="str">
        <f>IF(VLOOKUP($A184,DICO_Complet!$A$3:$U$983,14,FALSE)=0,"",VLOOKUP($A184,DICO_Complet!$A$3:$U$983,14,FALSE))</f>
        <v>72_ DF20</v>
      </c>
      <c r="N184" s="53" t="str">
        <f>IF(VLOOKUP($A184,DICO_Complet!$A$3:$U$983,15,FALSE)=0,"",VLOOKUP($A184,DICO_Complet!$A$3:$U$983,15,FALSE))</f>
        <v/>
      </c>
      <c r="O184" s="53" t="str">
        <f>IF(VLOOKUP($A184,DICO_Complet!$A$3:$U$983,16,FALSE)=0,"",VLOOKUP($A184,DICO_Complet!$A$3:$U$983,16,FALSE))</f>
        <v/>
      </c>
      <c r="P184" s="53" t="str">
        <f>IF(VLOOKUP($A184,DICO_Complet!$A$3:$U$983,17,FALSE)=0,"",VLOOKUP($A184,DICO_Complet!$A$3:$U$983,17,FALSE))</f>
        <v/>
      </c>
      <c r="Q184" s="53" t="str">
        <f>IF(VLOOKUP($A184,DICO_Complet!$A$3:$U$983,18,FALSE)=0,"",VLOOKUP($A184,DICO_Complet!$A$3:$U$983,18,FALSE))</f>
        <v/>
      </c>
    </row>
    <row r="185" spans="1:17">
      <c r="A185" s="38">
        <v>250425201522</v>
      </c>
      <c r="B185" s="47" t="s">
        <v>858</v>
      </c>
      <c r="C185" s="3" t="str">
        <f>VLOOKUP($A185,DICO_Complet!$A$3:$U$983,3,FALSE)</f>
        <v>Context</v>
      </c>
      <c r="D185" s="3" t="str">
        <f>VLOOKUP($A185,DICO_Complet!$A$3:$U$983,4,FALSE)</f>
        <v>pointOfServiceContext</v>
      </c>
      <c r="E185" s="2" t="str">
        <f>VLOOKUP($A185,DICO_Complet!$A$3:$U$983,5,FALSE)</f>
        <v>temp_version</v>
      </c>
      <c r="F185" s="2" t="str">
        <f>VLOOKUP($A185,DICO_Complet!$A$3:$U$983,6,FALSE)</f>
        <v>ISODateTime</v>
      </c>
      <c r="G185" s="48">
        <f>VLOOKUP($A185,DICO_Complet!$A$3:$U$983,7,FALSE)</f>
        <v>0</v>
      </c>
      <c r="H185" s="48">
        <f>VLOOKUP($A185,DICO_Complet!$A$3:$U$983,8,FALSE)</f>
        <v>0</v>
      </c>
      <c r="I185" s="2" t="str">
        <f>IF(VLOOKUP($A185,DICO_Complet!$A$3:$U$983,9,FALSE)&lt;&gt;0,VLOOKUP($A185,DICO_Complet!$A$3:$U$983,9,FALSE),"")</f>
        <v/>
      </c>
      <c r="J185" s="1" t="str">
        <f>VLOOKUP($A185,DICO_Complet!$A$3:$U$983,10,FALSE)</f>
        <v>Version</v>
      </c>
      <c r="K185" s="53" t="str">
        <f>IF(VLOOKUP($A185,DICO_Complet!$A$3:$U$983,12,FALSE)=0,"",VLOOKUP($A185,DICO_Complet!$A$3:$U$983,12,FALSE))</f>
        <v/>
      </c>
      <c r="L185" s="53" t="str">
        <f>IF(VLOOKUP($A185,DICO_Complet!$A$3:$U$983,13,FALSE)=0,"",VLOOKUP($A185,DICO_Complet!$A$3:$U$983,13,FALSE))</f>
        <v/>
      </c>
      <c r="M185" s="53" t="str">
        <f>IF(VLOOKUP($A185,DICO_Complet!$A$3:$U$983,14,FALSE)=0,"",VLOOKUP($A185,DICO_Complet!$A$3:$U$983,14,FALSE))</f>
        <v>72_DFAB part 3</v>
      </c>
      <c r="N185" s="53" t="str">
        <f>IF(VLOOKUP($A185,DICO_Complet!$A$3:$U$983,15,FALSE)=0,"",VLOOKUP($A185,DICO_Complet!$A$3:$U$983,15,FALSE))</f>
        <v/>
      </c>
      <c r="O185" s="53" t="str">
        <f>IF(VLOOKUP($A185,DICO_Complet!$A$3:$U$983,16,FALSE)=0,"",VLOOKUP($A185,DICO_Complet!$A$3:$U$983,16,FALSE))</f>
        <v/>
      </c>
      <c r="P185" s="53" t="str">
        <f>IF(VLOOKUP($A185,DICO_Complet!$A$3:$U$983,17,FALSE)=0,"",VLOOKUP($A185,DICO_Complet!$A$3:$U$983,17,FALSE))</f>
        <v/>
      </c>
      <c r="Q185" s="53" t="str">
        <f>IF(VLOOKUP($A185,DICO_Complet!$A$3:$U$983,18,FALSE)=0,"",VLOOKUP($A185,DICO_Complet!$A$3:$U$983,18,FALSE))</f>
        <v/>
      </c>
    </row>
    <row r="186" spans="1:17">
      <c r="A186" s="38">
        <v>250425201715</v>
      </c>
      <c r="B186" s="47" t="s">
        <v>858</v>
      </c>
      <c r="C186" s="3" t="str">
        <f>VLOOKUP($A186,DICO_Complet!$A$3:$U$983,3,FALSE)</f>
        <v>Context</v>
      </c>
      <c r="D186" s="3" t="str">
        <f>VLOOKUP($A186,DICO_Complet!$A$3:$U$983,4,FALSE)</f>
        <v>pointOfServiceContext</v>
      </c>
      <c r="E186" s="2" t="str">
        <f>VLOOKUP($A186,DICO_Complet!$A$3:$U$983,5,FALSE)</f>
        <v>temp_versionCBCOM</v>
      </c>
      <c r="F186" s="2" t="str">
        <f>VLOOKUP($A186,DICO_Complet!$A$3:$U$983,6,FALSE)</f>
        <v>Exact2AlphaNumericText</v>
      </c>
      <c r="G186" s="48">
        <f>VLOOKUP($A186,DICO_Complet!$A$3:$U$983,7,FALSE)</f>
        <v>0</v>
      </c>
      <c r="H186" s="48">
        <f>VLOOKUP($A186,DICO_Complet!$A$3:$U$983,8,FALSE)</f>
        <v>0</v>
      </c>
      <c r="I186" s="2" t="str">
        <f>IF(VLOOKUP($A186,DICO_Complet!$A$3:$U$983,9,FALSE)&lt;&gt;0,VLOOKUP($A186,DICO_Complet!$A$3:$U$983,9,FALSE),"")</f>
        <v/>
      </c>
      <c r="J186" s="1" t="str">
        <f>VLOOKUP($A186,DICO_Complet!$A$3:$U$983,10,FALSE)</f>
        <v>CBCOM Version</v>
      </c>
      <c r="K186" s="53" t="str">
        <f>IF(VLOOKUP($A186,DICO_Complet!$A$3:$U$983,12,FALSE)=0,"",VLOOKUP($A186,DICO_Complet!$A$3:$U$983,12,FALSE))</f>
        <v/>
      </c>
      <c r="L186" s="53" t="str">
        <f>IF(VLOOKUP($A186,DICO_Complet!$A$3:$U$983,13,FALSE)=0,"",VLOOKUP($A186,DICO_Complet!$A$3:$U$983,13,FALSE))</f>
        <v/>
      </c>
      <c r="M186" s="53" t="str">
        <f>IF(VLOOKUP($A186,DICO_Complet!$A$3:$U$983,14,FALSE)=0,"",VLOOKUP($A186,DICO_Complet!$A$3:$U$983,14,FALSE))</f>
        <v>CBCOM PI05_1</v>
      </c>
      <c r="N186" s="53" t="str">
        <f>IF(VLOOKUP($A186,DICO_Complet!$A$3:$U$983,15,FALSE)=0,"",VLOOKUP($A186,DICO_Complet!$A$3:$U$983,15,FALSE))</f>
        <v/>
      </c>
      <c r="O186" s="53" t="str">
        <f>IF(VLOOKUP($A186,DICO_Complet!$A$3:$U$983,16,FALSE)=0,"",VLOOKUP($A186,DICO_Complet!$A$3:$U$983,16,FALSE))</f>
        <v/>
      </c>
      <c r="P186" s="53" t="str">
        <f>IF(VLOOKUP($A186,DICO_Complet!$A$3:$U$983,17,FALSE)=0,"",VLOOKUP($A186,DICO_Complet!$A$3:$U$983,17,FALSE))</f>
        <v/>
      </c>
      <c r="Q186" s="53" t="str">
        <f>IF(VLOOKUP($A186,DICO_Complet!$A$3:$U$983,18,FALSE)=0,"",VLOOKUP($A186,DICO_Complet!$A$3:$U$983,18,FALSE))</f>
        <v/>
      </c>
    </row>
    <row r="187" spans="1:17">
      <c r="A187" s="38">
        <v>250425201022</v>
      </c>
      <c r="B187" s="47" t="s">
        <v>858</v>
      </c>
      <c r="C187" s="3" t="str">
        <f>VLOOKUP($A187,DICO_Complet!$A$3:$U$983,3,FALSE)</f>
        <v>Context</v>
      </c>
      <c r="D187" s="3" t="str">
        <f>VLOOKUP($A187,DICO_Complet!$A$3:$U$983,4,FALSE)</f>
        <v>pointOfServiceContext</v>
      </c>
      <c r="E187" s="2" t="str">
        <f>VLOOKUP($A187,DICO_Complet!$A$3:$U$983,5,FALSE)</f>
        <v>temp_waitTimeBetweenTwoCalls</v>
      </c>
      <c r="F187" s="2" t="str">
        <f>VLOOKUP($A187,DICO_Complet!$A$3:$U$983,6,FALSE)</f>
        <v>Exact4NumericText</v>
      </c>
      <c r="G187" s="48">
        <f>VLOOKUP($A187,DICO_Complet!$A$3:$U$983,7,FALSE)</f>
        <v>0</v>
      </c>
      <c r="H187" s="48">
        <f>VLOOKUP($A187,DICO_Complet!$A$3:$U$983,8,FALSE)</f>
        <v>0</v>
      </c>
      <c r="I187" s="2" t="str">
        <f>IF(VLOOKUP($A187,DICO_Complet!$A$3:$U$983,9,FALSE)&lt;&gt;0,VLOOKUP($A187,DICO_Complet!$A$3:$U$983,9,FALSE),"")</f>
        <v/>
      </c>
      <c r="J187" s="1" t="str">
        <f>VLOOKUP($A187,DICO_Complet!$A$3:$U$983,10,FALSE)</f>
        <v>Wait time between two calls</v>
      </c>
      <c r="K187" s="53" t="str">
        <f>IF(VLOOKUP($A187,DICO_Complet!$A$3:$U$983,12,FALSE)=0,"",VLOOKUP($A187,DICO_Complet!$A$3:$U$983,12,FALSE))</f>
        <v/>
      </c>
      <c r="L187" s="53" t="str">
        <f>IF(VLOOKUP($A187,DICO_Complet!$A$3:$U$983,13,FALSE)=0,"",VLOOKUP($A187,DICO_Complet!$A$3:$U$983,13,FALSE))</f>
        <v/>
      </c>
      <c r="M187" s="53" t="str">
        <f>IF(VLOOKUP($A187,DICO_Complet!$A$3:$U$983,14,FALSE)=0,"",VLOOKUP($A187,DICO_Complet!$A$3:$U$983,14,FALSE))</f>
        <v>72_DF43 Part 5</v>
      </c>
      <c r="N187" s="53" t="str">
        <f>IF(VLOOKUP($A187,DICO_Complet!$A$3:$U$983,15,FALSE)=0,"",VLOOKUP($A187,DICO_Complet!$A$3:$U$983,15,FALSE))</f>
        <v/>
      </c>
      <c r="O187" s="53" t="str">
        <f>IF(VLOOKUP($A187,DICO_Complet!$A$3:$U$983,16,FALSE)=0,"",VLOOKUP($A187,DICO_Complet!$A$3:$U$983,16,FALSE))</f>
        <v/>
      </c>
      <c r="P187" s="53" t="str">
        <f>IF(VLOOKUP($A187,DICO_Complet!$A$3:$U$983,17,FALSE)=0,"",VLOOKUP($A187,DICO_Complet!$A$3:$U$983,17,FALSE))</f>
        <v/>
      </c>
      <c r="Q187" s="53" t="str">
        <f>IF(VLOOKUP($A187,DICO_Complet!$A$3:$U$983,18,FALSE)=0,"",VLOOKUP($A187,DICO_Complet!$A$3:$U$983,18,FALSE))</f>
        <v/>
      </c>
    </row>
    <row r="188" spans="1:17">
      <c r="A188" s="38">
        <v>250425201028</v>
      </c>
      <c r="B188" s="47" t="s">
        <v>858</v>
      </c>
      <c r="C188" s="3" t="str">
        <f>VLOOKUP($A188,DICO_Complet!$A$3:$U$983,3,FALSE)</f>
        <v>Context</v>
      </c>
      <c r="D188" s="3" t="str">
        <f>VLOOKUP($A188,DICO_Complet!$A$3:$U$983,4,FALSE)</f>
        <v>pointOfServiceContext</v>
      </c>
      <c r="E188" s="2" t="str">
        <f>VLOOKUP($A188,DICO_Complet!$A$3:$U$983,5,FALSE)</f>
        <v>temp_waitTimeInDays</v>
      </c>
      <c r="F188" s="2" t="str">
        <f>VLOOKUP($A188,DICO_Complet!$A$3:$U$983,6,FALSE)</f>
        <v>Exact3Text</v>
      </c>
      <c r="G188" s="48">
        <f>VLOOKUP($A188,DICO_Complet!$A$3:$U$983,7,FALSE)</f>
        <v>0</v>
      </c>
      <c r="H188" s="48">
        <f>VLOOKUP($A188,DICO_Complet!$A$3:$U$983,8,FALSE)</f>
        <v>0</v>
      </c>
      <c r="I188" s="2" t="str">
        <f>IF(VLOOKUP($A188,DICO_Complet!$A$3:$U$983,9,FALSE)&lt;&gt;0,VLOOKUP($A188,DICO_Complet!$A$3:$U$983,9,FALSE),"")</f>
        <v/>
      </c>
      <c r="J188" s="1" t="str">
        <f>VLOOKUP($A188,DICO_Complet!$A$3:$U$983,10,FALSE)</f>
        <v>Wait time (in days)</v>
      </c>
      <c r="K188" s="53" t="str">
        <f>IF(VLOOKUP($A188,DICO_Complet!$A$3:$U$983,12,FALSE)=0,"",VLOOKUP($A188,DICO_Complet!$A$3:$U$983,12,FALSE))</f>
        <v/>
      </c>
      <c r="L188" s="53" t="str">
        <f>IF(VLOOKUP($A188,DICO_Complet!$A$3:$U$983,13,FALSE)=0,"",VLOOKUP($A188,DICO_Complet!$A$3:$U$983,13,FALSE))</f>
        <v/>
      </c>
      <c r="M188" s="53" t="str">
        <f>IF(VLOOKUP($A188,DICO_Complet!$A$3:$U$983,14,FALSE)=0,"",VLOOKUP($A188,DICO_Complet!$A$3:$U$983,14,FALSE))</f>
        <v>72_DF46 part 2</v>
      </c>
      <c r="N188" s="53" t="str">
        <f>IF(VLOOKUP($A188,DICO_Complet!$A$3:$U$983,15,FALSE)=0,"",VLOOKUP($A188,DICO_Complet!$A$3:$U$983,15,FALSE))</f>
        <v/>
      </c>
      <c r="O188" s="53" t="str">
        <f>IF(VLOOKUP($A188,DICO_Complet!$A$3:$U$983,16,FALSE)=0,"",VLOOKUP($A188,DICO_Complet!$A$3:$U$983,16,FALSE))</f>
        <v/>
      </c>
      <c r="P188" s="53" t="str">
        <f>IF(VLOOKUP($A188,DICO_Complet!$A$3:$U$983,17,FALSE)=0,"",VLOOKUP($A188,DICO_Complet!$A$3:$U$983,17,FALSE))</f>
        <v/>
      </c>
      <c r="Q188" s="53" t="str">
        <f>IF(VLOOKUP($A188,DICO_Complet!$A$3:$U$983,18,FALSE)=0,"",VLOOKUP($A188,DICO_Complet!$A$3:$U$983,18,FALSE))</f>
        <v/>
      </c>
    </row>
    <row r="189" spans="1:17">
      <c r="A189" s="38">
        <v>250331162608</v>
      </c>
      <c r="B189" s="47" t="s">
        <v>858</v>
      </c>
      <c r="C189" s="3" t="str">
        <f>VLOOKUP($A189,DICO_Complet!$A$3:$U$983,3,FALSE)</f>
        <v>Context</v>
      </c>
      <c r="D189" s="3" t="str">
        <f>VLOOKUP($A189,DICO_Complet!$A$3:$U$983,4,FALSE)</f>
        <v>pointOfServiceContext</v>
      </c>
      <c r="E189" s="2" t="str">
        <f>VLOOKUP($A189,DICO_Complet!$A$3:$U$983,5,FALSE)</f>
        <v>transactionReceiptFooter</v>
      </c>
      <c r="F189" s="2" t="str">
        <f>VLOOKUP($A189,DICO_Complet!$A$3:$U$983,6,FALSE)</f>
        <v>Max50AlphaNumericText</v>
      </c>
      <c r="G189" s="48">
        <f>VLOOKUP($A189,DICO_Complet!$A$3:$U$983,7,FALSE)</f>
        <v>0</v>
      </c>
      <c r="H189" s="48">
        <f>VLOOKUP($A189,DICO_Complet!$A$3:$U$983,8,FALSE)</f>
        <v>0</v>
      </c>
      <c r="I189" s="2" t="str">
        <f>IF(VLOOKUP($A189,DICO_Complet!$A$3:$U$983,9,FALSE)&lt;&gt;0,VLOOKUP($A189,DICO_Complet!$A$3:$U$983,9,FALSE),"")</f>
        <v/>
      </c>
      <c r="J189" s="1" t="str">
        <f>VLOOKUP($A189,DICO_Complet!$A$3:$U$983,10,FALSE)</f>
        <v>Transaction receipt footer</v>
      </c>
      <c r="K189" s="53" t="str">
        <f>IF(VLOOKUP($A189,DICO_Complet!$A$3:$U$983,12,FALSE)=0,"",VLOOKUP($A189,DICO_Complet!$A$3:$U$983,12,FALSE))</f>
        <v/>
      </c>
      <c r="L189" s="53" t="str">
        <f>IF(VLOOKUP($A189,DICO_Complet!$A$3:$U$983,13,FALSE)=0,"",VLOOKUP($A189,DICO_Complet!$A$3:$U$983,13,FALSE))</f>
        <v/>
      </c>
      <c r="M189" s="53" t="str">
        <f>IF(VLOOKUP($A189,DICO_Complet!$A$3:$U$983,14,FALSE)=0,"",VLOOKUP($A189,DICO_Complet!$A$3:$U$983,14,FALSE))</f>
        <v>72_DF05 part 2</v>
      </c>
      <c r="N189" s="53" t="str">
        <f>IF(VLOOKUP($A189,DICO_Complet!$A$3:$U$983,15,FALSE)=0,"",VLOOKUP($A189,DICO_Complet!$A$3:$U$983,15,FALSE))</f>
        <v/>
      </c>
      <c r="O189" s="53" t="str">
        <f>IF(VLOOKUP($A189,DICO_Complet!$A$3:$U$983,16,FALSE)=0,"",VLOOKUP($A189,DICO_Complet!$A$3:$U$983,16,FALSE))</f>
        <v/>
      </c>
      <c r="P189" s="53" t="str">
        <f>IF(VLOOKUP($A189,DICO_Complet!$A$3:$U$983,17,FALSE)=0,"",VLOOKUP($A189,DICO_Complet!$A$3:$U$983,17,FALSE))</f>
        <v/>
      </c>
      <c r="Q189" s="53" t="str">
        <f>IF(VLOOKUP($A189,DICO_Complet!$A$3:$U$983,18,FALSE)=0,"",VLOOKUP($A189,DICO_Complet!$A$3:$U$983,18,FALSE))</f>
        <v/>
      </c>
    </row>
    <row r="190" spans="1:17">
      <c r="A190" s="38">
        <v>250331162607</v>
      </c>
      <c r="B190" s="47" t="s">
        <v>858</v>
      </c>
      <c r="C190" s="3" t="str">
        <f>VLOOKUP($A190,DICO_Complet!$A$3:$U$983,3,FALSE)</f>
        <v>Context</v>
      </c>
      <c r="D190" s="3" t="str">
        <f>VLOOKUP($A190,DICO_Complet!$A$3:$U$983,4,FALSE)</f>
        <v>pointOfServiceContext</v>
      </c>
      <c r="E190" s="2" t="str">
        <f>VLOOKUP($A190,DICO_Complet!$A$3:$U$983,5,FALSE)</f>
        <v>transactionReceiptHeader</v>
      </c>
      <c r="F190" s="2" t="str">
        <f>VLOOKUP($A190,DICO_Complet!$A$3:$U$983,6,FALSE)</f>
        <v>Max50AlphaNumericText</v>
      </c>
      <c r="G190" s="48">
        <f>VLOOKUP($A190,DICO_Complet!$A$3:$U$983,7,FALSE)</f>
        <v>0</v>
      </c>
      <c r="H190" s="48">
        <f>VLOOKUP($A190,DICO_Complet!$A$3:$U$983,8,FALSE)</f>
        <v>0</v>
      </c>
      <c r="I190" s="2" t="str">
        <f>IF(VLOOKUP($A190,DICO_Complet!$A$3:$U$983,9,FALSE)&lt;&gt;0,VLOOKUP($A190,DICO_Complet!$A$3:$U$983,9,FALSE),"")</f>
        <v/>
      </c>
      <c r="J190" s="1" t="str">
        <f>VLOOKUP($A190,DICO_Complet!$A$3:$U$983,10,FALSE)</f>
        <v>Transaction receipt header</v>
      </c>
      <c r="K190" s="53" t="str">
        <f>IF(VLOOKUP($A190,DICO_Complet!$A$3:$U$983,12,FALSE)=0,"",VLOOKUP($A190,DICO_Complet!$A$3:$U$983,12,FALSE))</f>
        <v/>
      </c>
      <c r="L190" s="53" t="str">
        <f>IF(VLOOKUP($A190,DICO_Complet!$A$3:$U$983,13,FALSE)=0,"",VLOOKUP($A190,DICO_Complet!$A$3:$U$983,13,FALSE))</f>
        <v/>
      </c>
      <c r="M190" s="53" t="str">
        <f>IF(VLOOKUP($A190,DICO_Complet!$A$3:$U$983,14,FALSE)=0,"",VLOOKUP($A190,DICO_Complet!$A$3:$U$983,14,FALSE))</f>
        <v>72_DF05 part 1</v>
      </c>
      <c r="N190" s="53" t="str">
        <f>IF(VLOOKUP($A190,DICO_Complet!$A$3:$U$983,15,FALSE)=0,"",VLOOKUP($A190,DICO_Complet!$A$3:$U$983,15,FALSE))</f>
        <v/>
      </c>
      <c r="O190" s="53" t="str">
        <f>IF(VLOOKUP($A190,DICO_Complet!$A$3:$U$983,16,FALSE)=0,"",VLOOKUP($A190,DICO_Complet!$A$3:$U$983,16,FALSE))</f>
        <v/>
      </c>
      <c r="P190" s="53" t="str">
        <f>IF(VLOOKUP($A190,DICO_Complet!$A$3:$U$983,17,FALSE)=0,"",VLOOKUP($A190,DICO_Complet!$A$3:$U$983,17,FALSE))</f>
        <v/>
      </c>
      <c r="Q190" s="53" t="str">
        <f>IF(VLOOKUP($A190,DICO_Complet!$A$3:$U$983,18,FALSE)=0,"",VLOOKUP($A190,DICO_Complet!$A$3:$U$983,18,FALSE))</f>
        <v/>
      </c>
    </row>
    <row r="191" spans="1:17">
      <c r="A191" s="38">
        <v>241112000011</v>
      </c>
      <c r="B191" s="47" t="s">
        <v>858</v>
      </c>
      <c r="C191" s="3" t="str">
        <f>VLOOKUP($A191,DICO_Complet!$A$3:$U$983,3,FALSE)</f>
        <v>Context</v>
      </c>
      <c r="D191" s="3" t="str">
        <f>VLOOKUP($A191,DICO_Complet!$A$3:$U$983,4,FALSE)</f>
        <v>riskContext</v>
      </c>
      <c r="E191" s="2" t="str">
        <f>VLOOKUP($A191,DICO_Complet!$A$3:$U$983,5,FALSE)</f>
        <v>delegatedAuthenticationExemptionIndicator</v>
      </c>
      <c r="F191" s="2" t="str">
        <f>VLOOKUP($A191,DICO_Complet!$A$3:$U$983,6,FALSE)</f>
        <v>Exact1AlphaNumericText</v>
      </c>
      <c r="G191" s="48">
        <f>VLOOKUP($A191,DICO_Complet!$A$3:$U$983,7,FALSE)</f>
        <v>0</v>
      </c>
      <c r="H191" s="48">
        <f>VLOOKUP($A191,DICO_Complet!$A$3:$U$983,8,FALSE)</f>
        <v>0</v>
      </c>
      <c r="I191" s="2" t="str">
        <f>IF(VLOOKUP($A191,DICO_Complet!$A$3:$U$983,9,FALSE)&lt;&gt;0,VLOOKUP($A191,DICO_Complet!$A$3:$U$983,9,FALSE),"")</f>
        <v/>
      </c>
      <c r="J191" s="1" t="str">
        <f>VLOOKUP($A191,DICO_Complet!$A$3:$U$983,10,FALSE)</f>
        <v>Delegated authentification exemption indicator</v>
      </c>
      <c r="K191" s="53" t="str">
        <f>IF(VLOOKUP($A191,DICO_Complet!$A$3:$U$983,12,FALSE)=0,"",VLOOKUP($A191,DICO_Complet!$A$3:$U$983,12,FALSE))</f>
        <v>RSB119_0017</v>
      </c>
      <c r="L191" s="53" t="str">
        <f>IF(VLOOKUP($A191,DICO_Complet!$A$3:$U$983,13,FALSE)=0,"",VLOOKUP($A191,DICO_Complet!$A$3:$U$983,13,FALSE))</f>
        <v>[119-0017]</v>
      </c>
      <c r="M191" s="53" t="str">
        <f>IF(VLOOKUP($A191,DICO_Complet!$A$3:$U$983,14,FALSE)=0,"",VLOOKUP($A191,DICO_Complet!$A$3:$U$983,14,FALSE))</f>
        <v/>
      </c>
      <c r="N191" s="53" t="str">
        <f>IF(VLOOKUP($A191,DICO_Complet!$A$3:$U$983,15,FALSE)=0,"",VLOOKUP($A191,DICO_Complet!$A$3:$U$983,15,FALSE))</f>
        <v/>
      </c>
      <c r="O191" s="53" t="str">
        <f>IF(VLOOKUP($A191,DICO_Complet!$A$3:$U$983,16,FALSE)=0,"",VLOOKUP($A191,DICO_Complet!$A$3:$U$983,16,FALSE))</f>
        <v/>
      </c>
      <c r="P191" s="53" t="str">
        <f>IF(VLOOKUP($A191,DICO_Complet!$A$3:$U$983,17,FALSE)=0,"",VLOOKUP($A191,DICO_Complet!$A$3:$U$983,17,FALSE))</f>
        <v/>
      </c>
      <c r="Q191" s="53" t="str">
        <f>IF(VLOOKUP($A191,DICO_Complet!$A$3:$U$983,18,FALSE)=0,"",VLOOKUP($A191,DICO_Complet!$A$3:$U$983,18,FALSE))</f>
        <v/>
      </c>
    </row>
    <row r="192" spans="1:17">
      <c r="A192" s="38">
        <v>241112000012</v>
      </c>
      <c r="B192" s="47" t="s">
        <v>858</v>
      </c>
      <c r="C192" s="3" t="str">
        <f>VLOOKUP($A192,DICO_Complet!$A$3:$U$983,3,FALSE)</f>
        <v>Context</v>
      </c>
      <c r="D192" s="3" t="str">
        <f>VLOOKUP($A192,DICO_Complet!$A$3:$U$983,4,FALSE)</f>
        <v>riskContext</v>
      </c>
      <c r="E192" s="2" t="str">
        <f>VLOOKUP($A192,DICO_Complet!$A$3:$U$983,5,FALSE)</f>
        <v>multiFactorAuthenticationExemptionIndicator</v>
      </c>
      <c r="F192" s="2" t="str">
        <f>VLOOKUP($A192,DICO_Complet!$A$3:$U$983,6,FALSE)</f>
        <v>Min2Max3HexBinaryText</v>
      </c>
      <c r="G192" s="48">
        <f>VLOOKUP($A192,DICO_Complet!$A$3:$U$983,7,FALSE)</f>
        <v>0</v>
      </c>
      <c r="H192" s="48">
        <f>VLOOKUP($A192,DICO_Complet!$A$3:$U$983,8,FALSE)</f>
        <v>0</v>
      </c>
      <c r="I192" s="2" t="str">
        <f>IF(VLOOKUP($A192,DICO_Complet!$A$3:$U$983,9,FALSE)&lt;&gt;0,VLOOKUP($A192,DICO_Complet!$A$3:$U$983,9,FALSE),"")</f>
        <v/>
      </c>
      <c r="J192" s="1" t="str">
        <f>VLOOKUP($A192,DICO_Complet!$A$3:$U$983,10,FALSE)</f>
        <v>Multi factor Exemption indicator</v>
      </c>
      <c r="K192" s="53" t="str">
        <f>IF(VLOOKUP($A192,DICO_Complet!$A$3:$U$983,12,FALSE)=0,"",VLOOKUP($A192,DICO_Complet!$A$3:$U$983,12,FALSE))</f>
        <v>RSB57_33</v>
      </c>
      <c r="L192" s="53" t="str">
        <f>IF(VLOOKUP($A192,DICO_Complet!$A$3:$U$983,13,FALSE)=0,"",VLOOKUP($A192,DICO_Complet!$A$3:$U$983,13,FALSE))</f>
        <v>[57-0033]</v>
      </c>
      <c r="M192" s="53" t="str">
        <f>IF(VLOOKUP($A192,DICO_Complet!$A$3:$U$983,14,FALSE)=0,"",VLOOKUP($A192,DICO_Complet!$A$3:$U$983,14,FALSE))</f>
        <v/>
      </c>
      <c r="N192" s="53" t="str">
        <f>IF(VLOOKUP($A192,DICO_Complet!$A$3:$U$983,15,FALSE)=0,"",VLOOKUP($A192,DICO_Complet!$A$3:$U$983,15,FALSE))</f>
        <v/>
      </c>
      <c r="O192" s="53" t="str">
        <f>IF(VLOOKUP($A192,DICO_Complet!$A$3:$U$983,16,FALSE)=0,"",VLOOKUP($A192,DICO_Complet!$A$3:$U$983,16,FALSE))</f>
        <v/>
      </c>
      <c r="P192" s="53" t="str">
        <f>IF(VLOOKUP($A192,DICO_Complet!$A$3:$U$983,17,FALSE)=0,"",VLOOKUP($A192,DICO_Complet!$A$3:$U$983,17,FALSE))</f>
        <v/>
      </c>
      <c r="Q192" s="53" t="str">
        <f>IF(VLOOKUP($A192,DICO_Complet!$A$3:$U$983,18,FALSE)=0,"",VLOOKUP($A192,DICO_Complet!$A$3:$U$983,18,FALSE))</f>
        <v/>
      </c>
    </row>
    <row r="193" spans="1:17" ht="14.65" customHeight="1">
      <c r="A193" s="38">
        <v>241112000013</v>
      </c>
      <c r="B193" s="47" t="s">
        <v>858</v>
      </c>
      <c r="C193" s="3" t="str">
        <f>VLOOKUP($A193,DICO_Complet!$A$3:$U$983,3,FALSE)</f>
        <v>Context</v>
      </c>
      <c r="D193" s="3" t="str">
        <f>VLOOKUP($A193,DICO_Complet!$A$3:$U$983,4,FALSE)</f>
        <v>riskContext</v>
      </c>
      <c r="E193" s="2" t="str">
        <f>VLOOKUP($A193,DICO_Complet!$A$3:$U$983,5,FALSE)</f>
        <v>riskAnalysisIndicatorsId</v>
      </c>
      <c r="F193" s="2" t="str">
        <f>VLOOKUP($A193,DICO_Complet!$A$3:$U$983,6,FALSE)</f>
        <v>Exact3AlphaNumericText</v>
      </c>
      <c r="G193" s="48">
        <f>VLOOKUP($A193,DICO_Complet!$A$3:$U$983,7,FALSE)</f>
        <v>0</v>
      </c>
      <c r="H193" s="48">
        <f>VLOOKUP($A193,DICO_Complet!$A$3:$U$983,8,FALSE)</f>
        <v>0</v>
      </c>
      <c r="I193" s="2" t="str">
        <f>IF(VLOOKUP($A193,DICO_Complet!$A$3:$U$983,9,FALSE)&lt;&gt;0,VLOOKUP($A193,DICO_Complet!$A$3:$U$983,9,FALSE),"")</f>
        <v/>
      </c>
      <c r="J193" s="1" t="str">
        <f>VLOOKUP($A193,DICO_Complet!$A$3:$U$983,10,FALSE)</f>
        <v>Indicator identifier</v>
      </c>
      <c r="K193" s="53" t="str">
        <f>IF(VLOOKUP($A193,DICO_Complet!$A$3:$U$983,12,FALSE)=0,"",VLOOKUP($A193,DICO_Complet!$A$3:$U$983,12,FALSE))</f>
        <v>RSB57_34 _p1</v>
      </c>
      <c r="L193" s="53" t="str">
        <f>IF(VLOOKUP($A193,DICO_Complet!$A$3:$U$983,13,FALSE)=0,"",VLOOKUP($A193,DICO_Complet!$A$3:$U$983,13,FALSE))</f>
        <v>[57-0034-p1]</v>
      </c>
      <c r="M193" s="53" t="str">
        <f>IF(VLOOKUP($A193,DICO_Complet!$A$3:$U$983,14,FALSE)=0,"",VLOOKUP($A193,DICO_Complet!$A$3:$U$983,14,FALSE))</f>
        <v/>
      </c>
      <c r="N193" s="53" t="str">
        <f>IF(VLOOKUP($A193,DICO_Complet!$A$3:$U$983,15,FALSE)=0,"",VLOOKUP($A193,DICO_Complet!$A$3:$U$983,15,FALSE))</f>
        <v/>
      </c>
      <c r="O193" s="53" t="str">
        <f>IF(VLOOKUP($A193,DICO_Complet!$A$3:$U$983,16,FALSE)=0,"",VLOOKUP($A193,DICO_Complet!$A$3:$U$983,16,FALSE))</f>
        <v/>
      </c>
      <c r="P193" s="53" t="str">
        <f>IF(VLOOKUP($A193,DICO_Complet!$A$3:$U$983,17,FALSE)=0,"",VLOOKUP($A193,DICO_Complet!$A$3:$U$983,17,FALSE))</f>
        <v/>
      </c>
      <c r="Q193" s="53" t="str">
        <f>IF(VLOOKUP($A193,DICO_Complet!$A$3:$U$983,18,FALSE)=0,"",VLOOKUP($A193,DICO_Complet!$A$3:$U$983,18,FALSE))</f>
        <v/>
      </c>
    </row>
    <row r="194" spans="1:17">
      <c r="A194" s="38">
        <v>241112000014</v>
      </c>
      <c r="B194" s="47" t="s">
        <v>858</v>
      </c>
      <c r="C194" s="3" t="str">
        <f>VLOOKUP($A194,DICO_Complet!$A$3:$U$983,3,FALSE)</f>
        <v>Context</v>
      </c>
      <c r="D194" s="3" t="str">
        <f>VLOOKUP($A194,DICO_Complet!$A$3:$U$983,4,FALSE)</f>
        <v>riskContext</v>
      </c>
      <c r="E194" s="2" t="str">
        <f>VLOOKUP($A194,DICO_Complet!$A$3:$U$983,5,FALSE)</f>
        <v>riskAnalysisIndicatorsValue</v>
      </c>
      <c r="F194" s="2" t="str">
        <f>VLOOKUP($A194,DICO_Complet!$A$3:$U$983,6,FALSE)</f>
        <v>Exact3AlphaNumericText</v>
      </c>
      <c r="G194" s="48">
        <f>VLOOKUP($A194,DICO_Complet!$A$3:$U$983,7,FALSE)</f>
        <v>0</v>
      </c>
      <c r="H194" s="48">
        <f>VLOOKUP($A194,DICO_Complet!$A$3:$U$983,8,FALSE)</f>
        <v>0</v>
      </c>
      <c r="I194" s="2" t="str">
        <f>IF(VLOOKUP($A194,DICO_Complet!$A$3:$U$983,9,FALSE)&lt;&gt;0,VLOOKUP($A194,DICO_Complet!$A$3:$U$983,9,FALSE),"")</f>
        <v/>
      </c>
      <c r="J194" s="1" t="str">
        <f>VLOOKUP($A194,DICO_Complet!$A$3:$U$983,10,FALSE)</f>
        <v>Value of the indicator</v>
      </c>
      <c r="K194" s="53" t="str">
        <f>IF(VLOOKUP($A194,DICO_Complet!$A$3:$U$983,12,FALSE)=0,"",VLOOKUP($A194,DICO_Complet!$A$3:$U$983,12,FALSE))</f>
        <v>RSB57_34 _p2</v>
      </c>
      <c r="L194" s="53" t="str">
        <f>IF(VLOOKUP($A194,DICO_Complet!$A$3:$U$983,13,FALSE)=0,"",VLOOKUP($A194,DICO_Complet!$A$3:$U$983,13,FALSE))</f>
        <v>[57-0034-p2]</v>
      </c>
      <c r="M194" s="53" t="str">
        <f>IF(VLOOKUP($A194,DICO_Complet!$A$3:$U$983,14,FALSE)=0,"",VLOOKUP($A194,DICO_Complet!$A$3:$U$983,14,FALSE))</f>
        <v/>
      </c>
      <c r="N194" s="53" t="str">
        <f>IF(VLOOKUP($A194,DICO_Complet!$A$3:$U$983,15,FALSE)=0,"",VLOOKUP($A194,DICO_Complet!$A$3:$U$983,15,FALSE))</f>
        <v/>
      </c>
      <c r="O194" s="53" t="str">
        <f>IF(VLOOKUP($A194,DICO_Complet!$A$3:$U$983,16,FALSE)=0,"",VLOOKUP($A194,DICO_Complet!$A$3:$U$983,16,FALSE))</f>
        <v/>
      </c>
      <c r="P194" s="53" t="str">
        <f>IF(VLOOKUP($A194,DICO_Complet!$A$3:$U$983,17,FALSE)=0,"",VLOOKUP($A194,DICO_Complet!$A$3:$U$983,17,FALSE))</f>
        <v/>
      </c>
      <c r="Q194" s="53" t="str">
        <f>IF(VLOOKUP($A194,DICO_Complet!$A$3:$U$983,18,FALSE)=0,"",VLOOKUP($A194,DICO_Complet!$A$3:$U$983,18,FALSE))</f>
        <v/>
      </c>
    </row>
    <row r="195" spans="1:17">
      <c r="A195" s="38">
        <v>241112000016</v>
      </c>
      <c r="B195" s="47" t="s">
        <v>858</v>
      </c>
      <c r="C195" s="3" t="str">
        <f>VLOOKUP($A195,DICO_Complet!$A$3:$U$983,3,FALSE)</f>
        <v>Context</v>
      </c>
      <c r="D195" s="3" t="str">
        <f>VLOOKUP($A195,DICO_Complet!$A$3:$U$983,4,FALSE)</f>
        <v>riskContext</v>
      </c>
      <c r="E195" s="2" t="str">
        <f>VLOOKUP($A195,DICO_Complet!$A$3:$U$983,5,FALSE)</f>
        <v>riskPipResponse</v>
      </c>
      <c r="F195" s="2" t="str">
        <f>VLOOKUP($A195,DICO_Complet!$A$3:$U$983,6,FALSE)</f>
        <v>Exact1NumericText</v>
      </c>
      <c r="G195" s="48">
        <f>VLOOKUP($A195,DICO_Complet!$A$3:$U$983,7,FALSE)</f>
        <v>0</v>
      </c>
      <c r="H195" s="48">
        <f>VLOOKUP($A195,DICO_Complet!$A$3:$U$983,8,FALSE)</f>
        <v>0</v>
      </c>
      <c r="I195" s="2" t="str">
        <f>IF(VLOOKUP($A195,DICO_Complet!$A$3:$U$983,9,FALSE)&lt;&gt;0,VLOOKUP($A195,DICO_Complet!$A$3:$U$983,9,FALSE),"")</f>
        <v/>
      </c>
      <c r="J195" s="1" t="str">
        <f>VLOOKUP($A195,DICO_Complet!$A$3:$U$983,10,FALSE)</f>
        <v>Pip Response</v>
      </c>
      <c r="K195" s="53" t="str">
        <f>IF(VLOOKUP($A195,DICO_Complet!$A$3:$U$983,12,FALSE)=0,"",VLOOKUP($A195,DICO_Complet!$A$3:$U$983,12,FALSE))</f>
        <v>FRD7_0</v>
      </c>
      <c r="L195" s="53" t="str">
        <f>IF(VLOOKUP($A195,DICO_Complet!$A$3:$U$983,13,FALSE)=0,"",VLOOKUP($A195,DICO_Complet!$A$3:$U$983,13,FALSE))</f>
        <v/>
      </c>
      <c r="M195" s="53" t="str">
        <f>IF(VLOOKUP($A195,DICO_Complet!$A$3:$U$983,14,FALSE)=0,"",VLOOKUP($A195,DICO_Complet!$A$3:$U$983,14,FALSE))</f>
        <v/>
      </c>
      <c r="N195" s="53" t="str">
        <f>IF(VLOOKUP($A195,DICO_Complet!$A$3:$U$983,15,FALSE)=0,"",VLOOKUP($A195,DICO_Complet!$A$3:$U$983,15,FALSE))</f>
        <v/>
      </c>
      <c r="O195" s="53" t="str">
        <f>IF(VLOOKUP($A195,DICO_Complet!$A$3:$U$983,16,FALSE)=0,"",VLOOKUP($A195,DICO_Complet!$A$3:$U$983,16,FALSE))</f>
        <v/>
      </c>
      <c r="P195" s="53" t="str">
        <f>IF(VLOOKUP($A195,DICO_Complet!$A$3:$U$983,17,FALSE)=0,"",VLOOKUP($A195,DICO_Complet!$A$3:$U$983,17,FALSE))</f>
        <v/>
      </c>
      <c r="Q195" s="53" t="str">
        <f>IF(VLOOKUP($A195,DICO_Complet!$A$3:$U$983,18,FALSE)=0,"",VLOOKUP($A195,DICO_Complet!$A$3:$U$983,18,FALSE))</f>
        <v/>
      </c>
    </row>
    <row r="196" spans="1:17">
      <c r="A196" s="38">
        <v>241112000017</v>
      </c>
      <c r="B196" s="47" t="s">
        <v>858</v>
      </c>
      <c r="C196" s="3" t="str">
        <f>VLOOKUP($A196,DICO_Complet!$A$3:$U$983,3,FALSE)</f>
        <v>Context</v>
      </c>
      <c r="D196" s="3" t="str">
        <f>VLOOKUP($A196,DICO_Complet!$A$3:$U$983,4,FALSE)</f>
        <v>riskContext</v>
      </c>
      <c r="E196" s="2" t="str">
        <f>VLOOKUP($A196,DICO_Complet!$A$3:$U$983,5,FALSE)</f>
        <v>riskRecommendation</v>
      </c>
      <c r="F196" s="2" t="str">
        <f>VLOOKUP($A196,DICO_Complet!$A$3:$U$983,6,FALSE)</f>
        <v>Exact1AlphaNumericText</v>
      </c>
      <c r="G196" s="48">
        <f>VLOOKUP($A196,DICO_Complet!$A$3:$U$983,7,FALSE)</f>
        <v>0</v>
      </c>
      <c r="H196" s="48">
        <f>VLOOKUP($A196,DICO_Complet!$A$3:$U$983,8,FALSE)</f>
        <v>0</v>
      </c>
      <c r="I196" s="2" t="str">
        <f>IF(VLOOKUP($A196,DICO_Complet!$A$3:$U$983,9,FALSE)&lt;&gt;0,VLOOKUP($A196,DICO_Complet!$A$3:$U$983,9,FALSE),"")</f>
        <v/>
      </c>
      <c r="J196" s="1" t="str">
        <f>VLOOKUP($A196,DICO_Complet!$A$3:$U$983,10,FALSE)</f>
        <v>Recommendation</v>
      </c>
      <c r="K196" s="53" t="str">
        <f>IF(VLOOKUP($A196,DICO_Complet!$A$3:$U$983,12,FALSE)=0,"",VLOOKUP($A196,DICO_Complet!$A$3:$U$983,12,FALSE))</f>
        <v>FRD8_0</v>
      </c>
      <c r="L196" s="53" t="str">
        <f>IF(VLOOKUP($A196,DICO_Complet!$A$3:$U$983,13,FALSE)=0,"",VLOOKUP($A196,DICO_Complet!$A$3:$U$983,13,FALSE))</f>
        <v/>
      </c>
      <c r="M196" s="53" t="str">
        <f>IF(VLOOKUP($A196,DICO_Complet!$A$3:$U$983,14,FALSE)=0,"",VLOOKUP($A196,DICO_Complet!$A$3:$U$983,14,FALSE))</f>
        <v/>
      </c>
      <c r="N196" s="53" t="str">
        <f>IF(VLOOKUP($A196,DICO_Complet!$A$3:$U$983,15,FALSE)=0,"",VLOOKUP($A196,DICO_Complet!$A$3:$U$983,15,FALSE))</f>
        <v/>
      </c>
      <c r="O196" s="53" t="str">
        <f>IF(VLOOKUP($A196,DICO_Complet!$A$3:$U$983,16,FALSE)=0,"",VLOOKUP($A196,DICO_Complet!$A$3:$U$983,16,FALSE))</f>
        <v/>
      </c>
      <c r="P196" s="53" t="str">
        <f>IF(VLOOKUP($A196,DICO_Complet!$A$3:$U$983,17,FALSE)=0,"",VLOOKUP($A196,DICO_Complet!$A$3:$U$983,17,FALSE))</f>
        <v/>
      </c>
      <c r="Q196" s="53" t="str">
        <f>IF(VLOOKUP($A196,DICO_Complet!$A$3:$U$983,18,FALSE)=0,"",VLOOKUP($A196,DICO_Complet!$A$3:$U$983,18,FALSE))</f>
        <v/>
      </c>
    </row>
    <row r="197" spans="1:17">
      <c r="A197" s="38">
        <v>241112000018</v>
      </c>
      <c r="B197" s="47" t="s">
        <v>858</v>
      </c>
      <c r="C197" s="3" t="str">
        <f>VLOOKUP($A197,DICO_Complet!$A$3:$U$983,3,FALSE)</f>
        <v>Context</v>
      </c>
      <c r="D197" s="3" t="str">
        <f>VLOOKUP($A197,DICO_Complet!$A$3:$U$983,4,FALSE)</f>
        <v>riskContext</v>
      </c>
      <c r="E197" s="2" t="str">
        <f>VLOOKUP($A197,DICO_Complet!$A$3:$U$983,5,FALSE)</f>
        <v>riskRulesId</v>
      </c>
      <c r="F197" s="2" t="str">
        <f>VLOOKUP($A197,DICO_Complet!$A$3:$U$983,6,FALSE)</f>
        <v>Exact4NumericText</v>
      </c>
      <c r="G197" s="48">
        <f>VLOOKUP($A197,DICO_Complet!$A$3:$U$983,7,FALSE)</f>
        <v>0</v>
      </c>
      <c r="H197" s="48">
        <f>VLOOKUP($A197,DICO_Complet!$A$3:$U$983,8,FALSE)</f>
        <v>0</v>
      </c>
      <c r="I197" s="2" t="str">
        <f>IF(VLOOKUP($A197,DICO_Complet!$A$3:$U$983,9,FALSE)&lt;&gt;0,VLOOKUP($A197,DICO_Complet!$A$3:$U$983,9,FALSE),"")</f>
        <v/>
      </c>
      <c r="J197" s="1" t="str">
        <f>VLOOKUP($A197,DICO_Complet!$A$3:$U$983,10,FALSE)</f>
        <v>Rules ID</v>
      </c>
      <c r="K197" s="53" t="str">
        <f>IF(VLOOKUP($A197,DICO_Complet!$A$3:$U$983,12,FALSE)=0,"",VLOOKUP($A197,DICO_Complet!$A$3:$U$983,12,FALSE))</f>
        <v>FRD4_0</v>
      </c>
      <c r="L197" s="53" t="str">
        <f>IF(VLOOKUP($A197,DICO_Complet!$A$3:$U$983,13,FALSE)=0,"",VLOOKUP($A197,DICO_Complet!$A$3:$U$983,13,FALSE))</f>
        <v/>
      </c>
      <c r="M197" s="53" t="str">
        <f>IF(VLOOKUP($A197,DICO_Complet!$A$3:$U$983,14,FALSE)=0,"",VLOOKUP($A197,DICO_Complet!$A$3:$U$983,14,FALSE))</f>
        <v/>
      </c>
      <c r="N197" s="53" t="str">
        <f>IF(VLOOKUP($A197,DICO_Complet!$A$3:$U$983,15,FALSE)=0,"",VLOOKUP($A197,DICO_Complet!$A$3:$U$983,15,FALSE))</f>
        <v/>
      </c>
      <c r="O197" s="53" t="str">
        <f>IF(VLOOKUP($A197,DICO_Complet!$A$3:$U$983,16,FALSE)=0,"",VLOOKUP($A197,DICO_Complet!$A$3:$U$983,16,FALSE))</f>
        <v/>
      </c>
      <c r="P197" s="53" t="str">
        <f>IF(VLOOKUP($A197,DICO_Complet!$A$3:$U$983,17,FALSE)=0,"",VLOOKUP($A197,DICO_Complet!$A$3:$U$983,17,FALSE))</f>
        <v/>
      </c>
      <c r="Q197" s="53" t="str">
        <f>IF(VLOOKUP($A197,DICO_Complet!$A$3:$U$983,18,FALSE)=0,"",VLOOKUP($A197,DICO_Complet!$A$3:$U$983,18,FALSE))</f>
        <v/>
      </c>
    </row>
    <row r="198" spans="1:17">
      <c r="A198" s="38">
        <v>241112000019</v>
      </c>
      <c r="B198" s="47" t="s">
        <v>858</v>
      </c>
      <c r="C198" s="3" t="str">
        <f>VLOOKUP($A198,DICO_Complet!$A$3:$U$983,3,FALSE)</f>
        <v>Context</v>
      </c>
      <c r="D198" s="3" t="str">
        <f>VLOOKUP($A198,DICO_Complet!$A$3:$U$983,4,FALSE)</f>
        <v>riskContext</v>
      </c>
      <c r="E198" s="2" t="str">
        <f>VLOOKUP($A198,DICO_Complet!$A$3:$U$983,5,FALSE)</f>
        <v>riskScoringServiceData</v>
      </c>
      <c r="F198" s="2" t="str">
        <f>VLOOKUP($A198,DICO_Complet!$A$3:$U$983,6,FALSE)</f>
        <v>Max24HexBinaryText</v>
      </c>
      <c r="G198" s="48">
        <f>VLOOKUP($A198,DICO_Complet!$A$3:$U$983,7,FALSE)</f>
        <v>0</v>
      </c>
      <c r="H198" s="48">
        <f>VLOOKUP($A198,DICO_Complet!$A$3:$U$983,8,FALSE)</f>
        <v>0</v>
      </c>
      <c r="I198" s="2" t="str">
        <f>IF(VLOOKUP($A198,DICO_Complet!$A$3:$U$983,9,FALSE)&lt;&gt;0,VLOOKUP($A198,DICO_Complet!$A$3:$U$983,9,FALSE),"")</f>
        <v/>
      </c>
      <c r="J198" s="1" t="str">
        <f>VLOOKUP($A198,DICO_Complet!$A$3:$U$983,10,FALSE)</f>
        <v>Service data</v>
      </c>
      <c r="K198" s="53" t="str">
        <f>IF(VLOOKUP($A198,DICO_Complet!$A$3:$U$983,12,FALSE)=0,"",VLOOKUP($A198,DICO_Complet!$A$3:$U$983,12,FALSE))</f>
        <v>RSB59_802_p2</v>
      </c>
      <c r="L198" s="53" t="str">
        <f>IF(VLOOKUP($A198,DICO_Complet!$A$3:$U$983,13,FALSE)=0,"",VLOOKUP($A198,DICO_Complet!$A$3:$U$983,13,FALSE))</f>
        <v>[59-0802-p2]</v>
      </c>
      <c r="M198" s="53" t="str">
        <f>IF(VLOOKUP($A198,DICO_Complet!$A$3:$U$983,14,FALSE)=0,"",VLOOKUP($A198,DICO_Complet!$A$3:$U$983,14,FALSE))</f>
        <v/>
      </c>
      <c r="N198" s="53" t="str">
        <f>IF(VLOOKUP($A198,DICO_Complet!$A$3:$U$983,15,FALSE)=0,"",VLOOKUP($A198,DICO_Complet!$A$3:$U$983,15,FALSE))</f>
        <v/>
      </c>
      <c r="O198" s="53" t="str">
        <f>IF(VLOOKUP($A198,DICO_Complet!$A$3:$U$983,16,FALSE)=0,"",VLOOKUP($A198,DICO_Complet!$A$3:$U$983,16,FALSE))</f>
        <v/>
      </c>
      <c r="P198" s="53" t="str">
        <f>IF(VLOOKUP($A198,DICO_Complet!$A$3:$U$983,17,FALSE)=0,"",VLOOKUP($A198,DICO_Complet!$A$3:$U$983,17,FALSE))</f>
        <v/>
      </c>
      <c r="Q198" s="53" t="str">
        <f>IF(VLOOKUP($A198,DICO_Complet!$A$3:$U$983,18,FALSE)=0,"",VLOOKUP($A198,DICO_Complet!$A$3:$U$983,18,FALSE))</f>
        <v/>
      </c>
    </row>
    <row r="199" spans="1:17">
      <c r="A199" s="38">
        <v>241112000020</v>
      </c>
      <c r="B199" s="47" t="s">
        <v>858</v>
      </c>
      <c r="C199" s="3" t="str">
        <f>VLOOKUP($A199,DICO_Complet!$A$3:$U$983,3,FALSE)</f>
        <v>Context</v>
      </c>
      <c r="D199" s="3" t="str">
        <f>VLOOKUP($A199,DICO_Complet!$A$3:$U$983,4,FALSE)</f>
        <v>riskContext</v>
      </c>
      <c r="E199" s="2" t="str">
        <f>VLOOKUP($A199,DICO_Complet!$A$3:$U$983,5,FALSE)</f>
        <v>riskScoringServiceId</v>
      </c>
      <c r="F199" s="2" t="str">
        <f>VLOOKUP($A199,DICO_Complet!$A$3:$U$983,6,FALSE)</f>
        <v>Exact1HexBinaryText</v>
      </c>
      <c r="G199" s="48">
        <f>VLOOKUP($A199,DICO_Complet!$A$3:$U$983,7,FALSE)</f>
        <v>0</v>
      </c>
      <c r="H199" s="48">
        <f>VLOOKUP($A199,DICO_Complet!$A$3:$U$983,8,FALSE)</f>
        <v>0</v>
      </c>
      <c r="I199" s="2" t="str">
        <f>IF(VLOOKUP($A199,DICO_Complet!$A$3:$U$983,9,FALSE)&lt;&gt;0,VLOOKUP($A199,DICO_Complet!$A$3:$U$983,9,FALSE),"")</f>
        <v/>
      </c>
      <c r="J199" s="1" t="str">
        <f>VLOOKUP($A199,DICO_Complet!$A$3:$U$983,10,FALSE)</f>
        <v>Service identifier</v>
      </c>
      <c r="K199" s="53" t="str">
        <f>IF(VLOOKUP($A199,DICO_Complet!$A$3:$U$983,12,FALSE)=0,"",VLOOKUP($A199,DICO_Complet!$A$3:$U$983,12,FALSE))</f>
        <v>RSB59_802_p1</v>
      </c>
      <c r="L199" s="53" t="str">
        <f>IF(VLOOKUP($A199,DICO_Complet!$A$3:$U$983,13,FALSE)=0,"",VLOOKUP($A199,DICO_Complet!$A$3:$U$983,13,FALSE))</f>
        <v>[59-0802-p1]</v>
      </c>
      <c r="M199" s="53" t="str">
        <f>IF(VLOOKUP($A199,DICO_Complet!$A$3:$U$983,14,FALSE)=0,"",VLOOKUP($A199,DICO_Complet!$A$3:$U$983,14,FALSE))</f>
        <v/>
      </c>
      <c r="N199" s="53" t="str">
        <f>IF(VLOOKUP($A199,DICO_Complet!$A$3:$U$983,15,FALSE)=0,"",VLOOKUP($A199,DICO_Complet!$A$3:$U$983,15,FALSE))</f>
        <v/>
      </c>
      <c r="O199" s="53" t="str">
        <f>IF(VLOOKUP($A199,DICO_Complet!$A$3:$U$983,16,FALSE)=0,"",VLOOKUP($A199,DICO_Complet!$A$3:$U$983,16,FALSE))</f>
        <v/>
      </c>
      <c r="P199" s="53" t="str">
        <f>IF(VLOOKUP($A199,DICO_Complet!$A$3:$U$983,17,FALSE)=0,"",VLOOKUP($A199,DICO_Complet!$A$3:$U$983,17,FALSE))</f>
        <v/>
      </c>
      <c r="Q199" s="53" t="str">
        <f>IF(VLOOKUP($A199,DICO_Complet!$A$3:$U$983,18,FALSE)=0,"",VLOOKUP($A199,DICO_Complet!$A$3:$U$983,18,FALSE))</f>
        <v/>
      </c>
    </row>
    <row r="200" spans="1:17" ht="13.5" customHeight="1">
      <c r="A200" s="38">
        <v>241112000021</v>
      </c>
      <c r="B200" s="47" t="s">
        <v>858</v>
      </c>
      <c r="C200" s="3" t="str">
        <f>VLOOKUP($A200,DICO_Complet!$A$3:$U$983,3,FALSE)</f>
        <v>Context</v>
      </c>
      <c r="D200" s="3" t="str">
        <f>VLOOKUP($A200,DICO_Complet!$A$3:$U$983,4,FALSE)</f>
        <v>riskContext</v>
      </c>
      <c r="E200" s="2" t="str">
        <f>VLOOKUP($A200,DICO_Complet!$A$3:$U$983,5,FALSE)</f>
        <v>riskTreatmentStatus</v>
      </c>
      <c r="F200" s="2" t="str">
        <f>VLOOKUP($A200,DICO_Complet!$A$3:$U$983,6,FALSE)</f>
        <v>Exact1AlphaNumericText</v>
      </c>
      <c r="G200" s="48">
        <f>VLOOKUP($A200,DICO_Complet!$A$3:$U$983,7,FALSE)</f>
        <v>0</v>
      </c>
      <c r="H200" s="48">
        <f>VLOOKUP($A200,DICO_Complet!$A$3:$U$983,8,FALSE)</f>
        <v>0</v>
      </c>
      <c r="I200" s="2" t="str">
        <f>IF(VLOOKUP($A200,DICO_Complet!$A$3:$U$983,9,FALSE)&lt;&gt;0,VLOOKUP($A200,DICO_Complet!$A$3:$U$983,9,FALSE),"")</f>
        <v/>
      </c>
      <c r="J200" s="1" t="str">
        <f>VLOOKUP($A200,DICO_Complet!$A$3:$U$983,10,FALSE)</f>
        <v>Treatment Status</v>
      </c>
      <c r="K200" s="53" t="str">
        <f>IF(VLOOKUP($A200,DICO_Complet!$A$3:$U$983,12,FALSE)=0,"",VLOOKUP($A200,DICO_Complet!$A$3:$U$983,12,FALSE))</f>
        <v>FRD6_0</v>
      </c>
      <c r="L200" s="53" t="str">
        <f>IF(VLOOKUP($A200,DICO_Complet!$A$3:$U$983,13,FALSE)=0,"",VLOOKUP($A200,DICO_Complet!$A$3:$U$983,13,FALSE))</f>
        <v/>
      </c>
      <c r="M200" s="53" t="str">
        <f>IF(VLOOKUP($A200,DICO_Complet!$A$3:$U$983,14,FALSE)=0,"",VLOOKUP($A200,DICO_Complet!$A$3:$U$983,14,FALSE))</f>
        <v/>
      </c>
      <c r="N200" s="53" t="str">
        <f>IF(VLOOKUP($A200,DICO_Complet!$A$3:$U$983,15,FALSE)=0,"",VLOOKUP($A200,DICO_Complet!$A$3:$U$983,15,FALSE))</f>
        <v/>
      </c>
      <c r="O200" s="53" t="str">
        <f>IF(VLOOKUP($A200,DICO_Complet!$A$3:$U$983,16,FALSE)=0,"",VLOOKUP($A200,DICO_Complet!$A$3:$U$983,16,FALSE))</f>
        <v/>
      </c>
      <c r="P200" s="53" t="str">
        <f>IF(VLOOKUP($A200,DICO_Complet!$A$3:$U$983,17,FALSE)=0,"",VLOOKUP($A200,DICO_Complet!$A$3:$U$983,17,FALSE))</f>
        <v/>
      </c>
      <c r="Q200" s="53" t="str">
        <f>IF(VLOOKUP($A200,DICO_Complet!$A$3:$U$983,18,FALSE)=0,"",VLOOKUP($A200,DICO_Complet!$A$3:$U$983,18,FALSE))</f>
        <v/>
      </c>
    </row>
    <row r="201" spans="1:17" ht="13.5" customHeight="1">
      <c r="A201" s="38">
        <v>241112000022</v>
      </c>
      <c r="B201" s="47" t="s">
        <v>858</v>
      </c>
      <c r="C201" s="3" t="str">
        <f>VLOOKUP($A201,DICO_Complet!$A$3:$U$983,3,FALSE)</f>
        <v>Context</v>
      </c>
      <c r="D201" s="3" t="str">
        <f>VLOOKUP($A201,DICO_Complet!$A$3:$U$983,4,FALSE)</f>
        <v>riskContext</v>
      </c>
      <c r="E201" s="2" t="str">
        <f>VLOOKUP($A201,DICO_Complet!$A$3:$U$983,5,FALSE)</f>
        <v>traExemptionIndicator</v>
      </c>
      <c r="F201" s="2" t="str">
        <f>VLOOKUP($A201,DICO_Complet!$A$3:$U$983,6,FALSE)</f>
        <v>Exact1AlphaNumericText</v>
      </c>
      <c r="G201" s="48">
        <f>VLOOKUP($A201,DICO_Complet!$A$3:$U$983,7,FALSE)</f>
        <v>0</v>
      </c>
      <c r="H201" s="48">
        <f>VLOOKUP($A201,DICO_Complet!$A$3:$U$983,8,FALSE)</f>
        <v>0</v>
      </c>
      <c r="I201" s="2" t="str">
        <f>IF(VLOOKUP($A201,DICO_Complet!$A$3:$U$983,9,FALSE)&lt;&gt;0,VLOOKUP($A201,DICO_Complet!$A$3:$U$983,9,FALSE),"")</f>
        <v/>
      </c>
      <c r="J201" s="1" t="str">
        <f>VLOOKUP($A201,DICO_Complet!$A$3:$U$983,10,FALSE)</f>
        <v>TRA exemption indicator</v>
      </c>
      <c r="K201" s="53" t="str">
        <f>IF(VLOOKUP($A201,DICO_Complet!$A$3:$U$983,12,FALSE)=0,"",VLOOKUP($A201,DICO_Complet!$A$3:$U$983,12,FALSE))</f>
        <v>RSB119_0003</v>
      </c>
      <c r="L201" s="53" t="str">
        <f>IF(VLOOKUP($A201,DICO_Complet!$A$3:$U$983,13,FALSE)=0,"",VLOOKUP($A201,DICO_Complet!$A$3:$U$983,13,FALSE))</f>
        <v>[119-0003]</v>
      </c>
      <c r="M201" s="53" t="str">
        <f>IF(VLOOKUP($A201,DICO_Complet!$A$3:$U$983,14,FALSE)=0,"",VLOOKUP($A201,DICO_Complet!$A$3:$U$983,14,FALSE))</f>
        <v/>
      </c>
      <c r="N201" s="53" t="str">
        <f>IF(VLOOKUP($A201,DICO_Complet!$A$3:$U$983,15,FALSE)=0,"",VLOOKUP($A201,DICO_Complet!$A$3:$U$983,15,FALSE))</f>
        <v/>
      </c>
      <c r="O201" s="53" t="str">
        <f>IF(VLOOKUP($A201,DICO_Complet!$A$3:$U$983,16,FALSE)=0,"",VLOOKUP($A201,DICO_Complet!$A$3:$U$983,16,FALSE))</f>
        <v/>
      </c>
      <c r="P201" s="53" t="str">
        <f>IF(VLOOKUP($A201,DICO_Complet!$A$3:$U$983,17,FALSE)=0,"",VLOOKUP($A201,DICO_Complet!$A$3:$U$983,17,FALSE))</f>
        <v/>
      </c>
      <c r="Q201" s="53" t="str">
        <f>IF(VLOOKUP($A201,DICO_Complet!$A$3:$U$983,18,FALSE)=0,"",VLOOKUP($A201,DICO_Complet!$A$3:$U$983,18,FALSE))</f>
        <v/>
      </c>
    </row>
    <row r="202" spans="1:17">
      <c r="A202" s="38">
        <v>250211103000</v>
      </c>
      <c r="B202" s="47" t="s">
        <v>858</v>
      </c>
      <c r="C202" s="3" t="str">
        <f>VLOOKUP($A202,DICO_Complet!$A$3:$U$983,3,FALSE)</f>
        <v>Context</v>
      </c>
      <c r="D202" s="3" t="str">
        <f>VLOOKUP($A202,DICO_Complet!$A$3:$U$983,4,FALSE)</f>
        <v>riskContext</v>
      </c>
      <c r="E202" s="2" t="str">
        <f>VLOOKUP($A202,DICO_Complet!$A$3:$U$983,5,FALSE)</f>
        <v>traScore</v>
      </c>
      <c r="F202" s="2" t="str">
        <f>VLOOKUP($A202,DICO_Complet!$A$3:$U$983,6,FALSE)</f>
        <v>Exact2AlphaNumericText</v>
      </c>
      <c r="G202" s="48">
        <f>VLOOKUP($A202,DICO_Complet!$A$3:$U$983,7,FALSE)</f>
        <v>0</v>
      </c>
      <c r="H202" s="48">
        <f>VLOOKUP($A202,DICO_Complet!$A$3:$U$983,8,FALSE)</f>
        <v>0</v>
      </c>
      <c r="I202" s="2" t="str">
        <f>IF(VLOOKUP($A202,DICO_Complet!$A$3:$U$983,9,FALSE)&lt;&gt;0,VLOOKUP($A202,DICO_Complet!$A$3:$U$983,9,FALSE),"")</f>
        <v/>
      </c>
      <c r="J202" s="1" t="str">
        <f>VLOOKUP($A202,DICO_Complet!$A$3:$U$983,10,FALSE)</f>
        <v>TRA exemption indicator</v>
      </c>
      <c r="K202" s="53" t="str">
        <f>IF(VLOOKUP($A202,DICO_Complet!$A$3:$U$983,12,FALSE)=0,"",VLOOKUP($A202,DICO_Complet!$A$3:$U$983,12,FALSE))</f>
        <v>RSB119_0005</v>
      </c>
      <c r="L202" s="53" t="str">
        <f>IF(VLOOKUP($A202,DICO_Complet!$A$3:$U$983,13,FALSE)=0,"",VLOOKUP($A202,DICO_Complet!$A$3:$U$983,13,FALSE))</f>
        <v>[119-0005]</v>
      </c>
      <c r="M202" s="53" t="str">
        <f>IF(VLOOKUP($A202,DICO_Complet!$A$3:$U$983,14,FALSE)=0,"",VLOOKUP($A202,DICO_Complet!$A$3:$U$983,14,FALSE))</f>
        <v/>
      </c>
      <c r="N202" s="53" t="str">
        <f>IF(VLOOKUP($A202,DICO_Complet!$A$3:$U$983,15,FALSE)=0,"",VLOOKUP($A202,DICO_Complet!$A$3:$U$983,15,FALSE))</f>
        <v/>
      </c>
      <c r="O202" s="53" t="str">
        <f>IF(VLOOKUP($A202,DICO_Complet!$A$3:$U$983,16,FALSE)=0,"",VLOOKUP($A202,DICO_Complet!$A$3:$U$983,16,FALSE))</f>
        <v>VISA 34/4A/C0</v>
      </c>
      <c r="P202" s="53" t="str">
        <f>IF(VLOOKUP($A202,DICO_Complet!$A$3:$U$983,17,FALSE)=0,"",VLOOKUP($A202,DICO_Complet!$A$3:$U$983,17,FALSE))</f>
        <v/>
      </c>
      <c r="Q202" s="53" t="str">
        <f>IF(VLOOKUP($A202,DICO_Complet!$A$3:$U$983,18,FALSE)=0,"",VLOOKUP($A202,DICO_Complet!$A$3:$U$983,18,FALSE))</f>
        <v/>
      </c>
    </row>
    <row r="203" spans="1:17">
      <c r="A203" s="38">
        <v>250423093004</v>
      </c>
      <c r="B203" s="47" t="s">
        <v>858</v>
      </c>
      <c r="C203" s="3" t="str">
        <f>VLOOKUP($A203,DICO_Complet!$A$3:$U$983,3,FALSE)</f>
        <v>Context</v>
      </c>
      <c r="D203" s="3" t="str">
        <f>VLOOKUP($A203,DICO_Complet!$A$3:$U$983,4,FALSE)</f>
        <v>terminalParameters</v>
      </c>
      <c r="E203" s="2" t="str">
        <f>VLOOKUP($A203,DICO_Complet!$A$3:$U$983,5,FALSE)</f>
        <v>temp_maximumAmountForAForeignCardInAnUnattededTerminal</v>
      </c>
      <c r="F203" s="2" t="str">
        <f>VLOOKUP($A203,DICO_Complet!$A$3:$U$983,6,FALSE)</f>
        <v>Exact12AlphaNumericText</v>
      </c>
      <c r="G203" s="48">
        <f>VLOOKUP($A203,DICO_Complet!$A$3:$U$983,7,FALSE)</f>
        <v>0</v>
      </c>
      <c r="H203" s="48">
        <f>VLOOKUP($A203,DICO_Complet!$A$3:$U$983,8,FALSE)</f>
        <v>0</v>
      </c>
      <c r="I203" s="2" t="str">
        <f>IF(VLOOKUP($A203,DICO_Complet!$A$3:$U$983,9,FALSE)&lt;&gt;0,VLOOKUP($A203,DICO_Complet!$A$3:$U$983,9,FALSE),"")</f>
        <v/>
      </c>
      <c r="J203" s="1" t="str">
        <f>VLOOKUP($A203,DICO_Complet!$A$3:$U$983,10,FALSE)</f>
        <v>Maximum amount for a foreign card in an unatteded terminal</v>
      </c>
      <c r="K203" s="53" t="str">
        <f>IF(VLOOKUP($A203,DICO_Complet!$A$3:$U$983,12,FALSE)=0,"",VLOOKUP($A203,DICO_Complet!$A$3:$U$983,12,FALSE))</f>
        <v/>
      </c>
      <c r="L203" s="53" t="str">
        <f>IF(VLOOKUP($A203,DICO_Complet!$A$3:$U$983,13,FALSE)=0,"",VLOOKUP($A203,DICO_Complet!$A$3:$U$983,13,FALSE))</f>
        <v/>
      </c>
      <c r="M203" s="53" t="str">
        <f>IF(VLOOKUP($A203,DICO_Complet!$A$3:$U$983,14,FALSE)=0,"",VLOOKUP($A203,DICO_Complet!$A$3:$U$983,14,FALSE))</f>
        <v>72_DF0C</v>
      </c>
      <c r="N203" s="53" t="str">
        <f>IF(VLOOKUP($A203,DICO_Complet!$A$3:$U$983,15,FALSE)=0,"",VLOOKUP($A203,DICO_Complet!$A$3:$U$983,15,FALSE))</f>
        <v/>
      </c>
      <c r="O203" s="53" t="str">
        <f>IF(VLOOKUP($A203,DICO_Complet!$A$3:$U$983,16,FALSE)=0,"",VLOOKUP($A203,DICO_Complet!$A$3:$U$983,16,FALSE))</f>
        <v/>
      </c>
      <c r="P203" s="53" t="str">
        <f>IF(VLOOKUP($A203,DICO_Complet!$A$3:$U$983,17,FALSE)=0,"",VLOOKUP($A203,DICO_Complet!$A$3:$U$983,17,FALSE))</f>
        <v/>
      </c>
      <c r="Q203" s="53" t="str">
        <f>IF(VLOOKUP($A203,DICO_Complet!$A$3:$U$983,18,FALSE)=0,"",VLOOKUP($A203,DICO_Complet!$A$3:$U$983,18,FALSE))</f>
        <v/>
      </c>
    </row>
    <row r="204" spans="1:17">
      <c r="A204" s="38">
        <v>250425200708</v>
      </c>
      <c r="B204" s="47" t="s">
        <v>858</v>
      </c>
      <c r="C204" s="3" t="str">
        <f>VLOOKUP($A204,DICO_Complet!$A$3:$U$983,3,FALSE)</f>
        <v>Context</v>
      </c>
      <c r="D204" s="3" t="str">
        <f>VLOOKUP($A204,DICO_Complet!$A$3:$U$983,4,FALSE)</f>
        <v>terminalParameters</v>
      </c>
      <c r="E204" s="2" t="str">
        <f>VLOOKUP($A204,DICO_Complet!$A$3:$U$983,5,FALSE)</f>
        <v>temp_terminalApplicationVersionNumber</v>
      </c>
      <c r="F204" s="2" t="str">
        <f>VLOOKUP($A204,DICO_Complet!$A$3:$U$983,6,FALSE)</f>
        <v>Exact2HexBinaryText</v>
      </c>
      <c r="G204" s="48">
        <f>VLOOKUP($A204,DICO_Complet!$A$3:$U$983,7,FALSE)</f>
        <v>0</v>
      </c>
      <c r="H204" s="48">
        <f>VLOOKUP($A204,DICO_Complet!$A$3:$U$983,8,FALSE)</f>
        <v>0</v>
      </c>
      <c r="I204" s="2" t="str">
        <f>IF(VLOOKUP($A204,DICO_Complet!$A$3:$U$983,9,FALSE)&lt;&gt;0,VLOOKUP($A204,DICO_Complet!$A$3:$U$983,9,FALSE),"")</f>
        <v/>
      </c>
      <c r="J204" s="1" t="str">
        <f>VLOOKUP($A204,DICO_Complet!$A$3:$U$983,10,FALSE)</f>
        <v>Terminal Application Version Number</v>
      </c>
      <c r="K204" s="53" t="str">
        <f>IF(VLOOKUP($A204,DICO_Complet!$A$3:$U$983,12,FALSE)=0,"",VLOOKUP($A204,DICO_Complet!$A$3:$U$983,12,FALSE))</f>
        <v/>
      </c>
      <c r="L204" s="53" t="str">
        <f>IF(VLOOKUP($A204,DICO_Complet!$A$3:$U$983,13,FALSE)=0,"",VLOOKUP($A204,DICO_Complet!$A$3:$U$983,13,FALSE))</f>
        <v/>
      </c>
      <c r="M204" s="53" t="str">
        <f>IF(VLOOKUP($A204,DICO_Complet!$A$3:$U$983,14,FALSE)=0,"",VLOOKUP($A204,DICO_Complet!$A$3:$U$983,14,FALSE))</f>
        <v>72_DF17 part 3</v>
      </c>
      <c r="N204" s="53" t="str">
        <f>IF(VLOOKUP($A204,DICO_Complet!$A$3:$U$983,15,FALSE)=0,"",VLOOKUP($A204,DICO_Complet!$A$3:$U$983,15,FALSE))</f>
        <v/>
      </c>
      <c r="O204" s="53" t="str">
        <f>IF(VLOOKUP($A204,DICO_Complet!$A$3:$U$983,16,FALSE)=0,"",VLOOKUP($A204,DICO_Complet!$A$3:$U$983,16,FALSE))</f>
        <v/>
      </c>
      <c r="P204" s="53" t="str">
        <f>IF(VLOOKUP($A204,DICO_Complet!$A$3:$U$983,17,FALSE)=0,"",VLOOKUP($A204,DICO_Complet!$A$3:$U$983,17,FALSE))</f>
        <v/>
      </c>
      <c r="Q204" s="53" t="str">
        <f>IF(VLOOKUP($A204,DICO_Complet!$A$3:$U$983,18,FALSE)=0,"",VLOOKUP($A204,DICO_Complet!$A$3:$U$983,18,FALSE))</f>
        <v/>
      </c>
    </row>
    <row r="205" spans="1:17">
      <c r="A205" s="38">
        <v>241112000025</v>
      </c>
      <c r="B205" s="47" t="s">
        <v>858</v>
      </c>
      <c r="C205" s="3" t="str">
        <f>VLOOKUP($A205,DICO_Complet!$A$3:$U$983,3,FALSE)</f>
        <v>Context</v>
      </c>
      <c r="D205" s="3" t="str">
        <f>VLOOKUP($A205,DICO_Complet!$A$3:$U$983,4,FALSE)</f>
        <v>transactionContext</v>
      </c>
      <c r="E205" s="2" t="str">
        <f>VLOOKUP($A205,DICO_Complet!$A$3:$U$983,5,FALSE)</f>
        <v>acceptanceSystemCardProductCode</v>
      </c>
      <c r="F205" s="2" t="str">
        <f>VLOOKUP($A205,DICO_Complet!$A$3:$U$983,6,FALSE)</f>
        <v>Max3AlphaNumericText</v>
      </c>
      <c r="G205" s="48">
        <f>VLOOKUP($A205,DICO_Complet!$A$3:$U$983,7,FALSE)</f>
        <v>0</v>
      </c>
      <c r="H205" s="48">
        <f>VLOOKUP($A205,DICO_Complet!$A$3:$U$983,8,FALSE)</f>
        <v>0</v>
      </c>
      <c r="I205" s="2" t="str">
        <f>IF(VLOOKUP($A205,DICO_Complet!$A$3:$U$983,9,FALSE)&lt;&gt;0,VLOOKUP($A205,DICO_Complet!$A$3:$U$983,9,FALSE),"")</f>
        <v/>
      </c>
      <c r="J205" s="1" t="str">
        <f>VLOOKUP($A205,DICO_Complet!$A$3:$U$983,10,FALSE)</f>
        <v>Acceptance System Card Product Code</v>
      </c>
      <c r="K205" s="53" t="str">
        <f>IF(VLOOKUP($A205,DICO_Complet!$A$3:$U$983,12,FALSE)=0,"",VLOOKUP($A205,DICO_Complet!$A$3:$U$983,12,FALSE))</f>
        <v>RSB57_5</v>
      </c>
      <c r="L205" s="53" t="str">
        <f>IF(VLOOKUP($A205,DICO_Complet!$A$3:$U$983,13,FALSE)=0,"",VLOOKUP($A205,DICO_Complet!$A$3:$U$983,13,FALSE))</f>
        <v>[57-0005]</v>
      </c>
      <c r="M205" s="53" t="str">
        <f>IF(VLOOKUP($A205,DICO_Complet!$A$3:$U$983,14,FALSE)=0,"",VLOOKUP($A205,DICO_Complet!$A$3:$U$983,14,FALSE))</f>
        <v/>
      </c>
      <c r="N205" s="53" t="str">
        <f>IF(VLOOKUP($A205,DICO_Complet!$A$3:$U$983,15,FALSE)=0,"",VLOOKUP($A205,DICO_Complet!$A$3:$U$983,15,FALSE))</f>
        <v/>
      </c>
      <c r="O205" s="53" t="str">
        <f>IF(VLOOKUP($A205,DICO_Complet!$A$3:$U$983,16,FALSE)=0,"",VLOOKUP($A205,DICO_Complet!$A$3:$U$983,16,FALSE))</f>
        <v/>
      </c>
      <c r="P205" s="53" t="str">
        <f>IF(VLOOKUP($A205,DICO_Complet!$A$3:$U$983,17,FALSE)=0,"",VLOOKUP($A205,DICO_Complet!$A$3:$U$983,17,FALSE))</f>
        <v/>
      </c>
      <c r="Q205" s="53" t="str">
        <f>IF(VLOOKUP($A205,DICO_Complet!$A$3:$U$983,18,FALSE)=0,"",VLOOKUP($A205,DICO_Complet!$A$3:$U$983,18,FALSE))</f>
        <v/>
      </c>
    </row>
    <row r="206" spans="1:17">
      <c r="A206" s="38">
        <v>250425200600</v>
      </c>
      <c r="B206" s="47" t="s">
        <v>858</v>
      </c>
      <c r="C206" s="3" t="str">
        <f>VLOOKUP($A206,DICO_Complet!$A$3:$U$983,3,FALSE)</f>
        <v>Context</v>
      </c>
      <c r="D206" s="3" t="str">
        <f>VLOOKUP($A206,DICO_Complet!$A$3:$U$983,4,FALSE)</f>
        <v>transactionContext</v>
      </c>
      <c r="E206" s="2" t="str">
        <f>VLOOKUP($A206,DICO_Complet!$A$3:$U$983,5,FALSE)</f>
        <v>acceptorPhoneNumber</v>
      </c>
      <c r="F206" s="2" t="str">
        <f>VLOOKUP($A206,DICO_Complet!$A$3:$U$983,6,FALSE)</f>
        <v>PhoneNumberText</v>
      </c>
      <c r="G206" s="48">
        <f>VLOOKUP($A206,DICO_Complet!$A$3:$U$983,7,FALSE)</f>
        <v>0</v>
      </c>
      <c r="H206" s="48">
        <f>VLOOKUP($A206,DICO_Complet!$A$3:$U$983,8,FALSE)</f>
        <v>0</v>
      </c>
      <c r="I206" s="2" t="str">
        <f>IF(VLOOKUP($A206,DICO_Complet!$A$3:$U$983,9,FALSE)&lt;&gt;0,VLOOKUP($A206,DICO_Complet!$A$3:$U$983,9,FALSE),"")</f>
        <v/>
      </c>
      <c r="J206" s="1" t="str">
        <f>VLOOKUP($A206,DICO_Complet!$A$3:$U$983,10,FALSE)</f>
        <v xml:space="preserve">Acceptor phone number </v>
      </c>
      <c r="K206" s="53" t="str">
        <f>IF(VLOOKUP($A206,DICO_Complet!$A$3:$U$983,12,FALSE)=0,"",VLOOKUP($A206,DICO_Complet!$A$3:$U$983,12,FALSE))</f>
        <v/>
      </c>
      <c r="L206" s="53" t="str">
        <f>IF(VLOOKUP($A206,DICO_Complet!$A$3:$U$983,13,FALSE)=0,"",VLOOKUP($A206,DICO_Complet!$A$3:$U$983,13,FALSE))</f>
        <v/>
      </c>
      <c r="M206" s="53" t="str">
        <f>IF(VLOOKUP($A206,DICO_Complet!$A$3:$U$983,14,FALSE)=0,"",VLOOKUP($A206,DICO_Complet!$A$3:$U$983,14,FALSE))</f>
        <v>59_1105</v>
      </c>
      <c r="N206" s="53" t="str">
        <f>IF(VLOOKUP($A206,DICO_Complet!$A$3:$U$983,15,FALSE)=0,"",VLOOKUP($A206,DICO_Complet!$A$3:$U$983,15,FALSE))</f>
        <v/>
      </c>
      <c r="O206" s="53" t="str">
        <f>IF(VLOOKUP($A206,DICO_Complet!$A$3:$U$983,16,FALSE)=0,"",VLOOKUP($A206,DICO_Complet!$A$3:$U$983,16,FALSE))</f>
        <v/>
      </c>
      <c r="P206" s="53" t="str">
        <f>IF(VLOOKUP($A206,DICO_Complet!$A$3:$U$983,17,FALSE)=0,"",VLOOKUP($A206,DICO_Complet!$A$3:$U$983,17,FALSE))</f>
        <v/>
      </c>
      <c r="Q206" s="53" t="str">
        <f>IF(VLOOKUP($A206,DICO_Complet!$A$3:$U$983,18,FALSE)=0,"",VLOOKUP($A206,DICO_Complet!$A$3:$U$983,18,FALSE))</f>
        <v/>
      </c>
    </row>
    <row r="207" spans="1:17">
      <c r="A207" s="38">
        <v>250425153914</v>
      </c>
      <c r="B207" s="47" t="s">
        <v>858</v>
      </c>
      <c r="C207" s="3" t="str">
        <f>VLOOKUP($A207,DICO_Complet!$A$3:$U$983,3,FALSE)</f>
        <v>Context</v>
      </c>
      <c r="D207" s="3" t="str">
        <f>VLOOKUP($A207,DICO_Complet!$A$3:$U$983,4,FALSE)</f>
        <v>transactionContext</v>
      </c>
      <c r="E207" s="2" t="str">
        <f>VLOOKUP($A207,DICO_Complet!$A$3:$U$983,5,FALSE)</f>
        <v>acceptorURLAddress</v>
      </c>
      <c r="F207" s="2" t="str">
        <f>VLOOKUP($A207,DICO_Complet!$A$3:$U$983,6,FALSE)</f>
        <v>Max255Text</v>
      </c>
      <c r="G207" s="48">
        <f>VLOOKUP($A207,DICO_Complet!$A$3:$U$983,7,FALSE)</f>
        <v>0</v>
      </c>
      <c r="H207" s="48">
        <f>VLOOKUP($A207,DICO_Complet!$A$3:$U$983,8,FALSE)</f>
        <v>0</v>
      </c>
      <c r="I207" s="2" t="str">
        <f>IF(VLOOKUP($A207,DICO_Complet!$A$3:$U$983,9,FALSE)&lt;&gt;0,VLOOKUP($A207,DICO_Complet!$A$3:$U$983,9,FALSE),"")</f>
        <v/>
      </c>
      <c r="J207" s="1" t="str">
        <f>VLOOKUP($A207,DICO_Complet!$A$3:$U$983,10,FALSE)</f>
        <v>Acceptor URL address</v>
      </c>
      <c r="K207" s="53" t="str">
        <f>IF(VLOOKUP($A207,DICO_Complet!$A$3:$U$983,12,FALSE)=0,"",VLOOKUP($A207,DICO_Complet!$A$3:$U$983,12,FALSE))</f>
        <v/>
      </c>
      <c r="L207" s="53" t="str">
        <f>IF(VLOOKUP($A207,DICO_Complet!$A$3:$U$983,13,FALSE)=0,"",VLOOKUP($A207,DICO_Complet!$A$3:$U$983,13,FALSE))</f>
        <v/>
      </c>
      <c r="M207" s="53" t="str">
        <f>IF(VLOOKUP($A207,DICO_Complet!$A$3:$U$983,14,FALSE)=0,"",VLOOKUP($A207,DICO_Complet!$A$3:$U$983,14,FALSE))</f>
        <v>59_1100</v>
      </c>
      <c r="N207" s="53" t="str">
        <f>IF(VLOOKUP($A207,DICO_Complet!$A$3:$U$983,15,FALSE)=0,"",VLOOKUP($A207,DICO_Complet!$A$3:$U$983,15,FALSE))</f>
        <v/>
      </c>
      <c r="O207" s="53" t="str">
        <f>IF(VLOOKUP($A207,DICO_Complet!$A$3:$U$983,16,FALSE)=0,"",VLOOKUP($A207,DICO_Complet!$A$3:$U$983,16,FALSE))</f>
        <v/>
      </c>
      <c r="P207" s="53" t="str">
        <f>IF(VLOOKUP($A207,DICO_Complet!$A$3:$U$983,17,FALSE)=0,"",VLOOKUP($A207,DICO_Complet!$A$3:$U$983,17,FALSE))</f>
        <v/>
      </c>
      <c r="Q207" s="53" t="str">
        <f>IF(VLOOKUP($A207,DICO_Complet!$A$3:$U$983,18,FALSE)=0,"",VLOOKUP($A207,DICO_Complet!$A$3:$U$983,18,FALSE))</f>
        <v/>
      </c>
    </row>
    <row r="208" spans="1:17">
      <c r="A208" s="38">
        <v>250212174210</v>
      </c>
      <c r="B208" s="47" t="s">
        <v>858</v>
      </c>
      <c r="C208" s="3" t="str">
        <f>VLOOKUP($A208,DICO_Complet!$A$3:$U$983,3,FALSE)</f>
        <v>Context</v>
      </c>
      <c r="D208" s="3" t="str">
        <f>VLOOKUP($A208,DICO_Complet!$A$3:$U$983,4,FALSE)</f>
        <v>transactionContext</v>
      </c>
      <c r="E208" s="2" t="str">
        <f>VLOOKUP($A208,DICO_Complet!$A$3:$U$983,5,FALSE)</f>
        <v>accountNameVerificationNature</v>
      </c>
      <c r="F208" s="2" t="str">
        <f>VLOOKUP($A208,DICO_Complet!$A$3:$U$983,6,FALSE)</f>
        <v>AccountNameVerificationNatureCodeset</v>
      </c>
      <c r="G208" s="48">
        <f>VLOOKUP($A208,DICO_Complet!$A$3:$U$983,7,FALSE)</f>
        <v>0</v>
      </c>
      <c r="H208" s="48">
        <f>VLOOKUP($A208,DICO_Complet!$A$3:$U$983,8,FALSE)</f>
        <v>0</v>
      </c>
      <c r="I208" s="2" t="str">
        <f>IF(VLOOKUP($A208,DICO_Complet!$A$3:$U$983,9,FALSE)&lt;&gt;0,VLOOKUP($A208,DICO_Complet!$A$3:$U$983,9,FALSE),"")</f>
        <v/>
      </c>
      <c r="J208" s="1" t="str">
        <f>VLOOKUP($A208,DICO_Complet!$A$3:$U$983,10,FALSE)</f>
        <v>Which account Name to verify, Payer or Payee</v>
      </c>
      <c r="K208" s="53" t="str">
        <f>IF(VLOOKUP($A208,DICO_Complet!$A$3:$U$983,12,FALSE)=0,"",VLOOKUP($A208,DICO_Complet!$A$3:$U$983,12,FALSE))</f>
        <v>RSB119_0021</v>
      </c>
      <c r="L208" s="53" t="str">
        <f>IF(VLOOKUP($A208,DICO_Complet!$A$3:$U$983,13,FALSE)=0,"",VLOOKUP($A208,DICO_Complet!$A$3:$U$983,13,FALSE))</f>
        <v>[119-0021]</v>
      </c>
      <c r="M208" s="53" t="str">
        <f>IF(VLOOKUP($A208,DICO_Complet!$A$3:$U$983,14,FALSE)=0,"",VLOOKUP($A208,DICO_Complet!$A$3:$U$983,14,FALSE))</f>
        <v/>
      </c>
      <c r="N208" s="53" t="str">
        <f>IF(VLOOKUP($A208,DICO_Complet!$A$3:$U$983,15,FALSE)=0,"",VLOOKUP($A208,DICO_Complet!$A$3:$U$983,15,FALSE))</f>
        <v/>
      </c>
      <c r="O208" s="53" t="str">
        <f>IF(VLOOKUP($A208,DICO_Complet!$A$3:$U$983,16,FALSE)=0,"",VLOOKUP($A208,DICO_Complet!$A$3:$U$983,16,FALSE))</f>
        <v/>
      </c>
      <c r="P208" s="53" t="str">
        <f>IF(VLOOKUP($A208,DICO_Complet!$A$3:$U$983,17,FALSE)=0,"",VLOOKUP($A208,DICO_Complet!$A$3:$U$983,17,FALSE))</f>
        <v/>
      </c>
      <c r="Q208" s="53" t="str">
        <f>IF(VLOOKUP($A208,DICO_Complet!$A$3:$U$983,18,FALSE)=0,"",VLOOKUP($A208,DICO_Complet!$A$3:$U$983,18,FALSE))</f>
        <v/>
      </c>
    </row>
    <row r="209" spans="1:18">
      <c r="A209" s="38">
        <v>250422122400</v>
      </c>
      <c r="B209" s="47" t="s">
        <v>858</v>
      </c>
      <c r="C209" s="3" t="str">
        <f>VLOOKUP($A209,DICO_Complet!$A$3:$U$983,3,FALSE)</f>
        <v>Context</v>
      </c>
      <c r="D209" s="3" t="str">
        <f>VLOOKUP($A209,DICO_Complet!$A$3:$U$983,4,FALSE)</f>
        <v>transactionContext</v>
      </c>
      <c r="E209" s="2" t="str">
        <f>VLOOKUP($A209,DICO_Complet!$A$3:$U$983,5,FALSE)</f>
        <v>additionalManagmentOfTransfers</v>
      </c>
      <c r="F209" s="2" t="str">
        <f>VLOOKUP($A209,DICO_Complet!$A$3:$U$983,6,FALSE)</f>
        <v>Exact8NumericText</v>
      </c>
      <c r="G209" s="48">
        <f>VLOOKUP($A209,DICO_Complet!$A$3:$U$983,7,FALSE)</f>
        <v>0</v>
      </c>
      <c r="H209" s="48">
        <f>VLOOKUP($A209,DICO_Complet!$A$3:$U$983,8,FALSE)</f>
        <v>0</v>
      </c>
      <c r="I209" s="2" t="str">
        <f>IF(VLOOKUP($A209,DICO_Complet!$A$3:$U$983,9,FALSE)&lt;&gt;0,VLOOKUP($A209,DICO_Complet!$A$3:$U$983,9,FALSE),"")</f>
        <v/>
      </c>
      <c r="J209" s="1" t="str">
        <f>VLOOKUP($A209,DICO_Complet!$A$3:$U$983,10,FALSE)</f>
        <v>Additional managment of transfers</v>
      </c>
      <c r="K209" s="53" t="str">
        <f>IF(VLOOKUP($A209,DICO_Complet!$A$3:$U$983,12,FALSE)=0,"",VLOOKUP($A209,DICO_Complet!$A$3:$U$983,12,FALSE))</f>
        <v/>
      </c>
      <c r="L209" s="53" t="str">
        <f>IF(VLOOKUP($A209,DICO_Complet!$A$3:$U$983,13,FALSE)=0,"",VLOOKUP($A209,DICO_Complet!$A$3:$U$983,13,FALSE))</f>
        <v/>
      </c>
      <c r="M209" s="53" t="str">
        <f>IF(VLOOKUP($A209,DICO_Complet!$A$3:$U$983,14,FALSE)=0,"",VLOOKUP($A209,DICO_Complet!$A$3:$U$983,14,FALSE))</f>
        <v>58_FF53</v>
      </c>
      <c r="N209" s="53" t="str">
        <f>IF(VLOOKUP($A209,DICO_Complet!$A$3:$U$983,15,FALSE)=0,"",VLOOKUP($A209,DICO_Complet!$A$3:$U$983,15,FALSE))</f>
        <v/>
      </c>
      <c r="O209" s="53" t="str">
        <f>IF(VLOOKUP($A209,DICO_Complet!$A$3:$U$983,16,FALSE)=0,"",VLOOKUP($A209,DICO_Complet!$A$3:$U$983,16,FALSE))</f>
        <v/>
      </c>
      <c r="P209" s="53" t="str">
        <f>IF(VLOOKUP($A209,DICO_Complet!$A$3:$U$983,17,FALSE)=0,"",VLOOKUP($A209,DICO_Complet!$A$3:$U$983,17,FALSE))</f>
        <v/>
      </c>
      <c r="Q209" s="53" t="str">
        <f>IF(VLOOKUP($A209,DICO_Complet!$A$3:$U$983,18,FALSE)=0,"",VLOOKUP($A209,DICO_Complet!$A$3:$U$983,18,FALSE))</f>
        <v/>
      </c>
    </row>
    <row r="210" spans="1:18">
      <c r="A210" s="38">
        <v>250414121303</v>
      </c>
      <c r="B210" s="47" t="s">
        <v>858</v>
      </c>
      <c r="C210" s="3" t="str">
        <f>VLOOKUP($A210,DICO_Complet!$A$3:$U$983,3,FALSE)</f>
        <v>Context</v>
      </c>
      <c r="D210" s="3" t="str">
        <f>VLOOKUP($A210,DICO_Complet!$A$3:$U$983,4,FALSE)</f>
        <v>transactionContext</v>
      </c>
      <c r="E210" s="2" t="str">
        <f>VLOOKUP($A210,DICO_Complet!$A$3:$U$983,5,FALSE)</f>
        <v>airlineTicketDestination</v>
      </c>
      <c r="F210" s="2" t="str">
        <f>VLOOKUP($A210,DICO_Complet!$A$3:$U$983,6,FALSE)</f>
        <v>Exact3AlphaNumericText</v>
      </c>
      <c r="G210" s="48">
        <f>VLOOKUP($A210,DICO_Complet!$A$3:$U$983,7,FALSE)</f>
        <v>0</v>
      </c>
      <c r="H210" s="48">
        <f>VLOOKUP($A210,DICO_Complet!$A$3:$U$983,8,FALSE)</f>
        <v>0</v>
      </c>
      <c r="I210" s="2" t="str">
        <f>IF(VLOOKUP($A210,DICO_Complet!$A$3:$U$983,9,FALSE)&lt;&gt;0,VLOOKUP($A210,DICO_Complet!$A$3:$U$983,9,FALSE),"")</f>
        <v/>
      </c>
      <c r="J210" s="1" t="str">
        <f>VLOOKUP($A210,DICO_Complet!$A$3:$U$983,10,FALSE)</f>
        <v>airline ticket destination</v>
      </c>
      <c r="K210" s="53" t="str">
        <f>IF(VLOOKUP($A210,DICO_Complet!$A$3:$U$983,12,FALSE)=0,"",VLOOKUP($A210,DICO_Complet!$A$3:$U$983,12,FALSE))</f>
        <v/>
      </c>
      <c r="L210" s="53" t="str">
        <f>IF(VLOOKUP($A210,DICO_Complet!$A$3:$U$983,13,FALSE)=0,"",VLOOKUP($A210,DICO_Complet!$A$3:$U$983,13,FALSE))</f>
        <v/>
      </c>
      <c r="M210" s="53" t="str">
        <f>IF(VLOOKUP($A210,DICO_Complet!$A$3:$U$983,14,FALSE)=0,"",VLOOKUP($A210,DICO_Complet!$A$3:$U$983,14,FALSE))</f>
        <v>57_FF0E</v>
      </c>
      <c r="N210" s="53" t="str">
        <f>IF(VLOOKUP($A210,DICO_Complet!$A$3:$U$983,15,FALSE)=0,"",VLOOKUP($A210,DICO_Complet!$A$3:$U$983,15,FALSE))</f>
        <v/>
      </c>
      <c r="O210" s="53" t="str">
        <f>IF(VLOOKUP($A210,DICO_Complet!$A$3:$U$983,16,FALSE)=0,"",VLOOKUP($A210,DICO_Complet!$A$3:$U$983,16,FALSE))</f>
        <v/>
      </c>
      <c r="P210" s="53" t="str">
        <f>IF(VLOOKUP($A210,DICO_Complet!$A$3:$U$983,17,FALSE)=0,"",VLOOKUP($A210,DICO_Complet!$A$3:$U$983,17,FALSE))</f>
        <v/>
      </c>
      <c r="Q210" s="53" t="str">
        <f>IF(VLOOKUP($A210,DICO_Complet!$A$3:$U$983,18,FALSE)=0,"",VLOOKUP($A210,DICO_Complet!$A$3:$U$983,18,FALSE))</f>
        <v/>
      </c>
    </row>
    <row r="211" spans="1:18">
      <c r="A211" s="38">
        <v>250414121304</v>
      </c>
      <c r="B211" s="47" t="s">
        <v>858</v>
      </c>
      <c r="C211" s="3" t="str">
        <f>VLOOKUP($A211,DICO_Complet!$A$3:$U$983,3,FALSE)</f>
        <v>Context</v>
      </c>
      <c r="D211" s="3" t="str">
        <f>VLOOKUP($A211,DICO_Complet!$A$3:$U$983,4,FALSE)</f>
        <v>transactionContext</v>
      </c>
      <c r="E211" s="2" t="str">
        <f>VLOOKUP($A211,DICO_Complet!$A$3:$U$983,5,FALSE)</f>
        <v>airlineTicketNumber</v>
      </c>
      <c r="F211" s="2" t="str">
        <f>VLOOKUP($A211,DICO_Complet!$A$3:$U$983,6,FALSE)</f>
        <v>Max13AlphaNumericText</v>
      </c>
      <c r="G211" s="48">
        <f>VLOOKUP($A211,DICO_Complet!$A$3:$U$983,7,FALSE)</f>
        <v>0</v>
      </c>
      <c r="H211" s="48">
        <f>VLOOKUP($A211,DICO_Complet!$A$3:$U$983,8,FALSE)</f>
        <v>0</v>
      </c>
      <c r="I211" s="2" t="str">
        <f>IF(VLOOKUP($A211,DICO_Complet!$A$3:$U$983,9,FALSE)&lt;&gt;0,VLOOKUP($A211,DICO_Complet!$A$3:$U$983,9,FALSE),"")</f>
        <v/>
      </c>
      <c r="J211" s="1" t="str">
        <f>VLOOKUP($A211,DICO_Complet!$A$3:$U$983,10,FALSE)</f>
        <v>airline ticket number</v>
      </c>
      <c r="K211" s="53" t="str">
        <f>IF(VLOOKUP($A211,DICO_Complet!$A$3:$U$983,12,FALSE)=0,"",VLOOKUP($A211,DICO_Complet!$A$3:$U$983,12,FALSE))</f>
        <v/>
      </c>
      <c r="L211" s="53" t="str">
        <f>IF(VLOOKUP($A211,DICO_Complet!$A$3:$U$983,13,FALSE)=0,"",VLOOKUP($A211,DICO_Complet!$A$3:$U$983,13,FALSE))</f>
        <v/>
      </c>
      <c r="M211" s="53" t="str">
        <f>IF(VLOOKUP($A211,DICO_Complet!$A$3:$U$983,14,FALSE)=0,"",VLOOKUP($A211,DICO_Complet!$A$3:$U$983,14,FALSE))</f>
        <v>57_FF0F</v>
      </c>
      <c r="N211" s="53" t="str">
        <f>IF(VLOOKUP($A211,DICO_Complet!$A$3:$U$983,15,FALSE)=0,"",VLOOKUP($A211,DICO_Complet!$A$3:$U$983,15,FALSE))</f>
        <v/>
      </c>
      <c r="O211" s="53" t="str">
        <f>IF(VLOOKUP($A211,DICO_Complet!$A$3:$U$983,16,FALSE)=0,"",VLOOKUP($A211,DICO_Complet!$A$3:$U$983,16,FALSE))</f>
        <v/>
      </c>
      <c r="P211" s="53" t="str">
        <f>IF(VLOOKUP($A211,DICO_Complet!$A$3:$U$983,17,FALSE)=0,"",VLOOKUP($A211,DICO_Complet!$A$3:$U$983,17,FALSE))</f>
        <v/>
      </c>
      <c r="Q211" s="53" t="str">
        <f>IF(VLOOKUP($A211,DICO_Complet!$A$3:$U$983,18,FALSE)=0,"",VLOOKUP($A211,DICO_Complet!$A$3:$U$983,18,FALSE))</f>
        <v/>
      </c>
    </row>
    <row r="212" spans="1:18">
      <c r="A212" s="38">
        <v>241112000026</v>
      </c>
      <c r="B212" s="47" t="s">
        <v>858</v>
      </c>
      <c r="C212" s="3" t="str">
        <f>VLOOKUP($A212,DICO_Complet!$A$3:$U$983,3,FALSE)</f>
        <v>Context</v>
      </c>
      <c r="D212" s="3" t="str">
        <f>VLOOKUP($A212,DICO_Complet!$A$3:$U$983,4,FALSE)</f>
        <v>transactionContext</v>
      </c>
      <c r="E212" s="2" t="str">
        <f>VLOOKUP($A212,DICO_Complet!$A$3:$U$983,5,FALSE)</f>
        <v>applicationSelectionIndicator</v>
      </c>
      <c r="F212" s="2" t="str">
        <f>VLOOKUP($A212,DICO_Complet!$A$3:$U$983,6,FALSE)</f>
        <v>ApplicationSelectionIndicatorCodeset</v>
      </c>
      <c r="G212" s="48">
        <f>VLOOKUP($A212,DICO_Complet!$A$3:$U$983,7,FALSE)</f>
        <v>0</v>
      </c>
      <c r="H212" s="48">
        <f>VLOOKUP($A212,DICO_Complet!$A$3:$U$983,8,FALSE)</f>
        <v>0</v>
      </c>
      <c r="I212" s="2" t="str">
        <f>IF(VLOOKUP($A212,DICO_Complet!$A$3:$U$983,9,FALSE)&lt;&gt;0,VLOOKUP($A212,DICO_Complet!$A$3:$U$983,9,FALSE),"")</f>
        <v/>
      </c>
      <c r="J212" s="1" t="str">
        <f>VLOOKUP($A212,DICO_Complet!$A$3:$U$983,10,FALSE)</f>
        <v>Application Selection Indicator</v>
      </c>
      <c r="K212" s="53" t="str">
        <f>IF(VLOOKUP($A212,DICO_Complet!$A$3:$U$983,12,FALSE)=0,"",VLOOKUP($A212,DICO_Complet!$A$3:$U$983,12,FALSE))</f>
        <v>RSB57_2</v>
      </c>
      <c r="L212" s="53" t="str">
        <f>IF(VLOOKUP($A212,DICO_Complet!$A$3:$U$983,13,FALSE)=0,"",VLOOKUP($A212,DICO_Complet!$A$3:$U$983,13,FALSE))</f>
        <v>[57-0002]</v>
      </c>
      <c r="M212" s="53" t="str">
        <f>IF(VLOOKUP($A212,DICO_Complet!$A$3:$U$983,14,FALSE)=0,"",VLOOKUP($A212,DICO_Complet!$A$3:$U$983,14,FALSE))</f>
        <v/>
      </c>
      <c r="N212" s="53" t="str">
        <f>IF(VLOOKUP($A212,DICO_Complet!$A$3:$U$983,15,FALSE)=0,"",VLOOKUP($A212,DICO_Complet!$A$3:$U$983,15,FALSE))</f>
        <v/>
      </c>
      <c r="O212" s="53" t="str">
        <f>IF(VLOOKUP($A212,DICO_Complet!$A$3:$U$983,16,FALSE)=0,"",VLOOKUP($A212,DICO_Complet!$A$3:$U$983,16,FALSE))</f>
        <v/>
      </c>
      <c r="P212" s="53" t="str">
        <f>IF(VLOOKUP($A212,DICO_Complet!$A$3:$U$983,17,FALSE)=0,"",VLOOKUP($A212,DICO_Complet!$A$3:$U$983,17,FALSE))</f>
        <v/>
      </c>
      <c r="Q212" s="53" t="str">
        <f>IF(VLOOKUP($A212,DICO_Complet!$A$3:$U$983,18,FALSE)=0,"",VLOOKUP($A212,DICO_Complet!$A$3:$U$983,18,FALSE))</f>
        <v/>
      </c>
    </row>
    <row r="213" spans="1:18">
      <c r="A213" s="38">
        <v>241112000027</v>
      </c>
      <c r="B213" s="47" t="s">
        <v>858</v>
      </c>
      <c r="C213" s="3" t="str">
        <f>VLOOKUP($A213,DICO_Complet!$A$3:$U$983,3,FALSE)</f>
        <v>Context</v>
      </c>
      <c r="D213" s="3" t="str">
        <f>VLOOKUP($A213,DICO_Complet!$A$3:$U$983,4,FALSE)</f>
        <v>transactionContext</v>
      </c>
      <c r="E213" s="2" t="str">
        <f>VLOOKUP($A213,DICO_Complet!$A$3:$U$983,5,FALSE)</f>
        <v>attendanceContext</v>
      </c>
      <c r="F213" s="2" t="str">
        <f>VLOOKUP($A213,DICO_Complet!$A$3:$U$983,6,FALSE)</f>
        <v>AttendanceContextCodeset</v>
      </c>
      <c r="G213" s="48">
        <f>VLOOKUP($A213,DICO_Complet!$A$3:$U$983,7,FALSE)</f>
        <v>0</v>
      </c>
      <c r="H213" s="48">
        <f>VLOOKUP($A213,DICO_Complet!$A$3:$U$983,8,FALSE)</f>
        <v>0</v>
      </c>
      <c r="I213" s="2" t="str">
        <f>IF(VLOOKUP($A213,DICO_Complet!$A$3:$U$983,9,FALSE)&lt;&gt;0,VLOOKUP($A213,DICO_Complet!$A$3:$U$983,9,FALSE),"")</f>
        <v/>
      </c>
      <c r="J213" s="1" t="str">
        <f>VLOOKUP($A213,DICO_Complet!$A$3:$U$983,10,FALSE)</f>
        <v>Attendance Context</v>
      </c>
      <c r="K213" s="53" t="str">
        <f>IF(VLOOKUP($A213,DICO_Complet!$A$3:$U$983,12,FALSE)=0,"",VLOOKUP($A213,DICO_Complet!$A$3:$U$983,12,FALSE))</f>
        <v>ISO25 (Voir Nexo=&gt; CB2A page 101)</v>
      </c>
      <c r="L213" s="53" t="str">
        <f>IF(VLOOKUP($A213,DICO_Complet!$A$3:$U$983,13,FALSE)=0,"",VLOOKUP($A213,DICO_Complet!$A$3:$U$983,13,FALSE))</f>
        <v>[25]</v>
      </c>
      <c r="M213" s="53" t="str">
        <f>IF(VLOOKUP($A213,DICO_Complet!$A$3:$U$983,14,FALSE)=0,"",VLOOKUP($A213,DICO_Complet!$A$3:$U$983,14,FALSE))</f>
        <v/>
      </c>
      <c r="N213" s="53" t="str">
        <f>IF(VLOOKUP($A213,DICO_Complet!$A$3:$U$983,15,FALSE)=0,"",VLOOKUP($A213,DICO_Complet!$A$3:$U$983,15,FALSE))</f>
        <v/>
      </c>
      <c r="O213" s="53" t="str">
        <f>IF(VLOOKUP($A213,DICO_Complet!$A$3:$U$983,16,FALSE)=0,"",VLOOKUP($A213,DICO_Complet!$A$3:$U$983,16,FALSE))</f>
        <v/>
      </c>
      <c r="P213" s="53" t="str">
        <f>IF(VLOOKUP($A213,DICO_Complet!$A$3:$U$983,17,FALSE)=0,"",VLOOKUP($A213,DICO_Complet!$A$3:$U$983,17,FALSE))</f>
        <v/>
      </c>
      <c r="Q213" s="53" t="str">
        <f>IF(VLOOKUP($A213,DICO_Complet!$A$3:$U$983,18,FALSE)=0,"",VLOOKUP($A213,DICO_Complet!$A$3:$U$983,18,FALSE))</f>
        <v/>
      </c>
    </row>
    <row r="214" spans="1:18">
      <c r="A214" s="38">
        <v>241112000028</v>
      </c>
      <c r="B214" s="47" t="s">
        <v>858</v>
      </c>
      <c r="C214" s="3" t="str">
        <f>VLOOKUP($A214,DICO_Complet!$A$3:$U$983,3,FALSE)</f>
        <v>Context</v>
      </c>
      <c r="D214" s="3" t="str">
        <f>VLOOKUP($A214,DICO_Complet!$A$3:$U$983,4,FALSE)</f>
        <v>transactionContext</v>
      </c>
      <c r="E214" s="2" t="str">
        <f>VLOOKUP($A214,DICO_Complet!$A$3:$U$983,5,FALSE)</f>
        <v>authenticationAmount</v>
      </c>
      <c r="F214" s="2" t="str">
        <f>VLOOKUP($A214,DICO_Complet!$A$3:$U$983,6,FALSE)</f>
        <v>AmountType</v>
      </c>
      <c r="G214" s="48">
        <f>VLOOKUP($A214,DICO_Complet!$A$3:$U$983,7,FALSE)</f>
        <v>0</v>
      </c>
      <c r="H214" s="48">
        <f>VLOOKUP($A214,DICO_Complet!$A$3:$U$983,8,FALSE)</f>
        <v>0</v>
      </c>
      <c r="I214" s="2" t="str">
        <f>IF(VLOOKUP($A214,DICO_Complet!$A$3:$U$983,9,FALSE)&lt;&gt;0,VLOOKUP($A214,DICO_Complet!$A$3:$U$983,9,FALSE),"")</f>
        <v/>
      </c>
      <c r="J214" s="1" t="str">
        <f>VLOOKUP($A214,DICO_Complet!$A$3:$U$983,10,FALSE)</f>
        <v>Authentication amount</v>
      </c>
      <c r="K214" s="53" t="str">
        <f>IF(VLOOKUP($A214,DICO_Complet!$A$3:$U$983,12,FALSE)=0,"",VLOOKUP($A214,DICO_Complet!$A$3:$U$983,12,FALSE))</f>
        <v>RSB57_38</v>
      </c>
      <c r="L214" s="53" t="str">
        <f>IF(VLOOKUP($A214,DICO_Complet!$A$3:$U$983,13,FALSE)=0,"",VLOOKUP($A214,DICO_Complet!$A$3:$U$983,13,FALSE))</f>
        <v>[57-0038]</v>
      </c>
      <c r="M214" s="53" t="str">
        <f>IF(VLOOKUP($A214,DICO_Complet!$A$3:$U$983,14,FALSE)=0,"",VLOOKUP($A214,DICO_Complet!$A$3:$U$983,14,FALSE))</f>
        <v/>
      </c>
      <c r="N214" s="53" t="str">
        <f>IF(VLOOKUP($A214,DICO_Complet!$A$3:$U$983,15,FALSE)=0,"",VLOOKUP($A214,DICO_Complet!$A$3:$U$983,15,FALSE))</f>
        <v/>
      </c>
      <c r="O214" s="53" t="str">
        <f>IF(VLOOKUP($A214,DICO_Complet!$A$3:$U$983,16,FALSE)=0,"",VLOOKUP($A214,DICO_Complet!$A$3:$U$983,16,FALSE))</f>
        <v/>
      </c>
      <c r="P214" s="53" t="str">
        <f>IF(VLOOKUP($A214,DICO_Complet!$A$3:$U$983,17,FALSE)=0,"",VLOOKUP($A214,DICO_Complet!$A$3:$U$983,17,FALSE))</f>
        <v/>
      </c>
      <c r="Q214" s="53" t="str">
        <f>IF(VLOOKUP($A214,DICO_Complet!$A$3:$U$983,18,FALSE)=0,"",VLOOKUP($A214,DICO_Complet!$A$3:$U$983,18,FALSE))</f>
        <v/>
      </c>
    </row>
    <row r="215" spans="1:18" ht="14.65" customHeight="1">
      <c r="A215" s="38">
        <v>241112000029</v>
      </c>
      <c r="B215" s="47" t="s">
        <v>858</v>
      </c>
      <c r="C215" s="3" t="str">
        <f>VLOOKUP($A215,DICO_Complet!$A$3:$U$983,3,FALSE)</f>
        <v>Context</v>
      </c>
      <c r="D215" s="3" t="str">
        <f>VLOOKUP($A215,DICO_Complet!$A$3:$U$983,4,FALSE)</f>
        <v>transactionContext</v>
      </c>
      <c r="E215" s="2" t="str">
        <f>VLOOKUP($A215,DICO_Complet!$A$3:$U$983,5,FALSE)</f>
        <v>authenticationDateTime</v>
      </c>
      <c r="F215" s="2" t="str">
        <f>VLOOKUP($A215,DICO_Complet!$A$3:$U$983,6,FALSE)</f>
        <v>ISODateTime</v>
      </c>
      <c r="G215" s="48">
        <f>VLOOKUP($A215,DICO_Complet!$A$3:$U$983,7,FALSE)</f>
        <v>0</v>
      </c>
      <c r="H215" s="48">
        <f>VLOOKUP($A215,DICO_Complet!$A$3:$U$983,8,FALSE)</f>
        <v>0</v>
      </c>
      <c r="I215" s="2" t="str">
        <f>IF(VLOOKUP($A215,DICO_Complet!$A$3:$U$983,9,FALSE)&lt;&gt;0,VLOOKUP($A215,DICO_Complet!$A$3:$U$983,9,FALSE),"")</f>
        <v/>
      </c>
      <c r="J215" s="1" t="str">
        <f>VLOOKUP($A215,DICO_Complet!$A$3:$U$983,10,FALSE)</f>
        <v>Authentication date</v>
      </c>
      <c r="K215" s="53" t="str">
        <f>IF(VLOOKUP($A215,DICO_Complet!$A$3:$U$983,12,FALSE)=0,"",VLOOKUP($A215,DICO_Complet!$A$3:$U$983,12,FALSE))</f>
        <v>RSB57_37</v>
      </c>
      <c r="L215" s="53" t="str">
        <f>IF(VLOOKUP($A215,DICO_Complet!$A$3:$U$983,13,FALSE)=0,"",VLOOKUP($A215,DICO_Complet!$A$3:$U$983,13,FALSE))</f>
        <v>[57-0037]</v>
      </c>
      <c r="M215" s="53" t="str">
        <f>IF(VLOOKUP($A215,DICO_Complet!$A$3:$U$983,14,FALSE)=0,"",VLOOKUP($A215,DICO_Complet!$A$3:$U$983,14,FALSE))</f>
        <v/>
      </c>
      <c r="N215" s="53" t="str">
        <f>IF(VLOOKUP($A215,DICO_Complet!$A$3:$U$983,15,FALSE)=0,"",VLOOKUP($A215,DICO_Complet!$A$3:$U$983,15,FALSE))</f>
        <v/>
      </c>
      <c r="O215" s="53" t="str">
        <f>IF(VLOOKUP($A215,DICO_Complet!$A$3:$U$983,16,FALSE)=0,"",VLOOKUP($A215,DICO_Complet!$A$3:$U$983,16,FALSE))</f>
        <v/>
      </c>
      <c r="P215" s="53" t="str">
        <f>IF(VLOOKUP($A215,DICO_Complet!$A$3:$U$983,17,FALSE)=0,"",VLOOKUP($A215,DICO_Complet!$A$3:$U$983,17,FALSE))</f>
        <v/>
      </c>
      <c r="Q215" s="53" t="str">
        <f>IF(VLOOKUP($A215,DICO_Complet!$A$3:$U$983,18,FALSE)=0,"",VLOOKUP($A215,DICO_Complet!$A$3:$U$983,18,FALSE))</f>
        <v/>
      </c>
    </row>
    <row r="216" spans="1:18" ht="14.65" customHeight="1">
      <c r="A216" s="38">
        <v>241112000030</v>
      </c>
      <c r="B216" s="47" t="s">
        <v>858</v>
      </c>
      <c r="C216" s="3" t="str">
        <f>VLOOKUP($A216,DICO_Complet!$A$3:$U$983,3,FALSE)</f>
        <v>Context</v>
      </c>
      <c r="D216" s="3" t="str">
        <f>VLOOKUP($A216,DICO_Complet!$A$3:$U$983,4,FALSE)</f>
        <v>transactionContext</v>
      </c>
      <c r="E216" s="2" t="str">
        <f>VLOOKUP($A216,DICO_Complet!$A$3:$U$983,5,FALSE)</f>
        <v>authenticationProgramIndicator</v>
      </c>
      <c r="F216" s="2" t="str">
        <f>VLOOKUP($A216,DICO_Complet!$A$3:$U$983,6,FALSE)</f>
        <v>Exact2AlphaNumericText</v>
      </c>
      <c r="G216" s="48">
        <f>VLOOKUP($A216,DICO_Complet!$A$3:$U$983,7,FALSE)</f>
        <v>0</v>
      </c>
      <c r="H216" s="48">
        <f>VLOOKUP($A216,DICO_Complet!$A$3:$U$983,8,FALSE)</f>
        <v>0</v>
      </c>
      <c r="I216" s="2" t="str">
        <f>IF(VLOOKUP($A216,DICO_Complet!$A$3:$U$983,9,FALSE)&lt;&gt;0,VLOOKUP($A216,DICO_Complet!$A$3:$U$983,9,FALSE),"")</f>
        <v/>
      </c>
      <c r="J216" s="1" t="str">
        <f>VLOOKUP($A216,DICO_Complet!$A$3:$U$983,10,FALSE)</f>
        <v>Authentification program indicator</v>
      </c>
      <c r="K216" s="53" t="str">
        <f>IF(VLOOKUP($A216,DICO_Complet!$A$3:$U$983,12,FALSE)=0,"",VLOOKUP($A216,DICO_Complet!$A$3:$U$983,12,FALSE))</f>
        <v>RSB119_0377</v>
      </c>
      <c r="L216" s="53" t="str">
        <f>IF(VLOOKUP($A216,DICO_Complet!$A$3:$U$983,13,FALSE)=0,"",VLOOKUP($A216,DICO_Complet!$A$3:$U$983,13,FALSE))</f>
        <v>[119-0377]</v>
      </c>
      <c r="M216" s="53" t="str">
        <f>IF(VLOOKUP($A216,DICO_Complet!$A$3:$U$983,14,FALSE)=0,"",VLOOKUP($A216,DICO_Complet!$A$3:$U$983,14,FALSE))</f>
        <v/>
      </c>
      <c r="N216" s="53" t="str">
        <f>IF(VLOOKUP($A216,DICO_Complet!$A$3:$U$983,15,FALSE)=0,"",VLOOKUP($A216,DICO_Complet!$A$3:$U$983,15,FALSE))</f>
        <v/>
      </c>
      <c r="O216" s="53" t="str">
        <f>IF(VLOOKUP($A216,DICO_Complet!$A$3:$U$983,16,FALSE)=0,"",VLOOKUP($A216,DICO_Complet!$A$3:$U$983,16,FALSE))</f>
        <v/>
      </c>
      <c r="P216" s="53" t="str">
        <f>IF(VLOOKUP($A216,DICO_Complet!$A$3:$U$983,17,FALSE)=0,"",VLOOKUP($A216,DICO_Complet!$A$3:$U$983,17,FALSE))</f>
        <v/>
      </c>
      <c r="Q216" s="53" t="str">
        <f>IF(VLOOKUP($A216,DICO_Complet!$A$3:$U$983,18,FALSE)=0,"",VLOOKUP($A216,DICO_Complet!$A$3:$U$983,18,FALSE))</f>
        <v/>
      </c>
    </row>
    <row r="217" spans="1:18">
      <c r="A217" s="38">
        <v>241227113100</v>
      </c>
      <c r="B217" s="47" t="s">
        <v>858</v>
      </c>
      <c r="C217" s="3" t="str">
        <f>VLOOKUP($A217,DICO_Complet!$A$3:$U$983,3,FALSE)</f>
        <v>Context</v>
      </c>
      <c r="D217" s="3" t="str">
        <f>VLOOKUP($A217,DICO_Complet!$A$3:$U$983,4,FALSE)</f>
        <v>transactionContext</v>
      </c>
      <c r="E217" s="2" t="str">
        <f>VLOOKUP($A217,DICO_Complet!$A$3:$U$983,5,FALSE)</f>
        <v>authorisationUnbundling</v>
      </c>
      <c r="F217" s="2" t="str">
        <f>VLOOKUP($A217,DICO_Complet!$A$3:$U$983,6,FALSE)</f>
        <v>TrueFalseIndicator</v>
      </c>
      <c r="G217" s="48">
        <f>VLOOKUP($A217,DICO_Complet!$A$3:$U$983,7,FALSE)</f>
        <v>0</v>
      </c>
      <c r="H217" s="48">
        <f>VLOOKUP($A217,DICO_Complet!$A$3:$U$983,8,FALSE)</f>
        <v>0</v>
      </c>
      <c r="I217" s="2" t="str">
        <f>IF(VLOOKUP($A217,DICO_Complet!$A$3:$U$983,9,FALSE)&lt;&gt;0,VLOOKUP($A217,DICO_Complet!$A$3:$U$983,9,FALSE),"")</f>
        <v/>
      </c>
      <c r="J217" s="1" t="str">
        <f>VLOOKUP($A217,DICO_Complet!$A$3:$U$983,10,FALSE)</f>
        <v>Unbundling (deliassage) authorised.</v>
      </c>
      <c r="K217" s="53" t="str">
        <f>IF(VLOOKUP($A217,DICO_Complet!$A$3:$U$983,12,FALSE)=0,"",VLOOKUP($A217,DICO_Complet!$A$3:$U$983,12,FALSE))</f>
        <v>MFO12</v>
      </c>
      <c r="L217" s="53" t="str">
        <f>IF(VLOOKUP($A217,DICO_Complet!$A$3:$U$983,13,FALSE)=0,"",VLOOKUP($A217,DICO_Complet!$A$3:$U$983,13,FALSE))</f>
        <v/>
      </c>
      <c r="M217" s="53" t="str">
        <f>IF(VLOOKUP($A217,DICO_Complet!$A$3:$U$983,14,FALSE)=0,"",VLOOKUP($A217,DICO_Complet!$A$3:$U$983,14,FALSE))</f>
        <v/>
      </c>
      <c r="N217" s="53" t="str">
        <f>IF(VLOOKUP($A217,DICO_Complet!$A$3:$U$983,15,FALSE)=0,"",VLOOKUP($A217,DICO_Complet!$A$3:$U$983,15,FALSE))</f>
        <v/>
      </c>
      <c r="O217" s="53" t="str">
        <f>IF(VLOOKUP($A217,DICO_Complet!$A$3:$U$983,16,FALSE)=0,"",VLOOKUP($A217,DICO_Complet!$A$3:$U$983,16,FALSE))</f>
        <v/>
      </c>
      <c r="P217" s="53" t="str">
        <f>IF(VLOOKUP($A217,DICO_Complet!$A$3:$U$983,17,FALSE)=0,"",VLOOKUP($A217,DICO_Complet!$A$3:$U$983,17,FALSE))</f>
        <v/>
      </c>
      <c r="Q217" s="53" t="str">
        <f>IF(VLOOKUP($A217,DICO_Complet!$A$3:$U$983,18,FALSE)=0,"",VLOOKUP($A217,DICO_Complet!$A$3:$U$983,18,FALSE))</f>
        <v/>
      </c>
    </row>
    <row r="218" spans="1:18">
      <c r="A218" s="38">
        <v>241112000031</v>
      </c>
      <c r="B218" s="47" t="s">
        <v>858</v>
      </c>
      <c r="C218" s="3" t="str">
        <f>VLOOKUP($A218,DICO_Complet!$A$3:$U$983,3,FALSE)</f>
        <v>Context</v>
      </c>
      <c r="D218" s="3" t="str">
        <f>VLOOKUP($A218,DICO_Complet!$A$3:$U$983,4,FALSE)</f>
        <v>transactionContext</v>
      </c>
      <c r="E218" s="2" t="str">
        <f>VLOOKUP($A218,DICO_Complet!$A$3:$U$983,5,FALSE)</f>
        <v>blockedRoute</v>
      </c>
      <c r="F218" s="2" t="str">
        <f>VLOOKUP($A218,DICO_Complet!$A$3:$U$983,6,FALSE)</f>
        <v>TrueFalseIndicator</v>
      </c>
      <c r="G218" s="48">
        <f>VLOOKUP($A218,DICO_Complet!$A$3:$U$983,7,FALSE)</f>
        <v>0</v>
      </c>
      <c r="H218" s="48">
        <f>VLOOKUP($A218,DICO_Complet!$A$3:$U$983,8,FALSE)</f>
        <v>0</v>
      </c>
      <c r="I218" s="2" t="str">
        <f>IF(VLOOKUP($A218,DICO_Complet!$A$3:$U$983,9,FALSE)&lt;&gt;0,VLOOKUP($A218,DICO_Complet!$A$3:$U$983,9,FALSE),"")</f>
        <v/>
      </c>
      <c r="J218" s="1" t="str">
        <f>VLOOKUP($A218,DICO_Complet!$A$3:$U$983,10,FALSE)</f>
        <v>Route blocked by routage tools</v>
      </c>
      <c r="K218" s="53" t="str">
        <f>IF(VLOOKUP($A218,DICO_Complet!$A$3:$U$983,12,FALSE)=0,"",VLOOKUP($A218,DICO_Complet!$A$3:$U$983,12,FALSE))</f>
        <v>MFO4</v>
      </c>
      <c r="L218" s="53" t="str">
        <f>IF(VLOOKUP($A218,DICO_Complet!$A$3:$U$983,13,FALSE)=0,"",VLOOKUP($A218,DICO_Complet!$A$3:$U$983,13,FALSE))</f>
        <v/>
      </c>
      <c r="M218" s="53" t="str">
        <f>IF(VLOOKUP($A218,DICO_Complet!$A$3:$U$983,14,FALSE)=0,"",VLOOKUP($A218,DICO_Complet!$A$3:$U$983,14,FALSE))</f>
        <v/>
      </c>
      <c r="N218" s="53" t="str">
        <f>IF(VLOOKUP($A218,DICO_Complet!$A$3:$U$983,15,FALSE)=0,"",VLOOKUP($A218,DICO_Complet!$A$3:$U$983,15,FALSE))</f>
        <v/>
      </c>
      <c r="O218" s="53" t="str">
        <f>IF(VLOOKUP($A218,DICO_Complet!$A$3:$U$983,16,FALSE)=0,"",VLOOKUP($A218,DICO_Complet!$A$3:$U$983,16,FALSE))</f>
        <v/>
      </c>
      <c r="P218" s="53" t="str">
        <f>IF(VLOOKUP($A218,DICO_Complet!$A$3:$U$983,17,FALSE)=0,"",VLOOKUP($A218,DICO_Complet!$A$3:$U$983,17,FALSE))</f>
        <v/>
      </c>
      <c r="Q218" s="53" t="str">
        <f>IF(VLOOKUP($A218,DICO_Complet!$A$3:$U$983,18,FALSE)=0,"",VLOOKUP($A218,DICO_Complet!$A$3:$U$983,18,FALSE))</f>
        <v/>
      </c>
    </row>
    <row r="219" spans="1:18">
      <c r="A219" s="38">
        <v>241112000032</v>
      </c>
      <c r="B219" s="47" t="s">
        <v>858</v>
      </c>
      <c r="C219" s="3" t="str">
        <f>VLOOKUP($A219,DICO_Complet!$A$3:$U$983,3,FALSE)</f>
        <v>Context</v>
      </c>
      <c r="D219" s="3" t="str">
        <f>VLOOKUP($A219,DICO_Complet!$A$3:$U$983,4,FALSE)</f>
        <v>transactionContext</v>
      </c>
      <c r="E219" s="2" t="str">
        <f>VLOOKUP($A219,DICO_Complet!$A$3:$U$983,5,FALSE)</f>
        <v>buyingMethod</v>
      </c>
      <c r="F219" s="2" t="str">
        <f>VLOOKUP($A219,DICO_Complet!$A$3:$U$983,6,FALSE)</f>
        <v>BuyingMethodCodeset</v>
      </c>
      <c r="G219" s="48">
        <f>VLOOKUP($A219,DICO_Complet!$A$3:$U$983,7,FALSE)</f>
        <v>0</v>
      </c>
      <c r="H219" s="48">
        <f>VLOOKUP($A219,DICO_Complet!$A$3:$U$983,8,FALSE)</f>
        <v>0</v>
      </c>
      <c r="I219" s="2" t="str">
        <f>IF(VLOOKUP($A219,DICO_Complet!$A$3:$U$983,9,FALSE)&lt;&gt;0,VLOOKUP($A219,DICO_Complet!$A$3:$U$983,9,FALSE),"")</f>
        <v/>
      </c>
      <c r="J219" s="1" t="str">
        <f>VLOOKUP($A219,DICO_Complet!$A$3:$U$983,10,FALSE)</f>
        <v>Buying method used</v>
      </c>
      <c r="K219" s="53" t="str">
        <f>IF(VLOOKUP($A219,DICO_Complet!$A$3:$U$983,12,FALSE)=0,"",VLOOKUP($A219,DICO_Complet!$A$3:$U$983,12,FALSE))</f>
        <v>RSB57_13</v>
      </c>
      <c r="L219" s="53" t="str">
        <f>IF(VLOOKUP($A219,DICO_Complet!$A$3:$U$983,13,FALSE)=0,"",VLOOKUP($A219,DICO_Complet!$A$3:$U$983,13,FALSE))</f>
        <v>[57-0013]</v>
      </c>
      <c r="M219" s="53" t="str">
        <f>IF(VLOOKUP($A219,DICO_Complet!$A$3:$U$983,14,FALSE)=0,"",VLOOKUP($A219,DICO_Complet!$A$3:$U$983,14,FALSE))</f>
        <v/>
      </c>
      <c r="N219" s="53" t="str">
        <f>IF(VLOOKUP($A219,DICO_Complet!$A$3:$U$983,15,FALSE)=0,"",VLOOKUP($A219,DICO_Complet!$A$3:$U$983,15,FALSE))</f>
        <v/>
      </c>
      <c r="O219" s="53" t="str">
        <f>IF(VLOOKUP($A219,DICO_Complet!$A$3:$U$983,16,FALSE)=0,"",VLOOKUP($A219,DICO_Complet!$A$3:$U$983,16,FALSE))</f>
        <v/>
      </c>
      <c r="P219" s="53" t="str">
        <f>IF(VLOOKUP($A219,DICO_Complet!$A$3:$U$983,17,FALSE)=0,"",VLOOKUP($A219,DICO_Complet!$A$3:$U$983,17,FALSE))</f>
        <v/>
      </c>
      <c r="Q219" s="53" t="str">
        <f>IF(VLOOKUP($A219,DICO_Complet!$A$3:$U$983,18,FALSE)=0,"",VLOOKUP($A219,DICO_Complet!$A$3:$U$983,18,FALSE))</f>
        <v/>
      </c>
    </row>
    <row r="220" spans="1:18">
      <c r="A220" s="38">
        <v>250414135001</v>
      </c>
      <c r="B220" s="47" t="s">
        <v>858</v>
      </c>
      <c r="C220" s="3" t="str">
        <f>VLOOKUP($A220,DICO_Complet!$A$3:$U$983,3,FALSE)</f>
        <v>Context</v>
      </c>
      <c r="D220" s="3" t="str">
        <f>VLOOKUP($A220,DICO_Complet!$A$3:$U$983,4,FALSE)</f>
        <v>transactionContext</v>
      </c>
      <c r="E220" s="2" t="str">
        <f>VLOOKUP($A220,DICO_Complet!$A$3:$U$983,5,FALSE)</f>
        <v>cardDataEntryMode</v>
      </c>
      <c r="F220" s="2" t="str">
        <f>VLOOKUP($A220,DICO_Complet!$A$3:$U$983,6,FALSE)</f>
        <v>CardDataEntryModeCodeset</v>
      </c>
      <c r="G220" s="48">
        <f>VLOOKUP($A220,DICO_Complet!$A$3:$U$983,7,FALSE)</f>
        <v>0</v>
      </c>
      <c r="H220" s="48">
        <f>VLOOKUP($A220,DICO_Complet!$A$3:$U$983,8,FALSE)</f>
        <v>0</v>
      </c>
      <c r="I220" s="2" t="str">
        <f>IF(VLOOKUP($A220,DICO_Complet!$A$3:$U$983,9,FALSE)&lt;&gt;0,VLOOKUP($A220,DICO_Complet!$A$3:$U$983,9,FALSE),"")</f>
        <v/>
      </c>
      <c r="J220" s="1" t="str">
        <f>VLOOKUP($A220,DICO_Complet!$A$3:$U$983,10,FALSE)</f>
        <v>Card entry mode</v>
      </c>
      <c r="K220" s="53" t="str">
        <f>IF(VLOOKUP($A220,DICO_Complet!$A$3:$U$983,12,FALSE)=0,"",VLOOKUP($A220,DICO_Complet!$A$3:$U$983,12,FALSE))</f>
        <v/>
      </c>
      <c r="L220" s="53" t="str">
        <f>IF(VLOOKUP($A220,DICO_Complet!$A$3:$U$983,13,FALSE)=0,"",VLOOKUP($A220,DICO_Complet!$A$3:$U$983,13,FALSE))</f>
        <v/>
      </c>
      <c r="M220" s="53" t="str">
        <f>IF(VLOOKUP($A220,DICO_Complet!$A$3:$U$983,14,FALSE)=0,"",VLOOKUP($A220,DICO_Complet!$A$3:$U$983,14,FALSE))</f>
        <v>22 part 3</v>
      </c>
      <c r="N220" s="53" t="str">
        <f>IF(VLOOKUP($A220,DICO_Complet!$A$3:$U$983,15,FALSE)=0,"",VLOOKUP($A220,DICO_Complet!$A$3:$U$983,15,FALSE))</f>
        <v/>
      </c>
      <c r="O220" s="53" t="str">
        <f>IF(VLOOKUP($A220,DICO_Complet!$A$3:$U$983,16,FALSE)=0,"",VLOOKUP($A220,DICO_Complet!$A$3:$U$983,16,FALSE))</f>
        <v/>
      </c>
      <c r="P220" s="53" t="str">
        <f>IF(VLOOKUP($A220,DICO_Complet!$A$3:$U$983,17,FALSE)=0,"",VLOOKUP($A220,DICO_Complet!$A$3:$U$983,17,FALSE))</f>
        <v/>
      </c>
      <c r="Q220" s="53" t="str">
        <f>IF(VLOOKUP($A220,DICO_Complet!$A$3:$U$983,18,FALSE)=0,"",VLOOKUP($A220,DICO_Complet!$A$3:$U$983,18,FALSE))</f>
        <v/>
      </c>
    </row>
    <row r="221" spans="1:18" s="16" customFormat="1">
      <c r="A221" s="38">
        <v>250414091403</v>
      </c>
      <c r="B221" s="47" t="s">
        <v>858</v>
      </c>
      <c r="C221" s="3" t="str">
        <f>VLOOKUP($A221,DICO_Complet!$A$3:$U$983,3,FALSE)</f>
        <v>Context</v>
      </c>
      <c r="D221" s="3" t="str">
        <f>VLOOKUP($A221,DICO_Complet!$A$3:$U$983,4,FALSE)</f>
        <v>transactionContext</v>
      </c>
      <c r="E221" s="2" t="str">
        <f>VLOOKUP($A221,DICO_Complet!$A$3:$U$983,5,FALSE)</f>
        <v>cardholderAuthenticationMethod</v>
      </c>
      <c r="F221" s="2" t="str">
        <f>VLOOKUP($A221,DICO_Complet!$A$3:$U$983,6,FALSE)</f>
        <v>CardholderAuthenticationMethodCodeset</v>
      </c>
      <c r="G221" s="48">
        <f>VLOOKUP($A221,DICO_Complet!$A$3:$U$983,7,FALSE)</f>
        <v>0</v>
      </c>
      <c r="H221" s="48">
        <f>VLOOKUP($A221,DICO_Complet!$A$3:$U$983,8,FALSE)</f>
        <v>0</v>
      </c>
      <c r="I221" s="2" t="str">
        <f>IF(VLOOKUP($A221,DICO_Complet!$A$3:$U$983,9,FALSE)&lt;&gt;0,VLOOKUP($A221,DICO_Complet!$A$3:$U$983,9,FALSE),"")</f>
        <v/>
      </c>
      <c r="J221" s="1" t="str">
        <f>VLOOKUP($A221,DICO_Complet!$A$3:$U$983,10,FALSE)</f>
        <v>Cardholder authentication method</v>
      </c>
      <c r="K221" s="53" t="str">
        <f>IF(VLOOKUP($A221,DICO_Complet!$A$3:$U$983,12,FALSE)=0,"",VLOOKUP($A221,DICO_Complet!$A$3:$U$983,12,FALSE))</f>
        <v/>
      </c>
      <c r="L221" s="53" t="str">
        <f>IF(VLOOKUP($A221,DICO_Complet!$A$3:$U$983,13,FALSE)=0,"",VLOOKUP($A221,DICO_Complet!$A$3:$U$983,13,FALSE))</f>
        <v/>
      </c>
      <c r="M221" s="53" t="str">
        <f>IF(VLOOKUP($A221,DICO_Complet!$A$3:$U$983,14,FALSE)=0,"",VLOOKUP($A221,DICO_Complet!$A$3:$U$983,14,FALSE))</f>
        <v>22 part 4</v>
      </c>
      <c r="N221" s="53" t="str">
        <f>IF(VLOOKUP($A221,DICO_Complet!$A$3:$U$983,15,FALSE)=0,"",VLOOKUP($A221,DICO_Complet!$A$3:$U$983,15,FALSE))</f>
        <v/>
      </c>
      <c r="O221" s="53" t="str">
        <f>IF(VLOOKUP($A221,DICO_Complet!$A$3:$U$983,16,FALSE)=0,"",VLOOKUP($A221,DICO_Complet!$A$3:$U$983,16,FALSE))</f>
        <v/>
      </c>
      <c r="P221" s="53" t="str">
        <f>IF(VLOOKUP($A221,DICO_Complet!$A$3:$U$983,17,FALSE)=0,"",VLOOKUP($A221,DICO_Complet!$A$3:$U$983,17,FALSE))</f>
        <v/>
      </c>
      <c r="Q221" s="53" t="str">
        <f>IF(VLOOKUP($A221,DICO_Complet!$A$3:$U$983,18,FALSE)=0,"",VLOOKUP($A221,DICO_Complet!$A$3:$U$983,18,FALSE))</f>
        <v/>
      </c>
      <c r="R221" s="2"/>
    </row>
    <row r="222" spans="1:18">
      <c r="A222" s="38">
        <v>250414135000</v>
      </c>
      <c r="B222" s="47" t="s">
        <v>858</v>
      </c>
      <c r="C222" s="3" t="str">
        <f>VLOOKUP($A222,DICO_Complet!$A$3:$U$983,3,FALSE)</f>
        <v>Context</v>
      </c>
      <c r="D222" s="3" t="str">
        <f>VLOOKUP($A222,DICO_Complet!$A$3:$U$983,4,FALSE)</f>
        <v>transactionContext</v>
      </c>
      <c r="E222" s="2" t="str">
        <f>VLOOKUP($A222,DICO_Complet!$A$3:$U$983,5,FALSE)</f>
        <v>cardholderPresence</v>
      </c>
      <c r="F222" s="2" t="str">
        <f>VLOOKUP($A222,DICO_Complet!$A$3:$U$983,6,FALSE)</f>
        <v>CardholderPresenceCodeset</v>
      </c>
      <c r="G222" s="48">
        <f>VLOOKUP($A222,DICO_Complet!$A$3:$U$983,7,FALSE)</f>
        <v>0</v>
      </c>
      <c r="H222" s="48">
        <f>VLOOKUP($A222,DICO_Complet!$A$3:$U$983,8,FALSE)</f>
        <v>0</v>
      </c>
      <c r="I222" s="2" t="str">
        <f>IF(VLOOKUP($A222,DICO_Complet!$A$3:$U$983,9,FALSE)&lt;&gt;0,VLOOKUP($A222,DICO_Complet!$A$3:$U$983,9,FALSE),"")</f>
        <v/>
      </c>
      <c r="J222" s="1" t="str">
        <f>VLOOKUP($A222,DICO_Complet!$A$3:$U$983,10,FALSE)</f>
        <v>Cardholder prensence</v>
      </c>
      <c r="K222" s="53" t="str">
        <f>IF(VLOOKUP($A222,DICO_Complet!$A$3:$U$983,12,FALSE)=0,"",VLOOKUP($A222,DICO_Complet!$A$3:$U$983,12,FALSE))</f>
        <v/>
      </c>
      <c r="L222" s="53" t="str">
        <f>IF(VLOOKUP($A222,DICO_Complet!$A$3:$U$983,13,FALSE)=0,"",VLOOKUP($A222,DICO_Complet!$A$3:$U$983,13,FALSE))</f>
        <v/>
      </c>
      <c r="M222" s="53" t="str">
        <f>IF(VLOOKUP($A222,DICO_Complet!$A$3:$U$983,14,FALSE)=0,"",VLOOKUP($A222,DICO_Complet!$A$3:$U$983,14,FALSE))</f>
        <v>22 part 2</v>
      </c>
      <c r="N222" s="53" t="str">
        <f>IF(VLOOKUP($A222,DICO_Complet!$A$3:$U$983,15,FALSE)=0,"",VLOOKUP($A222,DICO_Complet!$A$3:$U$983,15,FALSE))</f>
        <v/>
      </c>
      <c r="O222" s="53" t="str">
        <f>IF(VLOOKUP($A222,DICO_Complet!$A$3:$U$983,16,FALSE)=0,"",VLOOKUP($A222,DICO_Complet!$A$3:$U$983,16,FALSE))</f>
        <v/>
      </c>
      <c r="P222" s="53" t="str">
        <f>IF(VLOOKUP($A222,DICO_Complet!$A$3:$U$983,17,FALSE)=0,"",VLOOKUP($A222,DICO_Complet!$A$3:$U$983,17,FALSE))</f>
        <v/>
      </c>
      <c r="Q222" s="53" t="str">
        <f>IF(VLOOKUP($A222,DICO_Complet!$A$3:$U$983,18,FALSE)=0,"",VLOOKUP($A222,DICO_Complet!$A$3:$U$983,18,FALSE))</f>
        <v/>
      </c>
    </row>
    <row r="223" spans="1:18">
      <c r="A223" s="38">
        <v>241112000033</v>
      </c>
      <c r="B223" s="47" t="s">
        <v>858</v>
      </c>
      <c r="C223" s="3" t="str">
        <f>VLOOKUP($A223,DICO_Complet!$A$3:$U$983,3,FALSE)</f>
        <v>Context</v>
      </c>
      <c r="D223" s="3" t="str">
        <f>VLOOKUP($A223,DICO_Complet!$A$3:$U$983,4,FALSE)</f>
        <v>transactionContext</v>
      </c>
      <c r="E223" s="2" t="str">
        <f>VLOOKUP($A223,DICO_Complet!$A$3:$U$983,5,FALSE)</f>
        <v>cardholderPresent</v>
      </c>
      <c r="F223" s="2" t="str">
        <f>VLOOKUP($A223,DICO_Complet!$A$3:$U$983,6,FALSE)</f>
        <v>TrueFalseIndicator</v>
      </c>
      <c r="G223" s="48">
        <f>VLOOKUP($A223,DICO_Complet!$A$3:$U$983,7,FALSE)</f>
        <v>0</v>
      </c>
      <c r="H223" s="48">
        <f>VLOOKUP($A223,DICO_Complet!$A$3:$U$983,8,FALSE)</f>
        <v>0</v>
      </c>
      <c r="I223" s="2" t="str">
        <f>IF(VLOOKUP($A223,DICO_Complet!$A$3:$U$983,9,FALSE)&lt;&gt;0,VLOOKUP($A223,DICO_Complet!$A$3:$U$983,9,FALSE),"")</f>
        <v/>
      </c>
      <c r="J223" s="1" t="str">
        <f>VLOOKUP($A223,DICO_Complet!$A$3:$U$983,10,FALSE)</f>
        <v>Cardholder present during transaction</v>
      </c>
      <c r="K223" s="53" t="str">
        <f>IF(VLOOKUP($A223,DICO_Complet!$A$3:$U$983,12,FALSE)=0,"",VLOOKUP($A223,DICO_Complet!$A$3:$U$983,12,FALSE))</f>
        <v>ISO25 (Voir Nexo=&gt; CB2A page 101)</v>
      </c>
      <c r="L223" s="53" t="str">
        <f>IF(VLOOKUP($A223,DICO_Complet!$A$3:$U$983,13,FALSE)=0,"",VLOOKUP($A223,DICO_Complet!$A$3:$U$983,13,FALSE))</f>
        <v>[25]</v>
      </c>
      <c r="M223" s="53" t="str">
        <f>IF(VLOOKUP($A223,DICO_Complet!$A$3:$U$983,14,FALSE)=0,"",VLOOKUP($A223,DICO_Complet!$A$3:$U$983,14,FALSE))</f>
        <v/>
      </c>
      <c r="N223" s="53" t="str">
        <f>IF(VLOOKUP($A223,DICO_Complet!$A$3:$U$983,15,FALSE)=0,"",VLOOKUP($A223,DICO_Complet!$A$3:$U$983,15,FALSE))</f>
        <v/>
      </c>
      <c r="O223" s="53" t="str">
        <f>IF(VLOOKUP($A223,DICO_Complet!$A$3:$U$983,16,FALSE)=0,"",VLOOKUP($A223,DICO_Complet!$A$3:$U$983,16,FALSE))</f>
        <v/>
      </c>
      <c r="P223" s="53" t="str">
        <f>IF(VLOOKUP($A223,DICO_Complet!$A$3:$U$983,17,FALSE)=0,"",VLOOKUP($A223,DICO_Complet!$A$3:$U$983,17,FALSE))</f>
        <v/>
      </c>
      <c r="Q223" s="53" t="str">
        <f>IF(VLOOKUP($A223,DICO_Complet!$A$3:$U$983,18,FALSE)=0,"",VLOOKUP($A223,DICO_Complet!$A$3:$U$983,18,FALSE))</f>
        <v/>
      </c>
    </row>
    <row r="224" spans="1:18" ht="15" customHeight="1">
      <c r="A224" s="38">
        <v>250325134511</v>
      </c>
      <c r="B224" s="47" t="s">
        <v>858</v>
      </c>
      <c r="C224" s="3" t="str">
        <f>VLOOKUP($A224,DICO_Complet!$A$3:$U$983,3,FALSE)</f>
        <v>Context</v>
      </c>
      <c r="D224" s="3" t="str">
        <f>VLOOKUP($A224,DICO_Complet!$A$3:$U$983,4,FALSE)</f>
        <v>transactionContext</v>
      </c>
      <c r="E224" s="2" t="str">
        <f>VLOOKUP($A224,DICO_Complet!$A$3:$U$983,5,FALSE)</f>
        <v>cardholderVerificationMethod</v>
      </c>
      <c r="F224" s="2" t="str">
        <f>VLOOKUP($A224,DICO_Complet!$A$3:$U$983,6,FALSE)</f>
        <v>Max4HexBinaryText</v>
      </c>
      <c r="G224" s="48">
        <f>VLOOKUP($A224,DICO_Complet!$A$3:$U$983,7,FALSE)</f>
        <v>0</v>
      </c>
      <c r="H224" s="48">
        <f>VLOOKUP($A224,DICO_Complet!$A$3:$U$983,8,FALSE)</f>
        <v>0</v>
      </c>
      <c r="I224" s="2" t="str">
        <f>IF(VLOOKUP($A224,DICO_Complet!$A$3:$U$983,9,FALSE)&lt;&gt;0,VLOOKUP($A224,DICO_Complet!$A$3:$U$983,9,FALSE),"")</f>
        <v/>
      </c>
      <c r="J224" s="1" t="str">
        <f>VLOOKUP($A224,DICO_Complet!$A$3:$U$983,10,FALSE)</f>
        <v xml:space="preserve">Cardholder Verification Method </v>
      </c>
      <c r="K224" s="53" t="str">
        <f>IF(VLOOKUP($A224,DICO_Complet!$A$3:$U$983,12,FALSE)=0,"",VLOOKUP($A224,DICO_Complet!$A$3:$U$983,12,FALSE))</f>
        <v/>
      </c>
      <c r="L224" s="53" t="str">
        <f>IF(VLOOKUP($A224,DICO_Complet!$A$3:$U$983,13,FALSE)=0,"",VLOOKUP($A224,DICO_Complet!$A$3:$U$983,13,FALSE))</f>
        <v/>
      </c>
      <c r="M224" s="53" t="str">
        <f>IF(VLOOKUP($A224,DICO_Complet!$A$3:$U$983,14,FALSE)=0,"",VLOOKUP($A224,DICO_Complet!$A$3:$U$983,14,FALSE))</f>
        <v/>
      </c>
      <c r="N224" s="53" t="str">
        <f>IF(VLOOKUP($A224,DICO_Complet!$A$3:$U$983,15,FALSE)=0,"",VLOOKUP($A224,DICO_Complet!$A$3:$U$983,15,FALSE))</f>
        <v>119_1022</v>
      </c>
      <c r="O224" s="53" t="str">
        <f>IF(VLOOKUP($A224,DICO_Complet!$A$3:$U$983,16,FALSE)=0,"",VLOOKUP($A224,DICO_Complet!$A$3:$U$983,16,FALSE))</f>
        <v/>
      </c>
      <c r="P224" s="53" t="str">
        <f>IF(VLOOKUP($A224,DICO_Complet!$A$3:$U$983,17,FALSE)=0,"",VLOOKUP($A224,DICO_Complet!$A$3:$U$983,17,FALSE))</f>
        <v/>
      </c>
      <c r="Q224" s="53" t="str">
        <f>IF(VLOOKUP($A224,DICO_Complet!$A$3:$U$983,18,FALSE)=0,"",VLOOKUP($A224,DICO_Complet!$A$3:$U$983,18,FALSE))</f>
        <v/>
      </c>
    </row>
    <row r="225" spans="1:17">
      <c r="A225" s="38">
        <v>241112000034</v>
      </c>
      <c r="B225" s="47" t="s">
        <v>858</v>
      </c>
      <c r="C225" s="3" t="str">
        <f>VLOOKUP($A225,DICO_Complet!$A$3:$U$983,3,FALSE)</f>
        <v>Context</v>
      </c>
      <c r="D225" s="3" t="str">
        <f>VLOOKUP($A225,DICO_Complet!$A$3:$U$983,4,FALSE)</f>
        <v>transactionContext</v>
      </c>
      <c r="E225" s="2" t="str">
        <f>VLOOKUP($A225,DICO_Complet!$A$3:$U$983,5,FALSE)</f>
        <v>cardOnFileAction</v>
      </c>
      <c r="F225" s="2" t="str">
        <f>VLOOKUP($A225,DICO_Complet!$A$3:$U$983,6,FALSE)</f>
        <v>COFActionCodeset</v>
      </c>
      <c r="G225" s="48">
        <f>VLOOKUP($A225,DICO_Complet!$A$3:$U$983,7,FALSE)</f>
        <v>0</v>
      </c>
      <c r="H225" s="48">
        <f>VLOOKUP($A225,DICO_Complet!$A$3:$U$983,8,FALSE)</f>
        <v>0</v>
      </c>
      <c r="I225" s="2" t="str">
        <f>IF(VLOOKUP($A225,DICO_Complet!$A$3:$U$983,9,FALSE)&lt;&gt;0,VLOOKUP($A225,DICO_Complet!$A$3:$U$983,9,FALSE),"")</f>
        <v/>
      </c>
      <c r="J225" s="1" t="str">
        <f>VLOOKUP($A225,DICO_Complet!$A$3:$U$983,10,FALSE)</f>
        <v>CARD-ON-FILE Action</v>
      </c>
      <c r="K225" s="53" t="str">
        <f>IF(VLOOKUP($A225,DICO_Complet!$A$3:$U$983,12,FALSE)=0,"",VLOOKUP($A225,DICO_Complet!$A$3:$U$983,12,FALSE))</f>
        <v>RSB57_29</v>
      </c>
      <c r="L225" s="53" t="str">
        <f>IF(VLOOKUP($A225,DICO_Complet!$A$3:$U$983,13,FALSE)=0,"",VLOOKUP($A225,DICO_Complet!$A$3:$U$983,13,FALSE))</f>
        <v>[57-0029]</v>
      </c>
      <c r="M225" s="53" t="str">
        <f>IF(VLOOKUP($A225,DICO_Complet!$A$3:$U$983,14,FALSE)=0,"",VLOOKUP($A225,DICO_Complet!$A$3:$U$983,14,FALSE))</f>
        <v/>
      </c>
      <c r="N225" s="53" t="str">
        <f>IF(VLOOKUP($A225,DICO_Complet!$A$3:$U$983,15,FALSE)=0,"",VLOOKUP($A225,DICO_Complet!$A$3:$U$983,15,FALSE))</f>
        <v/>
      </c>
      <c r="O225" s="53" t="str">
        <f>IF(VLOOKUP($A225,DICO_Complet!$A$3:$U$983,16,FALSE)=0,"",VLOOKUP($A225,DICO_Complet!$A$3:$U$983,16,FALSE))</f>
        <v/>
      </c>
      <c r="P225" s="53" t="str">
        <f>IF(VLOOKUP($A225,DICO_Complet!$A$3:$U$983,17,FALSE)=0,"",VLOOKUP($A225,DICO_Complet!$A$3:$U$983,17,FALSE))</f>
        <v/>
      </c>
      <c r="Q225" s="53" t="str">
        <f>IF(VLOOKUP($A225,DICO_Complet!$A$3:$U$983,18,FALSE)=0,"",VLOOKUP($A225,DICO_Complet!$A$3:$U$983,18,FALSE))</f>
        <v/>
      </c>
    </row>
    <row r="226" spans="1:17">
      <c r="A226" s="38">
        <v>241112000035</v>
      </c>
      <c r="B226" s="47" t="s">
        <v>858</v>
      </c>
      <c r="C226" s="3" t="str">
        <f>VLOOKUP($A226,DICO_Complet!$A$3:$U$983,3,FALSE)</f>
        <v>Context</v>
      </c>
      <c r="D226" s="3" t="str">
        <f>VLOOKUP($A226,DICO_Complet!$A$3:$U$983,4,FALSE)</f>
        <v>transactionContext</v>
      </c>
      <c r="E226" s="2" t="str">
        <f>VLOOKUP($A226,DICO_Complet!$A$3:$U$983,5,FALSE)</f>
        <v>cardPresent</v>
      </c>
      <c r="F226" s="2" t="str">
        <f>VLOOKUP($A226,DICO_Complet!$A$3:$U$983,6,FALSE)</f>
        <v>TrueFalseIndicator</v>
      </c>
      <c r="G226" s="48">
        <f>VLOOKUP($A226,DICO_Complet!$A$3:$U$983,7,FALSE)</f>
        <v>0</v>
      </c>
      <c r="H226" s="48">
        <f>VLOOKUP($A226,DICO_Complet!$A$3:$U$983,8,FALSE)</f>
        <v>0</v>
      </c>
      <c r="I226" s="2" t="str">
        <f>IF(VLOOKUP($A226,DICO_Complet!$A$3:$U$983,9,FALSE)&lt;&gt;0,VLOOKUP($A226,DICO_Complet!$A$3:$U$983,9,FALSE),"")</f>
        <v/>
      </c>
      <c r="J226" s="1" t="str">
        <f>VLOOKUP($A226,DICO_Complet!$A$3:$U$983,10,FALSE)</f>
        <v>Card present during transaction</v>
      </c>
      <c r="K226" s="53" t="str">
        <f>IF(VLOOKUP($A226,DICO_Complet!$A$3:$U$983,12,FALSE)=0,"",VLOOKUP($A226,DICO_Complet!$A$3:$U$983,12,FALSE))</f>
        <v>ISO25 (Voir Nexo=&gt; CB2A page 101)</v>
      </c>
      <c r="L226" s="53" t="str">
        <f>IF(VLOOKUP($A226,DICO_Complet!$A$3:$U$983,13,FALSE)=0,"",VLOOKUP($A226,DICO_Complet!$A$3:$U$983,13,FALSE))</f>
        <v/>
      </c>
      <c r="M226" s="53" t="str">
        <f>IF(VLOOKUP($A226,DICO_Complet!$A$3:$U$983,14,FALSE)=0,"",VLOOKUP($A226,DICO_Complet!$A$3:$U$983,14,FALSE))</f>
        <v/>
      </c>
      <c r="N226" s="53" t="str">
        <f>IF(VLOOKUP($A226,DICO_Complet!$A$3:$U$983,15,FALSE)=0,"",VLOOKUP($A226,DICO_Complet!$A$3:$U$983,15,FALSE))</f>
        <v/>
      </c>
      <c r="O226" s="53" t="str">
        <f>IF(VLOOKUP($A226,DICO_Complet!$A$3:$U$983,16,FALSE)=0,"",VLOOKUP($A226,DICO_Complet!$A$3:$U$983,16,FALSE))</f>
        <v/>
      </c>
      <c r="P226" s="53" t="str">
        <f>IF(VLOOKUP($A226,DICO_Complet!$A$3:$U$983,17,FALSE)=0,"",VLOOKUP($A226,DICO_Complet!$A$3:$U$983,17,FALSE))</f>
        <v/>
      </c>
      <c r="Q226" s="53" t="str">
        <f>IF(VLOOKUP($A226,DICO_Complet!$A$3:$U$983,18,FALSE)=0,"",VLOOKUP($A226,DICO_Complet!$A$3:$U$983,18,FALSE))</f>
        <v/>
      </c>
    </row>
    <row r="227" spans="1:17">
      <c r="A227" s="38">
        <v>241112000036</v>
      </c>
      <c r="B227" s="47" t="s">
        <v>858</v>
      </c>
      <c r="C227" s="3" t="str">
        <f>VLOOKUP($A227,DICO_Complet!$A$3:$U$983,3,FALSE)</f>
        <v>Context</v>
      </c>
      <c r="D227" s="3" t="str">
        <f>VLOOKUP($A227,DICO_Complet!$A$3:$U$983,4,FALSE)</f>
        <v>transactionContext</v>
      </c>
      <c r="E227" s="2" t="str">
        <f>VLOOKUP($A227,DICO_Complet!$A$3:$U$983,5,FALSE)</f>
        <v>cardSecurityCodePresence</v>
      </c>
      <c r="F227" s="2" t="str">
        <f>VLOOKUP($A227,DICO_Complet!$A$3:$U$983,6,FALSE)</f>
        <v>CardSecurityCodePresenceCodeset</v>
      </c>
      <c r="G227" s="48">
        <f>VLOOKUP($A227,DICO_Complet!$A$3:$U$983,7,FALSE)</f>
        <v>0</v>
      </c>
      <c r="H227" s="48">
        <f>VLOOKUP($A227,DICO_Complet!$A$3:$U$983,8,FALSE)</f>
        <v>0</v>
      </c>
      <c r="I227" s="2" t="str">
        <f>IF(VLOOKUP($A227,DICO_Complet!$A$3:$U$983,9,FALSE)&lt;&gt;0,VLOOKUP($A227,DICO_Complet!$A$3:$U$983,9,FALSE),"")</f>
        <v/>
      </c>
      <c r="J227" s="1" t="str">
        <f>VLOOKUP($A227,DICO_Complet!$A$3:$U$983,10,FALSE)</f>
        <v>Information on card security code presence</v>
      </c>
      <c r="K227" s="53" t="str">
        <f>IF(VLOOKUP($A227,DICO_Complet!$A$3:$U$983,12,FALSE)=0,"",VLOOKUP($A227,DICO_Complet!$A$3:$U$983,12,FALSE))</f>
        <v>RSB59_300_p1</v>
      </c>
      <c r="L227" s="53" t="str">
        <f>IF(VLOOKUP($A227,DICO_Complet!$A$3:$U$983,13,FALSE)=0,"",VLOOKUP($A227,DICO_Complet!$A$3:$U$983,13,FALSE))</f>
        <v/>
      </c>
      <c r="M227" s="53" t="str">
        <f>IF(VLOOKUP($A227,DICO_Complet!$A$3:$U$983,14,FALSE)=0,"",VLOOKUP($A227,DICO_Complet!$A$3:$U$983,14,FALSE))</f>
        <v/>
      </c>
      <c r="N227" s="53" t="str">
        <f>IF(VLOOKUP($A227,DICO_Complet!$A$3:$U$983,15,FALSE)=0,"",VLOOKUP($A227,DICO_Complet!$A$3:$U$983,15,FALSE))</f>
        <v/>
      </c>
      <c r="O227" s="53" t="str">
        <f>IF(VLOOKUP($A227,DICO_Complet!$A$3:$U$983,16,FALSE)=0,"",VLOOKUP($A227,DICO_Complet!$A$3:$U$983,16,FALSE))</f>
        <v/>
      </c>
      <c r="P227" s="53" t="str">
        <f>IF(VLOOKUP($A227,DICO_Complet!$A$3:$U$983,17,FALSE)=0,"",VLOOKUP($A227,DICO_Complet!$A$3:$U$983,17,FALSE))</f>
        <v/>
      </c>
      <c r="Q227" s="53" t="str">
        <f>IF(VLOOKUP($A227,DICO_Complet!$A$3:$U$983,18,FALSE)=0,"",VLOOKUP($A227,DICO_Complet!$A$3:$U$983,18,FALSE))</f>
        <v/>
      </c>
    </row>
    <row r="228" spans="1:17">
      <c r="A228" s="38">
        <v>241112000037</v>
      </c>
      <c r="B228" s="47" t="s">
        <v>858</v>
      </c>
      <c r="C228" s="3" t="str">
        <f>VLOOKUP($A228,DICO_Complet!$A$3:$U$983,3,FALSE)</f>
        <v>Context</v>
      </c>
      <c r="D228" s="3" t="str">
        <f>VLOOKUP($A228,DICO_Complet!$A$3:$U$983,4,FALSE)</f>
        <v>transactionContext</v>
      </c>
      <c r="E228" s="2" t="str">
        <f>VLOOKUP($A228,DICO_Complet!$A$3:$U$983,5,FALSE)</f>
        <v>cardSecurityCodeValue</v>
      </c>
      <c r="F228" s="2" t="str">
        <f>VLOOKUP($A228,DICO_Complet!$A$3:$U$983,6,FALSE)</f>
        <v>Exact3NumericText</v>
      </c>
      <c r="G228" s="48">
        <f>VLOOKUP($A228,DICO_Complet!$A$3:$U$983,7,FALSE)</f>
        <v>0</v>
      </c>
      <c r="H228" s="48">
        <f>VLOOKUP($A228,DICO_Complet!$A$3:$U$983,8,FALSE)</f>
        <v>0</v>
      </c>
      <c r="I228" s="2" t="str">
        <f>IF(VLOOKUP($A228,DICO_Complet!$A$3:$U$983,9,FALSE)&lt;&gt;0,VLOOKUP($A228,DICO_Complet!$A$3:$U$983,9,FALSE),"")</f>
        <v/>
      </c>
      <c r="J228" s="1" t="str">
        <f>VLOOKUP($A228,DICO_Complet!$A$3:$U$983,10,FALSE)</f>
        <v>Card security code value</v>
      </c>
      <c r="K228" s="53" t="str">
        <f>IF(VLOOKUP($A228,DICO_Complet!$A$3:$U$983,12,FALSE)=0,"",VLOOKUP($A228,DICO_Complet!$A$3:$U$983,12,FALSE))</f>
        <v>RSB59_300_p2</v>
      </c>
      <c r="L228" s="53" t="str">
        <f>IF(VLOOKUP($A228,DICO_Complet!$A$3:$U$983,13,FALSE)=0,"",VLOOKUP($A228,DICO_Complet!$A$3:$U$983,13,FALSE))</f>
        <v/>
      </c>
      <c r="M228" s="53" t="str">
        <f>IF(VLOOKUP($A228,DICO_Complet!$A$3:$U$983,14,FALSE)=0,"",VLOOKUP($A228,DICO_Complet!$A$3:$U$983,14,FALSE))</f>
        <v/>
      </c>
      <c r="N228" s="53" t="str">
        <f>IF(VLOOKUP($A228,DICO_Complet!$A$3:$U$983,15,FALSE)=0,"",VLOOKUP($A228,DICO_Complet!$A$3:$U$983,15,FALSE))</f>
        <v/>
      </c>
      <c r="O228" s="53" t="str">
        <f>IF(VLOOKUP($A228,DICO_Complet!$A$3:$U$983,16,FALSE)=0,"",VLOOKUP($A228,DICO_Complet!$A$3:$U$983,16,FALSE))</f>
        <v/>
      </c>
      <c r="P228" s="53" t="str">
        <f>IF(VLOOKUP($A228,DICO_Complet!$A$3:$U$983,17,FALSE)=0,"",VLOOKUP($A228,DICO_Complet!$A$3:$U$983,17,FALSE))</f>
        <v/>
      </c>
      <c r="Q228" s="53" t="str">
        <f>IF(VLOOKUP($A228,DICO_Complet!$A$3:$U$983,18,FALSE)=0,"",VLOOKUP($A228,DICO_Complet!$A$3:$U$983,18,FALSE))</f>
        <v/>
      </c>
    </row>
    <row r="229" spans="1:17" ht="13.5" customHeight="1">
      <c r="A229" s="38">
        <v>241112000038</v>
      </c>
      <c r="B229" s="47" t="s">
        <v>858</v>
      </c>
      <c r="C229" s="3" t="str">
        <f>VLOOKUP($A229,DICO_Complet!$A$3:$U$983,3,FALSE)</f>
        <v>Context</v>
      </c>
      <c r="D229" s="3" t="str">
        <f>VLOOKUP($A229,DICO_Complet!$A$3:$U$983,4,FALSE)</f>
        <v>transactionContext</v>
      </c>
      <c r="E229" s="2" t="str">
        <f>VLOOKUP($A229,DICO_Complet!$A$3:$U$983,5,FALSE)</f>
        <v>cardSecurityCodeVerificationInformation</v>
      </c>
      <c r="F229" s="2" t="str">
        <f>VLOOKUP($A229,DICO_Complet!$A$3:$U$983,6,FALSE)</f>
        <v>CardSecurityCodeVerificationCodeset</v>
      </c>
      <c r="G229" s="48">
        <f>VLOOKUP($A229,DICO_Complet!$A$3:$U$983,7,FALSE)</f>
        <v>0</v>
      </c>
      <c r="H229" s="48">
        <f>VLOOKUP($A229,DICO_Complet!$A$3:$U$983,8,FALSE)</f>
        <v>0</v>
      </c>
      <c r="I229" s="2" t="str">
        <f>IF(VLOOKUP($A229,DICO_Complet!$A$3:$U$983,9,FALSE)&lt;&gt;0,VLOOKUP($A229,DICO_Complet!$A$3:$U$983,9,FALSE),"")</f>
        <v/>
      </c>
      <c r="J229" s="1" t="str">
        <f>VLOOKUP($A229,DICO_Complet!$A$3:$U$983,10,FALSE)</f>
        <v>Information on card security code verification</v>
      </c>
      <c r="K229" s="53" t="str">
        <f>IF(VLOOKUP($A229,DICO_Complet!$A$3:$U$983,12,FALSE)=0,"",VLOOKUP($A229,DICO_Complet!$A$3:$U$983,12,FALSE))</f>
        <v>RSB59_300_p3</v>
      </c>
      <c r="L229" s="53" t="str">
        <f>IF(VLOOKUP($A229,DICO_Complet!$A$3:$U$983,13,FALSE)=0,"",VLOOKUP($A229,DICO_Complet!$A$3:$U$983,13,FALSE))</f>
        <v/>
      </c>
      <c r="M229" s="53" t="str">
        <f>IF(VLOOKUP($A229,DICO_Complet!$A$3:$U$983,14,FALSE)=0,"",VLOOKUP($A229,DICO_Complet!$A$3:$U$983,14,FALSE))</f>
        <v/>
      </c>
      <c r="N229" s="53" t="str">
        <f>IF(VLOOKUP($A229,DICO_Complet!$A$3:$U$983,15,FALSE)=0,"",VLOOKUP($A229,DICO_Complet!$A$3:$U$983,15,FALSE))</f>
        <v/>
      </c>
      <c r="O229" s="53" t="str">
        <f>IF(VLOOKUP($A229,DICO_Complet!$A$3:$U$983,16,FALSE)=0,"",VLOOKUP($A229,DICO_Complet!$A$3:$U$983,16,FALSE))</f>
        <v/>
      </c>
      <c r="P229" s="53" t="str">
        <f>IF(VLOOKUP($A229,DICO_Complet!$A$3:$U$983,17,FALSE)=0,"",VLOOKUP($A229,DICO_Complet!$A$3:$U$983,17,FALSE))</f>
        <v/>
      </c>
      <c r="Q229" s="53" t="str">
        <f>IF(VLOOKUP($A229,DICO_Complet!$A$3:$U$983,18,FALSE)=0,"",VLOOKUP($A229,DICO_Complet!$A$3:$U$983,18,FALSE))</f>
        <v/>
      </c>
    </row>
    <row r="230" spans="1:17" ht="14.1" customHeight="1">
      <c r="A230" s="38">
        <v>241112000039</v>
      </c>
      <c r="B230" s="47" t="s">
        <v>858</v>
      </c>
      <c r="C230" s="3" t="str">
        <f>VLOOKUP($A230,DICO_Complet!$A$3:$U$983,3,FALSE)</f>
        <v>Context</v>
      </c>
      <c r="D230" s="3" t="str">
        <f>VLOOKUP($A230,DICO_Complet!$A$3:$U$983,4,FALSE)</f>
        <v>transactionContext</v>
      </c>
      <c r="E230" s="2" t="str">
        <f>VLOOKUP($A230,DICO_Complet!$A$3:$U$983,5,FALSE)</f>
        <v>decisionAlgorithmRoute</v>
      </c>
      <c r="F230" s="2" t="str">
        <f>VLOOKUP($A230,DICO_Complet!$A$3:$U$983,6,FALSE)</f>
        <v>Max2NumericText</v>
      </c>
      <c r="G230" s="48">
        <f>VLOOKUP($A230,DICO_Complet!$A$3:$U$983,7,FALSE)</f>
        <v>0</v>
      </c>
      <c r="H230" s="48">
        <f>VLOOKUP($A230,DICO_Complet!$A$3:$U$983,8,FALSE)</f>
        <v>0</v>
      </c>
      <c r="I230" s="2" t="str">
        <f>IF(VLOOKUP($A230,DICO_Complet!$A$3:$U$983,9,FALSE)&lt;&gt;0,VLOOKUP($A230,DICO_Complet!$A$3:$U$983,9,FALSE),"")</f>
        <v/>
      </c>
      <c r="J230" s="1" t="str">
        <f>VLOOKUP($A230,DICO_Complet!$A$3:$U$983,10,FALSE)</f>
        <v>Algorithm of decision for route</v>
      </c>
      <c r="K230" s="53" t="str">
        <f>IF(VLOOKUP($A230,DICO_Complet!$A$3:$U$983,12,FALSE)=0,"",VLOOKUP($A230,DICO_Complet!$A$3:$U$983,12,FALSE))</f>
        <v>MFO13</v>
      </c>
      <c r="L230" s="53" t="str">
        <f>IF(VLOOKUP($A230,DICO_Complet!$A$3:$U$983,13,FALSE)=0,"",VLOOKUP($A230,DICO_Complet!$A$3:$U$983,13,FALSE))</f>
        <v/>
      </c>
      <c r="M230" s="53" t="str">
        <f>IF(VLOOKUP($A230,DICO_Complet!$A$3:$U$983,14,FALSE)=0,"",VLOOKUP($A230,DICO_Complet!$A$3:$U$983,14,FALSE))</f>
        <v/>
      </c>
      <c r="N230" s="53" t="str">
        <f>IF(VLOOKUP($A230,DICO_Complet!$A$3:$U$983,15,FALSE)=0,"",VLOOKUP($A230,DICO_Complet!$A$3:$U$983,15,FALSE))</f>
        <v/>
      </c>
      <c r="O230" s="53" t="str">
        <f>IF(VLOOKUP($A230,DICO_Complet!$A$3:$U$983,16,FALSE)=0,"",VLOOKUP($A230,DICO_Complet!$A$3:$U$983,16,FALSE))</f>
        <v/>
      </c>
      <c r="P230" s="53" t="str">
        <f>IF(VLOOKUP($A230,DICO_Complet!$A$3:$U$983,17,FALSE)=0,"",VLOOKUP($A230,DICO_Complet!$A$3:$U$983,17,FALSE))</f>
        <v/>
      </c>
      <c r="Q230" s="53" t="str">
        <f>IF(VLOOKUP($A230,DICO_Complet!$A$3:$U$983,18,FALSE)=0,"",VLOOKUP($A230,DICO_Complet!$A$3:$U$983,18,FALSE))</f>
        <v/>
      </c>
    </row>
    <row r="231" spans="1:17" ht="14.1" customHeight="1">
      <c r="A231" s="38">
        <v>250117181600</v>
      </c>
      <c r="B231" s="47" t="s">
        <v>858</v>
      </c>
      <c r="C231" s="3" t="str">
        <f>VLOOKUP($A231,DICO_Complet!$A$3:$U$983,3,FALSE)</f>
        <v>Context</v>
      </c>
      <c r="D231" s="3" t="str">
        <f>VLOOKUP($A231,DICO_Complet!$A$3:$U$983,4,FALSE)</f>
        <v>transactionContext</v>
      </c>
      <c r="E231" s="2" t="str">
        <f>VLOOKUP($A231,DICO_Complet!$A$3:$U$983,5,FALSE)</f>
        <v>domainIndicator</v>
      </c>
      <c r="F231" s="2" t="str">
        <f>VLOOKUP($A231,DICO_Complet!$A$3:$U$983,6,FALSE)</f>
        <v>DomainIndicatorCodeset</v>
      </c>
      <c r="G231" s="48">
        <f>VLOOKUP($A231,DICO_Complet!$A$3:$U$983,7,FALSE)</f>
        <v>0</v>
      </c>
      <c r="H231" s="48">
        <f>VLOOKUP($A231,DICO_Complet!$A$3:$U$983,8,FALSE)</f>
        <v>0</v>
      </c>
      <c r="I231" s="2" t="str">
        <f>IF(VLOOKUP($A231,DICO_Complet!$A$3:$U$983,9,FALSE)&lt;&gt;0,VLOOKUP($A231,DICO_Complet!$A$3:$U$983,9,FALSE),"")</f>
        <v/>
      </c>
      <c r="J231" s="1" t="str">
        <f>VLOOKUP($A231,DICO_Complet!$A$3:$U$983,10,FALSE)</f>
        <v>Acquirer, Issuer, other …</v>
      </c>
      <c r="K231" s="53" t="str">
        <f>IF(VLOOKUP($A231,DICO_Complet!$A$3:$U$983,12,FALSE)=0,"",VLOOKUP($A231,DICO_Complet!$A$3:$U$983,12,FALSE))</f>
        <v>MFO15</v>
      </c>
      <c r="L231" s="53" t="str">
        <f>IF(VLOOKUP($A231,DICO_Complet!$A$3:$U$983,13,FALSE)=0,"",VLOOKUP($A231,DICO_Complet!$A$3:$U$983,13,FALSE))</f>
        <v/>
      </c>
      <c r="M231" s="53" t="str">
        <f>IF(VLOOKUP($A231,DICO_Complet!$A$3:$U$983,14,FALSE)=0,"",VLOOKUP($A231,DICO_Complet!$A$3:$U$983,14,FALSE))</f>
        <v/>
      </c>
      <c r="N231" s="53" t="str">
        <f>IF(VLOOKUP($A231,DICO_Complet!$A$3:$U$983,15,FALSE)=0,"",VLOOKUP($A231,DICO_Complet!$A$3:$U$983,15,FALSE))</f>
        <v/>
      </c>
      <c r="O231" s="53" t="str">
        <f>IF(VLOOKUP($A231,DICO_Complet!$A$3:$U$983,16,FALSE)=0,"",VLOOKUP($A231,DICO_Complet!$A$3:$U$983,16,FALSE))</f>
        <v/>
      </c>
      <c r="P231" s="53" t="str">
        <f>IF(VLOOKUP($A231,DICO_Complet!$A$3:$U$983,17,FALSE)=0,"",VLOOKUP($A231,DICO_Complet!$A$3:$U$983,17,FALSE))</f>
        <v/>
      </c>
      <c r="Q231" s="53" t="str">
        <f>IF(VLOOKUP($A231,DICO_Complet!$A$3:$U$983,18,FALSE)=0,"",VLOOKUP($A231,DICO_Complet!$A$3:$U$983,18,FALSE))</f>
        <v/>
      </c>
    </row>
    <row r="232" spans="1:17">
      <c r="A232" s="38">
        <v>241112000040</v>
      </c>
      <c r="B232" s="47" t="s">
        <v>858</v>
      </c>
      <c r="C232" s="3" t="str">
        <f>VLOOKUP($A232,DICO_Complet!$A$3:$U$983,3,FALSE)</f>
        <v>Context</v>
      </c>
      <c r="D232" s="3" t="str">
        <f>VLOOKUP($A232,DICO_Complet!$A$3:$U$983,4,FALSE)</f>
        <v>transactionContext</v>
      </c>
      <c r="E232" s="2" t="str">
        <f>VLOOKUP($A232,DICO_Complet!$A$3:$U$983,5,FALSE)</f>
        <v>dualRouteId</v>
      </c>
      <c r="F232" s="2" t="str">
        <f>VLOOKUP($A232,DICO_Complet!$A$3:$U$983,6,FALSE)</f>
        <v>Max11NumericText</v>
      </c>
      <c r="G232" s="48">
        <f>VLOOKUP($A232,DICO_Complet!$A$3:$U$983,7,FALSE)</f>
        <v>0</v>
      </c>
      <c r="H232" s="48">
        <f>VLOOKUP($A232,DICO_Complet!$A$3:$U$983,8,FALSE)</f>
        <v>0</v>
      </c>
      <c r="I232" s="2" t="str">
        <f>IF(VLOOKUP($A232,DICO_Complet!$A$3:$U$983,9,FALSE)&lt;&gt;0,VLOOKUP($A232,DICO_Complet!$A$3:$U$983,9,FALSE),"")</f>
        <v/>
      </c>
      <c r="J232" s="1" t="str">
        <f>VLOOKUP($A232,DICO_Complet!$A$3:$U$983,10,FALSE)</f>
        <v>Dual Route Identifier</v>
      </c>
      <c r="K232" s="53" t="str">
        <f>IF(VLOOKUP($A232,DICO_Complet!$A$3:$U$983,12,FALSE)=0,"",VLOOKUP($A232,DICO_Complet!$A$3:$U$983,12,FALSE))</f>
        <v>RSB100-2</v>
      </c>
      <c r="L232" s="53" t="str">
        <f>IF(VLOOKUP($A232,DICO_Complet!$A$3:$U$983,13,FALSE)=0,"",VLOOKUP($A232,DICO_Complet!$A$3:$U$983,13,FALSE))</f>
        <v>[100-2]</v>
      </c>
      <c r="M232" s="53" t="str">
        <f>IF(VLOOKUP($A232,DICO_Complet!$A$3:$U$983,14,FALSE)=0,"",VLOOKUP($A232,DICO_Complet!$A$3:$U$983,14,FALSE))</f>
        <v/>
      </c>
      <c r="N232" s="53" t="str">
        <f>IF(VLOOKUP($A232,DICO_Complet!$A$3:$U$983,15,FALSE)=0,"",VLOOKUP($A232,DICO_Complet!$A$3:$U$983,15,FALSE))</f>
        <v/>
      </c>
      <c r="O232" s="53" t="str">
        <f>IF(VLOOKUP($A232,DICO_Complet!$A$3:$U$983,16,FALSE)=0,"",VLOOKUP($A232,DICO_Complet!$A$3:$U$983,16,FALSE))</f>
        <v/>
      </c>
      <c r="P232" s="53" t="str">
        <f>IF(VLOOKUP($A232,DICO_Complet!$A$3:$U$983,17,FALSE)=0,"",VLOOKUP($A232,DICO_Complet!$A$3:$U$983,17,FALSE))</f>
        <v/>
      </c>
      <c r="Q232" s="53" t="str">
        <f>IF(VLOOKUP($A232,DICO_Complet!$A$3:$U$983,18,FALSE)=0,"",VLOOKUP($A232,DICO_Complet!$A$3:$U$983,18,FALSE))</f>
        <v/>
      </c>
    </row>
    <row r="233" spans="1:17">
      <c r="A233" s="38">
        <v>241112000042</v>
      </c>
      <c r="B233" s="47" t="s">
        <v>858</v>
      </c>
      <c r="C233" s="3" t="str">
        <f>VLOOKUP($A233,DICO_Complet!$A$3:$U$983,3,FALSE)</f>
        <v>Context</v>
      </c>
      <c r="D233" s="3" t="str">
        <f>VLOOKUP($A233,DICO_Complet!$A$3:$U$983,4,FALSE)</f>
        <v>transactionContext</v>
      </c>
      <c r="E233" s="2" t="str">
        <f>VLOOKUP($A233,DICO_Complet!$A$3:$U$983,5,FALSE)</f>
        <v>dualRouteService</v>
      </c>
      <c r="F233" s="2" t="str">
        <f>VLOOKUP($A233,DICO_Complet!$A$3:$U$983,6,FALSE)</f>
        <v>Max100Text</v>
      </c>
      <c r="G233" s="48">
        <f>VLOOKUP($A233,DICO_Complet!$A$3:$U$983,7,FALSE)</f>
        <v>0</v>
      </c>
      <c r="H233" s="48">
        <f>VLOOKUP($A233,DICO_Complet!$A$3:$U$983,8,FALSE)</f>
        <v>0</v>
      </c>
      <c r="I233" s="2" t="str">
        <f>IF(VLOOKUP($A233,DICO_Complet!$A$3:$U$983,9,FALSE)&lt;&gt;0,VLOOKUP($A233,DICO_Complet!$A$3:$U$983,9,FALSE),"")</f>
        <v/>
      </c>
      <c r="J233" s="1" t="str">
        <f>VLOOKUP($A233,DICO_Complet!$A$3:$U$983,10,FALSE)</f>
        <v>Extension dual Route</v>
      </c>
      <c r="K233" s="53" t="str">
        <f>IF(VLOOKUP($A233,DICO_Complet!$A$3:$U$983,12,FALSE)=0,"",VLOOKUP($A233,DICO_Complet!$A$3:$U$983,12,FALSE))</f>
        <v>MFO10-2</v>
      </c>
      <c r="L233" s="53" t="str">
        <f>IF(VLOOKUP($A233,DICO_Complet!$A$3:$U$983,13,FALSE)=0,"",VLOOKUP($A233,DICO_Complet!$A$3:$U$983,13,FALSE))</f>
        <v/>
      </c>
      <c r="M233" s="53" t="str">
        <f>IF(VLOOKUP($A233,DICO_Complet!$A$3:$U$983,14,FALSE)=0,"",VLOOKUP($A233,DICO_Complet!$A$3:$U$983,14,FALSE))</f>
        <v/>
      </c>
      <c r="N233" s="53" t="str">
        <f>IF(VLOOKUP($A233,DICO_Complet!$A$3:$U$983,15,FALSE)=0,"",VLOOKUP($A233,DICO_Complet!$A$3:$U$983,15,FALSE))</f>
        <v/>
      </c>
      <c r="O233" s="53" t="str">
        <f>IF(VLOOKUP($A233,DICO_Complet!$A$3:$U$983,16,FALSE)=0,"",VLOOKUP($A233,DICO_Complet!$A$3:$U$983,16,FALSE))</f>
        <v/>
      </c>
      <c r="P233" s="53" t="str">
        <f>IF(VLOOKUP($A233,DICO_Complet!$A$3:$U$983,17,FALSE)=0,"",VLOOKUP($A233,DICO_Complet!$A$3:$U$983,17,FALSE))</f>
        <v/>
      </c>
      <c r="Q233" s="53" t="str">
        <f>IF(VLOOKUP($A233,DICO_Complet!$A$3:$U$983,18,FALSE)=0,"",VLOOKUP($A233,DICO_Complet!$A$3:$U$983,18,FALSE))</f>
        <v/>
      </c>
    </row>
    <row r="234" spans="1:17">
      <c r="A234" s="38">
        <v>241112000204</v>
      </c>
      <c r="B234" s="47" t="s">
        <v>858</v>
      </c>
      <c r="C234" s="3" t="str">
        <f>VLOOKUP($A234,DICO_Complet!$A$3:$U$983,3,FALSE)</f>
        <v>Context</v>
      </c>
      <c r="D234" s="3" t="str">
        <f>VLOOKUP($A234,DICO_Complet!$A$3:$U$983,4,FALSE)</f>
        <v>transactionContext</v>
      </c>
      <c r="E234" s="2" t="str">
        <f>VLOOKUP($A234,DICO_Complet!$A$3:$U$983,5,FALSE)</f>
        <v>ecommerceIndicator</v>
      </c>
      <c r="F234" s="2" t="str">
        <f>VLOOKUP($A234,DICO_Complet!$A$3:$U$983,6,FALSE)</f>
        <v>Exact2AlphaNumericText</v>
      </c>
      <c r="G234" s="48">
        <f>VLOOKUP($A234,DICO_Complet!$A$3:$U$983,7,FALSE)</f>
        <v>0</v>
      </c>
      <c r="H234" s="48">
        <f>VLOOKUP($A234,DICO_Complet!$A$3:$U$983,8,FALSE)</f>
        <v>0</v>
      </c>
      <c r="I234" s="2" t="str">
        <f>IF(VLOOKUP($A234,DICO_Complet!$A$3:$U$983,9,FALSE)&lt;&gt;0,VLOOKUP($A234,DICO_Complet!$A$3:$U$983,9,FALSE),"")</f>
        <v/>
      </c>
      <c r="J234" s="1" t="str">
        <f>VLOOKUP($A234,DICO_Complet!$A$3:$U$983,10,FALSE)</f>
        <v>Electronic commerce indicator (VISA)</v>
      </c>
      <c r="K234" s="53" t="str">
        <f>IF(VLOOKUP($A234,DICO_Complet!$A$3:$U$983,12,FALSE)=0,"",VLOOKUP($A234,DICO_Complet!$A$3:$U$983,12,FALSE))</f>
        <v>RSB59_416</v>
      </c>
      <c r="L234" s="53" t="str">
        <f>IF(VLOOKUP($A234,DICO_Complet!$A$3:$U$983,13,FALSE)=0,"",VLOOKUP($A234,DICO_Complet!$A$3:$U$983,13,FALSE))</f>
        <v>[59-0416]</v>
      </c>
      <c r="M234" s="53" t="str">
        <f>IF(VLOOKUP($A234,DICO_Complet!$A$3:$U$983,14,FALSE)=0,"",VLOOKUP($A234,DICO_Complet!$A$3:$U$983,14,FALSE))</f>
        <v>[58_416]</v>
      </c>
      <c r="N234" s="53" t="str">
        <f>IF(VLOOKUP($A234,DICO_Complet!$A$3:$U$983,15,FALSE)=0,"",VLOOKUP($A234,DICO_Complet!$A$3:$U$983,15,FALSE))</f>
        <v>[59-0416]</v>
      </c>
      <c r="O234" s="53" t="str">
        <f>IF(VLOOKUP($A234,DICO_Complet!$A$3:$U$983,16,FALSE)=0,"",VLOOKUP($A234,DICO_Complet!$A$3:$U$983,16,FALSE))</f>
        <v>[60.8]</v>
      </c>
      <c r="P234" s="53" t="str">
        <f>IF(VLOOKUP($A234,DICO_Complet!$A$3:$U$983,17,FALSE)=0,"",VLOOKUP($A234,DICO_Complet!$A$3:$U$983,17,FALSE))</f>
        <v/>
      </c>
      <c r="Q234" s="53" t="str">
        <f>IF(VLOOKUP($A234,DICO_Complet!$A$3:$U$983,18,FALSE)=0,"",VLOOKUP($A234,DICO_Complet!$A$3:$U$983,18,FALSE))</f>
        <v/>
      </c>
    </row>
    <row r="235" spans="1:17">
      <c r="A235" s="38">
        <v>241112000041</v>
      </c>
      <c r="B235" s="47" t="s">
        <v>858</v>
      </c>
      <c r="C235" s="3" t="str">
        <f>VLOOKUP($A235,DICO_Complet!$A$3:$U$983,3,FALSE)</f>
        <v>Context</v>
      </c>
      <c r="D235" s="3" t="str">
        <f>VLOOKUP($A235,DICO_Complet!$A$3:$U$983,4,FALSE)</f>
        <v>transactionContext</v>
      </c>
      <c r="E235" s="2" t="str">
        <f>VLOOKUP($A235,DICO_Complet!$A$3:$U$983,5,FALSE)</f>
        <v>electronicCommerceAuthentication</v>
      </c>
      <c r="F235" s="2" t="str">
        <f>VLOOKUP($A235,DICO_Complet!$A$3:$U$983,6,FALSE)</f>
        <v>ElectronicCommerceAuthenticationNature</v>
      </c>
      <c r="G235" s="48">
        <f>VLOOKUP($A235,DICO_Complet!$A$3:$U$983,7,FALSE)</f>
        <v>0</v>
      </c>
      <c r="H235" s="48">
        <f>VLOOKUP($A235,DICO_Complet!$A$3:$U$983,8,FALSE)</f>
        <v>0</v>
      </c>
      <c r="I235" s="2" t="str">
        <f>IF(VLOOKUP($A235,DICO_Complet!$A$3:$U$983,9,FALSE)&lt;&gt;0,VLOOKUP($A235,DICO_Complet!$A$3:$U$983,9,FALSE),"")</f>
        <v/>
      </c>
      <c r="J235" s="1" t="str">
        <f>VLOOKUP($A235,DICO_Complet!$A$3:$U$983,10,FALSE)</f>
        <v>Electronic commerce transaction authentication type</v>
      </c>
      <c r="K235" s="53" t="str">
        <f>IF(VLOOKUP($A235,DICO_Complet!$A$3:$U$983,12,FALSE)=0,"",VLOOKUP($A235,DICO_Complet!$A$3:$U$983,12,FALSE))</f>
        <v>RSB59_407</v>
      </c>
      <c r="L235" s="53" t="str">
        <f>IF(VLOOKUP($A235,DICO_Complet!$A$3:$U$983,13,FALSE)=0,"",VLOOKUP($A235,DICO_Complet!$A$3:$U$983,13,FALSE))</f>
        <v>[59-0407]</v>
      </c>
      <c r="M235" s="53" t="str">
        <f>IF(VLOOKUP($A235,DICO_Complet!$A$3:$U$983,14,FALSE)=0,"",VLOOKUP($A235,DICO_Complet!$A$3:$U$983,14,FALSE))</f>
        <v/>
      </c>
      <c r="N235" s="53" t="str">
        <f>IF(VLOOKUP($A235,DICO_Complet!$A$3:$U$983,15,FALSE)=0,"",VLOOKUP($A235,DICO_Complet!$A$3:$U$983,15,FALSE))</f>
        <v/>
      </c>
      <c r="O235" s="53" t="str">
        <f>IF(VLOOKUP($A235,DICO_Complet!$A$3:$U$983,16,FALSE)=0,"",VLOOKUP($A235,DICO_Complet!$A$3:$U$983,16,FALSE))</f>
        <v/>
      </c>
      <c r="P235" s="53" t="str">
        <f>IF(VLOOKUP($A235,DICO_Complet!$A$3:$U$983,17,FALSE)=0,"",VLOOKUP($A235,DICO_Complet!$A$3:$U$983,17,FALSE))</f>
        <v/>
      </c>
      <c r="Q235" s="53" t="str">
        <f>IF(VLOOKUP($A235,DICO_Complet!$A$3:$U$983,18,FALSE)=0,"",VLOOKUP($A235,DICO_Complet!$A$3:$U$983,18,FALSE))</f>
        <v/>
      </c>
    </row>
    <row r="236" spans="1:17">
      <c r="A236" s="38">
        <v>250425100311</v>
      </c>
      <c r="B236" s="47" t="s">
        <v>858</v>
      </c>
      <c r="C236" s="3" t="str">
        <f>VLOOKUP($A236,DICO_Complet!$A$3:$U$983,3,FALSE)</f>
        <v>Context</v>
      </c>
      <c r="D236" s="3" t="str">
        <f>VLOOKUP($A236,DICO_Complet!$A$3:$U$983,4,FALSE)</f>
        <v>transactionContext</v>
      </c>
      <c r="E236" s="2" t="str">
        <f>VLOOKUP($A236,DICO_Complet!$A$3:$U$983,5,FALSE)</f>
        <v>electronicCommercelAuthentificationNature</v>
      </c>
      <c r="F236" s="2" t="str">
        <f>VLOOKUP($A236,DICO_Complet!$A$3:$U$983,6,FALSE)</f>
        <v>ElectronicCommercelAuthentificationNatureCodeset</v>
      </c>
      <c r="G236" s="48">
        <f>VLOOKUP($A236,DICO_Complet!$A$3:$U$983,7,FALSE)</f>
        <v>0</v>
      </c>
      <c r="H236" s="48">
        <f>VLOOKUP($A236,DICO_Complet!$A$3:$U$983,8,FALSE)</f>
        <v>0</v>
      </c>
      <c r="I236" s="2" t="str">
        <f>IF(VLOOKUP($A236,DICO_Complet!$A$3:$U$983,9,FALSE)&lt;&gt;0,VLOOKUP($A236,DICO_Complet!$A$3:$U$983,9,FALSE),"")</f>
        <v/>
      </c>
      <c r="J236" s="1" t="str">
        <f>VLOOKUP($A236,DICO_Complet!$A$3:$U$983,10,FALSE)</f>
        <v>Electronic Commerce Authentification Type</v>
      </c>
      <c r="K236" s="53" t="str">
        <f>IF(VLOOKUP($A236,DICO_Complet!$A$3:$U$983,12,FALSE)=0,"",VLOOKUP($A236,DICO_Complet!$A$3:$U$983,12,FALSE))</f>
        <v/>
      </c>
      <c r="L236" s="53" t="str">
        <f>IF(VLOOKUP($A236,DICO_Complet!$A$3:$U$983,13,FALSE)=0,"",VLOOKUP($A236,DICO_Complet!$A$3:$U$983,13,FALSE))</f>
        <v/>
      </c>
      <c r="M236" s="53" t="str">
        <f>IF(VLOOKUP($A236,DICO_Complet!$A$3:$U$983,14,FALSE)=0,"",VLOOKUP($A236,DICO_Complet!$A$3:$U$983,14,FALSE))</f>
        <v>58_FF47</v>
      </c>
      <c r="N236" s="53" t="str">
        <f>IF(VLOOKUP($A236,DICO_Complet!$A$3:$U$983,15,FALSE)=0,"",VLOOKUP($A236,DICO_Complet!$A$3:$U$983,15,FALSE))</f>
        <v/>
      </c>
      <c r="O236" s="53" t="str">
        <f>IF(VLOOKUP($A236,DICO_Complet!$A$3:$U$983,16,FALSE)=0,"",VLOOKUP($A236,DICO_Complet!$A$3:$U$983,16,FALSE))</f>
        <v/>
      </c>
      <c r="P236" s="53" t="str">
        <f>IF(VLOOKUP($A236,DICO_Complet!$A$3:$U$983,17,FALSE)=0,"",VLOOKUP($A236,DICO_Complet!$A$3:$U$983,17,FALSE))</f>
        <v/>
      </c>
      <c r="Q236" s="53" t="str">
        <f>IF(VLOOKUP($A236,DICO_Complet!$A$3:$U$983,18,FALSE)=0,"",VLOOKUP($A236,DICO_Complet!$A$3:$U$983,18,FALSE))</f>
        <v/>
      </c>
    </row>
    <row r="237" spans="1:17">
      <c r="A237" s="38">
        <v>250108150301</v>
      </c>
      <c r="B237" s="47" t="s">
        <v>858</v>
      </c>
      <c r="C237" s="3" t="str">
        <f>VLOOKUP($A237,DICO_Complet!$A$3:$U$983,3,FALSE)</f>
        <v>Context</v>
      </c>
      <c r="D237" s="3" t="str">
        <f>VLOOKUP($A237,DICO_Complet!$A$3:$U$983,4,FALSE)</f>
        <v>transactionContext</v>
      </c>
      <c r="E237" s="2" t="str">
        <f>VLOOKUP($A237,DICO_Complet!$A$3:$U$983,5,FALSE)</f>
        <v>encryptionAlgorithm</v>
      </c>
      <c r="F237" s="2" t="str">
        <f>VLOOKUP($A237,DICO_Complet!$A$3:$U$983,6,FALSE)</f>
        <v>EncryptionAlgorithmCodeset</v>
      </c>
      <c r="G237" s="48">
        <f>VLOOKUP($A237,DICO_Complet!$A$3:$U$983,7,FALSE)</f>
        <v>0</v>
      </c>
      <c r="H237" s="48">
        <f>VLOOKUP($A237,DICO_Complet!$A$3:$U$983,8,FALSE)</f>
        <v>0</v>
      </c>
      <c r="I237" s="2" t="str">
        <f>IF(VLOOKUP($A237,DICO_Complet!$A$3:$U$983,9,FALSE)&lt;&gt;0,VLOOKUP($A237,DICO_Complet!$A$3:$U$983,9,FALSE),"")</f>
        <v/>
      </c>
      <c r="J237" s="1" t="str">
        <f>VLOOKUP($A237,DICO_Complet!$A$3:$U$983,10,FALSE)</f>
        <v>Algorithme de chiffrement PIN Block</v>
      </c>
      <c r="K237" s="53" t="str">
        <f>IF(VLOOKUP($A237,DICO_Complet!$A$3:$U$983,12,FALSE)=0,"",VLOOKUP($A237,DICO_Complet!$A$3:$U$983,12,FALSE))</f>
        <v>cifo</v>
      </c>
      <c r="L237" s="53" t="str">
        <f>IF(VLOOKUP($A237,DICO_Complet!$A$3:$U$983,13,FALSE)=0,"",VLOOKUP($A237,DICO_Complet!$A$3:$U$983,13,FALSE))</f>
        <v>cbae</v>
      </c>
      <c r="M237" s="53" t="str">
        <f>IF(VLOOKUP($A237,DICO_Complet!$A$3:$U$983,14,FALSE)=0,"",VLOOKUP($A237,DICO_Complet!$A$3:$U$983,14,FALSE))</f>
        <v>cb2af</v>
      </c>
      <c r="N237" s="53" t="str">
        <f>IF(VLOOKUP($A237,DICO_Complet!$A$3:$U$983,15,FALSE)=0,"",VLOOKUP($A237,DICO_Complet!$A$3:$U$983,15,FALSE))</f>
        <v>cb2a</v>
      </c>
      <c r="O237" s="53" t="str">
        <f>IF(VLOOKUP($A237,DICO_Complet!$A$3:$U$983,16,FALSE)=0,"",VLOOKUP($A237,DICO_Complet!$A$3:$U$983,16,FALSE))</f>
        <v>visa</v>
      </c>
      <c r="P237" s="53" t="str">
        <f>IF(VLOOKUP($A237,DICO_Complet!$A$3:$U$983,17,FALSE)=0,"",VLOOKUP($A237,DICO_Complet!$A$3:$U$983,17,FALSE))</f>
        <v>mcd</v>
      </c>
      <c r="Q237" s="53" t="str">
        <f>IF(VLOOKUP($A237,DICO_Complet!$A$3:$U$983,18,FALSE)=0,"",VLOOKUP($A237,DICO_Complet!$A$3:$U$983,18,FALSE))</f>
        <v>mainf</v>
      </c>
    </row>
    <row r="238" spans="1:17">
      <c r="A238" s="38">
        <v>250414090901</v>
      </c>
      <c r="B238" s="47" t="s">
        <v>858</v>
      </c>
      <c r="C238" s="3" t="str">
        <f>VLOOKUP($A238,DICO_Complet!$A$3:$U$983,3,FALSE)</f>
        <v>Context</v>
      </c>
      <c r="D238" s="3" t="str">
        <f>VLOOKUP($A238,DICO_Complet!$A$3:$U$983,4,FALSE)</f>
        <v>transactionContext</v>
      </c>
      <c r="E238" s="2" t="str">
        <f>VLOOKUP($A238,DICO_Complet!$A$3:$U$983,5,FALSE)</f>
        <v>entryModeEnvironment</v>
      </c>
      <c r="F238" s="2" t="str">
        <f>VLOOKUP($A238,DICO_Complet!$A$3:$U$983,6,FALSE)</f>
        <v>EntryModeEnvironmentCodeset</v>
      </c>
      <c r="G238" s="48">
        <f>VLOOKUP($A238,DICO_Complet!$A$3:$U$983,7,FALSE)</f>
        <v>0</v>
      </c>
      <c r="H238" s="48">
        <f>VLOOKUP($A238,DICO_Complet!$A$3:$U$983,8,FALSE)</f>
        <v>0</v>
      </c>
      <c r="I238" s="2" t="str">
        <f>IF(VLOOKUP($A238,DICO_Complet!$A$3:$U$983,9,FALSE)&lt;&gt;0,VLOOKUP($A238,DICO_Complet!$A$3:$U$983,9,FALSE),"")</f>
        <v/>
      </c>
      <c r="J238" s="1" t="str">
        <f>VLOOKUP($A238,DICO_Complet!$A$3:$U$983,10,FALSE)</f>
        <v>Environnement d'emission (Environment)</v>
      </c>
      <c r="K238" s="53" t="str">
        <f>IF(VLOOKUP($A238,DICO_Complet!$A$3:$U$983,12,FALSE)=0,"",VLOOKUP($A238,DICO_Complet!$A$3:$U$983,12,FALSE))</f>
        <v/>
      </c>
      <c r="L238" s="53" t="str">
        <f>IF(VLOOKUP($A238,DICO_Complet!$A$3:$U$983,13,FALSE)=0,"",VLOOKUP($A238,DICO_Complet!$A$3:$U$983,13,FALSE))</f>
        <v/>
      </c>
      <c r="M238" s="53" t="str">
        <f>IF(VLOOKUP($A238,DICO_Complet!$A$3:$U$983,14,FALSE)=0,"",VLOOKUP($A238,DICO_Complet!$A$3:$U$983,14,FALSE))</f>
        <v>22 part 1</v>
      </c>
      <c r="N238" s="53" t="str">
        <f>IF(VLOOKUP($A238,DICO_Complet!$A$3:$U$983,15,FALSE)=0,"",VLOOKUP($A238,DICO_Complet!$A$3:$U$983,15,FALSE))</f>
        <v/>
      </c>
      <c r="O238" s="53" t="str">
        <f>IF(VLOOKUP($A238,DICO_Complet!$A$3:$U$983,16,FALSE)=0,"",VLOOKUP($A238,DICO_Complet!$A$3:$U$983,16,FALSE))</f>
        <v/>
      </c>
      <c r="P238" s="53" t="str">
        <f>IF(VLOOKUP($A238,DICO_Complet!$A$3:$U$983,17,FALSE)=0,"",VLOOKUP($A238,DICO_Complet!$A$3:$U$983,17,FALSE))</f>
        <v/>
      </c>
      <c r="Q238" s="53" t="str">
        <f>IF(VLOOKUP($A238,DICO_Complet!$A$3:$U$983,18,FALSE)=0,"",VLOOKUP($A238,DICO_Complet!$A$3:$U$983,18,FALSE))</f>
        <v/>
      </c>
    </row>
    <row r="239" spans="1:17">
      <c r="A239" s="38">
        <v>241112000008</v>
      </c>
      <c r="B239" s="47" t="s">
        <v>858</v>
      </c>
      <c r="C239" s="3" t="str">
        <f>VLOOKUP($A239,DICO_Complet!$A$3:$U$983,3,FALSE)</f>
        <v>Context</v>
      </c>
      <c r="D239" s="3" t="str">
        <f>VLOOKUP($A239,DICO_Complet!$A$3:$U$983,4,FALSE)</f>
        <v>transactionContext</v>
      </c>
      <c r="E239" s="2" t="str">
        <f>VLOOKUP($A239,DICO_Complet!$A$3:$U$983,5,FALSE)</f>
        <v>extendedEcommerceIndicator</v>
      </c>
      <c r="F239" s="2" t="str">
        <f>VLOOKUP($A239,DICO_Complet!$A$3:$U$983,6,FALSE)</f>
        <v>Exact3NumericText</v>
      </c>
      <c r="G239" s="48">
        <f>VLOOKUP($A239,DICO_Complet!$A$3:$U$983,7,FALSE)</f>
        <v>0</v>
      </c>
      <c r="H239" s="48">
        <f>VLOOKUP($A239,DICO_Complet!$A$3:$U$983,8,FALSE)</f>
        <v>0</v>
      </c>
      <c r="I239" s="2" t="str">
        <f>IF(VLOOKUP($A239,DICO_Complet!$A$3:$U$983,9,FALSE)&lt;&gt;0,VLOOKUP($A239,DICO_Complet!$A$3:$U$983,9,FALSE),"")</f>
        <v/>
      </c>
      <c r="J239" s="1" t="str">
        <f>VLOOKUP($A239,DICO_Complet!$A$3:$U$983,10,FALSE)</f>
        <v>Extended electronic commerce indicator (SLI - Mastercard)</v>
      </c>
      <c r="K239" s="53" t="str">
        <f>IF(VLOOKUP($A239,DICO_Complet!$A$3:$U$983,12,FALSE)=0,"",VLOOKUP($A239,DICO_Complet!$A$3:$U$983,12,FALSE))</f>
        <v>RSB57_15</v>
      </c>
      <c r="L239" s="53" t="str">
        <f>IF(VLOOKUP($A239,DICO_Complet!$A$3:$U$983,13,FALSE)=0,"",VLOOKUP($A239,DICO_Complet!$A$3:$U$983,13,FALSE))</f>
        <v>[57-0015]</v>
      </c>
      <c r="M239" s="53" t="str">
        <f>IF(VLOOKUP($A239,DICO_Complet!$A$3:$U$983,14,FALSE)=0,"",VLOOKUP($A239,DICO_Complet!$A$3:$U$983,14,FALSE))</f>
        <v>[59_0016]</v>
      </c>
      <c r="N239" s="53" t="str">
        <f>IF(VLOOKUP($A239,DICO_Complet!$A$3:$U$983,15,FALSE)=0,"",VLOOKUP($A239,DICO_Complet!$A$3:$U$983,15,FALSE))</f>
        <v>[119-0016]</v>
      </c>
      <c r="O239" s="53" t="str">
        <f>IF(VLOOKUP($A239,DICO_Complet!$A$3:$U$983,16,FALSE)=0,"",VLOOKUP($A239,DICO_Complet!$A$3:$U$983,16,FALSE))</f>
        <v/>
      </c>
      <c r="P239" s="53" t="str">
        <f>IF(VLOOKUP($A239,DICO_Complet!$A$3:$U$983,17,FALSE)=0,"",VLOOKUP($A239,DICO_Complet!$A$3:$U$983,17,FALSE))</f>
        <v>DE 48 SE42 SF1</v>
      </c>
      <c r="Q239" s="53" t="str">
        <f>IF(VLOOKUP($A239,DICO_Complet!$A$3:$U$983,18,FALSE)=0,"",VLOOKUP($A239,DICO_Complet!$A$3:$U$983,18,FALSE))</f>
        <v/>
      </c>
    </row>
    <row r="240" spans="1:17" ht="15" customHeight="1">
      <c r="A240" s="38">
        <v>241112000045</v>
      </c>
      <c r="B240" s="47" t="s">
        <v>858</v>
      </c>
      <c r="C240" s="3" t="str">
        <f>VLOOKUP($A240,DICO_Complet!$A$3:$U$983,3,FALSE)</f>
        <v>Context</v>
      </c>
      <c r="D240" s="3" t="str">
        <f>VLOOKUP($A240,DICO_Complet!$A$3:$U$983,4,FALSE)</f>
        <v>transactionContext</v>
      </c>
      <c r="E240" s="2" t="str">
        <f>VLOOKUP($A240,DICO_Complet!$A$3:$U$983,5,FALSE)</f>
        <v>forwardingId</v>
      </c>
      <c r="F240" s="2" t="str">
        <f>VLOOKUP($A240,DICO_Complet!$A$3:$U$983,6,FALSE)</f>
        <v>Max11NumericText</v>
      </c>
      <c r="G240" s="48">
        <f>VLOOKUP($A240,DICO_Complet!$A$3:$U$983,7,FALSE)</f>
        <v>0</v>
      </c>
      <c r="H240" s="48">
        <f>VLOOKUP($A240,DICO_Complet!$A$3:$U$983,8,FALSE)</f>
        <v>0</v>
      </c>
      <c r="I240" s="2" t="str">
        <f>IF(VLOOKUP($A240,DICO_Complet!$A$3:$U$983,9,FALSE)&lt;&gt;0,VLOOKUP($A240,DICO_Complet!$A$3:$U$983,9,FALSE),"")</f>
        <v/>
      </c>
      <c r="J240" s="1" t="str">
        <f>VLOOKUP($A240,DICO_Complet!$A$3:$U$983,10,FALSE)</f>
        <v>Transmitter ID or orginial Sender Id</v>
      </c>
      <c r="K240" s="53" t="str">
        <f>IF(VLOOKUP($A240,DICO_Complet!$A$3:$U$983,12,FALSE)=0,"",VLOOKUP($A240,DICO_Complet!$A$3:$U$983,12,FALSE))</f>
        <v>ISO33</v>
      </c>
      <c r="L240" s="53" t="str">
        <f>IF(VLOOKUP($A240,DICO_Complet!$A$3:$U$983,13,FALSE)=0,"",VLOOKUP($A240,DICO_Complet!$A$3:$U$983,13,FALSE))</f>
        <v/>
      </c>
      <c r="M240" s="53" t="str">
        <f>IF(VLOOKUP($A240,DICO_Complet!$A$3:$U$983,14,FALSE)=0,"",VLOOKUP($A240,DICO_Complet!$A$3:$U$983,14,FALSE))</f>
        <v/>
      </c>
      <c r="N240" s="53" t="str">
        <f>IF(VLOOKUP($A240,DICO_Complet!$A$3:$U$983,15,FALSE)=0,"",VLOOKUP($A240,DICO_Complet!$A$3:$U$983,15,FALSE))</f>
        <v/>
      </c>
      <c r="O240" s="53" t="str">
        <f>IF(VLOOKUP($A240,DICO_Complet!$A$3:$U$983,16,FALSE)=0,"",VLOOKUP($A240,DICO_Complet!$A$3:$U$983,16,FALSE))</f>
        <v/>
      </c>
      <c r="P240" s="53" t="str">
        <f>IF(VLOOKUP($A240,DICO_Complet!$A$3:$U$983,17,FALSE)=0,"",VLOOKUP($A240,DICO_Complet!$A$3:$U$983,17,FALSE))</f>
        <v/>
      </c>
      <c r="Q240" s="53" t="str">
        <f>IF(VLOOKUP($A240,DICO_Complet!$A$3:$U$983,18,FALSE)=0,"",VLOOKUP($A240,DICO_Complet!$A$3:$U$983,18,FALSE))</f>
        <v/>
      </c>
    </row>
    <row r="241" spans="1:17" ht="15" customHeight="1">
      <c r="A241" s="38">
        <v>241112000047</v>
      </c>
      <c r="B241" s="47" t="s">
        <v>858</v>
      </c>
      <c r="C241" s="3" t="str">
        <f>VLOOKUP($A241,DICO_Complet!$A$3:$U$983,3,FALSE)</f>
        <v>Context</v>
      </c>
      <c r="D241" s="3" t="str">
        <f>VLOOKUP($A241,DICO_Complet!$A$3:$U$983,4,FALSE)</f>
        <v>transactionContext</v>
      </c>
      <c r="E241" s="2" t="str">
        <f>VLOOKUP($A241,DICO_Complet!$A$3:$U$983,5,FALSE)</f>
        <v>functionCode</v>
      </c>
      <c r="F241" s="2" t="str">
        <f>VLOOKUP($A241,DICO_Complet!$A$3:$U$983,6,FALSE)</f>
        <v>Exact3NumericText</v>
      </c>
      <c r="G241" s="48">
        <f>VLOOKUP($A241,DICO_Complet!$A$3:$U$983,7,FALSE)</f>
        <v>0</v>
      </c>
      <c r="H241" s="48">
        <f>VLOOKUP($A241,DICO_Complet!$A$3:$U$983,8,FALSE)</f>
        <v>0</v>
      </c>
      <c r="I241" s="2" t="str">
        <f>IF(VLOOKUP($A241,DICO_Complet!$A$3:$U$983,9,FALSE)&lt;&gt;0,VLOOKUP($A241,DICO_Complet!$A$3:$U$983,9,FALSE),"")</f>
        <v/>
      </c>
      <c r="J241" s="1" t="str">
        <f>VLOOKUP($A241,DICO_Complet!$A$3:$U$983,10,FALSE)</f>
        <v>Function code</v>
      </c>
      <c r="K241" s="53" t="str">
        <f>IF(VLOOKUP($A241,DICO_Complet!$A$3:$U$983,12,FALSE)=0,"",VLOOKUP($A241,DICO_Complet!$A$3:$U$983,12,FALSE))</f>
        <v>RSB59_100</v>
      </c>
      <c r="L241" s="53" t="str">
        <f>IF(VLOOKUP($A241,DICO_Complet!$A$3:$U$983,13,FALSE)=0,"",VLOOKUP($A241,DICO_Complet!$A$3:$U$983,13,FALSE))</f>
        <v>[59-0100]</v>
      </c>
      <c r="M241" s="53" t="str">
        <f>IF(VLOOKUP($A241,DICO_Complet!$A$3:$U$983,14,FALSE)=0,"",VLOOKUP($A241,DICO_Complet!$A$3:$U$983,14,FALSE))</f>
        <v/>
      </c>
      <c r="N241" s="53" t="str">
        <f>IF(VLOOKUP($A241,DICO_Complet!$A$3:$U$983,15,FALSE)=0,"",VLOOKUP($A241,DICO_Complet!$A$3:$U$983,15,FALSE))</f>
        <v/>
      </c>
      <c r="O241" s="53" t="str">
        <f>IF(VLOOKUP($A241,DICO_Complet!$A$3:$U$983,16,FALSE)=0,"",VLOOKUP($A241,DICO_Complet!$A$3:$U$983,16,FALSE))</f>
        <v/>
      </c>
      <c r="P241" s="53" t="str">
        <f>IF(VLOOKUP($A241,DICO_Complet!$A$3:$U$983,17,FALSE)=0,"",VLOOKUP($A241,DICO_Complet!$A$3:$U$983,17,FALSE))</f>
        <v/>
      </c>
      <c r="Q241" s="53" t="str">
        <f>IF(VLOOKUP($A241,DICO_Complet!$A$3:$U$983,18,FALSE)=0,"",VLOOKUP($A241,DICO_Complet!$A$3:$U$983,18,FALSE))</f>
        <v/>
      </c>
    </row>
    <row r="242" spans="1:17">
      <c r="A242" s="38">
        <v>250401150600</v>
      </c>
      <c r="B242" s="47" t="s">
        <v>858</v>
      </c>
      <c r="C242" s="3" t="str">
        <f>VLOOKUP($A242,DICO_Complet!$A$3:$U$983,3,FALSE)</f>
        <v>Context</v>
      </c>
      <c r="D242" s="3" t="str">
        <f>VLOOKUP($A242,DICO_Complet!$A$3:$U$983,4,FALSE)</f>
        <v>transactionContext</v>
      </c>
      <c r="E242" s="2" t="str">
        <f>VLOOKUP($A242,DICO_Complet!$A$3:$U$983,5,FALSE)</f>
        <v>fundsTransferApplicationNature</v>
      </c>
      <c r="F242" s="2" t="str">
        <f>VLOOKUP($A242,DICO_Complet!$A$3:$U$983,6,FALSE)</f>
        <v>Max3AlphaNumericText</v>
      </c>
      <c r="G242" s="48">
        <f>VLOOKUP($A242,DICO_Complet!$A$3:$U$983,7,FALSE)</f>
        <v>0</v>
      </c>
      <c r="H242" s="48">
        <f>VLOOKUP($A242,DICO_Complet!$A$3:$U$983,8,FALSE)</f>
        <v>0</v>
      </c>
      <c r="I242" s="2" t="str">
        <f>IF(VLOOKUP($A242,DICO_Complet!$A$3:$U$983,9,FALSE)&lt;&gt;0,VLOOKUP($A242,DICO_Complet!$A$3:$U$983,9,FALSE),"")</f>
        <v/>
      </c>
      <c r="J242" s="1" t="str">
        <f>VLOOKUP($A242,DICO_Complet!$A$3:$U$983,10,FALSE)</f>
        <v>type of application which initiate fund transfer</v>
      </c>
      <c r="K242" s="53" t="str">
        <f>IF(VLOOKUP($A242,DICO_Complet!$A$3:$U$983,12,FALSE)=0,"",VLOOKUP($A242,DICO_Complet!$A$3:$U$983,12,FALSE))</f>
        <v/>
      </c>
      <c r="L242" s="53" t="str">
        <f>IF(VLOOKUP($A242,DICO_Complet!$A$3:$U$983,13,FALSE)=0,"",VLOOKUP($A242,DICO_Complet!$A$3:$U$983,13,FALSE))</f>
        <v>118_1001</v>
      </c>
      <c r="M242" s="53" t="str">
        <f>IF(VLOOKUP($A242,DICO_Complet!$A$3:$U$983,14,FALSE)=0,"",VLOOKUP($A242,DICO_Complet!$A$3:$U$983,14,FALSE))</f>
        <v/>
      </c>
      <c r="N242" s="53" t="str">
        <f>IF(VLOOKUP($A242,DICO_Complet!$A$3:$U$983,15,FALSE)=0,"",VLOOKUP($A242,DICO_Complet!$A$3:$U$983,15,FALSE))</f>
        <v>112_03</v>
      </c>
      <c r="O242" s="53" t="str">
        <f>IF(VLOOKUP($A242,DICO_Complet!$A$3:$U$983,16,FALSE)=0,"",VLOOKUP($A242,DICO_Complet!$A$3:$U$983,16,FALSE))</f>
        <v/>
      </c>
      <c r="P242" s="53" t="str">
        <f>IF(VLOOKUP($A242,DICO_Complet!$A$3:$U$983,17,FALSE)=0,"",VLOOKUP($A242,DICO_Complet!$A$3:$U$983,17,FALSE))</f>
        <v/>
      </c>
      <c r="Q242" s="53" t="str">
        <f>IF(VLOOKUP($A242,DICO_Complet!$A$3:$U$983,18,FALSE)=0,"",VLOOKUP($A242,DICO_Complet!$A$3:$U$983,18,FALSE))</f>
        <v/>
      </c>
    </row>
    <row r="243" spans="1:17">
      <c r="A243" s="38">
        <v>250414112101</v>
      </c>
      <c r="B243" s="47" t="s">
        <v>858</v>
      </c>
      <c r="C243" s="3" t="str">
        <f>VLOOKUP($A243,DICO_Complet!$A$3:$U$983,3,FALSE)</f>
        <v>Context</v>
      </c>
      <c r="D243" s="3" t="str">
        <f>VLOOKUP($A243,DICO_Complet!$A$3:$U$983,4,FALSE)</f>
        <v>transactionContext</v>
      </c>
      <c r="E243" s="2" t="str">
        <f>VLOOKUP($A243,DICO_Complet!$A$3:$U$983,5,FALSE)</f>
        <v>fundsTransferTypeIdentifier</v>
      </c>
      <c r="F243" s="2" t="str">
        <f>VLOOKUP($A243,DICO_Complet!$A$3:$U$983,6,FALSE)</f>
        <v>FundsTransferTypeIdentifierCodeset</v>
      </c>
      <c r="G243" s="48">
        <f>VLOOKUP($A243,DICO_Complet!$A$3:$U$983,7,FALSE)</f>
        <v>0</v>
      </c>
      <c r="H243" s="48">
        <f>VLOOKUP($A243,DICO_Complet!$A$3:$U$983,8,FALSE)</f>
        <v>0</v>
      </c>
      <c r="I243" s="2" t="str">
        <f>IF(VLOOKUP($A243,DICO_Complet!$A$3:$U$983,9,FALSE)&lt;&gt;0,VLOOKUP($A243,DICO_Complet!$A$3:$U$983,9,FALSE),"")</f>
        <v/>
      </c>
      <c r="J243" s="1" t="str">
        <f>VLOOKUP($A243,DICO_Complet!$A$3:$U$983,10,FALSE)</f>
        <v>Identifier of the type of application that initiates the transaction</v>
      </c>
      <c r="K243" s="53" t="str">
        <f>IF(VLOOKUP($A243,DICO_Complet!$A$3:$U$983,12,FALSE)=0,"",VLOOKUP($A243,DICO_Complet!$A$3:$U$983,12,FALSE))</f>
        <v/>
      </c>
      <c r="L243" s="53" t="str">
        <f>IF(VLOOKUP($A243,DICO_Complet!$A$3:$U$983,13,FALSE)=0,"",VLOOKUP($A243,DICO_Complet!$A$3:$U$983,13,FALSE))</f>
        <v/>
      </c>
      <c r="M243" s="53" t="str">
        <f>IF(VLOOKUP($A243,DICO_Complet!$A$3:$U$983,14,FALSE)=0,"",VLOOKUP($A243,DICO_Complet!$A$3:$U$983,14,FALSE))</f>
        <v>47_26 Part 2</v>
      </c>
      <c r="N243" s="53" t="str">
        <f>IF(VLOOKUP($A243,DICO_Complet!$A$3:$U$983,15,FALSE)=0,"",VLOOKUP($A243,DICO_Complet!$A$3:$U$983,15,FALSE))</f>
        <v/>
      </c>
      <c r="O243" s="53" t="str">
        <f>IF(VLOOKUP($A243,DICO_Complet!$A$3:$U$983,16,FALSE)=0,"",VLOOKUP($A243,DICO_Complet!$A$3:$U$983,16,FALSE))</f>
        <v/>
      </c>
      <c r="P243" s="53" t="str">
        <f>IF(VLOOKUP($A243,DICO_Complet!$A$3:$U$983,17,FALSE)=0,"",VLOOKUP($A243,DICO_Complet!$A$3:$U$983,17,FALSE))</f>
        <v/>
      </c>
      <c r="Q243" s="53" t="str">
        <f>IF(VLOOKUP($A243,DICO_Complet!$A$3:$U$983,18,FALSE)=0,"",VLOOKUP($A243,DICO_Complet!$A$3:$U$983,18,FALSE))</f>
        <v/>
      </c>
    </row>
    <row r="244" spans="1:17">
      <c r="A244" s="38">
        <v>250414112100</v>
      </c>
      <c r="B244" s="47" t="s">
        <v>858</v>
      </c>
      <c r="C244" s="3" t="str">
        <f>VLOOKUP($A244,DICO_Complet!$A$3:$U$983,3,FALSE)</f>
        <v>Context</v>
      </c>
      <c r="D244" s="3" t="str">
        <f>VLOOKUP($A244,DICO_Complet!$A$3:$U$983,4,FALSE)</f>
        <v>transactionContext</v>
      </c>
      <c r="E244" s="2" t="str">
        <f>VLOOKUP($A244,DICO_Complet!$A$3:$U$983,5,FALSE)</f>
        <v>fundsTransferTypeNomenclature</v>
      </c>
      <c r="F244" s="2" t="str">
        <f>VLOOKUP($A244,DICO_Complet!$A$3:$U$983,6,FALSE)</f>
        <v>FundsTransferTypeNomenclatureCodeset</v>
      </c>
      <c r="G244" s="48">
        <f>VLOOKUP($A244,DICO_Complet!$A$3:$U$983,7,FALSE)</f>
        <v>0</v>
      </c>
      <c r="H244" s="48">
        <f>VLOOKUP($A244,DICO_Complet!$A$3:$U$983,8,FALSE)</f>
        <v>0</v>
      </c>
      <c r="I244" s="2" t="str">
        <f>IF(VLOOKUP($A244,DICO_Complet!$A$3:$U$983,9,FALSE)&lt;&gt;0,VLOOKUP($A244,DICO_Complet!$A$3:$U$983,9,FALSE),"")</f>
        <v/>
      </c>
      <c r="J244" s="1" t="str">
        <f>VLOOKUP($A244,DICO_Complet!$A$3:$U$983,10,FALSE)</f>
        <v>funds Transfer Nomenclature</v>
      </c>
      <c r="K244" s="53" t="str">
        <f>IF(VLOOKUP($A244,DICO_Complet!$A$3:$U$983,12,FALSE)=0,"",VLOOKUP($A244,DICO_Complet!$A$3:$U$983,12,FALSE))</f>
        <v/>
      </c>
      <c r="L244" s="53" t="str">
        <f>IF(VLOOKUP($A244,DICO_Complet!$A$3:$U$983,13,FALSE)=0,"",VLOOKUP($A244,DICO_Complet!$A$3:$U$983,13,FALSE))</f>
        <v/>
      </c>
      <c r="M244" s="53" t="str">
        <f>IF(VLOOKUP($A244,DICO_Complet!$A$3:$U$983,14,FALSE)=0,"",VLOOKUP($A244,DICO_Complet!$A$3:$U$983,14,FALSE))</f>
        <v>47_26 Part 1</v>
      </c>
      <c r="N244" s="53" t="str">
        <f>IF(VLOOKUP($A244,DICO_Complet!$A$3:$U$983,15,FALSE)=0,"",VLOOKUP($A244,DICO_Complet!$A$3:$U$983,15,FALSE))</f>
        <v/>
      </c>
      <c r="O244" s="53" t="str">
        <f>IF(VLOOKUP($A244,DICO_Complet!$A$3:$U$983,16,FALSE)=0,"",VLOOKUP($A244,DICO_Complet!$A$3:$U$983,16,FALSE))</f>
        <v/>
      </c>
      <c r="P244" s="53" t="str">
        <f>IF(VLOOKUP($A244,DICO_Complet!$A$3:$U$983,17,FALSE)=0,"",VLOOKUP($A244,DICO_Complet!$A$3:$U$983,17,FALSE))</f>
        <v/>
      </c>
      <c r="Q244" s="53" t="str">
        <f>IF(VLOOKUP($A244,DICO_Complet!$A$3:$U$983,18,FALSE)=0,"",VLOOKUP($A244,DICO_Complet!$A$3:$U$983,18,FALSE))</f>
        <v/>
      </c>
    </row>
    <row r="245" spans="1:17">
      <c r="A245" s="38">
        <v>250325134505</v>
      </c>
      <c r="B245" s="47" t="s">
        <v>858</v>
      </c>
      <c r="C245" s="3" t="str">
        <f>VLOOKUP($A245,DICO_Complet!$A$3:$U$983,3,FALSE)</f>
        <v>Context</v>
      </c>
      <c r="D245" s="3" t="str">
        <f>VLOOKUP($A245,DICO_Complet!$A$3:$U$983,4,FALSE)</f>
        <v>transactionContext</v>
      </c>
      <c r="E245" s="2" t="str">
        <f>VLOOKUP($A245,DICO_Complet!$A$3:$U$983,5,FALSE)</f>
        <v>fundTransferReason</v>
      </c>
      <c r="F245" s="2" t="str">
        <f>VLOOKUP($A245,DICO_Complet!$A$3:$U$983,6,FALSE)</f>
        <v>Max40Text</v>
      </c>
      <c r="G245" s="48">
        <f>VLOOKUP($A245,DICO_Complet!$A$3:$U$983,7,FALSE)</f>
        <v>0</v>
      </c>
      <c r="H245" s="48">
        <f>VLOOKUP($A245,DICO_Complet!$A$3:$U$983,8,FALSE)</f>
        <v>0</v>
      </c>
      <c r="I245" s="2" t="str">
        <f>IF(VLOOKUP($A245,DICO_Complet!$A$3:$U$983,9,FALSE)&lt;&gt;0,VLOOKUP($A245,DICO_Complet!$A$3:$U$983,9,FALSE),"")</f>
        <v/>
      </c>
      <c r="J245" s="1" t="str">
        <f>VLOOKUP($A245,DICO_Complet!$A$3:$U$983,10,FALSE)</f>
        <v>Reason of fund transfer</v>
      </c>
      <c r="K245" s="53" t="str">
        <f>IF(VLOOKUP($A245,DICO_Complet!$A$3:$U$983,12,FALSE)=0,"",VLOOKUP($A245,DICO_Complet!$A$3:$U$983,12,FALSE))</f>
        <v/>
      </c>
      <c r="L245" s="53" t="str">
        <f>IF(VLOOKUP($A245,DICO_Complet!$A$3:$U$983,13,FALSE)=0,"",VLOOKUP($A245,DICO_Complet!$A$3:$U$983,13,FALSE))</f>
        <v>118_1003</v>
      </c>
      <c r="M245" s="53" t="str">
        <f>IF(VLOOKUP($A245,DICO_Complet!$A$3:$U$983,14,FALSE)=0,"",VLOOKUP($A245,DICO_Complet!$A$3:$U$983,14,FALSE))</f>
        <v/>
      </c>
      <c r="N245" s="53" t="str">
        <f>IF(VLOOKUP($A245,DICO_Complet!$A$3:$U$983,15,FALSE)=0,"",VLOOKUP($A245,DICO_Complet!$A$3:$U$983,15,FALSE))</f>
        <v>112_08</v>
      </c>
      <c r="O245" s="53" t="str">
        <f>IF(VLOOKUP($A245,DICO_Complet!$A$3:$U$983,16,FALSE)=0,"",VLOOKUP($A245,DICO_Complet!$A$3:$U$983,16,FALSE))</f>
        <v/>
      </c>
      <c r="P245" s="53" t="str">
        <f>IF(VLOOKUP($A245,DICO_Complet!$A$3:$U$983,17,FALSE)=0,"",VLOOKUP($A245,DICO_Complet!$A$3:$U$983,17,FALSE))</f>
        <v/>
      </c>
      <c r="Q245" s="53" t="str">
        <f>IF(VLOOKUP($A245,DICO_Complet!$A$3:$U$983,18,FALSE)=0,"",VLOOKUP($A245,DICO_Complet!$A$3:$U$983,18,FALSE))</f>
        <v/>
      </c>
    </row>
    <row r="246" spans="1:17">
      <c r="A246" s="38">
        <v>241112000048</v>
      </c>
      <c r="B246" s="47" t="s">
        <v>858</v>
      </c>
      <c r="C246" s="3" t="str">
        <f>VLOOKUP($A246,DICO_Complet!$A$3:$U$983,3,FALSE)</f>
        <v>Context</v>
      </c>
      <c r="D246" s="3" t="str">
        <f>VLOOKUP($A246,DICO_Complet!$A$3:$U$983,4,FALSE)</f>
        <v>transactionContext</v>
      </c>
      <c r="E246" s="2" t="str">
        <f>VLOOKUP($A246,DICO_Complet!$A$3:$U$983,5,FALSE)</f>
        <v>internationalAuthorisationNetwork</v>
      </c>
      <c r="F246" s="2" t="str">
        <f>VLOOKUP($A246,DICO_Complet!$A$3:$U$983,6,FALSE)</f>
        <v>Exact1HexBinaryText</v>
      </c>
      <c r="G246" s="48">
        <f>VLOOKUP($A246,DICO_Complet!$A$3:$U$983,7,FALSE)</f>
        <v>0</v>
      </c>
      <c r="H246" s="48">
        <f>VLOOKUP($A246,DICO_Complet!$A$3:$U$983,8,FALSE)</f>
        <v>0</v>
      </c>
      <c r="I246" s="2" t="str">
        <f>IF(VLOOKUP($A246,DICO_Complet!$A$3:$U$983,9,FALSE)&lt;&gt;0,VLOOKUP($A246,DICO_Complet!$A$3:$U$983,9,FALSE),"")</f>
        <v/>
      </c>
      <c r="J246" s="1" t="str">
        <f>VLOOKUP($A246,DICO_Complet!$A$3:$U$983,10,FALSE)</f>
        <v>International authorisation network identifier</v>
      </c>
      <c r="K246" s="53" t="str">
        <f>IF(VLOOKUP($A246,DICO_Complet!$A$3:$U$983,12,FALSE)=0,"",VLOOKUP($A246,DICO_Complet!$A$3:$U$983,12,FALSE))</f>
        <v>RSB59_803</v>
      </c>
      <c r="L246" s="53" t="str">
        <f>IF(VLOOKUP($A246,DICO_Complet!$A$3:$U$983,13,FALSE)=0,"",VLOOKUP($A246,DICO_Complet!$A$3:$U$983,13,FALSE))</f>
        <v>[59-0803]</v>
      </c>
      <c r="M246" s="53" t="str">
        <f>IF(VLOOKUP($A246,DICO_Complet!$A$3:$U$983,14,FALSE)=0,"",VLOOKUP($A246,DICO_Complet!$A$3:$U$983,14,FALSE))</f>
        <v/>
      </c>
      <c r="N246" s="53" t="str">
        <f>IF(VLOOKUP($A246,DICO_Complet!$A$3:$U$983,15,FALSE)=0,"",VLOOKUP($A246,DICO_Complet!$A$3:$U$983,15,FALSE))</f>
        <v/>
      </c>
      <c r="O246" s="53" t="str">
        <f>IF(VLOOKUP($A246,DICO_Complet!$A$3:$U$983,16,FALSE)=0,"",VLOOKUP($A246,DICO_Complet!$A$3:$U$983,16,FALSE))</f>
        <v/>
      </c>
      <c r="P246" s="53" t="str">
        <f>IF(VLOOKUP($A246,DICO_Complet!$A$3:$U$983,17,FALSE)=0,"",VLOOKUP($A246,DICO_Complet!$A$3:$U$983,17,FALSE))</f>
        <v/>
      </c>
      <c r="Q246" s="53" t="str">
        <f>IF(VLOOKUP($A246,DICO_Complet!$A$3:$U$983,18,FALSE)=0,"",VLOOKUP($A246,DICO_Complet!$A$3:$U$983,18,FALSE))</f>
        <v/>
      </c>
    </row>
    <row r="247" spans="1:17" ht="14.65" customHeight="1">
      <c r="A247" s="38">
        <v>241112000264</v>
      </c>
      <c r="B247" s="47" t="s">
        <v>858</v>
      </c>
      <c r="C247" s="3" t="str">
        <f>VLOOKUP($A247,DICO_Complet!$A$3:$U$983,3,FALSE)</f>
        <v>Context</v>
      </c>
      <c r="D247" s="3" t="str">
        <f>VLOOKUP($A247,DICO_Complet!$A$3:$U$983,4,FALSE)</f>
        <v>transactionContext</v>
      </c>
      <c r="E247" s="2" t="str">
        <f>VLOOKUP($A247,DICO_Complet!$A$3:$U$983,5,FALSE)</f>
        <v>issuerAuthenticationData</v>
      </c>
      <c r="F247" s="2" t="str">
        <f>VLOOKUP($A247,DICO_Complet!$A$3:$U$983,6,FALSE)</f>
        <v>Min8Max16HexBinaryText</v>
      </c>
      <c r="G247" s="48">
        <f>VLOOKUP($A247,DICO_Complet!$A$3:$U$983,7,FALSE)</f>
        <v>0</v>
      </c>
      <c r="H247" s="48">
        <f>VLOOKUP($A247,DICO_Complet!$A$3:$U$983,8,FALSE)</f>
        <v>0</v>
      </c>
      <c r="I247" s="2" t="str">
        <f>IF(VLOOKUP($A247,DICO_Complet!$A$3:$U$983,9,FALSE)&lt;&gt;0,VLOOKUP($A247,DICO_Complet!$A$3:$U$983,9,FALSE),"")</f>
        <v/>
      </c>
      <c r="J247" s="1" t="str">
        <f>VLOOKUP($A247,DICO_Complet!$A$3:$U$983,10,FALSE)</f>
        <v>Issuer Authentication Data</v>
      </c>
      <c r="K247" s="53" t="str">
        <f>IF(VLOOKUP($A247,DICO_Complet!$A$3:$U$983,12,FALSE)=0,"",VLOOKUP($A247,DICO_Complet!$A$3:$U$983,12,FALSE))</f>
        <v>RSB55_91</v>
      </c>
      <c r="L247" s="53" t="str">
        <f>IF(VLOOKUP($A247,DICO_Complet!$A$3:$U$983,13,FALSE)=0,"",VLOOKUP($A247,DICO_Complet!$A$3:$U$983,13,FALSE))</f>
        <v>[55-0091]</v>
      </c>
      <c r="M247" s="53" t="str">
        <f>IF(VLOOKUP($A247,DICO_Complet!$A$3:$U$983,14,FALSE)=0,"",VLOOKUP($A247,DICO_Complet!$A$3:$U$983,14,FALSE))</f>
        <v/>
      </c>
      <c r="N247" s="53" t="str">
        <f>IF(VLOOKUP($A247,DICO_Complet!$A$3:$U$983,15,FALSE)=0,"",VLOOKUP($A247,DICO_Complet!$A$3:$U$983,15,FALSE))</f>
        <v/>
      </c>
      <c r="O247" s="53" t="str">
        <f>IF(VLOOKUP($A247,DICO_Complet!$A$3:$U$983,16,FALSE)=0,"",VLOOKUP($A247,DICO_Complet!$A$3:$U$983,16,FALSE))</f>
        <v/>
      </c>
      <c r="P247" s="53" t="str">
        <f>IF(VLOOKUP($A247,DICO_Complet!$A$3:$U$983,17,FALSE)=0,"",VLOOKUP($A247,DICO_Complet!$A$3:$U$983,17,FALSE))</f>
        <v/>
      </c>
      <c r="Q247" s="53" t="str">
        <f>IF(VLOOKUP($A247,DICO_Complet!$A$3:$U$983,18,FALSE)=0,"",VLOOKUP($A247,DICO_Complet!$A$3:$U$983,18,FALSE))</f>
        <v/>
      </c>
    </row>
    <row r="248" spans="1:17">
      <c r="A248" s="38">
        <v>250317120000</v>
      </c>
      <c r="B248" s="47" t="s">
        <v>858</v>
      </c>
      <c r="C248" s="3" t="str">
        <f>VLOOKUP($A248,DICO_Complet!$A$3:$U$983,3,FALSE)</f>
        <v>Context</v>
      </c>
      <c r="D248" s="3" t="str">
        <f>VLOOKUP($A248,DICO_Complet!$A$3:$U$983,4,FALSE)</f>
        <v>transactionContext</v>
      </c>
      <c r="E248" s="2" t="str">
        <f>VLOOKUP($A248,DICO_Complet!$A$3:$U$983,5,FALSE)</f>
        <v>jurisdiction</v>
      </c>
      <c r="F248" s="2" t="str">
        <f>VLOOKUP($A248,DICO_Complet!$A$3:$U$983,6,FALSE)</f>
        <v>Max50Text</v>
      </c>
      <c r="G248" s="48">
        <f>VLOOKUP($A248,DICO_Complet!$A$3:$U$983,7,FALSE)</f>
        <v>0</v>
      </c>
      <c r="H248" s="48">
        <f>VLOOKUP($A248,DICO_Complet!$A$3:$U$983,8,FALSE)</f>
        <v>0</v>
      </c>
      <c r="I248" s="2" t="str">
        <f>IF(VLOOKUP($A248,DICO_Complet!$A$3:$U$983,9,FALSE)&lt;&gt;0,VLOOKUP($A248,DICO_Complet!$A$3:$U$983,9,FALSE),"")</f>
        <v/>
      </c>
      <c r="J248" s="1" t="str">
        <f>VLOOKUP($A248,DICO_Complet!$A$3:$U$983,10,FALSE)</f>
        <v xml:space="preserve">The jurisdiction as determined by the pricing tool according to the Scheme specifications.
</v>
      </c>
      <c r="K248" s="53" t="str">
        <f>IF(VLOOKUP($A248,DICO_Complet!$A$3:$U$983,12,FALSE)=0,"",VLOOKUP($A248,DICO_Complet!$A$3:$U$983,12,FALSE))</f>
        <v/>
      </c>
      <c r="L248" s="53" t="str">
        <f>IF(VLOOKUP($A248,DICO_Complet!$A$3:$U$983,13,FALSE)=0,"",VLOOKUP($A248,DICO_Complet!$A$3:$U$983,13,FALSE))</f>
        <v/>
      </c>
      <c r="M248" s="53" t="str">
        <f>IF(VLOOKUP($A248,DICO_Complet!$A$3:$U$983,14,FALSE)=0,"",VLOOKUP($A248,DICO_Complet!$A$3:$U$983,14,FALSE))</f>
        <v/>
      </c>
      <c r="N248" s="53" t="str">
        <f>IF(VLOOKUP($A248,DICO_Complet!$A$3:$U$983,15,FALSE)=0,"",VLOOKUP($A248,DICO_Complet!$A$3:$U$983,15,FALSE))</f>
        <v/>
      </c>
      <c r="O248" s="53" t="str">
        <f>IF(VLOOKUP($A248,DICO_Complet!$A$3:$U$983,16,FALSE)=0,"",VLOOKUP($A248,DICO_Complet!$A$3:$U$983,16,FALSE))</f>
        <v/>
      </c>
      <c r="P248" s="53" t="str">
        <f>IF(VLOOKUP($A248,DICO_Complet!$A$3:$U$983,17,FALSE)=0,"",VLOOKUP($A248,DICO_Complet!$A$3:$U$983,17,FALSE))</f>
        <v/>
      </c>
      <c r="Q248" s="53" t="str">
        <f>IF(VLOOKUP($A248,DICO_Complet!$A$3:$U$983,18,FALSE)=0,"",VLOOKUP($A248,DICO_Complet!$A$3:$U$983,18,FALSE))</f>
        <v/>
      </c>
    </row>
    <row r="249" spans="1:17">
      <c r="A249" s="38">
        <v>250108150300</v>
      </c>
      <c r="B249" s="47" t="s">
        <v>858</v>
      </c>
      <c r="C249" s="3" t="str">
        <f>VLOOKUP($A249,DICO_Complet!$A$3:$U$983,3,FALSE)</f>
        <v>Context</v>
      </c>
      <c r="D249" s="3" t="str">
        <f>VLOOKUP($A249,DICO_Complet!$A$3:$U$983,4,FALSE)</f>
        <v>transactionContext</v>
      </c>
      <c r="E249" s="2" t="str">
        <f>VLOOKUP($A249,DICO_Complet!$A$3:$U$983,5,FALSE)</f>
        <v>keySerialNumber</v>
      </c>
      <c r="F249" s="2" t="str">
        <f>VLOOKUP($A249,DICO_Complet!$A$3:$U$983,6,FALSE)</f>
        <v>Min9Max12HexBinaryText</v>
      </c>
      <c r="G249" s="48">
        <f>VLOOKUP($A249,DICO_Complet!$A$3:$U$983,7,FALSE)</f>
        <v>0</v>
      </c>
      <c r="H249" s="48">
        <f>VLOOKUP($A249,DICO_Complet!$A$3:$U$983,8,FALSE)</f>
        <v>0</v>
      </c>
      <c r="I249" s="2" t="str">
        <f>IF(VLOOKUP($A249,DICO_Complet!$A$3:$U$983,9,FALSE)&lt;&gt;0,VLOOKUP($A249,DICO_Complet!$A$3:$U$983,9,FALSE),"")</f>
        <v/>
      </c>
      <c r="J249" s="1" t="str">
        <f>VLOOKUP($A249,DICO_Complet!$A$3:$U$983,10,FALSE)</f>
        <v xml:space="preserve"> Diversifiant de la cle de chiffrement du code confidentiel </v>
      </c>
      <c r="K249" s="53" t="str">
        <f>IF(VLOOKUP($A249,DICO_Complet!$A$3:$U$983,12,FALSE)=0,"",VLOOKUP($A249,DICO_Complet!$A$3:$U$983,12,FALSE))</f>
        <v/>
      </c>
      <c r="L249" s="53" t="str">
        <f>IF(VLOOKUP($A249,DICO_Complet!$A$3:$U$983,13,FALSE)=0,"",VLOOKUP($A249,DICO_Complet!$A$3:$U$983,13,FALSE))</f>
        <v/>
      </c>
      <c r="M249" s="53" t="str">
        <f>IF(VLOOKUP($A249,DICO_Complet!$A$3:$U$983,14,FALSE)=0,"",VLOOKUP($A249,DICO_Complet!$A$3:$U$983,14,FALSE))</f>
        <v/>
      </c>
      <c r="N249" s="53" t="str">
        <f>IF(VLOOKUP($A249,DICO_Complet!$A$3:$U$983,15,FALSE)=0,"",VLOOKUP($A249,DICO_Complet!$A$3:$U$983,15,FALSE))</f>
        <v/>
      </c>
      <c r="O249" s="53" t="str">
        <f>IF(VLOOKUP($A249,DICO_Complet!$A$3:$U$983,16,FALSE)=0,"",VLOOKUP($A249,DICO_Complet!$A$3:$U$983,16,FALSE))</f>
        <v/>
      </c>
      <c r="P249" s="53" t="str">
        <f>IF(VLOOKUP($A249,DICO_Complet!$A$3:$U$983,17,FALSE)=0,"",VLOOKUP($A249,DICO_Complet!$A$3:$U$983,17,FALSE))</f>
        <v/>
      </c>
      <c r="Q249" s="53" t="str">
        <f>IF(VLOOKUP($A249,DICO_Complet!$A$3:$U$983,18,FALSE)=0,"",VLOOKUP($A249,DICO_Complet!$A$3:$U$983,18,FALSE))</f>
        <v/>
      </c>
    </row>
    <row r="250" spans="1:17">
      <c r="A250" s="38">
        <v>250317176900</v>
      </c>
      <c r="B250" s="47" t="s">
        <v>858</v>
      </c>
      <c r="C250" s="3" t="str">
        <f>VLOOKUP($A250,DICO_Complet!$A$3:$U$983,3,FALSE)</f>
        <v>Context</v>
      </c>
      <c r="D250" s="3" t="str">
        <f>VLOOKUP($A250,DICO_Complet!$A$3:$U$983,4,FALSE)</f>
        <v>transactionContext</v>
      </c>
      <c r="E250" s="2" t="str">
        <f>VLOOKUP($A250,DICO_Complet!$A$3:$U$983,5,FALSE)</f>
        <v>manualIndicator</v>
      </c>
      <c r="F250" s="2" t="str">
        <f>VLOOKUP($A250,DICO_Complet!$A$3:$U$983,6,FALSE)</f>
        <v>TrueFalseIndicator</v>
      </c>
      <c r="G250" s="48">
        <f>VLOOKUP($A250,DICO_Complet!$A$3:$U$983,7,FALSE)</f>
        <v>0</v>
      </c>
      <c r="H250" s="48">
        <f>VLOOKUP($A250,DICO_Complet!$A$3:$U$983,8,FALSE)</f>
        <v>0</v>
      </c>
      <c r="I250" s="2" t="str">
        <f>IF(VLOOKUP($A250,DICO_Complet!$A$3:$U$983,9,FALSE)&lt;&gt;0,VLOOKUP($A250,DICO_Complet!$A$3:$U$983,9,FALSE),"")</f>
        <v/>
      </c>
      <c r="J250" s="1" t="str">
        <f>VLOOKUP($A250,DICO_Complet!$A$3:$U$983,10,FALSE)</f>
        <v>Manual indicator</v>
      </c>
      <c r="K250" s="53" t="str">
        <f>IF(VLOOKUP($A250,DICO_Complet!$A$3:$U$983,12,FALSE)=0,"",VLOOKUP($A250,DICO_Complet!$A$3:$U$983,12,FALSE))</f>
        <v/>
      </c>
      <c r="L250" s="53" t="str">
        <f>IF(VLOOKUP($A250,DICO_Complet!$A$3:$U$983,13,FALSE)=0,"",VLOOKUP($A250,DICO_Complet!$A$3:$U$983,13,FALSE))</f>
        <v/>
      </c>
      <c r="M250" s="53" t="str">
        <f>IF(VLOOKUP($A250,DICO_Complet!$A$3:$U$983,14,FALSE)=0,"",VLOOKUP($A250,DICO_Complet!$A$3:$U$983,14,FALSE))</f>
        <v/>
      </c>
      <c r="N250" s="53" t="str">
        <f>IF(VLOOKUP($A250,DICO_Complet!$A$3:$U$983,15,FALSE)=0,"",VLOOKUP($A250,DICO_Complet!$A$3:$U$983,15,FALSE))</f>
        <v/>
      </c>
      <c r="O250" s="53" t="str">
        <f>IF(VLOOKUP($A250,DICO_Complet!$A$3:$U$983,16,FALSE)=0,"",VLOOKUP($A250,DICO_Complet!$A$3:$U$983,16,FALSE))</f>
        <v/>
      </c>
      <c r="P250" s="53" t="str">
        <f>IF(VLOOKUP($A250,DICO_Complet!$A$3:$U$983,17,FALSE)=0,"",VLOOKUP($A250,DICO_Complet!$A$3:$U$983,17,FALSE))</f>
        <v/>
      </c>
      <c r="Q250" s="53" t="str">
        <f>IF(VLOOKUP($A250,DICO_Complet!$A$3:$U$983,18,FALSE)=0,"",VLOOKUP($A250,DICO_Complet!$A$3:$U$983,18,FALSE))</f>
        <v/>
      </c>
    </row>
    <row r="251" spans="1:17">
      <c r="A251" s="38">
        <v>241112000245</v>
      </c>
      <c r="B251" s="47" t="s">
        <v>858</v>
      </c>
      <c r="C251" s="3" t="str">
        <f>VLOOKUP($A251,DICO_Complet!$A$3:$U$983,3,FALSE)</f>
        <v>Context</v>
      </c>
      <c r="D251" s="3" t="str">
        <f>VLOOKUP($A251,DICO_Complet!$A$3:$U$983,4,FALSE)</f>
        <v>transactionContext</v>
      </c>
      <c r="E251" s="2" t="str">
        <f>VLOOKUP($A251,DICO_Complet!$A$3:$U$983,5,FALSE)</f>
        <v>messageReasonCode</v>
      </c>
      <c r="F251" s="2" t="str">
        <f>VLOOKUP($A251,DICO_Complet!$A$3:$U$983,6,FALSE)</f>
        <v>Exact4NumericText</v>
      </c>
      <c r="G251" s="48">
        <f>VLOOKUP($A251,DICO_Complet!$A$3:$U$983,7,FALSE)</f>
        <v>0</v>
      </c>
      <c r="H251" s="48">
        <f>VLOOKUP($A251,DICO_Complet!$A$3:$U$983,8,FALSE)</f>
        <v>0</v>
      </c>
      <c r="I251" s="2" t="str">
        <f>IF(VLOOKUP($A251,DICO_Complet!$A$3:$U$983,9,FALSE)&lt;&gt;0,VLOOKUP($A251,DICO_Complet!$A$3:$U$983,9,FALSE),"")</f>
        <v/>
      </c>
      <c r="J251" s="1" t="str">
        <f>VLOOKUP($A251,DICO_Complet!$A$3:$U$983,10,FALSE)</f>
        <v>Message reason code</v>
      </c>
      <c r="K251" s="53" t="str">
        <f>IF(VLOOKUP($A251,DICO_Complet!$A$3:$U$983,12,FALSE)=0,"",VLOOKUP($A251,DICO_Complet!$A$3:$U$983,12,FALSE))</f>
        <v>RSB59_101</v>
      </c>
      <c r="L251" s="53" t="str">
        <f>IF(VLOOKUP($A251,DICO_Complet!$A$3:$U$983,13,FALSE)=0,"",VLOOKUP($A251,DICO_Complet!$A$3:$U$983,13,FALSE))</f>
        <v>[59-0101]</v>
      </c>
      <c r="M251" s="53" t="str">
        <f>IF(VLOOKUP($A251,DICO_Complet!$A$3:$U$983,14,FALSE)=0,"",VLOOKUP($A251,DICO_Complet!$A$3:$U$983,14,FALSE))</f>
        <v>47_01</v>
      </c>
      <c r="N251" s="53" t="str">
        <f>IF(VLOOKUP($A251,DICO_Complet!$A$3:$U$983,15,FALSE)=0,"",VLOOKUP($A251,DICO_Complet!$A$3:$U$983,15,FALSE))</f>
        <v/>
      </c>
      <c r="O251" s="53" t="str">
        <f>IF(VLOOKUP($A251,DICO_Complet!$A$3:$U$983,16,FALSE)=0,"",VLOOKUP($A251,DICO_Complet!$A$3:$U$983,16,FALSE))</f>
        <v/>
      </c>
      <c r="P251" s="53" t="str">
        <f>IF(VLOOKUP($A251,DICO_Complet!$A$3:$U$983,17,FALSE)=0,"",VLOOKUP($A251,DICO_Complet!$A$3:$U$983,17,FALSE))</f>
        <v/>
      </c>
      <c r="Q251" s="53" t="str">
        <f>IF(VLOOKUP($A251,DICO_Complet!$A$3:$U$983,18,FALSE)=0,"",VLOOKUP($A251,DICO_Complet!$A$3:$U$983,18,FALSE))</f>
        <v/>
      </c>
    </row>
    <row r="252" spans="1:17">
      <c r="A252" s="38">
        <v>241227114401</v>
      </c>
      <c r="B252" s="47" t="s">
        <v>858</v>
      </c>
      <c r="C252" s="3" t="str">
        <f>VLOOKUP($A252,DICO_Complet!$A$3:$U$983,3,FALSE)</f>
        <v>Context</v>
      </c>
      <c r="D252" s="3" t="str">
        <f>VLOOKUP($A252,DICO_Complet!$A$3:$U$983,4,FALSE)</f>
        <v>transactionContext</v>
      </c>
      <c r="E252" s="2" t="str">
        <f>VLOOKUP($A252,DICO_Complet!$A$3:$U$983,5,FALSE)</f>
        <v>networkCodeDualRoute</v>
      </c>
      <c r="F252" s="2" t="str">
        <f>VLOOKUP($A252,DICO_Complet!$A$3:$U$983,6,FALSE)</f>
        <v>NetworkCodeset</v>
      </c>
      <c r="G252" s="48">
        <f>VLOOKUP($A252,DICO_Complet!$A$3:$U$983,7,FALSE)</f>
        <v>0</v>
      </c>
      <c r="H252" s="48">
        <f>VLOOKUP($A252,DICO_Complet!$A$3:$U$983,8,FALSE)</f>
        <v>0</v>
      </c>
      <c r="I252" s="2" t="str">
        <f>IF(VLOOKUP($A252,DICO_Complet!$A$3:$U$983,9,FALSE)&lt;&gt;0,VLOOKUP($A252,DICO_Complet!$A$3:$U$983,9,FALSE),"")</f>
        <v/>
      </c>
      <c r="J252" s="1" t="str">
        <f>VLOOKUP($A252,DICO_Complet!$A$3:$U$983,10,FALSE)</f>
        <v>Routing, second option</v>
      </c>
      <c r="K252" s="53" t="str">
        <f>IF(VLOOKUP($A252,DICO_Complet!$A$3:$U$983,12,FALSE)=0,"",VLOOKUP($A252,DICO_Complet!$A$3:$U$983,12,FALSE))</f>
        <v>MFO9-2</v>
      </c>
      <c r="L252" s="53" t="str">
        <f>IF(VLOOKUP($A252,DICO_Complet!$A$3:$U$983,13,FALSE)=0,"",VLOOKUP($A252,DICO_Complet!$A$3:$U$983,13,FALSE))</f>
        <v/>
      </c>
      <c r="M252" s="53" t="str">
        <f>IF(VLOOKUP($A252,DICO_Complet!$A$3:$U$983,14,FALSE)=0,"",VLOOKUP($A252,DICO_Complet!$A$3:$U$983,14,FALSE))</f>
        <v/>
      </c>
      <c r="N252" s="53" t="str">
        <f>IF(VLOOKUP($A252,DICO_Complet!$A$3:$U$983,15,FALSE)=0,"",VLOOKUP($A252,DICO_Complet!$A$3:$U$983,15,FALSE))</f>
        <v/>
      </c>
      <c r="O252" s="53" t="str">
        <f>IF(VLOOKUP($A252,DICO_Complet!$A$3:$U$983,16,FALSE)=0,"",VLOOKUP($A252,DICO_Complet!$A$3:$U$983,16,FALSE))</f>
        <v/>
      </c>
      <c r="P252" s="53" t="str">
        <f>IF(VLOOKUP($A252,DICO_Complet!$A$3:$U$983,17,FALSE)=0,"",VLOOKUP($A252,DICO_Complet!$A$3:$U$983,17,FALSE))</f>
        <v/>
      </c>
      <c r="Q252" s="53" t="str">
        <f>IF(VLOOKUP($A252,DICO_Complet!$A$3:$U$983,18,FALSE)=0,"",VLOOKUP($A252,DICO_Complet!$A$3:$U$983,18,FALSE))</f>
        <v/>
      </c>
    </row>
    <row r="253" spans="1:17">
      <c r="A253" s="38">
        <v>241227114400</v>
      </c>
      <c r="B253" s="47" t="s">
        <v>858</v>
      </c>
      <c r="C253" s="3" t="str">
        <f>VLOOKUP($A253,DICO_Complet!$A$3:$U$983,3,FALSE)</f>
        <v>Context</v>
      </c>
      <c r="D253" s="3" t="str">
        <f>VLOOKUP($A253,DICO_Complet!$A$3:$U$983,4,FALSE)</f>
        <v>transactionContext</v>
      </c>
      <c r="E253" s="2" t="str">
        <f>VLOOKUP($A253,DICO_Complet!$A$3:$U$983,5,FALSE)</f>
        <v>networkCodeNominalRoute</v>
      </c>
      <c r="F253" s="2" t="str">
        <f>VLOOKUP($A253,DICO_Complet!$A$3:$U$983,6,FALSE)</f>
        <v>NetworkCodeset</v>
      </c>
      <c r="G253" s="48">
        <f>VLOOKUP($A253,DICO_Complet!$A$3:$U$983,7,FALSE)</f>
        <v>0</v>
      </c>
      <c r="H253" s="48">
        <f>VLOOKUP($A253,DICO_Complet!$A$3:$U$983,8,FALSE)</f>
        <v>0</v>
      </c>
      <c r="I253" s="2" t="str">
        <f>IF(VLOOKUP($A253,DICO_Complet!$A$3:$U$983,9,FALSE)&lt;&gt;0,VLOOKUP($A253,DICO_Complet!$A$3:$U$983,9,FALSE),"")</f>
        <v/>
      </c>
      <c r="J253" s="1" t="str">
        <f>VLOOKUP($A253,DICO_Complet!$A$3:$U$983,10,FALSE)</f>
        <v>Routing, first option</v>
      </c>
      <c r="K253" s="53" t="str">
        <f>IF(VLOOKUP($A253,DICO_Complet!$A$3:$U$983,12,FALSE)=0,"",VLOOKUP($A253,DICO_Complet!$A$3:$U$983,12,FALSE))</f>
        <v>MFO9-1</v>
      </c>
      <c r="L253" s="53" t="str">
        <f>IF(VLOOKUP($A253,DICO_Complet!$A$3:$U$983,13,FALSE)=0,"",VLOOKUP($A253,DICO_Complet!$A$3:$U$983,13,FALSE))</f>
        <v/>
      </c>
      <c r="M253" s="53" t="str">
        <f>IF(VLOOKUP($A253,DICO_Complet!$A$3:$U$983,14,FALSE)=0,"",VLOOKUP($A253,DICO_Complet!$A$3:$U$983,14,FALSE))</f>
        <v/>
      </c>
      <c r="N253" s="53" t="str">
        <f>IF(VLOOKUP($A253,DICO_Complet!$A$3:$U$983,15,FALSE)=0,"",VLOOKUP($A253,DICO_Complet!$A$3:$U$983,15,FALSE))</f>
        <v/>
      </c>
      <c r="O253" s="53" t="str">
        <f>IF(VLOOKUP($A253,DICO_Complet!$A$3:$U$983,16,FALSE)=0,"",VLOOKUP($A253,DICO_Complet!$A$3:$U$983,16,FALSE))</f>
        <v/>
      </c>
      <c r="P253" s="53" t="str">
        <f>IF(VLOOKUP($A253,DICO_Complet!$A$3:$U$983,17,FALSE)=0,"",VLOOKUP($A253,DICO_Complet!$A$3:$U$983,17,FALSE))</f>
        <v/>
      </c>
      <c r="Q253" s="53" t="str">
        <f>IF(VLOOKUP($A253,DICO_Complet!$A$3:$U$983,18,FALSE)=0,"",VLOOKUP($A253,DICO_Complet!$A$3:$U$983,18,FALSE))</f>
        <v/>
      </c>
    </row>
    <row r="254" spans="1:17">
      <c r="A254" s="38">
        <v>250212174208</v>
      </c>
      <c r="B254" s="47" t="s">
        <v>858</v>
      </c>
      <c r="C254" s="3" t="str">
        <f>VLOOKUP($A254,DICO_Complet!$A$3:$U$983,3,FALSE)</f>
        <v>Context</v>
      </c>
      <c r="D254" s="3" t="str">
        <f>VLOOKUP($A254,DICO_Complet!$A$3:$U$983,4,FALSE)</f>
        <v>transactionContext</v>
      </c>
      <c r="E254" s="2" t="str">
        <f>VLOOKUP($A254,DICO_Complet!$A$3:$U$983,5,FALSE)</f>
        <v>networkService</v>
      </c>
      <c r="F254" s="2" t="str">
        <f>VLOOKUP($A254,DICO_Complet!$A$3:$U$983,6,FALSE)</f>
        <v>NetworkServiceCodeset</v>
      </c>
      <c r="G254" s="48">
        <f>VLOOKUP($A254,DICO_Complet!$A$3:$U$983,7,FALSE)</f>
        <v>0</v>
      </c>
      <c r="H254" s="48">
        <f>VLOOKUP($A254,DICO_Complet!$A$3:$U$983,8,FALSE)</f>
        <v>0</v>
      </c>
      <c r="I254" s="2" t="str">
        <f>IF(VLOOKUP($A254,DICO_Complet!$A$3:$U$983,9,FALSE)&lt;&gt;0,VLOOKUP($A254,DICO_Complet!$A$3:$U$983,9,FALSE),"")</f>
        <v/>
      </c>
      <c r="J254" s="1" t="str">
        <f>VLOOKUP($A254,DICO_Complet!$A$3:$U$983,10,FALSE)</f>
        <v>Services provided by netwok</v>
      </c>
      <c r="K254" s="53" t="str">
        <f>IF(VLOOKUP($A254,DICO_Complet!$A$3:$U$983,12,FALSE)=0,"",VLOOKUP($A254,DICO_Complet!$A$3:$U$983,12,FALSE))</f>
        <v>RSB119_0016</v>
      </c>
      <c r="L254" s="53" t="str">
        <f>IF(VLOOKUP($A254,DICO_Complet!$A$3:$U$983,13,FALSE)=0,"",VLOOKUP($A254,DICO_Complet!$A$3:$U$983,13,FALSE))</f>
        <v>[119-0016]</v>
      </c>
      <c r="M254" s="53" t="str">
        <f>IF(VLOOKUP($A254,DICO_Complet!$A$3:$U$983,14,FALSE)=0,"",VLOOKUP($A254,DICO_Complet!$A$3:$U$983,14,FALSE))</f>
        <v/>
      </c>
      <c r="N254" s="53" t="str">
        <f>IF(VLOOKUP($A254,DICO_Complet!$A$3:$U$983,15,FALSE)=0,"",VLOOKUP($A254,DICO_Complet!$A$3:$U$983,15,FALSE))</f>
        <v/>
      </c>
      <c r="O254" s="53" t="str">
        <f>IF(VLOOKUP($A254,DICO_Complet!$A$3:$U$983,16,FALSE)=0,"",VLOOKUP($A254,DICO_Complet!$A$3:$U$983,16,FALSE))</f>
        <v/>
      </c>
      <c r="P254" s="53" t="str">
        <f>IF(VLOOKUP($A254,DICO_Complet!$A$3:$U$983,17,FALSE)=0,"",VLOOKUP($A254,DICO_Complet!$A$3:$U$983,17,FALSE))</f>
        <v/>
      </c>
      <c r="Q254" s="53" t="str">
        <f>IF(VLOOKUP($A254,DICO_Complet!$A$3:$U$983,18,FALSE)=0,"",VLOOKUP($A254,DICO_Complet!$A$3:$U$983,18,FALSE))</f>
        <v/>
      </c>
    </row>
    <row r="255" spans="1:17">
      <c r="A255" s="38">
        <v>250212174209</v>
      </c>
      <c r="B255" s="47" t="s">
        <v>858</v>
      </c>
      <c r="C255" s="3" t="str">
        <f>VLOOKUP($A255,DICO_Complet!$A$3:$U$983,3,FALSE)</f>
        <v>Context</v>
      </c>
      <c r="D255" s="3" t="str">
        <f>VLOOKUP($A255,DICO_Complet!$A$3:$U$983,4,FALSE)</f>
        <v>transactionContext</v>
      </c>
      <c r="E255" s="2" t="str">
        <f>VLOOKUP($A255,DICO_Complet!$A$3:$U$983,5,FALSE)</f>
        <v>networkSubService</v>
      </c>
      <c r="F255" s="2" t="str">
        <f>VLOOKUP($A255,DICO_Complet!$A$3:$U$983,6,FALSE)</f>
        <v>NetworkSubServiceCodeset</v>
      </c>
      <c r="G255" s="48">
        <f>VLOOKUP($A255,DICO_Complet!$A$3:$U$983,7,FALSE)</f>
        <v>0</v>
      </c>
      <c r="H255" s="48">
        <f>VLOOKUP($A255,DICO_Complet!$A$3:$U$983,8,FALSE)</f>
        <v>0</v>
      </c>
      <c r="I255" s="2" t="str">
        <f>IF(VLOOKUP($A255,DICO_Complet!$A$3:$U$983,9,FALSE)&lt;&gt;0,VLOOKUP($A255,DICO_Complet!$A$3:$U$983,9,FALSE),"")</f>
        <v/>
      </c>
      <c r="J255" s="1" t="str">
        <f>VLOOKUP($A255,DICO_Complet!$A$3:$U$983,10,FALSE)</f>
        <v>Sub Services provided by netwok</v>
      </c>
      <c r="K255" s="53" t="str">
        <f>IF(VLOOKUP($A255,DICO_Complet!$A$3:$U$983,12,FALSE)=0,"",VLOOKUP($A255,DICO_Complet!$A$3:$U$983,12,FALSE))</f>
        <v>RSB119_0016</v>
      </c>
      <c r="L255" s="53" t="str">
        <f>IF(VLOOKUP($A255,DICO_Complet!$A$3:$U$983,13,FALSE)=0,"",VLOOKUP($A255,DICO_Complet!$A$3:$U$983,13,FALSE))</f>
        <v>[119-0016]</v>
      </c>
      <c r="M255" s="53" t="str">
        <f>IF(VLOOKUP($A255,DICO_Complet!$A$3:$U$983,14,FALSE)=0,"",VLOOKUP($A255,DICO_Complet!$A$3:$U$983,14,FALSE))</f>
        <v/>
      </c>
      <c r="N255" s="53" t="str">
        <f>IF(VLOOKUP($A255,DICO_Complet!$A$3:$U$983,15,FALSE)=0,"",VLOOKUP($A255,DICO_Complet!$A$3:$U$983,15,FALSE))</f>
        <v/>
      </c>
      <c r="O255" s="53" t="str">
        <f>IF(VLOOKUP($A255,DICO_Complet!$A$3:$U$983,16,FALSE)=0,"",VLOOKUP($A255,DICO_Complet!$A$3:$U$983,16,FALSE))</f>
        <v/>
      </c>
      <c r="P255" s="53" t="str">
        <f>IF(VLOOKUP($A255,DICO_Complet!$A$3:$U$983,17,FALSE)=0,"",VLOOKUP($A255,DICO_Complet!$A$3:$U$983,17,FALSE))</f>
        <v/>
      </c>
      <c r="Q255" s="53" t="str">
        <f>IF(VLOOKUP($A255,DICO_Complet!$A$3:$U$983,18,FALSE)=0,"",VLOOKUP($A255,DICO_Complet!$A$3:$U$983,18,FALSE))</f>
        <v/>
      </c>
    </row>
    <row r="256" spans="1:17">
      <c r="A256" s="38">
        <v>241112000052</v>
      </c>
      <c r="B256" s="47" t="s">
        <v>858</v>
      </c>
      <c r="C256" s="3" t="str">
        <f>VLOOKUP($A256,DICO_Complet!$A$3:$U$983,3,FALSE)</f>
        <v>Context</v>
      </c>
      <c r="D256" s="3" t="str">
        <f>VLOOKUP($A256,DICO_Complet!$A$3:$U$983,4,FALSE)</f>
        <v>transactionContext</v>
      </c>
      <c r="E256" s="2" t="str">
        <f>VLOOKUP($A256,DICO_Complet!$A$3:$U$983,5,FALSE)</f>
        <v>nominalRouteId</v>
      </c>
      <c r="F256" s="2" t="str">
        <f>VLOOKUP($A256,DICO_Complet!$A$3:$U$983,6,FALSE)</f>
        <v>Max11NumericText</v>
      </c>
      <c r="G256" s="48">
        <f>VLOOKUP($A256,DICO_Complet!$A$3:$U$983,7,FALSE)</f>
        <v>0</v>
      </c>
      <c r="H256" s="48">
        <f>VLOOKUP($A256,DICO_Complet!$A$3:$U$983,8,FALSE)</f>
        <v>0</v>
      </c>
      <c r="I256" s="2" t="str">
        <f>IF(VLOOKUP($A256,DICO_Complet!$A$3:$U$983,9,FALSE)&lt;&gt;0,VLOOKUP($A256,DICO_Complet!$A$3:$U$983,9,FALSE),"")</f>
        <v/>
      </c>
      <c r="J256" s="1" t="str">
        <f>VLOOKUP($A256,DICO_Complet!$A$3:$U$983,10,FALSE)</f>
        <v>Nominal Route Identifier</v>
      </c>
      <c r="K256" s="53" t="str">
        <f>IF(VLOOKUP($A256,DICO_Complet!$A$3:$U$983,12,FALSE)=0,"",VLOOKUP($A256,DICO_Complet!$A$3:$U$983,12,FALSE))</f>
        <v>RSB100-1</v>
      </c>
      <c r="L256" s="53" t="str">
        <f>IF(VLOOKUP($A256,DICO_Complet!$A$3:$U$983,13,FALSE)=0,"",VLOOKUP($A256,DICO_Complet!$A$3:$U$983,13,FALSE))</f>
        <v>[100-1]</v>
      </c>
      <c r="M256" s="53" t="str">
        <f>IF(VLOOKUP($A256,DICO_Complet!$A$3:$U$983,14,FALSE)=0,"",VLOOKUP($A256,DICO_Complet!$A$3:$U$983,14,FALSE))</f>
        <v/>
      </c>
      <c r="N256" s="53" t="str">
        <f>IF(VLOOKUP($A256,DICO_Complet!$A$3:$U$983,15,FALSE)=0,"",VLOOKUP($A256,DICO_Complet!$A$3:$U$983,15,FALSE))</f>
        <v/>
      </c>
      <c r="O256" s="53" t="str">
        <f>IF(VLOOKUP($A256,DICO_Complet!$A$3:$U$983,16,FALSE)=0,"",VLOOKUP($A256,DICO_Complet!$A$3:$U$983,16,FALSE))</f>
        <v/>
      </c>
      <c r="P256" s="53" t="str">
        <f>IF(VLOOKUP($A256,DICO_Complet!$A$3:$U$983,17,FALSE)=0,"",VLOOKUP($A256,DICO_Complet!$A$3:$U$983,17,FALSE))</f>
        <v/>
      </c>
      <c r="Q256" s="53" t="str">
        <f>IF(VLOOKUP($A256,DICO_Complet!$A$3:$U$983,18,FALSE)=0,"",VLOOKUP($A256,DICO_Complet!$A$3:$U$983,18,FALSE))</f>
        <v/>
      </c>
    </row>
    <row r="257" spans="1:17">
      <c r="A257" s="38">
        <v>241112000043</v>
      </c>
      <c r="B257" s="47" t="s">
        <v>858</v>
      </c>
      <c r="C257" s="3" t="str">
        <f>VLOOKUP($A257,DICO_Complet!$A$3:$U$983,3,FALSE)</f>
        <v>Context</v>
      </c>
      <c r="D257" s="3" t="str">
        <f>VLOOKUP($A257,DICO_Complet!$A$3:$U$983,4,FALSE)</f>
        <v>transactionContext</v>
      </c>
      <c r="E257" s="2" t="str">
        <f>VLOOKUP($A257,DICO_Complet!$A$3:$U$983,5,FALSE)</f>
        <v>nominalRouteService</v>
      </c>
      <c r="F257" s="2" t="str">
        <f>VLOOKUP($A257,DICO_Complet!$A$3:$U$983,6,FALSE)</f>
        <v>Max100Text</v>
      </c>
      <c r="G257" s="48">
        <f>VLOOKUP($A257,DICO_Complet!$A$3:$U$983,7,FALSE)</f>
        <v>0</v>
      </c>
      <c r="H257" s="48">
        <f>VLOOKUP($A257,DICO_Complet!$A$3:$U$983,8,FALSE)</f>
        <v>0</v>
      </c>
      <c r="I257" s="2" t="str">
        <f>IF(VLOOKUP($A257,DICO_Complet!$A$3:$U$983,9,FALSE)&lt;&gt;0,VLOOKUP($A257,DICO_Complet!$A$3:$U$983,9,FALSE),"")</f>
        <v/>
      </c>
      <c r="J257" s="1" t="str">
        <f>VLOOKUP($A257,DICO_Complet!$A$3:$U$983,10,FALSE)</f>
        <v>Extension nominal Route</v>
      </c>
      <c r="K257" s="53" t="str">
        <f>IF(VLOOKUP($A257,DICO_Complet!$A$3:$U$983,12,FALSE)=0,"",VLOOKUP($A257,DICO_Complet!$A$3:$U$983,12,FALSE))</f>
        <v>MFO10-1</v>
      </c>
      <c r="L257" s="53" t="str">
        <f>IF(VLOOKUP($A257,DICO_Complet!$A$3:$U$983,13,FALSE)=0,"",VLOOKUP($A257,DICO_Complet!$A$3:$U$983,13,FALSE))</f>
        <v/>
      </c>
      <c r="M257" s="53" t="str">
        <f>IF(VLOOKUP($A257,DICO_Complet!$A$3:$U$983,14,FALSE)=0,"",VLOOKUP($A257,DICO_Complet!$A$3:$U$983,14,FALSE))</f>
        <v/>
      </c>
      <c r="N257" s="53" t="str">
        <f>IF(VLOOKUP($A257,DICO_Complet!$A$3:$U$983,15,FALSE)=0,"",VLOOKUP($A257,DICO_Complet!$A$3:$U$983,15,FALSE))</f>
        <v/>
      </c>
      <c r="O257" s="53" t="str">
        <f>IF(VLOOKUP($A257,DICO_Complet!$A$3:$U$983,16,FALSE)=0,"",VLOOKUP($A257,DICO_Complet!$A$3:$U$983,16,FALSE))</f>
        <v/>
      </c>
      <c r="P257" s="53" t="str">
        <f>IF(VLOOKUP($A257,DICO_Complet!$A$3:$U$983,17,FALSE)=0,"",VLOOKUP($A257,DICO_Complet!$A$3:$U$983,17,FALSE))</f>
        <v/>
      </c>
      <c r="Q257" s="53" t="str">
        <f>IF(VLOOKUP($A257,DICO_Complet!$A$3:$U$983,18,FALSE)=0,"",VLOOKUP($A257,DICO_Complet!$A$3:$U$983,18,FALSE))</f>
        <v/>
      </c>
    </row>
    <row r="258" spans="1:17">
      <c r="A258" s="38">
        <v>241112000006</v>
      </c>
      <c r="B258" s="47" t="s">
        <v>858</v>
      </c>
      <c r="C258" s="3" t="str">
        <f>VLOOKUP($A258,DICO_Complet!$A$3:$U$983,3,FALSE)</f>
        <v>Context</v>
      </c>
      <c r="D258" s="3" t="str">
        <f>VLOOKUP($A258,DICO_Complet!$A$3:$U$983,4,FALSE)</f>
        <v>transactionContext</v>
      </c>
      <c r="E258" s="2" t="str">
        <f>VLOOKUP($A258,DICO_Complet!$A$3:$U$983,5,FALSE)</f>
        <v>panEntryMode</v>
      </c>
      <c r="F258" s="2" t="str">
        <f>VLOOKUP($A258,DICO_Complet!$A$3:$U$983,6,FALSE)</f>
        <v>PanEntryModeCodeset</v>
      </c>
      <c r="G258" s="48">
        <f>VLOOKUP($A258,DICO_Complet!$A$3:$U$983,7,FALSE)</f>
        <v>0</v>
      </c>
      <c r="H258" s="48">
        <f>VLOOKUP($A258,DICO_Complet!$A$3:$U$983,8,FALSE)</f>
        <v>0</v>
      </c>
      <c r="I258" s="2" t="str">
        <f>IF(VLOOKUP($A258,DICO_Complet!$A$3:$U$983,9,FALSE)&lt;&gt;0,VLOOKUP($A258,DICO_Complet!$A$3:$U$983,9,FALSE),"")</f>
        <v/>
      </c>
      <c r="J258" s="1" t="str">
        <f>VLOOKUP($A258,DICO_Complet!$A$3:$U$983,10,FALSE)</f>
        <v>Pan Entry Mode (CBAE)</v>
      </c>
      <c r="K258" s="53" t="str">
        <f>IF(VLOOKUP($A258,DICO_Complet!$A$3:$U$983,12,FALSE)=0,"",VLOOKUP($A258,DICO_Complet!$A$3:$U$983,12,FALSE))</f>
        <v>ISO22_p1</v>
      </c>
      <c r="L258" s="53" t="str">
        <f>IF(VLOOKUP($A258,DICO_Complet!$A$3:$U$983,13,FALSE)=0,"",VLOOKUP($A258,DICO_Complet!$A$3:$U$983,13,FALSE))</f>
        <v>[22-p1]</v>
      </c>
      <c r="M258" s="53" t="str">
        <f>IF(VLOOKUP($A258,DICO_Complet!$A$3:$U$983,14,FALSE)=0,"",VLOOKUP($A258,DICO_Complet!$A$3:$U$983,14,FALSE))</f>
        <v/>
      </c>
      <c r="N258" s="53" t="str">
        <f>IF(VLOOKUP($A258,DICO_Complet!$A$3:$U$983,15,FALSE)=0,"",VLOOKUP($A258,DICO_Complet!$A$3:$U$983,15,FALSE))</f>
        <v/>
      </c>
      <c r="O258" s="53" t="str">
        <f>IF(VLOOKUP($A258,DICO_Complet!$A$3:$U$983,16,FALSE)=0,"",VLOOKUP($A258,DICO_Complet!$A$3:$U$983,16,FALSE))</f>
        <v/>
      </c>
      <c r="P258" s="53" t="str">
        <f>IF(VLOOKUP($A258,DICO_Complet!$A$3:$U$983,17,FALSE)=0,"",VLOOKUP($A258,DICO_Complet!$A$3:$U$983,17,FALSE))</f>
        <v/>
      </c>
      <c r="Q258" s="53" t="str">
        <f>IF(VLOOKUP($A258,DICO_Complet!$A$3:$U$983,18,FALSE)=0,"",VLOOKUP($A258,DICO_Complet!$A$3:$U$983,18,FALSE))</f>
        <v/>
      </c>
    </row>
    <row r="259" spans="1:17">
      <c r="A259" s="38">
        <v>241112000053</v>
      </c>
      <c r="B259" s="47" t="s">
        <v>858</v>
      </c>
      <c r="C259" s="3" t="str">
        <f>VLOOKUP($A259,DICO_Complet!$A$3:$U$983,3,FALSE)</f>
        <v>Context</v>
      </c>
      <c r="D259" s="3" t="str">
        <f>VLOOKUP($A259,DICO_Complet!$A$3:$U$983,4,FALSE)</f>
        <v>transactionContext</v>
      </c>
      <c r="E259" s="2" t="str">
        <f>VLOOKUP($A259,DICO_Complet!$A$3:$U$983,5,FALSE)</f>
        <v>paymentUseCase</v>
      </c>
      <c r="F259" s="2" t="str">
        <f>VLOOKUP($A259,DICO_Complet!$A$3:$U$983,6,FALSE)</f>
        <v>PaymentUseCaseCodeset</v>
      </c>
      <c r="G259" s="48">
        <f>VLOOKUP($A259,DICO_Complet!$A$3:$U$983,7,FALSE)</f>
        <v>0</v>
      </c>
      <c r="H259" s="48">
        <f>VLOOKUP($A259,DICO_Complet!$A$3:$U$983,8,FALSE)</f>
        <v>0</v>
      </c>
      <c r="I259" s="2" t="str">
        <f>IF(VLOOKUP($A259,DICO_Complet!$A$3:$U$983,9,FALSE)&lt;&gt;0,VLOOKUP($A259,DICO_Complet!$A$3:$U$983,9,FALSE),"")</f>
        <v/>
      </c>
      <c r="J259" s="1" t="str">
        <f>VLOOKUP($A259,DICO_Complet!$A$3:$U$983,10,FALSE)</f>
        <v>Identification of remote payment cases</v>
      </c>
      <c r="K259" s="53" t="str">
        <f>IF(VLOOKUP($A259,DICO_Complet!$A$3:$U$983,12,FALSE)=0,"",VLOOKUP($A259,DICO_Complet!$A$3:$U$983,12,FALSE))</f>
        <v>RSB57_28</v>
      </c>
      <c r="L259" s="53" t="str">
        <f>IF(VLOOKUP($A259,DICO_Complet!$A$3:$U$983,13,FALSE)=0,"",VLOOKUP($A259,DICO_Complet!$A$3:$U$983,13,FALSE))</f>
        <v>[57-0028]</v>
      </c>
      <c r="M259" s="53" t="str">
        <f>IF(VLOOKUP($A259,DICO_Complet!$A$3:$U$983,14,FALSE)=0,"",VLOOKUP($A259,DICO_Complet!$A$3:$U$983,14,FALSE))</f>
        <v/>
      </c>
      <c r="N259" s="53" t="str">
        <f>IF(VLOOKUP($A259,DICO_Complet!$A$3:$U$983,15,FALSE)=0,"",VLOOKUP($A259,DICO_Complet!$A$3:$U$983,15,FALSE))</f>
        <v/>
      </c>
      <c r="O259" s="53" t="str">
        <f>IF(VLOOKUP($A259,DICO_Complet!$A$3:$U$983,16,FALSE)=0,"",VLOOKUP($A259,DICO_Complet!$A$3:$U$983,16,FALSE))</f>
        <v/>
      </c>
      <c r="P259" s="53" t="str">
        <f>IF(VLOOKUP($A259,DICO_Complet!$A$3:$U$983,17,FALSE)=0,"",VLOOKUP($A259,DICO_Complet!$A$3:$U$983,17,FALSE))</f>
        <v/>
      </c>
      <c r="Q259" s="53" t="str">
        <f>IF(VLOOKUP($A259,DICO_Complet!$A$3:$U$983,18,FALSE)=0,"",VLOOKUP($A259,DICO_Complet!$A$3:$U$983,18,FALSE))</f>
        <v/>
      </c>
    </row>
    <row r="260" spans="1:17">
      <c r="A260" s="38">
        <v>241112000054</v>
      </c>
      <c r="B260" s="47" t="s">
        <v>858</v>
      </c>
      <c r="C260" s="3" t="str">
        <f>VLOOKUP($A260,DICO_Complet!$A$3:$U$983,3,FALSE)</f>
        <v>Context</v>
      </c>
      <c r="D260" s="3" t="str">
        <f>VLOOKUP($A260,DICO_Complet!$A$3:$U$983,4,FALSE)</f>
        <v>transactionContext</v>
      </c>
      <c r="E260" s="2" t="str">
        <f>VLOOKUP($A260,DICO_Complet!$A$3:$U$983,5,FALSE)</f>
        <v>pointOfServiceConditionCode</v>
      </c>
      <c r="F260" s="2" t="str">
        <f>VLOOKUP($A260,DICO_Complet!$A$3:$U$983,6,FALSE)</f>
        <v>ServiceConditionCodeCodeset</v>
      </c>
      <c r="G260" s="48">
        <f>VLOOKUP($A260,DICO_Complet!$A$3:$U$983,7,FALSE)</f>
        <v>0</v>
      </c>
      <c r="H260" s="48">
        <f>VLOOKUP($A260,DICO_Complet!$A$3:$U$983,8,FALSE)</f>
        <v>0</v>
      </c>
      <c r="I260" s="2" t="str">
        <f>IF(VLOOKUP($A260,DICO_Complet!$A$3:$U$983,9,FALSE)&lt;&gt;0,VLOOKUP($A260,DICO_Complet!$A$3:$U$983,9,FALSE),"")</f>
        <v/>
      </c>
      <c r="J260" s="1" t="str">
        <f>VLOOKUP($A260,DICO_Complet!$A$3:$U$983,10,FALSE)</f>
        <v>Conditions of the transaction</v>
      </c>
      <c r="K260" s="53" t="str">
        <f>IF(VLOOKUP($A260,DICO_Complet!$A$3:$U$983,12,FALSE)=0,"",VLOOKUP($A260,DICO_Complet!$A$3:$U$983,12,FALSE))</f>
        <v>ISO25 - ISO Complet</v>
      </c>
      <c r="L260" s="53" t="str">
        <f>IF(VLOOKUP($A260,DICO_Complet!$A$3:$U$983,13,FALSE)=0,"",VLOOKUP($A260,DICO_Complet!$A$3:$U$983,13,FALSE))</f>
        <v>[25]</v>
      </c>
      <c r="M260" s="53" t="str">
        <f>IF(VLOOKUP($A260,DICO_Complet!$A$3:$U$983,14,FALSE)=0,"",VLOOKUP($A260,DICO_Complet!$A$3:$U$983,14,FALSE))</f>
        <v/>
      </c>
      <c r="N260" s="53" t="str">
        <f>IF(VLOOKUP($A260,DICO_Complet!$A$3:$U$983,15,FALSE)=0,"",VLOOKUP($A260,DICO_Complet!$A$3:$U$983,15,FALSE))</f>
        <v/>
      </c>
      <c r="O260" s="53" t="str">
        <f>IF(VLOOKUP($A260,DICO_Complet!$A$3:$U$983,16,FALSE)=0,"",VLOOKUP($A260,DICO_Complet!$A$3:$U$983,16,FALSE))</f>
        <v/>
      </c>
      <c r="P260" s="53" t="str">
        <f>IF(VLOOKUP($A260,DICO_Complet!$A$3:$U$983,17,FALSE)=0,"",VLOOKUP($A260,DICO_Complet!$A$3:$U$983,17,FALSE))</f>
        <v/>
      </c>
      <c r="Q260" s="53" t="str">
        <f>IF(VLOOKUP($A260,DICO_Complet!$A$3:$U$983,18,FALSE)=0,"",VLOOKUP($A260,DICO_Complet!$A$3:$U$983,18,FALSE))</f>
        <v/>
      </c>
    </row>
    <row r="261" spans="1:17">
      <c r="A261" s="38">
        <v>250422133705</v>
      </c>
      <c r="B261" s="47" t="s">
        <v>858</v>
      </c>
      <c r="C261" s="3" t="str">
        <f>VLOOKUP($A261,DICO_Complet!$A$3:$U$983,3,FALSE)</f>
        <v>Context</v>
      </c>
      <c r="D261" s="3" t="str">
        <f>VLOOKUP($A261,DICO_Complet!$A$3:$U$983,4,FALSE)</f>
        <v>transactionContext</v>
      </c>
      <c r="E261" s="2" t="str">
        <f>VLOOKUP($A261,DICO_Complet!$A$3:$U$983,5,FALSE)</f>
        <v>preAuthorisationDuration</v>
      </c>
      <c r="F261" s="2" t="str">
        <f>VLOOKUP($A261,DICO_Complet!$A$3:$U$983,6,FALSE)</f>
        <v>Exact2NumericText</v>
      </c>
      <c r="G261" s="48">
        <f>VLOOKUP($A261,DICO_Complet!$A$3:$U$983,7,FALSE)</f>
        <v>0</v>
      </c>
      <c r="H261" s="48">
        <f>VLOOKUP($A261,DICO_Complet!$A$3:$U$983,8,FALSE)</f>
        <v>0</v>
      </c>
      <c r="I261" s="2" t="str">
        <f>IF(VLOOKUP($A261,DICO_Complet!$A$3:$U$983,9,FALSE)&lt;&gt;0,VLOOKUP($A261,DICO_Complet!$A$3:$U$983,9,FALSE),"")</f>
        <v/>
      </c>
      <c r="J261" s="1" t="str">
        <f>VLOOKUP($A261,DICO_Complet!$A$3:$U$983,10,FALSE)</f>
        <v>Pre autorisation duration</v>
      </c>
      <c r="K261" s="53" t="str">
        <f>IF(VLOOKUP($A261,DICO_Complet!$A$3:$U$983,12,FALSE)=0,"",VLOOKUP($A261,DICO_Complet!$A$3:$U$983,12,FALSE))</f>
        <v/>
      </c>
      <c r="L261" s="53" t="str">
        <f>IF(VLOOKUP($A261,DICO_Complet!$A$3:$U$983,13,FALSE)=0,"",VLOOKUP($A261,DICO_Complet!$A$3:$U$983,13,FALSE))</f>
        <v/>
      </c>
      <c r="M261" s="53" t="str">
        <f>IF(VLOOKUP($A261,DICO_Complet!$A$3:$U$983,14,FALSE)=0,"",VLOOKUP($A261,DICO_Complet!$A$3:$U$983,14,FALSE))</f>
        <v>059_0208</v>
      </c>
      <c r="N261" s="53" t="str">
        <f>IF(VLOOKUP($A261,DICO_Complet!$A$3:$U$983,15,FALSE)=0,"",VLOOKUP($A261,DICO_Complet!$A$3:$U$983,15,FALSE))</f>
        <v/>
      </c>
      <c r="O261" s="53" t="str">
        <f>IF(VLOOKUP($A261,DICO_Complet!$A$3:$U$983,16,FALSE)=0,"",VLOOKUP($A261,DICO_Complet!$A$3:$U$983,16,FALSE))</f>
        <v/>
      </c>
      <c r="P261" s="53" t="str">
        <f>IF(VLOOKUP($A261,DICO_Complet!$A$3:$U$983,17,FALSE)=0,"",VLOOKUP($A261,DICO_Complet!$A$3:$U$983,17,FALSE))</f>
        <v/>
      </c>
      <c r="Q261" s="53" t="str">
        <f>IF(VLOOKUP($A261,DICO_Complet!$A$3:$U$983,18,FALSE)=0,"",VLOOKUP($A261,DICO_Complet!$A$3:$U$983,18,FALSE))</f>
        <v/>
      </c>
    </row>
    <row r="262" spans="1:17">
      <c r="A262" s="38">
        <v>250422133701</v>
      </c>
      <c r="B262" s="47" t="s">
        <v>858</v>
      </c>
      <c r="C262" s="3" t="str">
        <f>VLOOKUP($A262,DICO_Complet!$A$3:$U$983,3,FALSE)</f>
        <v>Context</v>
      </c>
      <c r="D262" s="3" t="str">
        <f>VLOOKUP($A262,DICO_Complet!$A$3:$U$983,4,FALSE)</f>
        <v>transactionContext</v>
      </c>
      <c r="E262" s="2" t="str">
        <f>VLOOKUP($A262,DICO_Complet!$A$3:$U$983,5,FALSE)</f>
        <v>purchaseCode</v>
      </c>
      <c r="F262" s="2" t="str">
        <f>VLOOKUP($A262,DICO_Complet!$A$3:$U$983,6,FALSE)</f>
        <v>Max8HexBinaryText</v>
      </c>
      <c r="G262" s="48">
        <f>VLOOKUP($A262,DICO_Complet!$A$3:$U$983,7,FALSE)</f>
        <v>0</v>
      </c>
      <c r="H262" s="48">
        <f>VLOOKUP($A262,DICO_Complet!$A$3:$U$983,8,FALSE)</f>
        <v>0</v>
      </c>
      <c r="I262" s="2" t="str">
        <f>IF(VLOOKUP($A262,DICO_Complet!$A$3:$U$983,9,FALSE)&lt;&gt;0,VLOOKUP($A262,DICO_Complet!$A$3:$U$983,9,FALSE),"")</f>
        <v/>
      </c>
      <c r="J262" s="1" t="str">
        <f>VLOOKUP($A262,DICO_Complet!$A$3:$U$983,10,FALSE)</f>
        <v>Purchase code</v>
      </c>
      <c r="K262" s="53" t="str">
        <f>IF(VLOOKUP($A262,DICO_Complet!$A$3:$U$983,12,FALSE)=0,"",VLOOKUP($A262,DICO_Complet!$A$3:$U$983,12,FALSE))</f>
        <v/>
      </c>
      <c r="L262" s="53" t="str">
        <f>IF(VLOOKUP($A262,DICO_Complet!$A$3:$U$983,13,FALSE)=0,"",VLOOKUP($A262,DICO_Complet!$A$3:$U$983,13,FALSE))</f>
        <v/>
      </c>
      <c r="M262" s="53" t="str">
        <f>IF(VLOOKUP($A262,DICO_Complet!$A$3:$U$983,14,FALSE)=0,"",VLOOKUP($A262,DICO_Complet!$A$3:$U$983,14,FALSE))</f>
        <v>059_0041</v>
      </c>
      <c r="N262" s="53" t="str">
        <f>IF(VLOOKUP($A262,DICO_Complet!$A$3:$U$983,15,FALSE)=0,"",VLOOKUP($A262,DICO_Complet!$A$3:$U$983,15,FALSE))</f>
        <v/>
      </c>
      <c r="O262" s="53" t="str">
        <f>IF(VLOOKUP($A262,DICO_Complet!$A$3:$U$983,16,FALSE)=0,"",VLOOKUP($A262,DICO_Complet!$A$3:$U$983,16,FALSE))</f>
        <v/>
      </c>
      <c r="P262" s="53" t="str">
        <f>IF(VLOOKUP($A262,DICO_Complet!$A$3:$U$983,17,FALSE)=0,"",VLOOKUP($A262,DICO_Complet!$A$3:$U$983,17,FALSE))</f>
        <v/>
      </c>
      <c r="Q262" s="53" t="str">
        <f>IF(VLOOKUP($A262,DICO_Complet!$A$3:$U$983,18,FALSE)=0,"",VLOOKUP($A262,DICO_Complet!$A$3:$U$983,18,FALSE))</f>
        <v/>
      </c>
    </row>
    <row r="263" spans="1:17">
      <c r="A263" s="38">
        <v>250422133702</v>
      </c>
      <c r="B263" s="47" t="s">
        <v>858</v>
      </c>
      <c r="C263" s="3" t="str">
        <f>VLOOKUP($A263,DICO_Complet!$A$3:$U$983,3,FALSE)</f>
        <v>Context</v>
      </c>
      <c r="D263" s="3" t="str">
        <f>VLOOKUP($A263,DICO_Complet!$A$3:$U$983,4,FALSE)</f>
        <v>transactionContext</v>
      </c>
      <c r="E263" s="2" t="str">
        <f>VLOOKUP($A263,DICO_Complet!$A$3:$U$983,5,FALSE)</f>
        <v>purchaseId</v>
      </c>
      <c r="F263" s="2" t="str">
        <f>VLOOKUP($A263,DICO_Complet!$A$3:$U$983,6,FALSE)</f>
        <v>Max8HexBinaryText</v>
      </c>
      <c r="G263" s="48">
        <f>VLOOKUP($A263,DICO_Complet!$A$3:$U$983,7,FALSE)</f>
        <v>0</v>
      </c>
      <c r="H263" s="48">
        <f>VLOOKUP($A263,DICO_Complet!$A$3:$U$983,8,FALSE)</f>
        <v>0</v>
      </c>
      <c r="I263" s="2" t="str">
        <f>IF(VLOOKUP($A263,DICO_Complet!$A$3:$U$983,9,FALSE)&lt;&gt;0,VLOOKUP($A263,DICO_Complet!$A$3:$U$983,9,FALSE),"")</f>
        <v/>
      </c>
      <c r="J263" s="1" t="str">
        <f>VLOOKUP($A263,DICO_Complet!$A$3:$U$983,10,FALSE)</f>
        <v>Purchase id</v>
      </c>
      <c r="K263" s="53" t="str">
        <f>IF(VLOOKUP($A263,DICO_Complet!$A$3:$U$983,12,FALSE)=0,"",VLOOKUP($A263,DICO_Complet!$A$3:$U$983,12,FALSE))</f>
        <v/>
      </c>
      <c r="L263" s="53" t="str">
        <f>IF(VLOOKUP($A263,DICO_Complet!$A$3:$U$983,13,FALSE)=0,"",VLOOKUP($A263,DICO_Complet!$A$3:$U$983,13,FALSE))</f>
        <v/>
      </c>
      <c r="M263" s="53" t="str">
        <f>IF(VLOOKUP($A263,DICO_Complet!$A$3:$U$983,14,FALSE)=0,"",VLOOKUP($A263,DICO_Complet!$A$3:$U$983,14,FALSE))</f>
        <v>059_0042</v>
      </c>
      <c r="N263" s="53" t="str">
        <f>IF(VLOOKUP($A263,DICO_Complet!$A$3:$U$983,15,FALSE)=0,"",VLOOKUP($A263,DICO_Complet!$A$3:$U$983,15,FALSE))</f>
        <v/>
      </c>
      <c r="O263" s="53" t="str">
        <f>IF(VLOOKUP($A263,DICO_Complet!$A$3:$U$983,16,FALSE)=0,"",VLOOKUP($A263,DICO_Complet!$A$3:$U$983,16,FALSE))</f>
        <v/>
      </c>
      <c r="P263" s="53" t="str">
        <f>IF(VLOOKUP($A263,DICO_Complet!$A$3:$U$983,17,FALSE)=0,"",VLOOKUP($A263,DICO_Complet!$A$3:$U$983,17,FALSE))</f>
        <v/>
      </c>
      <c r="Q263" s="53" t="str">
        <f>IF(VLOOKUP($A263,DICO_Complet!$A$3:$U$983,18,FALSE)=0,"",VLOOKUP($A263,DICO_Complet!$A$3:$U$983,18,FALSE))</f>
        <v/>
      </c>
    </row>
    <row r="264" spans="1:17">
      <c r="A264" s="38">
        <v>241112000055</v>
      </c>
      <c r="B264" s="47" t="s">
        <v>858</v>
      </c>
      <c r="C264" s="3" t="str">
        <f>VLOOKUP($A264,DICO_Complet!$A$3:$U$983,3,FALSE)</f>
        <v>Context</v>
      </c>
      <c r="D264" s="3" t="str">
        <f>VLOOKUP($A264,DICO_Complet!$A$3:$U$983,4,FALSE)</f>
        <v>transactionContext</v>
      </c>
      <c r="E264" s="2" t="str">
        <f>VLOOKUP($A264,DICO_Complet!$A$3:$U$983,5,FALSE)</f>
        <v>reasonsForNotHonouringExemptions</v>
      </c>
      <c r="F264" s="2" t="str">
        <f>VLOOKUP($A264,DICO_Complet!$A$3:$U$983,6,FALSE)</f>
        <v>Exact4AlphaNumericText</v>
      </c>
      <c r="G264" s="48">
        <f>VLOOKUP($A264,DICO_Complet!$A$3:$U$983,7,FALSE)</f>
        <v>0</v>
      </c>
      <c r="H264" s="48">
        <f>VLOOKUP($A264,DICO_Complet!$A$3:$U$983,8,FALSE)</f>
        <v>0</v>
      </c>
      <c r="I264" s="2" t="str">
        <f>IF(VLOOKUP($A264,DICO_Complet!$A$3:$U$983,9,FALSE)&lt;&gt;0,VLOOKUP($A264,DICO_Complet!$A$3:$U$983,9,FALSE),"")</f>
        <v/>
      </c>
      <c r="J264" s="1" t="str">
        <f>VLOOKUP($A264,DICO_Complet!$A$3:$U$983,10,FALSE)</f>
        <v>Reasons for not honouring exemptions</v>
      </c>
      <c r="K264" s="53" t="str">
        <f>IF(VLOOKUP($A264,DICO_Complet!$A$3:$U$983,12,FALSE)=0,"",VLOOKUP($A264,DICO_Complet!$A$3:$U$983,12,FALSE))</f>
        <v>RSB119_0004</v>
      </c>
      <c r="L264" s="53" t="str">
        <f>IF(VLOOKUP($A264,DICO_Complet!$A$3:$U$983,13,FALSE)=0,"",VLOOKUP($A264,DICO_Complet!$A$3:$U$983,13,FALSE))</f>
        <v>[119-0004]</v>
      </c>
      <c r="M264" s="53" t="str">
        <f>IF(VLOOKUP($A264,DICO_Complet!$A$3:$U$983,14,FALSE)=0,"",VLOOKUP($A264,DICO_Complet!$A$3:$U$983,14,FALSE))</f>
        <v/>
      </c>
      <c r="N264" s="53" t="str">
        <f>IF(VLOOKUP($A264,DICO_Complet!$A$3:$U$983,15,FALSE)=0,"",VLOOKUP($A264,DICO_Complet!$A$3:$U$983,15,FALSE))</f>
        <v/>
      </c>
      <c r="O264" s="53" t="str">
        <f>IF(VLOOKUP($A264,DICO_Complet!$A$3:$U$983,16,FALSE)=0,"",VLOOKUP($A264,DICO_Complet!$A$3:$U$983,16,FALSE))</f>
        <v/>
      </c>
      <c r="P264" s="53" t="str">
        <f>IF(VLOOKUP($A264,DICO_Complet!$A$3:$U$983,17,FALSE)=0,"",VLOOKUP($A264,DICO_Complet!$A$3:$U$983,17,FALSE))</f>
        <v/>
      </c>
      <c r="Q264" s="53" t="str">
        <f>IF(VLOOKUP($A264,DICO_Complet!$A$3:$U$983,18,FALSE)=0,"",VLOOKUP($A264,DICO_Complet!$A$3:$U$983,18,FALSE))</f>
        <v/>
      </c>
    </row>
    <row r="265" spans="1:17">
      <c r="A265" s="38">
        <v>241112000056</v>
      </c>
      <c r="B265" s="47" t="s">
        <v>858</v>
      </c>
      <c r="C265" s="3" t="str">
        <f>VLOOKUP($A265,DICO_Complet!$A$3:$U$983,3,FALSE)</f>
        <v>Context</v>
      </c>
      <c r="D265" s="3" t="str">
        <f>VLOOKUP($A265,DICO_Complet!$A$3:$U$983,4,FALSE)</f>
        <v>transactionContext</v>
      </c>
      <c r="E265" s="2" t="str">
        <f>VLOOKUP($A265,DICO_Complet!$A$3:$U$983,5,FALSE)</f>
        <v>regulatoryAndTechnicalEnvironment</v>
      </c>
      <c r="F265" s="2" t="str">
        <f>VLOOKUP($A265,DICO_Complet!$A$3:$U$983,6,FALSE)</f>
        <v>Exact2AlphaNumericText</v>
      </c>
      <c r="G265" s="48">
        <f>VLOOKUP($A265,DICO_Complet!$A$3:$U$983,7,FALSE)</f>
        <v>0</v>
      </c>
      <c r="H265" s="48">
        <f>VLOOKUP($A265,DICO_Complet!$A$3:$U$983,8,FALSE)</f>
        <v>0</v>
      </c>
      <c r="I265" s="2" t="str">
        <f>IF(VLOOKUP($A265,DICO_Complet!$A$3:$U$983,9,FALSE)&lt;&gt;0,VLOOKUP($A265,DICO_Complet!$A$3:$U$983,9,FALSE),"")</f>
        <v/>
      </c>
      <c r="J265" s="1" t="str">
        <f>VLOOKUP($A265,DICO_Complet!$A$3:$U$983,10,FALSE)</f>
        <v>Regulatory and technical environment</v>
      </c>
      <c r="K265" s="53" t="str">
        <f>IF(VLOOKUP($A265,DICO_Complet!$A$3:$U$983,12,FALSE)=0,"",VLOOKUP($A265,DICO_Complet!$A$3:$U$983,12,FALSE))</f>
        <v>RSB59_200</v>
      </c>
      <c r="L265" s="53" t="str">
        <f>IF(VLOOKUP($A265,DICO_Complet!$A$3:$U$983,13,FALSE)=0,"",VLOOKUP($A265,DICO_Complet!$A$3:$U$983,13,FALSE))</f>
        <v>[59-0200]</v>
      </c>
      <c r="M265" s="53" t="str">
        <f>IF(VLOOKUP($A265,DICO_Complet!$A$3:$U$983,14,FALSE)=0,"",VLOOKUP($A265,DICO_Complet!$A$3:$U$983,14,FALSE))</f>
        <v/>
      </c>
      <c r="N265" s="53" t="str">
        <f>IF(VLOOKUP($A265,DICO_Complet!$A$3:$U$983,15,FALSE)=0,"",VLOOKUP($A265,DICO_Complet!$A$3:$U$983,15,FALSE))</f>
        <v/>
      </c>
      <c r="O265" s="53" t="str">
        <f>IF(VLOOKUP($A265,DICO_Complet!$A$3:$U$983,16,FALSE)=0,"",VLOOKUP($A265,DICO_Complet!$A$3:$U$983,16,FALSE))</f>
        <v/>
      </c>
      <c r="P265" s="53" t="str">
        <f>IF(VLOOKUP($A265,DICO_Complet!$A$3:$U$983,17,FALSE)=0,"",VLOOKUP($A265,DICO_Complet!$A$3:$U$983,17,FALSE))</f>
        <v/>
      </c>
      <c r="Q265" s="53" t="str">
        <f>IF(VLOOKUP($A265,DICO_Complet!$A$3:$U$983,18,FALSE)=0,"",VLOOKUP($A265,DICO_Complet!$A$3:$U$983,18,FALSE))</f>
        <v/>
      </c>
    </row>
    <row r="266" spans="1:17">
      <c r="A266" s="38">
        <v>241112000057</v>
      </c>
      <c r="B266" s="47" t="s">
        <v>858</v>
      </c>
      <c r="C266" s="3" t="str">
        <f>VLOOKUP($A266,DICO_Complet!$A$3:$U$983,3,FALSE)</f>
        <v>Context</v>
      </c>
      <c r="D266" s="3" t="str">
        <f>VLOOKUP($A266,DICO_Complet!$A$3:$U$983,4,FALSE)</f>
        <v>transactionContext</v>
      </c>
      <c r="E266" s="2" t="str">
        <f>VLOOKUP($A266,DICO_Complet!$A$3:$U$983,5,FALSE)</f>
        <v>resendCounter</v>
      </c>
      <c r="F266" s="2" t="str">
        <f>VLOOKUP($A266,DICO_Complet!$A$3:$U$983,6,FALSE)</f>
        <v>Exact1NumericText</v>
      </c>
      <c r="G266" s="48">
        <f>VLOOKUP($A266,DICO_Complet!$A$3:$U$983,7,FALSE)</f>
        <v>0</v>
      </c>
      <c r="H266" s="48">
        <f>VLOOKUP($A266,DICO_Complet!$A$3:$U$983,8,FALSE)</f>
        <v>0</v>
      </c>
      <c r="I266" s="2" t="str">
        <f>IF(VLOOKUP($A266,DICO_Complet!$A$3:$U$983,9,FALSE)&lt;&gt;0,VLOOKUP($A266,DICO_Complet!$A$3:$U$983,9,FALSE),"")</f>
        <v/>
      </c>
      <c r="J266" s="1" t="str">
        <f>VLOOKUP($A266,DICO_Complet!$A$3:$U$983,10,FALSE)</f>
        <v>transmission counter used in the case of re-authorised messages</v>
      </c>
      <c r="K266" s="53" t="str">
        <f>IF(VLOOKUP($A266,DICO_Complet!$A$3:$U$983,12,FALSE)=0,"",VLOOKUP($A266,DICO_Complet!$A$3:$U$983,12,FALSE))</f>
        <v>RSB57_20</v>
      </c>
      <c r="L266" s="53" t="str">
        <f>IF(VLOOKUP($A266,DICO_Complet!$A$3:$U$983,13,FALSE)=0,"",VLOOKUP($A266,DICO_Complet!$A$3:$U$983,13,FALSE))</f>
        <v>[57-0020]</v>
      </c>
      <c r="M266" s="53" t="str">
        <f>IF(VLOOKUP($A266,DICO_Complet!$A$3:$U$983,14,FALSE)=0,"",VLOOKUP($A266,DICO_Complet!$A$3:$U$983,14,FALSE))</f>
        <v/>
      </c>
      <c r="N266" s="53" t="str">
        <f>IF(VLOOKUP($A266,DICO_Complet!$A$3:$U$983,15,FALSE)=0,"",VLOOKUP($A266,DICO_Complet!$A$3:$U$983,15,FALSE))</f>
        <v/>
      </c>
      <c r="O266" s="53" t="str">
        <f>IF(VLOOKUP($A266,DICO_Complet!$A$3:$U$983,16,FALSE)=0,"",VLOOKUP($A266,DICO_Complet!$A$3:$U$983,16,FALSE))</f>
        <v/>
      </c>
      <c r="P266" s="53" t="str">
        <f>IF(VLOOKUP($A266,DICO_Complet!$A$3:$U$983,17,FALSE)=0,"",VLOOKUP($A266,DICO_Complet!$A$3:$U$983,17,FALSE))</f>
        <v/>
      </c>
      <c r="Q266" s="53" t="str">
        <f>IF(VLOOKUP($A266,DICO_Complet!$A$3:$U$983,18,FALSE)=0,"",VLOOKUP($A266,DICO_Complet!$A$3:$U$983,18,FALSE))</f>
        <v/>
      </c>
    </row>
    <row r="267" spans="1:17">
      <c r="A267" s="38">
        <v>250317176901</v>
      </c>
      <c r="B267" s="47" t="s">
        <v>858</v>
      </c>
      <c r="C267" s="3" t="str">
        <f>VLOOKUP($A267,DICO_Complet!$A$3:$U$983,3,FALSE)</f>
        <v>Context</v>
      </c>
      <c r="D267" s="3" t="str">
        <f>VLOOKUP($A267,DICO_Complet!$A$3:$U$983,4,FALSE)</f>
        <v>transactionContext</v>
      </c>
      <c r="E267" s="2" t="str">
        <f>VLOOKUP($A267,DICO_Complet!$A$3:$U$983,5,FALSE)</f>
        <v>schemeNature</v>
      </c>
      <c r="F267" s="2" t="str">
        <f>VLOOKUP($A267,DICO_Complet!$A$3:$U$983,6,FALSE)</f>
        <v>NetworkCodeset</v>
      </c>
      <c r="G267" s="48">
        <f>VLOOKUP($A267,DICO_Complet!$A$3:$U$983,7,FALSE)</f>
        <v>0</v>
      </c>
      <c r="H267" s="48">
        <f>VLOOKUP($A267,DICO_Complet!$A$3:$U$983,8,FALSE)</f>
        <v>0</v>
      </c>
      <c r="I267" s="2" t="str">
        <f>IF(VLOOKUP($A267,DICO_Complet!$A$3:$U$983,9,FALSE)&lt;&gt;0,VLOOKUP($A267,DICO_Complet!$A$3:$U$983,9,FALSE),"")</f>
        <v/>
      </c>
      <c r="J267" s="1" t="str">
        <f>VLOOKUP($A267,DICO_Complet!$A$3:$U$983,10,FALSE)</f>
        <v>Scheme nature</v>
      </c>
      <c r="K267" s="53" t="str">
        <f>IF(VLOOKUP($A267,DICO_Complet!$A$3:$U$983,12,FALSE)=0,"",VLOOKUP($A267,DICO_Complet!$A$3:$U$983,12,FALSE))</f>
        <v/>
      </c>
      <c r="L267" s="53" t="str">
        <f>IF(VLOOKUP($A267,DICO_Complet!$A$3:$U$983,13,FALSE)=0,"",VLOOKUP($A267,DICO_Complet!$A$3:$U$983,13,FALSE))</f>
        <v/>
      </c>
      <c r="M267" s="53" t="str">
        <f>IF(VLOOKUP($A267,DICO_Complet!$A$3:$U$983,14,FALSE)=0,"",VLOOKUP($A267,DICO_Complet!$A$3:$U$983,14,FALSE))</f>
        <v>47_ 98 part 1</v>
      </c>
      <c r="N267" s="53" t="str">
        <f>IF(VLOOKUP($A267,DICO_Complet!$A$3:$U$983,15,FALSE)=0,"",VLOOKUP($A267,DICO_Complet!$A$3:$U$983,15,FALSE))</f>
        <v/>
      </c>
      <c r="O267" s="53" t="str">
        <f>IF(VLOOKUP($A267,DICO_Complet!$A$3:$U$983,16,FALSE)=0,"",VLOOKUP($A267,DICO_Complet!$A$3:$U$983,16,FALSE))</f>
        <v/>
      </c>
      <c r="P267" s="53" t="str">
        <f>IF(VLOOKUP($A267,DICO_Complet!$A$3:$U$983,17,FALSE)=0,"",VLOOKUP($A267,DICO_Complet!$A$3:$U$983,17,FALSE))</f>
        <v/>
      </c>
      <c r="Q267" s="53" t="str">
        <f>IF(VLOOKUP($A267,DICO_Complet!$A$3:$U$983,18,FALSE)=0,"",VLOOKUP($A267,DICO_Complet!$A$3:$U$983,18,FALSE))</f>
        <v/>
      </c>
    </row>
    <row r="268" spans="1:17">
      <c r="A268" s="38">
        <v>250317176902</v>
      </c>
      <c r="B268" s="47" t="s">
        <v>858</v>
      </c>
      <c r="C268" s="3" t="str">
        <f>VLOOKUP($A268,DICO_Complet!$A$3:$U$983,3,FALSE)</f>
        <v>Context</v>
      </c>
      <c r="D268" s="3" t="str">
        <f>VLOOKUP($A268,DICO_Complet!$A$3:$U$983,4,FALSE)</f>
        <v>transactionContext</v>
      </c>
      <c r="E268" s="2" t="str">
        <f>VLOOKUP($A268,DICO_Complet!$A$3:$U$983,5,FALSE)</f>
        <v>securizationNature</v>
      </c>
      <c r="F268" s="2" t="str">
        <f>VLOOKUP($A268,DICO_Complet!$A$3:$U$983,6,FALSE)</f>
        <v>Exact2NumericText</v>
      </c>
      <c r="G268" s="48">
        <f>VLOOKUP($A268,DICO_Complet!$A$3:$U$983,7,FALSE)</f>
        <v>0</v>
      </c>
      <c r="H268" s="48">
        <f>VLOOKUP($A268,DICO_Complet!$A$3:$U$983,8,FALSE)</f>
        <v>0</v>
      </c>
      <c r="I268" s="2" t="str">
        <f>IF(VLOOKUP($A268,DICO_Complet!$A$3:$U$983,9,FALSE)&lt;&gt;0,VLOOKUP($A268,DICO_Complet!$A$3:$U$983,9,FALSE),"")</f>
        <v/>
      </c>
      <c r="J268" s="1" t="str">
        <f>VLOOKUP($A268,DICO_Complet!$A$3:$U$983,10,FALSE)</f>
        <v>Securization nature</v>
      </c>
      <c r="K268" s="53" t="str">
        <f>IF(VLOOKUP($A268,DICO_Complet!$A$3:$U$983,12,FALSE)=0,"",VLOOKUP($A268,DICO_Complet!$A$3:$U$983,12,FALSE))</f>
        <v/>
      </c>
      <c r="L268" s="53" t="str">
        <f>IF(VLOOKUP($A268,DICO_Complet!$A$3:$U$983,13,FALSE)=0,"",VLOOKUP($A268,DICO_Complet!$A$3:$U$983,13,FALSE))</f>
        <v/>
      </c>
      <c r="M268" s="53" t="str">
        <f>IF(VLOOKUP($A268,DICO_Complet!$A$3:$U$983,14,FALSE)=0,"",VLOOKUP($A268,DICO_Complet!$A$3:$U$983,14,FALSE))</f>
        <v/>
      </c>
      <c r="N268" s="53" t="str">
        <f>IF(VLOOKUP($A268,DICO_Complet!$A$3:$U$983,15,FALSE)=0,"",VLOOKUP($A268,DICO_Complet!$A$3:$U$983,15,FALSE))</f>
        <v/>
      </c>
      <c r="O268" s="53" t="str">
        <f>IF(VLOOKUP($A268,DICO_Complet!$A$3:$U$983,16,FALSE)=0,"",VLOOKUP($A268,DICO_Complet!$A$3:$U$983,16,FALSE))</f>
        <v/>
      </c>
      <c r="P268" s="53" t="str">
        <f>IF(VLOOKUP($A268,DICO_Complet!$A$3:$U$983,17,FALSE)=0,"",VLOOKUP($A268,DICO_Complet!$A$3:$U$983,17,FALSE))</f>
        <v/>
      </c>
      <c r="Q268" s="53" t="str">
        <f>IF(VLOOKUP($A268,DICO_Complet!$A$3:$U$983,18,FALSE)=0,"",VLOOKUP($A268,DICO_Complet!$A$3:$U$983,18,FALSE))</f>
        <v/>
      </c>
    </row>
    <row r="269" spans="1:17">
      <c r="A269" s="38">
        <v>241112000058</v>
      </c>
      <c r="B269" s="47" t="s">
        <v>858</v>
      </c>
      <c r="C269" s="3" t="str">
        <f>VLOOKUP($A269,DICO_Complet!$A$3:$U$983,3,FALSE)</f>
        <v>Context</v>
      </c>
      <c r="D269" s="3" t="str">
        <f>VLOOKUP($A269,DICO_Complet!$A$3:$U$983,4,FALSE)</f>
        <v>transactionContext</v>
      </c>
      <c r="E269" s="2" t="str">
        <f>VLOOKUP($A269,DICO_Complet!$A$3:$U$983,5,FALSE)</f>
        <v>serviceAttribute</v>
      </c>
      <c r="F269" s="2" t="str">
        <f>VLOOKUP($A269,DICO_Complet!$A$3:$U$983,6,FALSE)</f>
        <v>ServiceAttributeCodeset</v>
      </c>
      <c r="G269" s="48">
        <f>VLOOKUP($A269,DICO_Complet!$A$3:$U$983,7,FALSE)</f>
        <v>0</v>
      </c>
      <c r="H269" s="48">
        <f>VLOOKUP($A269,DICO_Complet!$A$3:$U$983,8,FALSE)</f>
        <v>0</v>
      </c>
      <c r="I269" s="2" t="str">
        <f>IF(VLOOKUP($A269,DICO_Complet!$A$3:$U$983,9,FALSE)&lt;&gt;0,VLOOKUP($A269,DICO_Complet!$A$3:$U$983,9,FALSE),"")</f>
        <v/>
      </c>
      <c r="J269" s="1" t="str">
        <f>VLOOKUP($A269,DICO_Complet!$A$3:$U$983,10,FALSE)</f>
        <v>Service attribute</v>
      </c>
      <c r="K269" s="53" t="str">
        <f>IF(VLOOKUP($A269,DICO_Complet!$A$3:$U$983,12,FALSE)=0,"",VLOOKUP($A269,DICO_Complet!$A$3:$U$983,12,FALSE))</f>
        <v>RSB59_800</v>
      </c>
      <c r="L269" s="53" t="str">
        <f>IF(VLOOKUP($A269,DICO_Complet!$A$3:$U$983,13,FALSE)=0,"",VLOOKUP($A269,DICO_Complet!$A$3:$U$983,13,FALSE))</f>
        <v>[59-0800]</v>
      </c>
      <c r="M269" s="53" t="str">
        <f>IF(VLOOKUP($A269,DICO_Complet!$A$3:$U$983,14,FALSE)=0,"",VLOOKUP($A269,DICO_Complet!$A$3:$U$983,14,FALSE))</f>
        <v>47.03</v>
      </c>
      <c r="N269" s="53" t="str">
        <f>IF(VLOOKUP($A269,DICO_Complet!$A$3:$U$983,15,FALSE)=0,"",VLOOKUP($A269,DICO_Complet!$A$3:$U$983,15,FALSE))</f>
        <v/>
      </c>
      <c r="O269" s="53" t="str">
        <f>IF(VLOOKUP($A269,DICO_Complet!$A$3:$U$983,16,FALSE)=0,"",VLOOKUP($A269,DICO_Complet!$A$3:$U$983,16,FALSE))</f>
        <v/>
      </c>
      <c r="P269" s="53" t="str">
        <f>IF(VLOOKUP($A269,DICO_Complet!$A$3:$U$983,17,FALSE)=0,"",VLOOKUP($A269,DICO_Complet!$A$3:$U$983,17,FALSE))</f>
        <v/>
      </c>
      <c r="Q269" s="53" t="str">
        <f>IF(VLOOKUP($A269,DICO_Complet!$A$3:$U$983,18,FALSE)=0,"",VLOOKUP($A269,DICO_Complet!$A$3:$U$983,18,FALSE))</f>
        <v/>
      </c>
    </row>
    <row r="270" spans="1:17">
      <c r="A270" s="38">
        <v>250212174204</v>
      </c>
      <c r="B270" s="47" t="s">
        <v>858</v>
      </c>
      <c r="C270" s="3" t="str">
        <f>VLOOKUP($A270,DICO_Complet!$A$3:$U$983,3,FALSE)</f>
        <v>Context</v>
      </c>
      <c r="D270" s="3" t="str">
        <f>VLOOKUP($A270,DICO_Complet!$A$3:$U$983,4,FALSE)</f>
        <v>transactionContext</v>
      </c>
      <c r="E270" s="2" t="str">
        <f>VLOOKUP($A270,DICO_Complet!$A$3:$U$983,5,FALSE)</f>
        <v>serviceIndicator</v>
      </c>
      <c r="F270" s="2" t="str">
        <f>VLOOKUP($A270,DICO_Complet!$A$3:$U$983,6,FALSE)</f>
        <v>TrueFalseIndicator</v>
      </c>
      <c r="G270" s="48">
        <f>VLOOKUP($A270,DICO_Complet!$A$3:$U$983,7,FALSE)</f>
        <v>0</v>
      </c>
      <c r="H270" s="48">
        <f>VLOOKUP($A270,DICO_Complet!$A$3:$U$983,8,FALSE)</f>
        <v>0</v>
      </c>
      <c r="I270" s="2" t="str">
        <f>IF(VLOOKUP($A270,DICO_Complet!$A$3:$U$983,9,FALSE)&lt;&gt;0,VLOOKUP($A270,DICO_Complet!$A$3:$U$983,9,FALSE),"")</f>
        <v/>
      </c>
      <c r="J270" s="1" t="str">
        <f>VLOOKUP($A270,DICO_Complet!$A$3:$U$983,10,FALSE)</f>
        <v xml:space="preserve">Service Indicator </v>
      </c>
      <c r="K270" s="53" t="str">
        <f>IF(VLOOKUP($A270,DICO_Complet!$A$3:$U$983,12,FALSE)=0,"",VLOOKUP($A270,DICO_Complet!$A$3:$U$983,12,FALSE))</f>
        <v>RSB119_0008</v>
      </c>
      <c r="L270" s="53" t="str">
        <f>IF(VLOOKUP($A270,DICO_Complet!$A$3:$U$983,13,FALSE)=0,"",VLOOKUP($A270,DICO_Complet!$A$3:$U$983,13,FALSE))</f>
        <v>[119-0008]</v>
      </c>
      <c r="M270" s="53" t="str">
        <f>IF(VLOOKUP($A270,DICO_Complet!$A$3:$U$983,14,FALSE)=0,"",VLOOKUP($A270,DICO_Complet!$A$3:$U$983,14,FALSE))</f>
        <v/>
      </c>
      <c r="N270" s="53" t="str">
        <f>IF(VLOOKUP($A270,DICO_Complet!$A$3:$U$983,15,FALSE)=0,"",VLOOKUP($A270,DICO_Complet!$A$3:$U$983,15,FALSE))</f>
        <v/>
      </c>
      <c r="O270" s="53" t="str">
        <f>IF(VLOOKUP($A270,DICO_Complet!$A$3:$U$983,16,FALSE)=0,"",VLOOKUP($A270,DICO_Complet!$A$3:$U$983,16,FALSE))</f>
        <v>VISA 126.12 bit 5 - '1' seule valeur à date</v>
      </c>
      <c r="P270" s="53" t="str">
        <f>IF(VLOOKUP($A270,DICO_Complet!$A$3:$U$983,17,FALSE)=0,"",VLOOKUP($A270,DICO_Complet!$A$3:$U$983,17,FALSE))</f>
        <v/>
      </c>
      <c r="Q270" s="53" t="str">
        <f>IF(VLOOKUP($A270,DICO_Complet!$A$3:$U$983,18,FALSE)=0,"",VLOOKUP($A270,DICO_Complet!$A$3:$U$983,18,FALSE))</f>
        <v/>
      </c>
    </row>
    <row r="271" spans="1:17">
      <c r="A271" s="38">
        <v>250425200601</v>
      </c>
      <c r="B271" s="47" t="s">
        <v>858</v>
      </c>
      <c r="C271" s="3" t="str">
        <f>VLOOKUP($A271,DICO_Complet!$A$3:$U$983,3,FALSE)</f>
        <v>Context</v>
      </c>
      <c r="D271" s="3" t="str">
        <f>VLOOKUP($A271,DICO_Complet!$A$3:$U$983,4,FALSE)</f>
        <v>transactionContext</v>
      </c>
      <c r="E271" s="2" t="str">
        <f>VLOOKUP($A271,DICO_Complet!$A$3:$U$983,5,FALSE)</f>
        <v>serviceLocationAddress</v>
      </c>
      <c r="F271" s="2" t="str">
        <f>VLOOKUP($A271,DICO_Complet!$A$3:$U$983,6,FALSE)</f>
        <v>PostalAddressType</v>
      </c>
      <c r="G271" s="48">
        <f>VLOOKUP($A271,DICO_Complet!$A$3:$U$983,7,FALSE)</f>
        <v>0</v>
      </c>
      <c r="H271" s="48">
        <f>VLOOKUP($A271,DICO_Complet!$A$3:$U$983,8,FALSE)</f>
        <v>0</v>
      </c>
      <c r="I271" s="2" t="str">
        <f>IF(VLOOKUP($A271,DICO_Complet!$A$3:$U$983,9,FALSE)&lt;&gt;0,VLOOKUP($A271,DICO_Complet!$A$3:$U$983,9,FALSE),"")</f>
        <v/>
      </c>
      <c r="J271" s="1" t="str">
        <f>VLOOKUP($A271,DICO_Complet!$A$3:$U$983,10,FALSE)</f>
        <v>Service location address</v>
      </c>
      <c r="K271" s="53" t="str">
        <f>IF(VLOOKUP($A271,DICO_Complet!$A$3:$U$983,12,FALSE)=0,"",VLOOKUP($A271,DICO_Complet!$A$3:$U$983,12,FALSE))</f>
        <v/>
      </c>
      <c r="L271" s="53" t="str">
        <f>IF(VLOOKUP($A271,DICO_Complet!$A$3:$U$983,13,FALSE)=0,"",VLOOKUP($A271,DICO_Complet!$A$3:$U$983,13,FALSE))</f>
        <v/>
      </c>
      <c r="M271" s="53" t="str">
        <f>IF(VLOOKUP($A271,DICO_Complet!$A$3:$U$983,14,FALSE)=0,"",VLOOKUP($A271,DICO_Complet!$A$3:$U$983,14,FALSE))</f>
        <v>59_1113</v>
      </c>
      <c r="N271" s="53" t="str">
        <f>IF(VLOOKUP($A271,DICO_Complet!$A$3:$U$983,15,FALSE)=0,"",VLOOKUP($A271,DICO_Complet!$A$3:$U$983,15,FALSE))</f>
        <v/>
      </c>
      <c r="O271" s="53" t="str">
        <f>IF(VLOOKUP($A271,DICO_Complet!$A$3:$U$983,16,FALSE)=0,"",VLOOKUP($A271,DICO_Complet!$A$3:$U$983,16,FALSE))</f>
        <v/>
      </c>
      <c r="P271" s="53" t="str">
        <f>IF(VLOOKUP($A271,DICO_Complet!$A$3:$U$983,17,FALSE)=0,"",VLOOKUP($A271,DICO_Complet!$A$3:$U$983,17,FALSE))</f>
        <v/>
      </c>
      <c r="Q271" s="53" t="str">
        <f>IF(VLOOKUP($A271,DICO_Complet!$A$3:$U$983,18,FALSE)=0,"",VLOOKUP($A271,DICO_Complet!$A$3:$U$983,18,FALSE))</f>
        <v/>
      </c>
    </row>
    <row r="272" spans="1:17">
      <c r="A272" s="38">
        <v>250331132305</v>
      </c>
      <c r="B272" s="47" t="s">
        <v>858</v>
      </c>
      <c r="C272" s="3" t="str">
        <f>VLOOKUP($A272,DICO_Complet!$A$3:$U$983,3,FALSE)</f>
        <v>Context</v>
      </c>
      <c r="D272" s="3" t="str">
        <f>VLOOKUP($A272,DICO_Complet!$A$3:$U$983,4,FALSE)</f>
        <v>transactionContext</v>
      </c>
      <c r="E272" s="2" t="str">
        <f>VLOOKUP($A272,DICO_Complet!$A$3:$U$983,5,FALSE)</f>
        <v>statusOfMessageDisplayPrintCapability</v>
      </c>
      <c r="F272" s="2" t="str">
        <f>VLOOKUP($A272,DICO_Complet!$A$3:$U$983,6,FALSE)</f>
        <v>StatusOfMessageDisplayPrintCapabilityCodeset</v>
      </c>
      <c r="G272" s="48">
        <f>VLOOKUP($A272,DICO_Complet!$A$3:$U$983,7,FALSE)</f>
        <v>0</v>
      </c>
      <c r="H272" s="48">
        <f>VLOOKUP($A272,DICO_Complet!$A$3:$U$983,8,FALSE)</f>
        <v>0</v>
      </c>
      <c r="I272" s="2" t="str">
        <f>IF(VLOOKUP($A272,DICO_Complet!$A$3:$U$983,9,FALSE)&lt;&gt;0,VLOOKUP($A272,DICO_Complet!$A$3:$U$983,9,FALSE),"")</f>
        <v/>
      </c>
      <c r="J272" s="1" t="str">
        <f>VLOOKUP($A272,DICO_Complet!$A$3:$U$983,10,FALSE)</f>
        <v>Status of message display/print capability</v>
      </c>
      <c r="K272" s="53" t="str">
        <f>IF(VLOOKUP($A272,DICO_Complet!$A$3:$U$983,12,FALSE)=0,"",VLOOKUP($A272,DICO_Complet!$A$3:$U$983,12,FALSE))</f>
        <v/>
      </c>
      <c r="L272" s="53" t="str">
        <f>IF(VLOOKUP($A272,DICO_Complet!$A$3:$U$983,13,FALSE)=0,"",VLOOKUP($A272,DICO_Complet!$A$3:$U$983,13,FALSE))</f>
        <v/>
      </c>
      <c r="M272" s="53" t="str">
        <f>IF(VLOOKUP($A272,DICO_Complet!$A$3:$U$983,14,FALSE)=0,"",VLOOKUP($A272,DICO_Complet!$A$3:$U$983,14,FALSE))</f>
        <v>22 part 6</v>
      </c>
      <c r="N272" s="53" t="str">
        <f>IF(VLOOKUP($A272,DICO_Complet!$A$3:$U$983,15,FALSE)=0,"",VLOOKUP($A272,DICO_Complet!$A$3:$U$983,15,FALSE))</f>
        <v/>
      </c>
      <c r="O272" s="53" t="str">
        <f>IF(VLOOKUP($A272,DICO_Complet!$A$3:$U$983,16,FALSE)=0,"",VLOOKUP($A272,DICO_Complet!$A$3:$U$983,16,FALSE))</f>
        <v/>
      </c>
      <c r="P272" s="53" t="str">
        <f>IF(VLOOKUP($A272,DICO_Complet!$A$3:$U$983,17,FALSE)=0,"",VLOOKUP($A272,DICO_Complet!$A$3:$U$983,17,FALSE))</f>
        <v/>
      </c>
      <c r="Q272" s="53" t="str">
        <f>IF(VLOOKUP($A272,DICO_Complet!$A$3:$U$983,18,FALSE)=0,"",VLOOKUP($A272,DICO_Complet!$A$3:$U$983,18,FALSE))</f>
        <v/>
      </c>
    </row>
    <row r="273" spans="1:17">
      <c r="A273" s="38">
        <v>250317124400</v>
      </c>
      <c r="B273" s="47" t="s">
        <v>858</v>
      </c>
      <c r="C273" s="3" t="str">
        <f>VLOOKUP($A273,DICO_Complet!$A$3:$U$983,3,FALSE)</f>
        <v>Context</v>
      </c>
      <c r="D273" s="3" t="str">
        <f>VLOOKUP($A273,DICO_Complet!$A$3:$U$983,4,FALSE)</f>
        <v>transactionContext</v>
      </c>
      <c r="E273" s="2" t="str">
        <f>VLOOKUP($A273,DICO_Complet!$A$3:$U$983,5,FALSE)</f>
        <v>storedDataCategory</v>
      </c>
      <c r="F273" s="2" t="str">
        <f>VLOOKUP($A273,DICO_Complet!$A$3:$U$983,6,FALSE)</f>
        <v>StoredDataCategoryCodeset</v>
      </c>
      <c r="G273" s="48">
        <f>VLOOKUP($A273,DICO_Complet!$A$3:$U$983,7,FALSE)</f>
        <v>0</v>
      </c>
      <c r="H273" s="48">
        <f>VLOOKUP($A273,DICO_Complet!$A$3:$U$983,8,FALSE)</f>
        <v>0</v>
      </c>
      <c r="I273" s="2" t="str">
        <f>IF(VLOOKUP($A273,DICO_Complet!$A$3:$U$983,9,FALSE)&lt;&gt;0,VLOOKUP($A273,DICO_Complet!$A$3:$U$983,9,FALSE),"")</f>
        <v/>
      </c>
      <c r="J273" s="1" t="str">
        <f>VLOOKUP($A273,DICO_Complet!$A$3:$U$983,10,FALSE)</f>
        <v>category of stored data</v>
      </c>
      <c r="K273" s="53" t="str">
        <f>IF(VLOOKUP($A273,DICO_Complet!$A$3:$U$983,12,FALSE)=0,"",VLOOKUP($A273,DICO_Complet!$A$3:$U$983,12,FALSE))</f>
        <v/>
      </c>
      <c r="L273" s="53" t="str">
        <f>IF(VLOOKUP($A273,DICO_Complet!$A$3:$U$983,13,FALSE)=0,"",VLOOKUP($A273,DICO_Complet!$A$3:$U$983,13,FALSE))</f>
        <v/>
      </c>
      <c r="M273" s="53" t="str">
        <f>IF(VLOOKUP($A273,DICO_Complet!$A$3:$U$983,14,FALSE)=0,"",VLOOKUP($A273,DICO_Complet!$A$3:$U$983,14,FALSE))</f>
        <v/>
      </c>
      <c r="N273" s="53" t="str">
        <f>IF(VLOOKUP($A273,DICO_Complet!$A$3:$U$983,15,FALSE)=0,"",VLOOKUP($A273,DICO_Complet!$A$3:$U$983,15,FALSE))</f>
        <v/>
      </c>
      <c r="O273" s="53" t="str">
        <f>IF(VLOOKUP($A273,DICO_Complet!$A$3:$U$983,16,FALSE)=0,"",VLOOKUP($A273,DICO_Complet!$A$3:$U$983,16,FALSE))</f>
        <v/>
      </c>
      <c r="P273" s="53" t="str">
        <f>IF(VLOOKUP($A273,DICO_Complet!$A$3:$U$983,17,FALSE)=0,"",VLOOKUP($A273,DICO_Complet!$A$3:$U$983,17,FALSE))</f>
        <v/>
      </c>
      <c r="Q273" s="53" t="str">
        <f>IF(VLOOKUP($A273,DICO_Complet!$A$3:$U$983,18,FALSE)=0,"",VLOOKUP($A273,DICO_Complet!$A$3:$U$983,18,FALSE))</f>
        <v/>
      </c>
    </row>
    <row r="274" spans="1:17">
      <c r="A274" s="38">
        <v>250331132304</v>
      </c>
      <c r="B274" s="47" t="s">
        <v>858</v>
      </c>
      <c r="C274" s="3" t="str">
        <f>VLOOKUP($A274,DICO_Complet!$A$3:$U$983,3,FALSE)</f>
        <v>Context</v>
      </c>
      <c r="D274" s="3" t="str">
        <f>VLOOKUP($A274,DICO_Complet!$A$3:$U$983,4,FALSE)</f>
        <v>transactionContext</v>
      </c>
      <c r="E274" s="2" t="str">
        <f>VLOOKUP($A274,DICO_Complet!$A$3:$U$983,5,FALSE)</f>
        <v>systemAuthenticatingTheCardholder</v>
      </c>
      <c r="F274" s="2" t="str">
        <f>VLOOKUP($A274,DICO_Complet!$A$3:$U$983,6,FALSE)</f>
        <v>SystemAuthenticatingTheCardholderCodeset</v>
      </c>
      <c r="G274" s="48">
        <f>VLOOKUP($A274,DICO_Complet!$A$3:$U$983,7,FALSE)</f>
        <v>0</v>
      </c>
      <c r="H274" s="48">
        <f>VLOOKUP($A274,DICO_Complet!$A$3:$U$983,8,FALSE)</f>
        <v>0</v>
      </c>
      <c r="I274" s="2" t="str">
        <f>IF(VLOOKUP($A274,DICO_Complet!$A$3:$U$983,9,FALSE)&lt;&gt;0,VLOOKUP($A274,DICO_Complet!$A$3:$U$983,9,FALSE),"")</f>
        <v/>
      </c>
      <c r="J274" s="1" t="str">
        <f>VLOOKUP($A274,DICO_Complet!$A$3:$U$983,10,FALSE)</f>
        <v>System authenticating the cardholder</v>
      </c>
      <c r="K274" s="53" t="str">
        <f>IF(VLOOKUP($A274,DICO_Complet!$A$3:$U$983,12,FALSE)=0,"",VLOOKUP($A274,DICO_Complet!$A$3:$U$983,12,FALSE))</f>
        <v/>
      </c>
      <c r="L274" s="53" t="str">
        <f>IF(VLOOKUP($A274,DICO_Complet!$A$3:$U$983,13,FALSE)=0,"",VLOOKUP($A274,DICO_Complet!$A$3:$U$983,13,FALSE))</f>
        <v/>
      </c>
      <c r="M274" s="53" t="str">
        <f>IF(VLOOKUP($A274,DICO_Complet!$A$3:$U$983,14,FALSE)=0,"",VLOOKUP($A274,DICO_Complet!$A$3:$U$983,14,FALSE))</f>
        <v>22 part 5</v>
      </c>
      <c r="N274" s="53" t="str">
        <f>IF(VLOOKUP($A274,DICO_Complet!$A$3:$U$983,15,FALSE)=0,"",VLOOKUP($A274,DICO_Complet!$A$3:$U$983,15,FALSE))</f>
        <v/>
      </c>
      <c r="O274" s="53" t="str">
        <f>IF(VLOOKUP($A274,DICO_Complet!$A$3:$U$983,16,FALSE)=0,"",VLOOKUP($A274,DICO_Complet!$A$3:$U$983,16,FALSE))</f>
        <v/>
      </c>
      <c r="P274" s="53" t="str">
        <f>IF(VLOOKUP($A274,DICO_Complet!$A$3:$U$983,17,FALSE)=0,"",VLOOKUP($A274,DICO_Complet!$A$3:$U$983,17,FALSE))</f>
        <v/>
      </c>
      <c r="Q274" s="53" t="str">
        <f>IF(VLOOKUP($A274,DICO_Complet!$A$3:$U$983,18,FALSE)=0,"",VLOOKUP($A274,DICO_Complet!$A$3:$U$983,18,FALSE))</f>
        <v/>
      </c>
    </row>
    <row r="275" spans="1:17">
      <c r="A275" s="38">
        <v>250418220103</v>
      </c>
      <c r="B275" s="47" t="s">
        <v>858</v>
      </c>
      <c r="C275" s="3" t="str">
        <f>VLOOKUP($A275,DICO_Complet!$A$3:$U$983,3,FALSE)</f>
        <v>Context</v>
      </c>
      <c r="D275" s="3" t="str">
        <f>VLOOKUP($A275,DICO_Complet!$A$3:$U$983,4,FALSE)</f>
        <v>transactionContext</v>
      </c>
      <c r="E275" s="2" t="str">
        <f>VLOOKUP($A275,DICO_Complet!$A$3:$U$983,5,FALSE)</f>
        <v>temp_authorisationCharacteristicsIndicator</v>
      </c>
      <c r="F275" s="2" t="str">
        <f>VLOOKUP($A275,DICO_Complet!$A$3:$U$983,6,FALSE)</f>
        <v>temp_authorisationCharacteristicsIndicatorCodeset</v>
      </c>
      <c r="G275" s="48">
        <f>VLOOKUP($A275,DICO_Complet!$A$3:$U$983,7,FALSE)</f>
        <v>0</v>
      </c>
      <c r="H275" s="48">
        <f>VLOOKUP($A275,DICO_Complet!$A$3:$U$983,8,FALSE)</f>
        <v>0</v>
      </c>
      <c r="I275" s="2" t="str">
        <f>IF(VLOOKUP($A275,DICO_Complet!$A$3:$U$983,9,FALSE)&lt;&gt;0,VLOOKUP($A275,DICO_Complet!$A$3:$U$983,9,FALSE),"")</f>
        <v/>
      </c>
      <c r="J275" s="1" t="str">
        <f>VLOOKUP($A275,DICO_Complet!$A$3:$U$983,10,FALSE)</f>
        <v>authorisation characteritics indicator</v>
      </c>
      <c r="K275" s="53" t="str">
        <f>IF(VLOOKUP($A275,DICO_Complet!$A$3:$U$983,12,FALSE)=0,"",VLOOKUP($A275,DICO_Complet!$A$3:$U$983,12,FALSE))</f>
        <v/>
      </c>
      <c r="L275" s="53" t="str">
        <f>IF(VLOOKUP($A275,DICO_Complet!$A$3:$U$983,13,FALSE)=0,"",VLOOKUP($A275,DICO_Complet!$A$3:$U$983,13,FALSE))</f>
        <v/>
      </c>
      <c r="M275" s="53" t="str">
        <f>IF(VLOOKUP($A275,DICO_Complet!$A$3:$U$983,14,FALSE)=0,"",VLOOKUP($A275,DICO_Complet!$A$3:$U$983,14,FALSE))</f>
        <v/>
      </c>
      <c r="N275" s="53" t="str">
        <f>IF(VLOOKUP($A275,DICO_Complet!$A$3:$U$983,15,FALSE)=0,"",VLOOKUP($A275,DICO_Complet!$A$3:$U$983,15,FALSE))</f>
        <v/>
      </c>
      <c r="O275" s="53" t="str">
        <f>IF(VLOOKUP($A275,DICO_Complet!$A$3:$U$983,16,FALSE)=0,"",VLOOKUP($A275,DICO_Complet!$A$3:$U$983,16,FALSE))</f>
        <v/>
      </c>
      <c r="P275" s="53" t="str">
        <f>IF(VLOOKUP($A275,DICO_Complet!$A$3:$U$983,17,FALSE)=0,"",VLOOKUP($A275,DICO_Complet!$A$3:$U$983,17,FALSE))</f>
        <v/>
      </c>
      <c r="Q275" s="53" t="str">
        <f>IF(VLOOKUP($A275,DICO_Complet!$A$3:$U$983,18,FALSE)=0,"",VLOOKUP($A275,DICO_Complet!$A$3:$U$983,18,FALSE))</f>
        <v>CEAUCH</v>
      </c>
    </row>
    <row r="276" spans="1:17">
      <c r="A276" s="38">
        <v>250430062400</v>
      </c>
      <c r="B276" s="47" t="s">
        <v>858</v>
      </c>
      <c r="C276" s="3" t="str">
        <f>VLOOKUP($A276,DICO_Complet!$A$3:$U$983,3,FALSE)</f>
        <v>Context</v>
      </c>
      <c r="D276" s="3" t="str">
        <f>VLOOKUP($A276,DICO_Complet!$A$3:$U$983,4,FALSE)</f>
        <v>transactionContext</v>
      </c>
      <c r="E276" s="2" t="str">
        <f>VLOOKUP($A276,DICO_Complet!$A$3:$U$983,5,FALSE)</f>
        <v>temp_dialogTelerametrageFunctionCode</v>
      </c>
      <c r="F276" s="2" t="str">
        <f>VLOOKUP($A276,DICO_Complet!$A$3:$U$983,6,FALSE)</f>
        <v>temp_dialogTelerametrageFunctionCodeCodeset</v>
      </c>
      <c r="G276" s="158">
        <f>VLOOKUP($A276,DICO_Complet!$A$3:$U$983,7,FALSE)</f>
        <v>0</v>
      </c>
      <c r="H276" s="158">
        <f>VLOOKUP($A276,DICO_Complet!$A$3:$U$983,8,FALSE)</f>
        <v>0</v>
      </c>
      <c r="I276" s="7" t="str">
        <f>IF(VLOOKUP($A276,DICO_Complet!$A$3:$U$983,9,FALSE)&lt;&gt;0,VLOOKUP($A276,DICO_Complet!$A$3:$U$983,9,FALSE),"")</f>
        <v/>
      </c>
      <c r="J276" s="2" t="str">
        <f>VLOOKUP($A276,DICO_Complet!$A$3:$U$983,10,FALSE)</f>
        <v>function code</v>
      </c>
      <c r="K276" s="53" t="str">
        <f>IF(VLOOKUP($A276,DICO_Complet!$A$3:$U$983,12,FALSE)=0,"",VLOOKUP($A276,DICO_Complet!$A$3:$U$983,12,FALSE))</f>
        <v/>
      </c>
      <c r="L276" s="53" t="str">
        <f>IF(VLOOKUP($A276,DICO_Complet!$A$3:$U$983,13,FALSE)=0,"",VLOOKUP($A276,DICO_Complet!$A$3:$U$983,13,FALSE))</f>
        <v/>
      </c>
      <c r="M276" s="53" t="str">
        <f>IF(VLOOKUP($A276,DICO_Complet!$A$3:$U$983,14,FALSE)=0,"",VLOOKUP($A276,DICO_Complet!$A$3:$U$983,14,FALSE))</f>
        <v/>
      </c>
      <c r="N276" s="53" t="str">
        <f>IF(VLOOKUP($A276,DICO_Complet!$A$3:$U$983,15,FALSE)=0,"",VLOOKUP($A276,DICO_Complet!$A$3:$U$983,15,FALSE))</f>
        <v/>
      </c>
      <c r="O276" s="53" t="str">
        <f>IF(VLOOKUP($A276,DICO_Complet!$A$3:$U$983,16,FALSE)=0,"",VLOOKUP($A276,DICO_Complet!$A$3:$U$983,16,FALSE))</f>
        <v/>
      </c>
      <c r="P276" s="53" t="str">
        <f>IF(VLOOKUP($A276,DICO_Complet!$A$3:$U$983,17,FALSE)=0,"",VLOOKUP($A276,DICO_Complet!$A$3:$U$983,17,FALSE))</f>
        <v/>
      </c>
      <c r="Q276" s="53" t="str">
        <f>IF(VLOOKUP($A276,DICO_Complet!$A$3:$U$983,18,FALSE)=0,"",VLOOKUP($A276,DICO_Complet!$A$3:$U$983,18,FALSE))</f>
        <v/>
      </c>
    </row>
    <row r="277" spans="1:17">
      <c r="A277" s="38">
        <v>250425200704</v>
      </c>
      <c r="B277" s="47" t="s">
        <v>858</v>
      </c>
      <c r="C277" s="3" t="str">
        <f>VLOOKUP($A277,DICO_Complet!$A$3:$U$983,3,FALSE)</f>
        <v>Context</v>
      </c>
      <c r="D277" s="3" t="str">
        <f>VLOOKUP($A277,DICO_Complet!$A$3:$U$983,4,FALSE)</f>
        <v>transactionContext</v>
      </c>
      <c r="E277" s="2" t="str">
        <f>VLOOKUP($A277,DICO_Complet!$A$3:$U$983,5,FALSE)</f>
        <v>temp_earlierGMTPeriod</v>
      </c>
      <c r="F277" s="2" t="str">
        <f>VLOOKUP($A277,DICO_Complet!$A$3:$U$983,6,FALSE)</f>
        <v>ISODateTime</v>
      </c>
      <c r="G277" s="48">
        <f>VLOOKUP($A277,DICO_Complet!$A$3:$U$983,7,FALSE)</f>
        <v>0</v>
      </c>
      <c r="H277" s="48">
        <f>VLOOKUP($A277,DICO_Complet!$A$3:$U$983,8,FALSE)</f>
        <v>0</v>
      </c>
      <c r="I277" s="2" t="str">
        <f>IF(VLOOKUP($A277,DICO_Complet!$A$3:$U$983,9,FALSE)&lt;&gt;0,VLOOKUP($A277,DICO_Complet!$A$3:$U$983,9,FALSE),"")</f>
        <v/>
      </c>
      <c r="J277" s="1" t="str">
        <f>VLOOKUP($A277,DICO_Complet!$A$3:$U$983,10,FALSE)</f>
        <v>Earlier GMT period</v>
      </c>
      <c r="K277" s="53" t="str">
        <f>IF(VLOOKUP($A277,DICO_Complet!$A$3:$U$983,12,FALSE)=0,"",VLOOKUP($A277,DICO_Complet!$A$3:$U$983,12,FALSE))</f>
        <v/>
      </c>
      <c r="L277" s="53" t="str">
        <f>IF(VLOOKUP($A277,DICO_Complet!$A$3:$U$983,13,FALSE)=0,"",VLOOKUP($A277,DICO_Complet!$A$3:$U$983,13,FALSE))</f>
        <v/>
      </c>
      <c r="M277" s="53" t="str">
        <f>IF(VLOOKUP($A277,DICO_Complet!$A$3:$U$983,14,FALSE)=0,"",VLOOKUP($A277,DICO_Complet!$A$3:$U$983,14,FALSE))</f>
        <v>72_DF09 part 1</v>
      </c>
      <c r="N277" s="53" t="str">
        <f>IF(VLOOKUP($A277,DICO_Complet!$A$3:$U$983,15,FALSE)=0,"",VLOOKUP($A277,DICO_Complet!$A$3:$U$983,15,FALSE))</f>
        <v/>
      </c>
      <c r="O277" s="53" t="str">
        <f>IF(VLOOKUP($A277,DICO_Complet!$A$3:$U$983,16,FALSE)=0,"",VLOOKUP($A277,DICO_Complet!$A$3:$U$983,16,FALSE))</f>
        <v/>
      </c>
      <c r="P277" s="53" t="str">
        <f>IF(VLOOKUP($A277,DICO_Complet!$A$3:$U$983,17,FALSE)=0,"",VLOOKUP($A277,DICO_Complet!$A$3:$U$983,17,FALSE))</f>
        <v/>
      </c>
      <c r="Q277" s="53" t="str">
        <f>IF(VLOOKUP($A277,DICO_Complet!$A$3:$U$983,18,FALSE)=0,"",VLOOKUP($A277,DICO_Complet!$A$3:$U$983,18,FALSE))</f>
        <v/>
      </c>
    </row>
    <row r="278" spans="1:17">
      <c r="A278" s="38">
        <v>250425201517</v>
      </c>
      <c r="B278" s="47" t="s">
        <v>858</v>
      </c>
      <c r="C278" s="3" t="str">
        <f>VLOOKUP($A278,DICO_Complet!$A$3:$U$983,3,FALSE)</f>
        <v>Context</v>
      </c>
      <c r="D278" s="3" t="str">
        <f>VLOOKUP($A278,DICO_Complet!$A$3:$U$983,4,FALSE)</f>
        <v>transactionContext</v>
      </c>
      <c r="E278" s="2" t="str">
        <f>VLOOKUP($A278,DICO_Complet!$A$3:$U$983,5,FALSE)</f>
        <v>temp_extendedSelectionSupportFlag</v>
      </c>
      <c r="F278" s="2" t="str">
        <f>VLOOKUP($A278,DICO_Complet!$A$3:$U$983,6,FALSE)</f>
        <v>TrueFalseIndicator</v>
      </c>
      <c r="G278" s="48">
        <f>VLOOKUP($A278,DICO_Complet!$A$3:$U$983,7,FALSE)</f>
        <v>0</v>
      </c>
      <c r="H278" s="48">
        <f>VLOOKUP($A278,DICO_Complet!$A$3:$U$983,8,FALSE)</f>
        <v>0</v>
      </c>
      <c r="I278" s="2" t="str">
        <f>IF(VLOOKUP($A278,DICO_Complet!$A$3:$U$983,9,FALSE)&lt;&gt;0,VLOOKUP($A278,DICO_Complet!$A$3:$U$983,9,FALSE),"")</f>
        <v/>
      </c>
      <c r="J278" s="1" t="str">
        <f>VLOOKUP($A278,DICO_Complet!$A$3:$U$983,10,FALSE)</f>
        <v>Extended Selection Support flag</v>
      </c>
      <c r="K278" s="53" t="str">
        <f>IF(VLOOKUP($A278,DICO_Complet!$A$3:$U$983,12,FALSE)=0,"",VLOOKUP($A278,DICO_Complet!$A$3:$U$983,12,FALSE))</f>
        <v/>
      </c>
      <c r="L278" s="53" t="str">
        <f>IF(VLOOKUP($A278,DICO_Complet!$A$3:$U$983,13,FALSE)=0,"",VLOOKUP($A278,DICO_Complet!$A$3:$U$983,13,FALSE))</f>
        <v/>
      </c>
      <c r="M278" s="53" t="str">
        <f>IF(VLOOKUP($A278,DICO_Complet!$A$3:$U$983,14,FALSE)=0,"",VLOOKUP($A278,DICO_Complet!$A$3:$U$983,14,FALSE))</f>
        <v>72_DFA9 part 4</v>
      </c>
      <c r="N278" s="53" t="str">
        <f>IF(VLOOKUP($A278,DICO_Complet!$A$3:$U$983,15,FALSE)=0,"",VLOOKUP($A278,DICO_Complet!$A$3:$U$983,15,FALSE))</f>
        <v/>
      </c>
      <c r="O278" s="53" t="str">
        <f>IF(VLOOKUP($A278,DICO_Complet!$A$3:$U$983,16,FALSE)=0,"",VLOOKUP($A278,DICO_Complet!$A$3:$U$983,16,FALSE))</f>
        <v/>
      </c>
      <c r="P278" s="53" t="str">
        <f>IF(VLOOKUP($A278,DICO_Complet!$A$3:$U$983,17,FALSE)=0,"",VLOOKUP($A278,DICO_Complet!$A$3:$U$983,17,FALSE))</f>
        <v/>
      </c>
      <c r="Q278" s="53" t="str">
        <f>IF(VLOOKUP($A278,DICO_Complet!$A$3:$U$983,18,FALSE)=0,"",VLOOKUP($A278,DICO_Complet!$A$3:$U$983,18,FALSE))</f>
        <v/>
      </c>
    </row>
    <row r="279" spans="1:17">
      <c r="A279" s="38">
        <v>250425200706</v>
      </c>
      <c r="B279" s="47" t="s">
        <v>858</v>
      </c>
      <c r="C279" s="3" t="str">
        <f>VLOOKUP($A279,DICO_Complet!$A$3:$U$983,3,FALSE)</f>
        <v>Context</v>
      </c>
      <c r="D279" s="3" t="str">
        <f>VLOOKUP($A279,DICO_Complet!$A$3:$U$983,4,FALSE)</f>
        <v>transactionContext</v>
      </c>
      <c r="E279" s="2" t="str">
        <f>VLOOKUP($A279,DICO_Complet!$A$3:$U$983,5,FALSE)</f>
        <v>temp_gMTDifference</v>
      </c>
      <c r="F279" s="2" t="str">
        <f>VLOOKUP($A279,DICO_Complet!$A$3:$U$983,6,FALSE)</f>
        <v>ISODateTime</v>
      </c>
      <c r="G279" s="48">
        <f>VLOOKUP($A279,DICO_Complet!$A$3:$U$983,7,FALSE)</f>
        <v>0</v>
      </c>
      <c r="H279" s="48">
        <f>VLOOKUP($A279,DICO_Complet!$A$3:$U$983,8,FALSE)</f>
        <v>0</v>
      </c>
      <c r="I279" s="2" t="str">
        <f>IF(VLOOKUP($A279,DICO_Complet!$A$3:$U$983,9,FALSE)&lt;&gt;0,VLOOKUP($A279,DICO_Complet!$A$3:$U$983,9,FALSE),"")</f>
        <v/>
      </c>
      <c r="J279" s="1" t="str">
        <f>VLOOKUP($A279,DICO_Complet!$A$3:$U$983,10,FALSE)</f>
        <v>GMT difference</v>
      </c>
      <c r="K279" s="53" t="str">
        <f>IF(VLOOKUP($A279,DICO_Complet!$A$3:$U$983,12,FALSE)=0,"",VLOOKUP($A279,DICO_Complet!$A$3:$U$983,12,FALSE))</f>
        <v/>
      </c>
      <c r="L279" s="53" t="str">
        <f>IF(VLOOKUP($A279,DICO_Complet!$A$3:$U$983,13,FALSE)=0,"",VLOOKUP($A279,DICO_Complet!$A$3:$U$983,13,FALSE))</f>
        <v/>
      </c>
      <c r="M279" s="53" t="str">
        <f>IF(VLOOKUP($A279,DICO_Complet!$A$3:$U$983,14,FALSE)=0,"",VLOOKUP($A279,DICO_Complet!$A$3:$U$983,14,FALSE))</f>
        <v>72_DF09 part 3</v>
      </c>
      <c r="N279" s="53" t="str">
        <f>IF(VLOOKUP($A279,DICO_Complet!$A$3:$U$983,15,FALSE)=0,"",VLOOKUP($A279,DICO_Complet!$A$3:$U$983,15,FALSE))</f>
        <v/>
      </c>
      <c r="O279" s="53" t="str">
        <f>IF(VLOOKUP($A279,DICO_Complet!$A$3:$U$983,16,FALSE)=0,"",VLOOKUP($A279,DICO_Complet!$A$3:$U$983,16,FALSE))</f>
        <v/>
      </c>
      <c r="P279" s="53" t="str">
        <f>IF(VLOOKUP($A279,DICO_Complet!$A$3:$U$983,17,FALSE)=0,"",VLOOKUP($A279,DICO_Complet!$A$3:$U$983,17,FALSE))</f>
        <v/>
      </c>
      <c r="Q279" s="53" t="str">
        <f>IF(VLOOKUP($A279,DICO_Complet!$A$3:$U$983,18,FALSE)=0,"",VLOOKUP($A279,DICO_Complet!$A$3:$U$983,18,FALSE))</f>
        <v/>
      </c>
    </row>
    <row r="280" spans="1:17">
      <c r="A280" s="38">
        <v>250425200705</v>
      </c>
      <c r="B280" s="47" t="s">
        <v>858</v>
      </c>
      <c r="C280" s="3" t="str">
        <f>VLOOKUP($A280,DICO_Complet!$A$3:$U$983,3,FALSE)</f>
        <v>Context</v>
      </c>
      <c r="D280" s="3" t="str">
        <f>VLOOKUP($A280,DICO_Complet!$A$3:$U$983,4,FALSE)</f>
        <v>transactionContext</v>
      </c>
      <c r="E280" s="2" t="str">
        <f>VLOOKUP($A280,DICO_Complet!$A$3:$U$983,5,FALSE)</f>
        <v>temp_laterGMTPeriod</v>
      </c>
      <c r="F280" s="2" t="str">
        <f>VLOOKUP($A280,DICO_Complet!$A$3:$U$983,6,FALSE)</f>
        <v>ISODateTime</v>
      </c>
      <c r="G280" s="48">
        <f>VLOOKUP($A280,DICO_Complet!$A$3:$U$983,7,FALSE)</f>
        <v>0</v>
      </c>
      <c r="H280" s="48">
        <f>VLOOKUP($A280,DICO_Complet!$A$3:$U$983,8,FALSE)</f>
        <v>0</v>
      </c>
      <c r="I280" s="2" t="str">
        <f>IF(VLOOKUP($A280,DICO_Complet!$A$3:$U$983,9,FALSE)&lt;&gt;0,VLOOKUP($A280,DICO_Complet!$A$3:$U$983,9,FALSE),"")</f>
        <v/>
      </c>
      <c r="J280" s="1" t="str">
        <f>VLOOKUP($A280,DICO_Complet!$A$3:$U$983,10,FALSE)</f>
        <v>Later GMT period</v>
      </c>
      <c r="K280" s="53" t="str">
        <f>IF(VLOOKUP($A280,DICO_Complet!$A$3:$U$983,12,FALSE)=0,"",VLOOKUP($A280,DICO_Complet!$A$3:$U$983,12,FALSE))</f>
        <v/>
      </c>
      <c r="L280" s="53" t="str">
        <f>IF(VLOOKUP($A280,DICO_Complet!$A$3:$U$983,13,FALSE)=0,"",VLOOKUP($A280,DICO_Complet!$A$3:$U$983,13,FALSE))</f>
        <v/>
      </c>
      <c r="M280" s="53" t="str">
        <f>IF(VLOOKUP($A280,DICO_Complet!$A$3:$U$983,14,FALSE)=0,"",VLOOKUP($A280,DICO_Complet!$A$3:$U$983,14,FALSE))</f>
        <v>72_DF09 part 2</v>
      </c>
      <c r="N280" s="53" t="str">
        <f>IF(VLOOKUP($A280,DICO_Complet!$A$3:$U$983,15,FALSE)=0,"",VLOOKUP($A280,DICO_Complet!$A$3:$U$983,15,FALSE))</f>
        <v/>
      </c>
      <c r="O280" s="53" t="str">
        <f>IF(VLOOKUP($A280,DICO_Complet!$A$3:$U$983,16,FALSE)=0,"",VLOOKUP($A280,DICO_Complet!$A$3:$U$983,16,FALSE))</f>
        <v/>
      </c>
      <c r="P280" s="53" t="str">
        <f>IF(VLOOKUP($A280,DICO_Complet!$A$3:$U$983,17,FALSE)=0,"",VLOOKUP($A280,DICO_Complet!$A$3:$U$983,17,FALSE))</f>
        <v/>
      </c>
      <c r="Q280" s="53" t="str">
        <f>IF(VLOOKUP($A280,DICO_Complet!$A$3:$U$983,18,FALSE)=0,"",VLOOKUP($A280,DICO_Complet!$A$3:$U$983,18,FALSE))</f>
        <v/>
      </c>
    </row>
    <row r="281" spans="1:17">
      <c r="A281" s="38">
        <v>250418220104</v>
      </c>
      <c r="B281" s="47" t="s">
        <v>858</v>
      </c>
      <c r="C281" s="3" t="str">
        <f>VLOOKUP($A281,DICO_Complet!$A$3:$U$983,3,FALSE)</f>
        <v>Context</v>
      </c>
      <c r="D281" s="3" t="str">
        <f>VLOOKUP($A281,DICO_Complet!$A$3:$U$983,4,FALSE)</f>
        <v>transactionContext</v>
      </c>
      <c r="E281" s="2" t="str">
        <f>VLOOKUP($A281,DICO_Complet!$A$3:$U$983,5,FALSE)</f>
        <v>temp_responseCodeISO</v>
      </c>
      <c r="F281" s="2" t="str">
        <f>VLOOKUP($A281,DICO_Complet!$A$3:$U$983,6,FALSE)</f>
        <v>Exact2Text</v>
      </c>
      <c r="G281" s="48">
        <f>VLOOKUP($A281,DICO_Complet!$A$3:$U$983,7,FALSE)</f>
        <v>0</v>
      </c>
      <c r="H281" s="48">
        <f>VLOOKUP($A281,DICO_Complet!$A$3:$U$983,8,FALSE)</f>
        <v>0</v>
      </c>
      <c r="I281" s="2" t="str">
        <f>IF(VLOOKUP($A281,DICO_Complet!$A$3:$U$983,9,FALSE)&lt;&gt;0,VLOOKUP($A281,DICO_Complet!$A$3:$U$983,9,FALSE),"")</f>
        <v/>
      </c>
      <c r="J281" s="1" t="str">
        <f>VLOOKUP($A281,DICO_Complet!$A$3:$U$983,10,FALSE)</f>
        <v xml:space="preserve">Code reponse ISO              </v>
      </c>
      <c r="K281" s="53" t="str">
        <f>IF(VLOOKUP($A281,DICO_Complet!$A$3:$U$983,12,FALSE)=0,"",VLOOKUP($A281,DICO_Complet!$A$3:$U$983,12,FALSE))</f>
        <v/>
      </c>
      <c r="L281" s="53" t="str">
        <f>IF(VLOOKUP($A281,DICO_Complet!$A$3:$U$983,13,FALSE)=0,"",VLOOKUP($A281,DICO_Complet!$A$3:$U$983,13,FALSE))</f>
        <v/>
      </c>
      <c r="M281" s="53" t="str">
        <f>IF(VLOOKUP($A281,DICO_Complet!$A$3:$U$983,14,FALSE)=0,"",VLOOKUP($A281,DICO_Complet!$A$3:$U$983,14,FALSE))</f>
        <v/>
      </c>
      <c r="N281" s="53" t="str">
        <f>IF(VLOOKUP($A281,DICO_Complet!$A$3:$U$983,15,FALSE)=0,"",VLOOKUP($A281,DICO_Complet!$A$3:$U$983,15,FALSE))</f>
        <v/>
      </c>
      <c r="O281" s="53" t="str">
        <f>IF(VLOOKUP($A281,DICO_Complet!$A$3:$U$983,16,FALSE)=0,"",VLOOKUP($A281,DICO_Complet!$A$3:$U$983,16,FALSE))</f>
        <v/>
      </c>
      <c r="P281" s="53" t="str">
        <f>IF(VLOOKUP($A281,DICO_Complet!$A$3:$U$983,17,FALSE)=0,"",VLOOKUP($A281,DICO_Complet!$A$3:$U$983,17,FALSE))</f>
        <v/>
      </c>
      <c r="Q281" s="53" t="str">
        <f>IF(VLOOKUP($A281,DICO_Complet!$A$3:$U$983,18,FALSE)=0,"",VLOOKUP($A281,DICO_Complet!$A$3:$U$983,18,FALSE))</f>
        <v>CEREPO</v>
      </c>
    </row>
    <row r="282" spans="1:17">
      <c r="A282" s="38">
        <v>250418220105</v>
      </c>
      <c r="B282" s="47" t="s">
        <v>858</v>
      </c>
      <c r="C282" s="3" t="str">
        <f>VLOOKUP($A282,DICO_Complet!$A$3:$U$983,3,FALSE)</f>
        <v>Context</v>
      </c>
      <c r="D282" s="3" t="str">
        <f>VLOOKUP($A282,DICO_Complet!$A$3:$U$983,4,FALSE)</f>
        <v>transactionContext</v>
      </c>
      <c r="E282" s="2" t="str">
        <f>VLOOKUP($A282,DICO_Complet!$A$3:$U$983,5,FALSE)</f>
        <v>temp_securityTransactionMode</v>
      </c>
      <c r="F282" s="2" t="str">
        <f>VLOOKUP($A282,DICO_Complet!$A$3:$U$983,6,FALSE)</f>
        <v>Exact2Text</v>
      </c>
      <c r="G282" s="48">
        <f>VLOOKUP($A282,DICO_Complet!$A$3:$U$983,7,FALSE)</f>
        <v>0</v>
      </c>
      <c r="H282" s="48">
        <f>VLOOKUP($A282,DICO_Complet!$A$3:$U$983,8,FALSE)</f>
        <v>0</v>
      </c>
      <c r="I282" s="2" t="str">
        <f>IF(VLOOKUP($A282,DICO_Complet!$A$3:$U$983,9,FALSE)&lt;&gt;0,VLOOKUP($A282,DICO_Complet!$A$3:$U$983,9,FALSE),"")</f>
        <v/>
      </c>
      <c r="J282" s="1" t="str">
        <f>VLOOKUP($A282,DICO_Complet!$A$3:$U$983,10,FALSE)</f>
        <v>Mode securisation transaction</v>
      </c>
      <c r="K282" s="53" t="str">
        <f>IF(VLOOKUP($A282,DICO_Complet!$A$3:$U$983,12,FALSE)=0,"",VLOOKUP($A282,DICO_Complet!$A$3:$U$983,12,FALSE))</f>
        <v/>
      </c>
      <c r="L282" s="53" t="str">
        <f>IF(VLOOKUP($A282,DICO_Complet!$A$3:$U$983,13,FALSE)=0,"",VLOOKUP($A282,DICO_Complet!$A$3:$U$983,13,FALSE))</f>
        <v/>
      </c>
      <c r="M282" s="53" t="str">
        <f>IF(VLOOKUP($A282,DICO_Complet!$A$3:$U$983,14,FALSE)=0,"",VLOOKUP($A282,DICO_Complet!$A$3:$U$983,14,FALSE))</f>
        <v/>
      </c>
      <c r="N282" s="53" t="str">
        <f>IF(VLOOKUP($A282,DICO_Complet!$A$3:$U$983,15,FALSE)=0,"",VLOOKUP($A282,DICO_Complet!$A$3:$U$983,15,FALSE))</f>
        <v/>
      </c>
      <c r="O282" s="53" t="str">
        <f>IF(VLOOKUP($A282,DICO_Complet!$A$3:$U$983,16,FALSE)=0,"",VLOOKUP($A282,DICO_Complet!$A$3:$U$983,16,FALSE))</f>
        <v/>
      </c>
      <c r="P282" s="53" t="str">
        <f>IF(VLOOKUP($A282,DICO_Complet!$A$3:$U$983,17,FALSE)=0,"",VLOOKUP($A282,DICO_Complet!$A$3:$U$983,17,FALSE))</f>
        <v/>
      </c>
      <c r="Q282" s="53" t="str">
        <f>IF(VLOOKUP($A282,DICO_Complet!$A$3:$U$983,18,FALSE)=0,"",VLOOKUP($A282,DICO_Complet!$A$3:$U$983,18,FALSE))</f>
        <v>CTSETR</v>
      </c>
    </row>
    <row r="283" spans="1:17">
      <c r="A283" s="38">
        <v>250418220106</v>
      </c>
      <c r="B283" s="47" t="s">
        <v>858</v>
      </c>
      <c r="C283" s="3" t="str">
        <f>VLOOKUP($A283,DICO_Complet!$A$3:$U$983,3,FALSE)</f>
        <v>Context</v>
      </c>
      <c r="D283" s="3" t="str">
        <f>VLOOKUP($A283,DICO_Complet!$A$3:$U$983,4,FALSE)</f>
        <v>transactionContext</v>
      </c>
      <c r="E283" s="2" t="str">
        <f>VLOOKUP($A283,DICO_Complet!$A$3:$U$983,5,FALSE)</f>
        <v>temp_transactionConditions</v>
      </c>
      <c r="F283" s="2" t="str">
        <f>VLOOKUP($A283,DICO_Complet!$A$3:$U$983,6,FALSE)</f>
        <v>Exact2Text</v>
      </c>
      <c r="G283" s="48">
        <f>VLOOKUP($A283,DICO_Complet!$A$3:$U$983,7,FALSE)</f>
        <v>0</v>
      </c>
      <c r="H283" s="48">
        <f>VLOOKUP($A283,DICO_Complet!$A$3:$U$983,8,FALSE)</f>
        <v>0</v>
      </c>
      <c r="I283" s="2" t="str">
        <f>IF(VLOOKUP($A283,DICO_Complet!$A$3:$U$983,9,FALSE)&lt;&gt;0,VLOOKUP($A283,DICO_Complet!$A$3:$U$983,9,FALSE),"")</f>
        <v/>
      </c>
      <c r="J283" s="1" t="str">
        <f>VLOOKUP($A283,DICO_Complet!$A$3:$U$983,10,FALSE)</f>
        <v>Conditions de la transaction</v>
      </c>
      <c r="K283" s="53" t="str">
        <f>IF(VLOOKUP($A283,DICO_Complet!$A$3:$U$983,12,FALSE)=0,"",VLOOKUP($A283,DICO_Complet!$A$3:$U$983,12,FALSE))</f>
        <v/>
      </c>
      <c r="L283" s="53" t="str">
        <f>IF(VLOOKUP($A283,DICO_Complet!$A$3:$U$983,13,FALSE)=0,"",VLOOKUP($A283,DICO_Complet!$A$3:$U$983,13,FALSE))</f>
        <v/>
      </c>
      <c r="M283" s="53" t="str">
        <f>IF(VLOOKUP($A283,DICO_Complet!$A$3:$U$983,14,FALSE)=0,"",VLOOKUP($A283,DICO_Complet!$A$3:$U$983,14,FALSE))</f>
        <v/>
      </c>
      <c r="N283" s="53" t="str">
        <f>IF(VLOOKUP($A283,DICO_Complet!$A$3:$U$983,15,FALSE)=0,"",VLOOKUP($A283,DICO_Complet!$A$3:$U$983,15,FALSE))</f>
        <v/>
      </c>
      <c r="O283" s="53" t="str">
        <f>IF(VLOOKUP($A283,DICO_Complet!$A$3:$U$983,16,FALSE)=0,"",VLOOKUP($A283,DICO_Complet!$A$3:$U$983,16,FALSE))</f>
        <v/>
      </c>
      <c r="P283" s="53" t="str">
        <f>IF(VLOOKUP($A283,DICO_Complet!$A$3:$U$983,17,FALSE)=0,"",VLOOKUP($A283,DICO_Complet!$A$3:$U$983,17,FALSE))</f>
        <v/>
      </c>
      <c r="Q283" s="53" t="str">
        <f>IF(VLOOKUP($A283,DICO_Complet!$A$3:$U$983,18,FALSE)=0,"",VLOOKUP($A283,DICO_Complet!$A$3:$U$983,18,FALSE))</f>
        <v>COCTPS</v>
      </c>
    </row>
    <row r="284" spans="1:17">
      <c r="A284" s="38">
        <v>250418220102</v>
      </c>
      <c r="B284" s="47" t="s">
        <v>858</v>
      </c>
      <c r="C284" s="3" t="str">
        <f>VLOOKUP($A284,DICO_Complet!$A$3:$U$983,3,FALSE)</f>
        <v>Context</v>
      </c>
      <c r="D284" s="3" t="str">
        <f>VLOOKUP($A284,DICO_Complet!$A$3:$U$983,4,FALSE)</f>
        <v>transactionContext</v>
      </c>
      <c r="E284" s="2" t="str">
        <f>VLOOKUP($A284,DICO_Complet!$A$3:$U$983,5,FALSE)</f>
        <v>temp_treatmentContext</v>
      </c>
      <c r="F284" s="2" t="str">
        <f>VLOOKUP($A284,DICO_Complet!$A$3:$U$983,6,FALSE)</f>
        <v>temp_treatmentContextCodeset</v>
      </c>
      <c r="G284" s="48">
        <f>VLOOKUP($A284,DICO_Complet!$A$3:$U$983,7,FALSE)</f>
        <v>0</v>
      </c>
      <c r="H284" s="48">
        <f>VLOOKUP($A284,DICO_Complet!$A$3:$U$983,8,FALSE)</f>
        <v>0</v>
      </c>
      <c r="I284" s="2" t="str">
        <f>IF(VLOOKUP($A284,DICO_Complet!$A$3:$U$983,9,FALSE)&lt;&gt;0,VLOOKUP($A284,DICO_Complet!$A$3:$U$983,9,FALSE),"")</f>
        <v/>
      </c>
      <c r="J284" s="1" t="str">
        <f>VLOOKUP($A284,DICO_Complet!$A$3:$U$983,10,FALSE)</f>
        <v>Transaction individuelle</v>
      </c>
      <c r="K284" s="53" t="str">
        <f>IF(VLOOKUP($A284,DICO_Complet!$A$3:$U$983,12,FALSE)=0,"",VLOOKUP($A284,DICO_Complet!$A$3:$U$983,12,FALSE))</f>
        <v/>
      </c>
      <c r="L284" s="53" t="str">
        <f>IF(VLOOKUP($A284,DICO_Complet!$A$3:$U$983,13,FALSE)=0,"",VLOOKUP($A284,DICO_Complet!$A$3:$U$983,13,FALSE))</f>
        <v/>
      </c>
      <c r="M284" s="53" t="str">
        <f>IF(VLOOKUP($A284,DICO_Complet!$A$3:$U$983,14,FALSE)=0,"",VLOOKUP($A284,DICO_Complet!$A$3:$U$983,14,FALSE))</f>
        <v/>
      </c>
      <c r="N284" s="53" t="str">
        <f>IF(VLOOKUP($A284,DICO_Complet!$A$3:$U$983,15,FALSE)=0,"",VLOOKUP($A284,DICO_Complet!$A$3:$U$983,15,FALSE))</f>
        <v/>
      </c>
      <c r="O284" s="53" t="str">
        <f>IF(VLOOKUP($A284,DICO_Complet!$A$3:$U$983,16,FALSE)=0,"",VLOOKUP($A284,DICO_Complet!$A$3:$U$983,16,FALSE))</f>
        <v/>
      </c>
      <c r="P284" s="53" t="str">
        <f>IF(VLOOKUP($A284,DICO_Complet!$A$3:$U$983,17,FALSE)=0,"",VLOOKUP($A284,DICO_Complet!$A$3:$U$983,17,FALSE))</f>
        <v/>
      </c>
      <c r="Q284" s="53" t="str">
        <f>IF(VLOOKUP($A284,DICO_Complet!$A$3:$U$983,18,FALSE)=0,"",VLOOKUP($A284,DICO_Complet!$A$3:$U$983,18,FALSE))</f>
        <v/>
      </c>
    </row>
    <row r="285" spans="1:17">
      <c r="A285" s="38">
        <v>250422120100</v>
      </c>
      <c r="B285" s="47" t="s">
        <v>858</v>
      </c>
      <c r="C285" s="3" t="str">
        <f>VLOOKUP($A285,DICO_Complet!$A$3:$U$983,3,FALSE)</f>
        <v>Context</v>
      </c>
      <c r="D285" s="3" t="str">
        <f>VLOOKUP($A285,DICO_Complet!$A$3:$U$983,4,FALSE)</f>
        <v>transactionContext</v>
      </c>
      <c r="E285" s="2" t="str">
        <f>VLOOKUP($A285,DICO_Complet!$A$3:$U$983,5,FALSE)</f>
        <v>terminalActionCodeDefault</v>
      </c>
      <c r="F285" s="2" t="str">
        <f>VLOOKUP($A285,DICO_Complet!$A$3:$U$983,6,FALSE)</f>
        <v>Exact7HexBinaryText</v>
      </c>
      <c r="G285" s="48">
        <f>VLOOKUP($A285,DICO_Complet!$A$3:$U$983,7,FALSE)</f>
        <v>0</v>
      </c>
      <c r="H285" s="48">
        <f>VLOOKUP($A285,DICO_Complet!$A$3:$U$983,8,FALSE)</f>
        <v>0</v>
      </c>
      <c r="I285" s="2" t="str">
        <f>IF(VLOOKUP($A285,DICO_Complet!$A$3:$U$983,9,FALSE)&lt;&gt;0,VLOOKUP($A285,DICO_Complet!$A$3:$U$983,9,FALSE),"")</f>
        <v/>
      </c>
      <c r="J285" s="1" t="str">
        <f>VLOOKUP($A285,DICO_Complet!$A$3:$U$983,10,FALSE)</f>
        <v>terminal action code default</v>
      </c>
      <c r="K285" s="53" t="str">
        <f>IF(VLOOKUP($A285,DICO_Complet!$A$3:$U$983,12,FALSE)=0,"",VLOOKUP($A285,DICO_Complet!$A$3:$U$983,12,FALSE))</f>
        <v/>
      </c>
      <c r="L285" s="53" t="str">
        <f>IF(VLOOKUP($A285,DICO_Complet!$A$3:$U$983,13,FALSE)=0,"",VLOOKUP($A285,DICO_Complet!$A$3:$U$983,13,FALSE))</f>
        <v/>
      </c>
      <c r="M285" s="53" t="str">
        <f>IF(VLOOKUP($A285,DICO_Complet!$A$3:$U$983,14,FALSE)=0,"",VLOOKUP($A285,DICO_Complet!$A$3:$U$983,14,FALSE))</f>
        <v>58_FF0D</v>
      </c>
      <c r="N285" s="53" t="str">
        <f>IF(VLOOKUP($A285,DICO_Complet!$A$3:$U$983,15,FALSE)=0,"",VLOOKUP($A285,DICO_Complet!$A$3:$U$983,15,FALSE))</f>
        <v/>
      </c>
      <c r="O285" s="53" t="str">
        <f>IF(VLOOKUP($A285,DICO_Complet!$A$3:$U$983,16,FALSE)=0,"",VLOOKUP($A285,DICO_Complet!$A$3:$U$983,16,FALSE))</f>
        <v/>
      </c>
      <c r="P285" s="53" t="str">
        <f>IF(VLOOKUP($A285,DICO_Complet!$A$3:$U$983,17,FALSE)=0,"",VLOOKUP($A285,DICO_Complet!$A$3:$U$983,17,FALSE))</f>
        <v/>
      </c>
      <c r="Q285" s="53" t="str">
        <f>IF(VLOOKUP($A285,DICO_Complet!$A$3:$U$983,18,FALSE)=0,"",VLOOKUP($A285,DICO_Complet!$A$3:$U$983,18,FALSE))</f>
        <v/>
      </c>
    </row>
    <row r="286" spans="1:17">
      <c r="A286" s="38">
        <v>250422120101</v>
      </c>
      <c r="B286" s="47" t="s">
        <v>858</v>
      </c>
      <c r="C286" s="3" t="str">
        <f>VLOOKUP($A286,DICO_Complet!$A$3:$U$983,3,FALSE)</f>
        <v>Context</v>
      </c>
      <c r="D286" s="3" t="str">
        <f>VLOOKUP($A286,DICO_Complet!$A$3:$U$983,4,FALSE)</f>
        <v>transactionContext</v>
      </c>
      <c r="E286" s="2" t="str">
        <f>VLOOKUP($A286,DICO_Complet!$A$3:$U$983,5,FALSE)</f>
        <v>terminalActionCodeDenial</v>
      </c>
      <c r="F286" s="2" t="str">
        <f>VLOOKUP($A286,DICO_Complet!$A$3:$U$983,6,FALSE)</f>
        <v>Exact7HexBinaryText</v>
      </c>
      <c r="G286" s="48">
        <f>VLOOKUP($A286,DICO_Complet!$A$3:$U$983,7,FALSE)</f>
        <v>0</v>
      </c>
      <c r="H286" s="48">
        <f>VLOOKUP($A286,DICO_Complet!$A$3:$U$983,8,FALSE)</f>
        <v>0</v>
      </c>
      <c r="I286" s="2" t="str">
        <f>IF(VLOOKUP($A286,DICO_Complet!$A$3:$U$983,9,FALSE)&lt;&gt;0,VLOOKUP($A286,DICO_Complet!$A$3:$U$983,9,FALSE),"")</f>
        <v/>
      </c>
      <c r="J286" s="1" t="str">
        <f>VLOOKUP($A286,DICO_Complet!$A$3:$U$983,10,FALSE)</f>
        <v>terminal action code denial</v>
      </c>
      <c r="K286" s="53" t="str">
        <f>IF(VLOOKUP($A286,DICO_Complet!$A$3:$U$983,12,FALSE)=0,"",VLOOKUP($A286,DICO_Complet!$A$3:$U$983,12,FALSE))</f>
        <v/>
      </c>
      <c r="L286" s="53" t="str">
        <f>IF(VLOOKUP($A286,DICO_Complet!$A$3:$U$983,13,FALSE)=0,"",VLOOKUP($A286,DICO_Complet!$A$3:$U$983,13,FALSE))</f>
        <v/>
      </c>
      <c r="M286" s="53" t="str">
        <f>IF(VLOOKUP($A286,DICO_Complet!$A$3:$U$983,14,FALSE)=0,"",VLOOKUP($A286,DICO_Complet!$A$3:$U$983,14,FALSE))</f>
        <v>58_FF0E</v>
      </c>
      <c r="N286" s="53" t="str">
        <f>IF(VLOOKUP($A286,DICO_Complet!$A$3:$U$983,15,FALSE)=0,"",VLOOKUP($A286,DICO_Complet!$A$3:$U$983,15,FALSE))</f>
        <v/>
      </c>
      <c r="O286" s="53" t="str">
        <f>IF(VLOOKUP($A286,DICO_Complet!$A$3:$U$983,16,FALSE)=0,"",VLOOKUP($A286,DICO_Complet!$A$3:$U$983,16,FALSE))</f>
        <v/>
      </c>
      <c r="P286" s="53" t="str">
        <f>IF(VLOOKUP($A286,DICO_Complet!$A$3:$U$983,17,FALSE)=0,"",VLOOKUP($A286,DICO_Complet!$A$3:$U$983,17,FALSE))</f>
        <v/>
      </c>
      <c r="Q286" s="53" t="str">
        <f>IF(VLOOKUP($A286,DICO_Complet!$A$3:$U$983,18,FALSE)=0,"",VLOOKUP($A286,DICO_Complet!$A$3:$U$983,18,FALSE))</f>
        <v/>
      </c>
    </row>
    <row r="287" spans="1:17">
      <c r="A287" s="38">
        <v>250422120102</v>
      </c>
      <c r="B287" s="47" t="s">
        <v>858</v>
      </c>
      <c r="C287" s="3" t="str">
        <f>VLOOKUP($A287,DICO_Complet!$A$3:$U$983,3,FALSE)</f>
        <v>Context</v>
      </c>
      <c r="D287" s="3" t="str">
        <f>VLOOKUP($A287,DICO_Complet!$A$3:$U$983,4,FALSE)</f>
        <v>transactionContext</v>
      </c>
      <c r="E287" s="2" t="str">
        <f>VLOOKUP($A287,DICO_Complet!$A$3:$U$983,5,FALSE)</f>
        <v>terminalActionCodeOnline</v>
      </c>
      <c r="F287" s="2" t="str">
        <f>VLOOKUP($A287,DICO_Complet!$A$3:$U$983,6,FALSE)</f>
        <v>Exact7HexBinaryText</v>
      </c>
      <c r="G287" s="48">
        <f>VLOOKUP($A287,DICO_Complet!$A$3:$U$983,7,FALSE)</f>
        <v>0</v>
      </c>
      <c r="H287" s="48">
        <f>VLOOKUP($A287,DICO_Complet!$A$3:$U$983,8,FALSE)</f>
        <v>0</v>
      </c>
      <c r="I287" s="2" t="str">
        <f>IF(VLOOKUP($A287,DICO_Complet!$A$3:$U$983,9,FALSE)&lt;&gt;0,VLOOKUP($A287,DICO_Complet!$A$3:$U$983,9,FALSE),"")</f>
        <v/>
      </c>
      <c r="J287" s="1" t="str">
        <f>VLOOKUP($A287,DICO_Complet!$A$3:$U$983,10,FALSE)</f>
        <v>terminal action code on-line</v>
      </c>
      <c r="K287" s="53" t="str">
        <f>IF(VLOOKUP($A287,DICO_Complet!$A$3:$U$983,12,FALSE)=0,"",VLOOKUP($A287,DICO_Complet!$A$3:$U$983,12,FALSE))</f>
        <v/>
      </c>
      <c r="L287" s="53" t="str">
        <f>IF(VLOOKUP($A287,DICO_Complet!$A$3:$U$983,13,FALSE)=0,"",VLOOKUP($A287,DICO_Complet!$A$3:$U$983,13,FALSE))</f>
        <v/>
      </c>
      <c r="M287" s="53" t="str">
        <f>IF(VLOOKUP($A287,DICO_Complet!$A$3:$U$983,14,FALSE)=0,"",VLOOKUP($A287,DICO_Complet!$A$3:$U$983,14,FALSE))</f>
        <v>58_FF0F</v>
      </c>
      <c r="N287" s="53" t="str">
        <f>IF(VLOOKUP($A287,DICO_Complet!$A$3:$U$983,15,FALSE)=0,"",VLOOKUP($A287,DICO_Complet!$A$3:$U$983,15,FALSE))</f>
        <v/>
      </c>
      <c r="O287" s="53" t="str">
        <f>IF(VLOOKUP($A287,DICO_Complet!$A$3:$U$983,16,FALSE)=0,"",VLOOKUP($A287,DICO_Complet!$A$3:$U$983,16,FALSE))</f>
        <v/>
      </c>
      <c r="P287" s="53" t="str">
        <f>IF(VLOOKUP($A287,DICO_Complet!$A$3:$U$983,17,FALSE)=0,"",VLOOKUP($A287,DICO_Complet!$A$3:$U$983,17,FALSE))</f>
        <v/>
      </c>
      <c r="Q287" s="53" t="str">
        <f>IF(VLOOKUP($A287,DICO_Complet!$A$3:$U$983,18,FALSE)=0,"",VLOOKUP($A287,DICO_Complet!$A$3:$U$983,18,FALSE))</f>
        <v/>
      </c>
    </row>
    <row r="288" spans="1:17">
      <c r="A288" s="38">
        <v>250317120001</v>
      </c>
      <c r="B288" s="47" t="s">
        <v>858</v>
      </c>
      <c r="C288" s="3" t="str">
        <f>VLOOKUP($A288,DICO_Complet!$A$3:$U$983,3,FALSE)</f>
        <v>Context</v>
      </c>
      <c r="D288" s="3" t="str">
        <f>VLOOKUP($A288,DICO_Complet!$A$3:$U$983,4,FALSE)</f>
        <v>transactionContext</v>
      </c>
      <c r="E288" s="2" t="str">
        <f>VLOOKUP($A288,DICO_Complet!$A$3:$U$983,5,FALSE)</f>
        <v>tracabilityEventID</v>
      </c>
      <c r="F288" s="2" t="str">
        <f>VLOOKUP($A288,DICO_Complet!$A$3:$U$983,6,FALSE)</f>
        <v>UUIDType</v>
      </c>
      <c r="G288" s="48">
        <f>VLOOKUP($A288,DICO_Complet!$A$3:$U$983,7,FALSE)</f>
        <v>0</v>
      </c>
      <c r="H288" s="48">
        <f>VLOOKUP($A288,DICO_Complet!$A$3:$U$983,8,FALSE)</f>
        <v>0</v>
      </c>
      <c r="I288" s="2" t="str">
        <f>IF(VLOOKUP($A288,DICO_Complet!$A$3:$U$983,9,FALSE)&lt;&gt;0,VLOOKUP($A288,DICO_Complet!$A$3:$U$983,9,FALSE),"")</f>
        <v/>
      </c>
      <c r="J288" s="1" t="str">
        <f>VLOOKUP($A288,DICO_Complet!$A$3:$U$983,10,FALSE)</f>
        <v xml:space="preserve">Traceability event (PC80) unique and non ambiguous  identifier. </v>
      </c>
      <c r="K288" s="53" t="str">
        <f>IF(VLOOKUP($A288,DICO_Complet!$A$3:$U$983,12,FALSE)=0,"",VLOOKUP($A288,DICO_Complet!$A$3:$U$983,12,FALSE))</f>
        <v/>
      </c>
      <c r="L288" s="53" t="str">
        <f>IF(VLOOKUP($A288,DICO_Complet!$A$3:$U$983,13,FALSE)=0,"",VLOOKUP($A288,DICO_Complet!$A$3:$U$983,13,FALSE))</f>
        <v/>
      </c>
      <c r="M288" s="53" t="str">
        <f>IF(VLOOKUP($A288,DICO_Complet!$A$3:$U$983,14,FALSE)=0,"",VLOOKUP($A288,DICO_Complet!$A$3:$U$983,14,FALSE))</f>
        <v/>
      </c>
      <c r="N288" s="53" t="str">
        <f>IF(VLOOKUP($A288,DICO_Complet!$A$3:$U$983,15,FALSE)=0,"",VLOOKUP($A288,DICO_Complet!$A$3:$U$983,15,FALSE))</f>
        <v/>
      </c>
      <c r="O288" s="53" t="str">
        <f>IF(VLOOKUP($A288,DICO_Complet!$A$3:$U$983,16,FALSE)=0,"",VLOOKUP($A288,DICO_Complet!$A$3:$U$983,16,FALSE))</f>
        <v/>
      </c>
      <c r="P288" s="53" t="str">
        <f>IF(VLOOKUP($A288,DICO_Complet!$A$3:$U$983,17,FALSE)=0,"",VLOOKUP($A288,DICO_Complet!$A$3:$U$983,17,FALSE))</f>
        <v/>
      </c>
      <c r="Q288" s="53" t="str">
        <f>IF(VLOOKUP($A288,DICO_Complet!$A$3:$U$983,18,FALSE)=0,"",VLOOKUP($A288,DICO_Complet!$A$3:$U$983,18,FALSE))</f>
        <v/>
      </c>
    </row>
    <row r="289" spans="1:17">
      <c r="A289" s="38">
        <v>250317120002</v>
      </c>
      <c r="B289" s="47" t="s">
        <v>858</v>
      </c>
      <c r="C289" s="3" t="str">
        <f>VLOOKUP($A289,DICO_Complet!$A$3:$U$983,3,FALSE)</f>
        <v>Context</v>
      </c>
      <c r="D289" s="3" t="str">
        <f>VLOOKUP($A289,DICO_Complet!$A$3:$U$983,4,FALSE)</f>
        <v>transactionContext</v>
      </c>
      <c r="E289" s="2" t="str">
        <f>VLOOKUP($A289,DICO_Complet!$A$3:$U$983,5,FALSE)</f>
        <v>traceabilityService</v>
      </c>
      <c r="F289" s="2" t="str">
        <f>VLOOKUP($A289,DICO_Complet!$A$3:$U$983,6,FALSE)</f>
        <v>TraceabilityServiceCodeset</v>
      </c>
      <c r="G289" s="48">
        <f>VLOOKUP($A289,DICO_Complet!$A$3:$U$983,7,FALSE)</f>
        <v>0</v>
      </c>
      <c r="H289" s="48">
        <f>VLOOKUP($A289,DICO_Complet!$A$3:$U$983,8,FALSE)</f>
        <v>0</v>
      </c>
      <c r="I289" s="2" t="str">
        <f>IF(VLOOKUP($A289,DICO_Complet!$A$3:$U$983,9,FALSE)&lt;&gt;0,VLOOKUP($A289,DICO_Complet!$A$3:$U$983,9,FALSE),"")</f>
        <v/>
      </c>
      <c r="J289" s="1" t="str">
        <f>VLOOKUP($A289,DICO_Complet!$A$3:$U$983,10,FALSE)</f>
        <v xml:space="preserve">Underlying service of the traceability event (PC80) produced by the Pricing solution. 
</v>
      </c>
      <c r="K289" s="53" t="str">
        <f>IF(VLOOKUP($A289,DICO_Complet!$A$3:$U$983,12,FALSE)=0,"",VLOOKUP($A289,DICO_Complet!$A$3:$U$983,12,FALSE))</f>
        <v/>
      </c>
      <c r="L289" s="53" t="str">
        <f>IF(VLOOKUP($A289,DICO_Complet!$A$3:$U$983,13,FALSE)=0,"",VLOOKUP($A289,DICO_Complet!$A$3:$U$983,13,FALSE))</f>
        <v/>
      </c>
      <c r="M289" s="53" t="str">
        <f>IF(VLOOKUP($A289,DICO_Complet!$A$3:$U$983,14,FALSE)=0,"",VLOOKUP($A289,DICO_Complet!$A$3:$U$983,14,FALSE))</f>
        <v/>
      </c>
      <c r="N289" s="53" t="str">
        <f>IF(VLOOKUP($A289,DICO_Complet!$A$3:$U$983,15,FALSE)=0,"",VLOOKUP($A289,DICO_Complet!$A$3:$U$983,15,FALSE))</f>
        <v/>
      </c>
      <c r="O289" s="53" t="str">
        <f>IF(VLOOKUP($A289,DICO_Complet!$A$3:$U$983,16,FALSE)=0,"",VLOOKUP($A289,DICO_Complet!$A$3:$U$983,16,FALSE))</f>
        <v/>
      </c>
      <c r="P289" s="53" t="str">
        <f>IF(VLOOKUP($A289,DICO_Complet!$A$3:$U$983,17,FALSE)=0,"",VLOOKUP($A289,DICO_Complet!$A$3:$U$983,17,FALSE))</f>
        <v/>
      </c>
      <c r="Q289" s="53" t="str">
        <f>IF(VLOOKUP($A289,DICO_Complet!$A$3:$U$983,18,FALSE)=0,"",VLOOKUP($A289,DICO_Complet!$A$3:$U$983,18,FALSE))</f>
        <v/>
      </c>
    </row>
    <row r="290" spans="1:17">
      <c r="A290" s="38">
        <v>241112000059</v>
      </c>
      <c r="B290" s="47" t="s">
        <v>858</v>
      </c>
      <c r="C290" s="3" t="str">
        <f>VLOOKUP($A290,DICO_Complet!$A$3:$U$983,3,FALSE)</f>
        <v>Context</v>
      </c>
      <c r="D290" s="3" t="str">
        <f>VLOOKUP($A290,DICO_Complet!$A$3:$U$983,4,FALSE)</f>
        <v>transactionContext</v>
      </c>
      <c r="E290" s="2" t="str">
        <f>VLOOKUP($A290,DICO_Complet!$A$3:$U$983,5,FALSE)</f>
        <v>transactionNature</v>
      </c>
      <c r="F290" s="2" t="str">
        <f>VLOOKUP($A290,DICO_Complet!$A$3:$U$983,6,FALSE)</f>
        <v>TransactionNatureCodeset</v>
      </c>
      <c r="G290" s="48">
        <f>VLOOKUP($A290,DICO_Complet!$A$3:$U$983,7,FALSE)</f>
        <v>0</v>
      </c>
      <c r="H290" s="48">
        <f>VLOOKUP($A290,DICO_Complet!$A$3:$U$983,8,FALSE)</f>
        <v>0</v>
      </c>
      <c r="I290" s="2" t="str">
        <f>IF(VLOOKUP($A290,DICO_Complet!$A$3:$U$983,9,FALSE)&lt;&gt;0,VLOOKUP($A290,DICO_Complet!$A$3:$U$983,9,FALSE),"")</f>
        <v/>
      </c>
      <c r="J290" s="1" t="str">
        <f>VLOOKUP($A290,DICO_Complet!$A$3:$U$983,10,FALSE)</f>
        <v>Nature of transaction</v>
      </c>
      <c r="K290" s="53" t="str">
        <f>IF(VLOOKUP($A290,DICO_Complet!$A$3:$U$983,12,FALSE)=0,"",VLOOKUP($A290,DICO_Complet!$A$3:$U$983,12,FALSE))</f>
        <v>ISO3_p1 / AUT55 / RSB55_9C</v>
      </c>
      <c r="L290" s="53" t="str">
        <f>IF(VLOOKUP($A290,DICO_Complet!$A$3:$U$983,13,FALSE)=0,"",VLOOKUP($A290,DICO_Complet!$A$3:$U$983,13,FALSE))</f>
        <v>Field 3 part 1 / Field 55 Type 009C</v>
      </c>
      <c r="M290" s="53" t="str">
        <f>IF(VLOOKUP($A290,DICO_Complet!$A$3:$U$983,14,FALSE)=0,"",VLOOKUP($A290,DICO_Complet!$A$3:$U$983,14,FALSE))</f>
        <v/>
      </c>
      <c r="N290" s="53" t="str">
        <f>IF(VLOOKUP($A290,DICO_Complet!$A$3:$U$983,15,FALSE)=0,"",VLOOKUP($A290,DICO_Complet!$A$3:$U$983,15,FALSE))</f>
        <v>Field 3 part 1  /  Field 55 009C</v>
      </c>
      <c r="O290" s="53" t="str">
        <f>IF(VLOOKUP($A290,DICO_Complet!$A$3:$U$983,16,FALSE)=0,"",VLOOKUP($A290,DICO_Complet!$A$3:$U$983,16,FALSE))</f>
        <v/>
      </c>
      <c r="P290" s="53" t="str">
        <f>IF(VLOOKUP($A290,DICO_Complet!$A$3:$U$983,17,FALSE)=0,"",VLOOKUP($A290,DICO_Complet!$A$3:$U$983,17,FALSE))</f>
        <v/>
      </c>
      <c r="Q290" s="53" t="str">
        <f>IF(VLOOKUP($A290,DICO_Complet!$A$3:$U$983,18,FALSE)=0,"",VLOOKUP($A290,DICO_Complet!$A$3:$U$983,18,FALSE))</f>
        <v/>
      </c>
    </row>
    <row r="291" spans="1:17">
      <c r="A291" s="38">
        <v>250422122401</v>
      </c>
      <c r="B291" s="47" t="s">
        <v>858</v>
      </c>
      <c r="C291" s="3" t="str">
        <f>VLOOKUP($A291,DICO_Complet!$A$3:$U$983,3,FALSE)</f>
        <v>Context</v>
      </c>
      <c r="D291" s="3" t="str">
        <f>VLOOKUP($A291,DICO_Complet!$A$3:$U$983,4,FALSE)</f>
        <v>transactionContext</v>
      </c>
      <c r="E291" s="2" t="str">
        <f>VLOOKUP($A291,DICO_Complet!$A$3:$U$983,5,FALSE)</f>
        <v>typeOfMedia</v>
      </c>
      <c r="F291" s="2" t="str">
        <f>VLOOKUP($A291,DICO_Complet!$A$3:$U$983,6,FALSE)</f>
        <v>TypeOfMediaCodeset</v>
      </c>
      <c r="G291" s="48">
        <f>VLOOKUP($A291,DICO_Complet!$A$3:$U$983,7,FALSE)</f>
        <v>0</v>
      </c>
      <c r="H291" s="48">
        <f>VLOOKUP($A291,DICO_Complet!$A$3:$U$983,8,FALSE)</f>
        <v>0</v>
      </c>
      <c r="I291" s="2" t="str">
        <f>IF(VLOOKUP($A291,DICO_Complet!$A$3:$U$983,9,FALSE)&lt;&gt;0,VLOOKUP($A291,DICO_Complet!$A$3:$U$983,9,FALSE),"")</f>
        <v/>
      </c>
      <c r="J291" s="1" t="str">
        <f>VLOOKUP($A291,DICO_Complet!$A$3:$U$983,10,FALSE)</f>
        <v>Type of media</v>
      </c>
      <c r="K291" s="53" t="str">
        <f>IF(VLOOKUP($A291,DICO_Complet!$A$3:$U$983,12,FALSE)=0,"",VLOOKUP($A291,DICO_Complet!$A$3:$U$983,12,FALSE))</f>
        <v/>
      </c>
      <c r="L291" s="53" t="str">
        <f>IF(VLOOKUP($A291,DICO_Complet!$A$3:$U$983,13,FALSE)=0,"",VLOOKUP($A291,DICO_Complet!$A$3:$U$983,13,FALSE))</f>
        <v/>
      </c>
      <c r="M291" s="53" t="str">
        <f>IF(VLOOKUP($A291,DICO_Complet!$A$3:$U$983,14,FALSE)=0,"",VLOOKUP($A291,DICO_Complet!$A$3:$U$983,14,FALSE))</f>
        <v>58_FF52</v>
      </c>
      <c r="N291" s="53" t="str">
        <f>IF(VLOOKUP($A291,DICO_Complet!$A$3:$U$983,15,FALSE)=0,"",VLOOKUP($A291,DICO_Complet!$A$3:$U$983,15,FALSE))</f>
        <v/>
      </c>
      <c r="O291" s="53" t="str">
        <f>IF(VLOOKUP($A291,DICO_Complet!$A$3:$U$983,16,FALSE)=0,"",VLOOKUP($A291,DICO_Complet!$A$3:$U$983,16,FALSE))</f>
        <v/>
      </c>
      <c r="P291" s="53" t="str">
        <f>IF(VLOOKUP($A291,DICO_Complet!$A$3:$U$983,17,FALSE)=0,"",VLOOKUP($A291,DICO_Complet!$A$3:$U$983,17,FALSE))</f>
        <v/>
      </c>
      <c r="Q291" s="53" t="str">
        <f>IF(VLOOKUP($A291,DICO_Complet!$A$3:$U$983,18,FALSE)=0,"",VLOOKUP($A291,DICO_Complet!$A$3:$U$983,18,FALSE))</f>
        <v/>
      </c>
    </row>
    <row r="292" spans="1:17">
      <c r="A292" s="38">
        <v>241112000007</v>
      </c>
      <c r="B292" s="47" t="s">
        <v>858</v>
      </c>
      <c r="C292" s="3" t="str">
        <f>VLOOKUP($A292,DICO_Complet!$A$3:$U$983,3,FALSE)</f>
        <v>Context</v>
      </c>
      <c r="D292" s="3" t="str">
        <f>VLOOKUP($A292,DICO_Complet!$A$3:$U$983,4,FALSE)</f>
        <v>transactionContext</v>
      </c>
      <c r="E292" s="2" t="str">
        <f>VLOOKUP($A292,DICO_Complet!$A$3:$U$983,5,FALSE)</f>
        <v>usedKernelId</v>
      </c>
      <c r="F292" s="2" t="str">
        <f>VLOOKUP($A292,DICO_Complet!$A$3:$U$983,6,FALSE)</f>
        <v>Max8HexBinaryText</v>
      </c>
      <c r="G292" s="48">
        <f>VLOOKUP($A292,DICO_Complet!$A$3:$U$983,7,FALSE)</f>
        <v>0</v>
      </c>
      <c r="H292" s="48">
        <f>VLOOKUP($A292,DICO_Complet!$A$3:$U$983,8,FALSE)</f>
        <v>0</v>
      </c>
      <c r="I292" s="2" t="str">
        <f>IF(VLOOKUP($A292,DICO_Complet!$A$3:$U$983,9,FALSE)&lt;&gt;0,VLOOKUP($A292,DICO_Complet!$A$3:$U$983,9,FALSE),"")</f>
        <v/>
      </c>
      <c r="J292" s="1" t="str">
        <f>VLOOKUP($A292,DICO_Complet!$A$3:$U$983,10,FALSE)</f>
        <v>Kernel Identifier</v>
      </c>
      <c r="K292" s="53" t="str">
        <f>IF(VLOOKUP($A292,DICO_Complet!$A$3:$U$983,12,FALSE)=0,"",VLOOKUP($A292,DICO_Complet!$A$3:$U$983,12,FALSE))</f>
        <v>RSB55_DF68</v>
      </c>
      <c r="L292" s="53" t="str">
        <f>IF(VLOOKUP($A292,DICO_Complet!$A$3:$U$983,13,FALSE)=0,"",VLOOKUP($A292,DICO_Complet!$A$3:$U$983,13,FALSE))</f>
        <v>[55-DF68]</v>
      </c>
      <c r="M292" s="53" t="str">
        <f>IF(VLOOKUP($A292,DICO_Complet!$A$3:$U$983,14,FALSE)=0,"",VLOOKUP($A292,DICO_Complet!$A$3:$U$983,14,FALSE))</f>
        <v>58.DF93</v>
      </c>
      <c r="N292" s="53" t="str">
        <f>IF(VLOOKUP($A292,DICO_Complet!$A$3:$U$983,15,FALSE)=0,"",VLOOKUP($A292,DICO_Complet!$A$3:$U$983,15,FALSE))</f>
        <v/>
      </c>
      <c r="O292" s="53" t="str">
        <f>IF(VLOOKUP($A292,DICO_Complet!$A$3:$U$983,16,FALSE)=0,"",VLOOKUP($A292,DICO_Complet!$A$3:$U$983,16,FALSE))</f>
        <v/>
      </c>
      <c r="P292" s="53" t="str">
        <f>IF(VLOOKUP($A292,DICO_Complet!$A$3:$U$983,17,FALSE)=0,"",VLOOKUP($A292,DICO_Complet!$A$3:$U$983,17,FALSE))</f>
        <v/>
      </c>
      <c r="Q292" s="53" t="str">
        <f>IF(VLOOKUP($A292,DICO_Complet!$A$3:$U$983,18,FALSE)=0,"",VLOOKUP($A292,DICO_Complet!$A$3:$U$983,18,FALSE))</f>
        <v/>
      </c>
    </row>
    <row r="293" spans="1:17">
      <c r="A293" s="38">
        <v>241112000060</v>
      </c>
      <c r="B293" s="47" t="s">
        <v>858</v>
      </c>
      <c r="C293" s="3" t="str">
        <f>VLOOKUP($A293,DICO_Complet!$A$3:$U$983,3,FALSE)</f>
        <v>Context</v>
      </c>
      <c r="D293" s="3" t="str">
        <f>VLOOKUP($A293,DICO_Complet!$A$3:$U$983,4,FALSE)</f>
        <v>transactionContext</v>
      </c>
      <c r="E293" s="2" t="str">
        <f>VLOOKUP($A293,DICO_Complet!$A$3:$U$983,5,FALSE)</f>
        <v>uuidContainerCategory</v>
      </c>
      <c r="F293" s="2" t="str">
        <f>VLOOKUP($A293,DICO_Complet!$A$3:$U$983,6,FALSE)</f>
        <v>UUIDContainerCategoryCodeset</v>
      </c>
      <c r="G293" s="48">
        <f>VLOOKUP($A293,DICO_Complet!$A$3:$U$983,7,FALSE)</f>
        <v>0</v>
      </c>
      <c r="H293" s="48">
        <f>VLOOKUP($A293,DICO_Complet!$A$3:$U$983,8,FALSE)</f>
        <v>0</v>
      </c>
      <c r="I293" s="2" t="str">
        <f>IF(VLOOKUP($A293,DICO_Complet!$A$3:$U$983,9,FALSE)&lt;&gt;0,VLOOKUP($A293,DICO_Complet!$A$3:$U$983,9,FALSE),"")</f>
        <v/>
      </c>
      <c r="J293" s="1" t="str">
        <f>VLOOKUP($A293,DICO_Complet!$A$3:$U$983,10,FALSE)</f>
        <v>Type of UUID Container</v>
      </c>
      <c r="K293" s="53" t="str">
        <f>IF(VLOOKUP($A293,DICO_Complet!$A$3:$U$983,12,FALSE)=0,"",VLOOKUP($A293,DICO_Complet!$A$3:$U$983,12,FALSE))</f>
        <v>RSB57_23_p1</v>
      </c>
      <c r="L293" s="53" t="str">
        <f>IF(VLOOKUP($A293,DICO_Complet!$A$3:$U$983,13,FALSE)=0,"",VLOOKUP($A293,DICO_Complet!$A$3:$U$983,13,FALSE))</f>
        <v>[57-0023-p1]</v>
      </c>
      <c r="M293" s="53" t="str">
        <f>IF(VLOOKUP($A293,DICO_Complet!$A$3:$U$983,14,FALSE)=0,"",VLOOKUP($A293,DICO_Complet!$A$3:$U$983,14,FALSE))</f>
        <v/>
      </c>
      <c r="N293" s="53" t="str">
        <f>IF(VLOOKUP($A293,DICO_Complet!$A$3:$U$983,15,FALSE)=0,"",VLOOKUP($A293,DICO_Complet!$A$3:$U$983,15,FALSE))</f>
        <v/>
      </c>
      <c r="O293" s="53" t="str">
        <f>IF(VLOOKUP($A293,DICO_Complet!$A$3:$U$983,16,FALSE)=0,"",VLOOKUP($A293,DICO_Complet!$A$3:$U$983,16,FALSE))</f>
        <v/>
      </c>
      <c r="P293" s="53" t="str">
        <f>IF(VLOOKUP($A293,DICO_Complet!$A$3:$U$983,17,FALSE)=0,"",VLOOKUP($A293,DICO_Complet!$A$3:$U$983,17,FALSE))</f>
        <v/>
      </c>
      <c r="Q293" s="53" t="str">
        <f>IF(VLOOKUP($A293,DICO_Complet!$A$3:$U$983,18,FALSE)=0,"",VLOOKUP($A293,DICO_Complet!$A$3:$U$983,18,FALSE))</f>
        <v/>
      </c>
    </row>
    <row r="294" spans="1:17">
      <c r="A294" s="38">
        <v>241112000061</v>
      </c>
      <c r="B294" s="47" t="s">
        <v>858</v>
      </c>
      <c r="C294" s="3" t="str">
        <f>VLOOKUP($A294,DICO_Complet!$A$3:$U$983,3,FALSE)</f>
        <v>Context</v>
      </c>
      <c r="D294" s="3" t="str">
        <f>VLOOKUP($A294,DICO_Complet!$A$3:$U$983,4,FALSE)</f>
        <v>transactionContext</v>
      </c>
      <c r="E294" s="2" t="str">
        <f>VLOOKUP($A294,DICO_Complet!$A$3:$U$983,5,FALSE)</f>
        <v>uuidContainerValue</v>
      </c>
      <c r="F294" s="2" t="str">
        <f>VLOOKUP($A294,DICO_Complet!$A$3:$U$983,6,FALSE)</f>
        <v>Exact36Text</v>
      </c>
      <c r="G294" s="48">
        <f>VLOOKUP($A294,DICO_Complet!$A$3:$U$983,7,FALSE)</f>
        <v>0</v>
      </c>
      <c r="H294" s="48">
        <f>VLOOKUP($A294,DICO_Complet!$A$3:$U$983,8,FALSE)</f>
        <v>0</v>
      </c>
      <c r="I294" s="2" t="str">
        <f>IF(VLOOKUP($A294,DICO_Complet!$A$3:$U$983,9,FALSE)&lt;&gt;0,VLOOKUP($A294,DICO_Complet!$A$3:$U$983,9,FALSE),"")</f>
        <v/>
      </c>
      <c r="J294" s="1" t="str">
        <f>VLOOKUP($A294,DICO_Complet!$A$3:$U$983,10,FALSE)</f>
        <v>Value of UUID Container</v>
      </c>
      <c r="K294" s="53" t="str">
        <f>IF(VLOOKUP($A294,DICO_Complet!$A$3:$U$983,12,FALSE)=0,"",VLOOKUP($A294,DICO_Complet!$A$3:$U$983,12,FALSE))</f>
        <v>RSB57_23_p2</v>
      </c>
      <c r="L294" s="53" t="str">
        <f>IF(VLOOKUP($A294,DICO_Complet!$A$3:$U$983,13,FALSE)=0,"",VLOOKUP($A294,DICO_Complet!$A$3:$U$983,13,FALSE))</f>
        <v>[57-0023-p2]</v>
      </c>
      <c r="M294" s="53" t="str">
        <f>IF(VLOOKUP($A294,DICO_Complet!$A$3:$U$983,14,FALSE)=0,"",VLOOKUP($A294,DICO_Complet!$A$3:$U$983,14,FALSE))</f>
        <v/>
      </c>
      <c r="N294" s="53" t="str">
        <f>IF(VLOOKUP($A294,DICO_Complet!$A$3:$U$983,15,FALSE)=0,"",VLOOKUP($A294,DICO_Complet!$A$3:$U$983,15,FALSE))</f>
        <v/>
      </c>
      <c r="O294" s="53" t="str">
        <f>IF(VLOOKUP($A294,DICO_Complet!$A$3:$U$983,16,FALSE)=0,"",VLOOKUP($A294,DICO_Complet!$A$3:$U$983,16,FALSE))</f>
        <v/>
      </c>
      <c r="P294" s="53" t="str">
        <f>IF(VLOOKUP($A294,DICO_Complet!$A$3:$U$983,17,FALSE)=0,"",VLOOKUP($A294,DICO_Complet!$A$3:$U$983,17,FALSE))</f>
        <v/>
      </c>
      <c r="Q294" s="53" t="str">
        <f>IF(VLOOKUP($A294,DICO_Complet!$A$3:$U$983,18,FALSE)=0,"",VLOOKUP($A294,DICO_Complet!$A$3:$U$983,18,FALSE))</f>
        <v/>
      </c>
    </row>
    <row r="295" spans="1:17">
      <c r="A295" s="38">
        <v>250214094420</v>
      </c>
      <c r="B295" s="47" t="s">
        <v>858</v>
      </c>
      <c r="C295" s="3" t="str">
        <f>VLOOKUP($A295,DICO_Complet!$A$3:$U$983,3,FALSE)</f>
        <v>Context</v>
      </c>
      <c r="D295" s="3" t="str">
        <f>VLOOKUP($A295,DICO_Complet!$A$3:$U$983,4,FALSE)</f>
        <v>transactionContext</v>
      </c>
      <c r="E295" s="2" t="str">
        <f>VLOOKUP($A295,DICO_Complet!$A$3:$U$983,5,FALSE)</f>
        <v>visaB2BProgramId</v>
      </c>
      <c r="F295" s="2" t="str">
        <f>VLOOKUP($A295,DICO_Complet!$A$3:$U$983,6,FALSE)</f>
        <v>Max2Text</v>
      </c>
      <c r="G295" s="48">
        <f>VLOOKUP($A295,DICO_Complet!$A$3:$U$983,7,FALSE)</f>
        <v>0</v>
      </c>
      <c r="H295" s="48">
        <f>VLOOKUP($A295,DICO_Complet!$A$3:$U$983,8,FALSE)</f>
        <v>0</v>
      </c>
      <c r="I295" s="2" t="str">
        <f>IF(VLOOKUP($A295,DICO_Complet!$A$3:$U$983,9,FALSE)&lt;&gt;0,VLOOKUP($A295,DICO_Complet!$A$3:$U$983,9,FALSE),"")</f>
        <v/>
      </c>
      <c r="J295" s="1" t="str">
        <f>VLOOKUP($A295,DICO_Complet!$A$3:$U$983,10,FALSE)</f>
        <v>B2B program ID</v>
      </c>
      <c r="K295" s="53" t="str">
        <f>IF(VLOOKUP($A295,DICO_Complet!$A$3:$U$983,12,FALSE)=0,"",VLOOKUP($A295,DICO_Complet!$A$3:$U$983,12,FALSE))</f>
        <v>ARDEF1</v>
      </c>
      <c r="L295" s="53" t="str">
        <f>IF(VLOOKUP($A295,DICO_Complet!$A$3:$U$983,13,FALSE)=0,"",VLOOKUP($A295,DICO_Complet!$A$3:$U$983,13,FALSE))</f>
        <v/>
      </c>
      <c r="M295" s="53" t="str">
        <f>IF(VLOOKUP($A295,DICO_Complet!$A$3:$U$983,14,FALSE)=0,"",VLOOKUP($A295,DICO_Complet!$A$3:$U$983,14,FALSE))</f>
        <v/>
      </c>
      <c r="N295" s="53" t="str">
        <f>IF(VLOOKUP($A295,DICO_Complet!$A$3:$U$983,15,FALSE)=0,"",VLOOKUP($A295,DICO_Complet!$A$3:$U$983,15,FALSE))</f>
        <v/>
      </c>
      <c r="O295" s="53" t="str">
        <f>IF(VLOOKUP($A295,DICO_Complet!$A$3:$U$983,16,FALSE)=0,"",VLOOKUP($A295,DICO_Complet!$A$3:$U$983,16,FALSE))</f>
        <v/>
      </c>
      <c r="P295" s="53" t="str">
        <f>IF(VLOOKUP($A295,DICO_Complet!$A$3:$U$983,17,FALSE)=0,"",VLOOKUP($A295,DICO_Complet!$A$3:$U$983,17,FALSE))</f>
        <v/>
      </c>
      <c r="Q295" s="53" t="str">
        <f>IF(VLOOKUP($A295,DICO_Complet!$A$3:$U$983,18,FALSE)=0,"",VLOOKUP($A295,DICO_Complet!$A$3:$U$983,18,FALSE))</f>
        <v/>
      </c>
    </row>
    <row r="296" spans="1:17">
      <c r="A296" s="38">
        <v>241112000062</v>
      </c>
      <c r="B296" s="47" t="s">
        <v>858</v>
      </c>
      <c r="C296" s="3" t="str">
        <f>VLOOKUP($A296,DICO_Complet!$A$3:$U$983,3,FALSE)</f>
        <v>Context</v>
      </c>
      <c r="D296" s="3" t="str">
        <f>VLOOKUP($A296,DICO_Complet!$A$3:$U$983,4,FALSE)</f>
        <v>verification</v>
      </c>
      <c r="E296" s="2" t="str">
        <f>VLOOKUP($A296,DICO_Complet!$A$3:$U$983,5,FALSE)</f>
        <v>accountNameRequestValue</v>
      </c>
      <c r="F296" s="2" t="str">
        <f>VLOOKUP($A296,DICO_Complet!$A$3:$U$983,6,FALSE)</f>
        <v>Exact2AlphaNumericText</v>
      </c>
      <c r="G296" s="48">
        <f>VLOOKUP($A296,DICO_Complet!$A$3:$U$983,7,FALSE)</f>
        <v>0</v>
      </c>
      <c r="H296" s="48">
        <f>VLOOKUP($A296,DICO_Complet!$A$3:$U$983,8,FALSE)</f>
        <v>0</v>
      </c>
      <c r="I296" s="2" t="str">
        <f>IF(VLOOKUP($A296,DICO_Complet!$A$3:$U$983,9,FALSE)&lt;&gt;0,VLOOKUP($A296,DICO_Complet!$A$3:$U$983,9,FALSE),"")</f>
        <v/>
      </c>
      <c r="J296" s="1" t="str">
        <f>VLOOKUP($A296,DICO_Complet!$A$3:$U$983,10,FALSE)</f>
        <v>Account name request result</v>
      </c>
      <c r="K296" s="53" t="str">
        <f>IF(VLOOKUP($A296,DICO_Complet!$A$3:$U$983,12,FALSE)=0,"",VLOOKUP($A296,DICO_Complet!$A$3:$U$983,12,FALSE))</f>
        <v>RSB119_0025</v>
      </c>
      <c r="L296" s="53" t="str">
        <f>IF(VLOOKUP($A296,DICO_Complet!$A$3:$U$983,13,FALSE)=0,"",VLOOKUP($A296,DICO_Complet!$A$3:$U$983,13,FALSE))</f>
        <v>[119-0025]</v>
      </c>
      <c r="M296" s="53" t="str">
        <f>IF(VLOOKUP($A296,DICO_Complet!$A$3:$U$983,14,FALSE)=0,"",VLOOKUP($A296,DICO_Complet!$A$3:$U$983,14,FALSE))</f>
        <v/>
      </c>
      <c r="N296" s="53" t="str">
        <f>IF(VLOOKUP($A296,DICO_Complet!$A$3:$U$983,15,FALSE)=0,"",VLOOKUP($A296,DICO_Complet!$A$3:$U$983,15,FALSE))</f>
        <v/>
      </c>
      <c r="O296" s="53" t="str">
        <f>IF(VLOOKUP($A296,DICO_Complet!$A$3:$U$983,16,FALSE)=0,"",VLOOKUP($A296,DICO_Complet!$A$3:$U$983,16,FALSE))</f>
        <v/>
      </c>
      <c r="P296" s="53" t="str">
        <f>IF(VLOOKUP($A296,DICO_Complet!$A$3:$U$983,17,FALSE)=0,"",VLOOKUP($A296,DICO_Complet!$A$3:$U$983,17,FALSE))</f>
        <v/>
      </c>
      <c r="Q296" s="53" t="str">
        <f>IF(VLOOKUP($A296,DICO_Complet!$A$3:$U$983,18,FALSE)=0,"",VLOOKUP($A296,DICO_Complet!$A$3:$U$983,18,FALSE))</f>
        <v/>
      </c>
    </row>
    <row r="297" spans="1:17">
      <c r="A297" s="38">
        <v>250331150900</v>
      </c>
      <c r="B297" s="47" t="s">
        <v>858</v>
      </c>
      <c r="C297" s="3" t="str">
        <f>VLOOKUP($A297,DICO_Complet!$A$3:$U$983,3,FALSE)</f>
        <v>Context</v>
      </c>
      <c r="D297" s="3" t="str">
        <f>VLOOKUP($A297,DICO_Complet!$A$3:$U$983,4,FALSE)</f>
        <v>verification</v>
      </c>
      <c r="E297" s="2" t="str">
        <f>VLOOKUP($A297,DICO_Complet!$A$3:$U$983,5,FALSE)</f>
        <v>acknowledgementRequestIndicator</v>
      </c>
      <c r="F297" s="2" t="str">
        <f>VLOOKUP($A297,DICO_Complet!$A$3:$U$983,6,FALSE)</f>
        <v>AcknowledgementRequestIndicatorCodeset</v>
      </c>
      <c r="G297" s="48">
        <f>VLOOKUP($A297,DICO_Complet!$A$3:$U$983,7,FALSE)</f>
        <v>0</v>
      </c>
      <c r="H297" s="48">
        <f>VLOOKUP($A297,DICO_Complet!$A$3:$U$983,8,FALSE)</f>
        <v>0</v>
      </c>
      <c r="I297" s="2" t="str">
        <f>IF(VLOOKUP($A297,DICO_Complet!$A$3:$U$983,9,FALSE)&lt;&gt;0,VLOOKUP($A297,DICO_Complet!$A$3:$U$983,9,FALSE),"")</f>
        <v/>
      </c>
      <c r="J297" s="1" t="str">
        <f>VLOOKUP($A297,DICO_Complet!$A$3:$U$983,10,FALSE)</f>
        <v>Acknowledgement request indicator</v>
      </c>
      <c r="K297" s="53" t="str">
        <f>IF(VLOOKUP($A297,DICO_Complet!$A$3:$U$983,12,FALSE)=0,"",VLOOKUP($A297,DICO_Complet!$A$3:$U$983,12,FALSE))</f>
        <v/>
      </c>
      <c r="L297" s="53" t="str">
        <f>IF(VLOOKUP($A297,DICO_Complet!$A$3:$U$983,13,FALSE)=0,"",VLOOKUP($A297,DICO_Complet!$A$3:$U$983,13,FALSE))</f>
        <v/>
      </c>
      <c r="M297" s="53" t="str">
        <f>IF(VLOOKUP($A297,DICO_Complet!$A$3:$U$983,14,FALSE)=0,"",VLOOKUP($A297,DICO_Complet!$A$3:$U$983,14,FALSE))</f>
        <v>26 part 1</v>
      </c>
      <c r="N297" s="53" t="str">
        <f>IF(VLOOKUP($A297,DICO_Complet!$A$3:$U$983,15,FALSE)=0,"",VLOOKUP($A297,DICO_Complet!$A$3:$U$983,15,FALSE))</f>
        <v/>
      </c>
      <c r="O297" s="53" t="str">
        <f>IF(VLOOKUP($A297,DICO_Complet!$A$3:$U$983,16,FALSE)=0,"",VLOOKUP($A297,DICO_Complet!$A$3:$U$983,16,FALSE))</f>
        <v/>
      </c>
      <c r="P297" s="53" t="str">
        <f>IF(VLOOKUP($A297,DICO_Complet!$A$3:$U$983,17,FALSE)=0,"",VLOOKUP($A297,DICO_Complet!$A$3:$U$983,17,FALSE))</f>
        <v/>
      </c>
      <c r="Q297" s="53" t="str">
        <f>IF(VLOOKUP($A297,DICO_Complet!$A$3:$U$983,18,FALSE)=0,"",VLOOKUP($A297,DICO_Complet!$A$3:$U$983,18,FALSE))</f>
        <v/>
      </c>
    </row>
    <row r="298" spans="1:17">
      <c r="A298" s="38">
        <v>241112000063</v>
      </c>
      <c r="B298" s="47" t="s">
        <v>858</v>
      </c>
      <c r="C298" s="3" t="str">
        <f>VLOOKUP($A298,DICO_Complet!$A$3:$U$983,3,FALSE)</f>
        <v>Context</v>
      </c>
      <c r="D298" s="3" t="str">
        <f>VLOOKUP($A298,DICO_Complet!$A$3:$U$983,4,FALSE)</f>
        <v>verification</v>
      </c>
      <c r="E298" s="2" t="str">
        <f>VLOOKUP($A298,DICO_Complet!$A$3:$U$983,5,FALSE)</f>
        <v>cardholderAuthenticationMethod</v>
      </c>
      <c r="F298" s="2" t="str">
        <f>VLOOKUP($A298,DICO_Complet!$A$3:$U$983,6,FALSE)</f>
        <v>Exact2Text</v>
      </c>
      <c r="G298" s="48">
        <f>VLOOKUP($A298,DICO_Complet!$A$3:$U$983,7,FALSE)</f>
        <v>0</v>
      </c>
      <c r="H298" s="48">
        <f>VLOOKUP($A298,DICO_Complet!$A$3:$U$983,8,FALSE)</f>
        <v>0</v>
      </c>
      <c r="I298" s="2" t="str">
        <f>IF(VLOOKUP($A298,DICO_Complet!$A$3:$U$983,9,FALSE)&lt;&gt;0,VLOOKUP($A298,DICO_Complet!$A$3:$U$983,9,FALSE),"")</f>
        <v/>
      </c>
      <c r="J298" s="1" t="str">
        <f>VLOOKUP($A298,DICO_Complet!$A$3:$U$983,10,FALSE)</f>
        <v>Cardholder authentication method</v>
      </c>
      <c r="K298" s="53" t="str">
        <f>IF(VLOOKUP($A298,DICO_Complet!$A$3:$U$983,12,FALSE)=0,"",VLOOKUP($A298,DICO_Complet!$A$3:$U$983,12,FALSE))</f>
        <v>RSB59_410</v>
      </c>
      <c r="L298" s="53" t="str">
        <f>IF(VLOOKUP($A298,DICO_Complet!$A$3:$U$983,13,FALSE)=0,"",VLOOKUP($A298,DICO_Complet!$A$3:$U$983,13,FALSE))</f>
        <v>[59-0410]</v>
      </c>
      <c r="M298" s="53" t="str">
        <f>IF(VLOOKUP($A298,DICO_Complet!$A$3:$U$983,14,FALSE)=0,"",VLOOKUP($A298,DICO_Complet!$A$3:$U$983,14,FALSE))</f>
        <v/>
      </c>
      <c r="N298" s="53" t="str">
        <f>IF(VLOOKUP($A298,DICO_Complet!$A$3:$U$983,15,FALSE)=0,"",VLOOKUP($A298,DICO_Complet!$A$3:$U$983,15,FALSE))</f>
        <v/>
      </c>
      <c r="O298" s="53" t="str">
        <f>IF(VLOOKUP($A298,DICO_Complet!$A$3:$U$983,16,FALSE)=0,"",VLOOKUP($A298,DICO_Complet!$A$3:$U$983,16,FALSE))</f>
        <v/>
      </c>
      <c r="P298" s="53" t="str">
        <f>IF(VLOOKUP($A298,DICO_Complet!$A$3:$U$983,17,FALSE)=0,"",VLOOKUP($A298,DICO_Complet!$A$3:$U$983,17,FALSE))</f>
        <v/>
      </c>
      <c r="Q298" s="53" t="str">
        <f>IF(VLOOKUP($A298,DICO_Complet!$A$3:$U$983,18,FALSE)=0,"",VLOOKUP($A298,DICO_Complet!$A$3:$U$983,18,FALSE))</f>
        <v/>
      </c>
    </row>
    <row r="299" spans="1:17">
      <c r="A299" s="38">
        <v>241112000064</v>
      </c>
      <c r="B299" s="47" t="s">
        <v>858</v>
      </c>
      <c r="C299" s="3" t="str">
        <f>VLOOKUP($A299,DICO_Complet!$A$3:$U$983,3,FALSE)</f>
        <v>Context</v>
      </c>
      <c r="D299" s="3" t="str">
        <f>VLOOKUP($A299,DICO_Complet!$A$3:$U$983,4,FALSE)</f>
        <v>verification</v>
      </c>
      <c r="E299" s="2" t="str">
        <f>VLOOKUP($A299,DICO_Complet!$A$3:$U$983,5,FALSE)</f>
        <v>cardholderAuthenticationValueProcessingInfo</v>
      </c>
      <c r="F299" s="2" t="str">
        <f>VLOOKUP($A299,DICO_Complet!$A$3:$U$983,6,FALSE)</f>
        <v>Exact1Text</v>
      </c>
      <c r="G299" s="48">
        <f>VLOOKUP($A299,DICO_Complet!$A$3:$U$983,7,FALSE)</f>
        <v>0</v>
      </c>
      <c r="H299" s="48">
        <f>VLOOKUP($A299,DICO_Complet!$A$3:$U$983,8,FALSE)</f>
        <v>0</v>
      </c>
      <c r="I299" s="2" t="str">
        <f>IF(VLOOKUP($A299,DICO_Complet!$A$3:$U$983,9,FALSE)&lt;&gt;0,VLOOKUP($A299,DICO_Complet!$A$3:$U$983,9,FALSE),"")</f>
        <v/>
      </c>
      <c r="J299" s="1" t="str">
        <f>VLOOKUP($A299,DICO_Complet!$A$3:$U$983,10,FALSE)</f>
        <v>Cardholder authentication value processing information</v>
      </c>
      <c r="K299" s="53" t="str">
        <f>IF(VLOOKUP($A299,DICO_Complet!$A$3:$U$983,12,FALSE)=0,"",VLOOKUP($A299,DICO_Complet!$A$3:$U$983,12,FALSE))</f>
        <v>RSB59_409</v>
      </c>
      <c r="L299" s="53" t="str">
        <f>IF(VLOOKUP($A299,DICO_Complet!$A$3:$U$983,13,FALSE)=0,"",VLOOKUP($A299,DICO_Complet!$A$3:$U$983,13,FALSE))</f>
        <v>[59-0409]</v>
      </c>
      <c r="M299" s="53" t="str">
        <f>IF(VLOOKUP($A299,DICO_Complet!$A$3:$U$983,14,FALSE)=0,"",VLOOKUP($A299,DICO_Complet!$A$3:$U$983,14,FALSE))</f>
        <v/>
      </c>
      <c r="N299" s="53" t="str">
        <f>IF(VLOOKUP($A299,DICO_Complet!$A$3:$U$983,15,FALSE)=0,"",VLOOKUP($A299,DICO_Complet!$A$3:$U$983,15,FALSE))</f>
        <v/>
      </c>
      <c r="O299" s="53" t="str">
        <f>IF(VLOOKUP($A299,DICO_Complet!$A$3:$U$983,16,FALSE)=0,"",VLOOKUP($A299,DICO_Complet!$A$3:$U$983,16,FALSE))</f>
        <v/>
      </c>
      <c r="P299" s="53" t="str">
        <f>IF(VLOOKUP($A299,DICO_Complet!$A$3:$U$983,17,FALSE)=0,"",VLOOKUP($A299,DICO_Complet!$A$3:$U$983,17,FALSE))</f>
        <v/>
      </c>
      <c r="Q299" s="53" t="str">
        <f>IF(VLOOKUP($A299,DICO_Complet!$A$3:$U$983,18,FALSE)=0,"",VLOOKUP($A299,DICO_Complet!$A$3:$U$983,18,FALSE))</f>
        <v/>
      </c>
    </row>
    <row r="300" spans="1:17">
      <c r="A300" s="38">
        <v>241112000065</v>
      </c>
      <c r="B300" s="47" t="s">
        <v>858</v>
      </c>
      <c r="C300" s="3" t="str">
        <f>VLOOKUP($A300,DICO_Complet!$A$3:$U$983,3,FALSE)</f>
        <v>Context</v>
      </c>
      <c r="D300" s="3" t="str">
        <f>VLOOKUP($A300,DICO_Complet!$A$3:$U$983,4,FALSE)</f>
        <v>verification</v>
      </c>
      <c r="E300" s="2" t="str">
        <f>VLOOKUP($A300,DICO_Complet!$A$3:$U$983,5,FALSE)</f>
        <v>keySetIdentifier</v>
      </c>
      <c r="F300" s="2" t="str">
        <f>VLOOKUP($A300,DICO_Complet!$A$3:$U$983,6,FALSE)</f>
        <v>Exact19HexBinaryText</v>
      </c>
      <c r="G300" s="48">
        <f>VLOOKUP($A300,DICO_Complet!$A$3:$U$983,7,FALSE)</f>
        <v>0</v>
      </c>
      <c r="H300" s="48">
        <f>VLOOKUP($A300,DICO_Complet!$A$3:$U$983,8,FALSE)</f>
        <v>0</v>
      </c>
      <c r="I300" s="2" t="str">
        <f>IF(VLOOKUP($A300,DICO_Complet!$A$3:$U$983,9,FALSE)&lt;&gt;0,VLOOKUP($A300,DICO_Complet!$A$3:$U$983,9,FALSE),"")</f>
        <v/>
      </c>
      <c r="J300" s="1" t="str">
        <f>VLOOKUP($A300,DICO_Complet!$A$3:$U$983,10,FALSE)</f>
        <v>KT Identifier</v>
      </c>
      <c r="K300" s="53" t="str">
        <f>IF(VLOOKUP($A300,DICO_Complet!$A$3:$U$983,12,FALSE)=0,"",VLOOKUP($A300,DICO_Complet!$A$3:$U$983,12,FALSE))</f>
        <v>GES1 - AUT51 deprecie</v>
      </c>
      <c r="L300" s="53" t="str">
        <f>IF(VLOOKUP($A300,DICO_Complet!$A$3:$U$983,13,FALSE)=0,"",VLOOKUP($A300,DICO_Complet!$A$3:$U$983,13,FALSE))</f>
        <v/>
      </c>
      <c r="M300" s="53" t="str">
        <f>IF(VLOOKUP($A300,DICO_Complet!$A$3:$U$983,14,FALSE)=0,"",VLOOKUP($A300,DICO_Complet!$A$3:$U$983,14,FALSE))</f>
        <v/>
      </c>
      <c r="N300" s="53" t="str">
        <f>IF(VLOOKUP($A300,DICO_Complet!$A$3:$U$983,15,FALSE)=0,"",VLOOKUP($A300,DICO_Complet!$A$3:$U$983,15,FALSE))</f>
        <v/>
      </c>
      <c r="O300" s="53" t="str">
        <f>IF(VLOOKUP($A300,DICO_Complet!$A$3:$U$983,16,FALSE)=0,"",VLOOKUP($A300,DICO_Complet!$A$3:$U$983,16,FALSE))</f>
        <v/>
      </c>
      <c r="P300" s="53" t="str">
        <f>IF(VLOOKUP($A300,DICO_Complet!$A$3:$U$983,17,FALSE)=0,"",VLOOKUP($A300,DICO_Complet!$A$3:$U$983,17,FALSE))</f>
        <v/>
      </c>
      <c r="Q300" s="53" t="str">
        <f>IF(VLOOKUP($A300,DICO_Complet!$A$3:$U$983,18,FALSE)=0,"",VLOOKUP($A300,DICO_Complet!$A$3:$U$983,18,FALSE))</f>
        <v/>
      </c>
    </row>
    <row r="301" spans="1:17">
      <c r="A301" s="38">
        <v>241112000067</v>
      </c>
      <c r="B301" s="47" t="s">
        <v>858</v>
      </c>
      <c r="C301" s="3" t="str">
        <f>VLOOKUP($A301,DICO_Complet!$A$3:$U$983,3,FALSE)</f>
        <v>Context</v>
      </c>
      <c r="D301" s="3" t="str">
        <f>VLOOKUP($A301,DICO_Complet!$A$3:$U$983,4,FALSE)</f>
        <v>verification</v>
      </c>
      <c r="E301" s="2" t="str">
        <f>VLOOKUP($A301,DICO_Complet!$A$3:$U$983,5,FALSE)</f>
        <v>secureCorporatePaymentExemptionIndicator</v>
      </c>
      <c r="F301" s="2" t="str">
        <f>VLOOKUP($A301,DICO_Complet!$A$3:$U$983,6,FALSE)</f>
        <v>Exact1AlphaNumericText</v>
      </c>
      <c r="G301" s="48">
        <f>VLOOKUP($A301,DICO_Complet!$A$3:$U$983,7,FALSE)</f>
        <v>0</v>
      </c>
      <c r="H301" s="48">
        <f>VLOOKUP($A301,DICO_Complet!$A$3:$U$983,8,FALSE)</f>
        <v>0</v>
      </c>
      <c r="I301" s="2" t="str">
        <f>IF(VLOOKUP($A301,DICO_Complet!$A$3:$U$983,9,FALSE)&lt;&gt;0,VLOOKUP($A301,DICO_Complet!$A$3:$U$983,9,FALSE),"")</f>
        <v/>
      </c>
      <c r="J301" s="1" t="str">
        <f>VLOOKUP($A301,DICO_Complet!$A$3:$U$983,10,FALSE)</f>
        <v>Secure corporate payment (SCP) indicator</v>
      </c>
      <c r="K301" s="53" t="str">
        <f>IF(VLOOKUP($A301,DICO_Complet!$A$3:$U$983,12,FALSE)=0,"",VLOOKUP($A301,DICO_Complet!$A$3:$U$983,12,FALSE))</f>
        <v>RSB119_0030</v>
      </c>
      <c r="L301" s="53" t="str">
        <f>IF(VLOOKUP($A301,DICO_Complet!$A$3:$U$983,13,FALSE)=0,"",VLOOKUP($A301,DICO_Complet!$A$3:$U$983,13,FALSE))</f>
        <v>[119-0030]</v>
      </c>
      <c r="M301" s="53" t="str">
        <f>IF(VLOOKUP($A301,DICO_Complet!$A$3:$U$983,14,FALSE)=0,"",VLOOKUP($A301,DICO_Complet!$A$3:$U$983,14,FALSE))</f>
        <v/>
      </c>
      <c r="N301" s="53" t="str">
        <f>IF(VLOOKUP($A301,DICO_Complet!$A$3:$U$983,15,FALSE)=0,"",VLOOKUP($A301,DICO_Complet!$A$3:$U$983,15,FALSE))</f>
        <v/>
      </c>
      <c r="O301" s="53" t="str">
        <f>IF(VLOOKUP($A301,DICO_Complet!$A$3:$U$983,16,FALSE)=0,"",VLOOKUP($A301,DICO_Complet!$A$3:$U$983,16,FALSE))</f>
        <v/>
      </c>
      <c r="P301" s="53" t="str">
        <f>IF(VLOOKUP($A301,DICO_Complet!$A$3:$U$983,17,FALSE)=0,"",VLOOKUP($A301,DICO_Complet!$A$3:$U$983,17,FALSE))</f>
        <v/>
      </c>
      <c r="Q301" s="53" t="str">
        <f>IF(VLOOKUP($A301,DICO_Complet!$A$3:$U$983,18,FALSE)=0,"",VLOOKUP($A301,DICO_Complet!$A$3:$U$983,18,FALSE))</f>
        <v/>
      </c>
    </row>
    <row r="302" spans="1:17">
      <c r="A302" s="38">
        <v>241112000068</v>
      </c>
      <c r="B302" s="47" t="s">
        <v>858</v>
      </c>
      <c r="C302" s="3" t="str">
        <f>VLOOKUP($A302,DICO_Complet!$A$3:$U$983,3,FALSE)</f>
        <v>Context</v>
      </c>
      <c r="D302" s="3" t="str">
        <f>VLOOKUP($A302,DICO_Complet!$A$3:$U$983,4,FALSE)</f>
        <v>verificationValue</v>
      </c>
      <c r="E302" s="2" t="str">
        <f>VLOOKUP($A302,DICO_Complet!$A$3:$U$983,5,FALSE)</f>
        <v>cardholderAuthenticationValueCalculationMethod</v>
      </c>
      <c r="F302" s="2" t="str">
        <f>VLOOKUP($A302,DICO_Complet!$A$3:$U$983,6,FALSE)</f>
        <v>Exact1AlphaNumericText</v>
      </c>
      <c r="G302" s="48">
        <f>VLOOKUP($A302,DICO_Complet!$A$3:$U$983,7,FALSE)</f>
        <v>0</v>
      </c>
      <c r="H302" s="48">
        <f>VLOOKUP($A302,DICO_Complet!$A$3:$U$983,8,FALSE)</f>
        <v>0</v>
      </c>
      <c r="I302" s="2" t="str">
        <f>IF(VLOOKUP($A302,DICO_Complet!$A$3:$U$983,9,FALSE)&lt;&gt;0,VLOOKUP($A302,DICO_Complet!$A$3:$U$983,9,FALSE),"")</f>
        <v/>
      </c>
      <c r="J302" s="1" t="str">
        <f>VLOOKUP($A302,DICO_Complet!$A$3:$U$983,10,FALSE)</f>
        <v>Cardholder authentication value calculation method</v>
      </c>
      <c r="K302" s="53" t="str">
        <f>IF(VLOOKUP($A302,DICO_Complet!$A$3:$U$983,12,FALSE)=0,"",VLOOKUP($A302,DICO_Complet!$A$3:$U$983,12,FALSE))</f>
        <v>RSB59_411</v>
      </c>
      <c r="L302" s="53" t="str">
        <f>IF(VLOOKUP($A302,DICO_Complet!$A$3:$U$983,13,FALSE)=0,"",VLOOKUP($A302,DICO_Complet!$A$3:$U$983,13,FALSE))</f>
        <v>[59-0411]</v>
      </c>
      <c r="M302" s="53" t="str">
        <f>IF(VLOOKUP($A302,DICO_Complet!$A$3:$U$983,14,FALSE)=0,"",VLOOKUP($A302,DICO_Complet!$A$3:$U$983,14,FALSE))</f>
        <v/>
      </c>
      <c r="N302" s="53" t="str">
        <f>IF(VLOOKUP($A302,DICO_Complet!$A$3:$U$983,15,FALSE)=0,"",VLOOKUP($A302,DICO_Complet!$A$3:$U$983,15,FALSE))</f>
        <v/>
      </c>
      <c r="O302" s="53" t="str">
        <f>IF(VLOOKUP($A302,DICO_Complet!$A$3:$U$983,16,FALSE)=0,"",VLOOKUP($A302,DICO_Complet!$A$3:$U$983,16,FALSE))</f>
        <v/>
      </c>
      <c r="P302" s="53" t="str">
        <f>IF(VLOOKUP($A302,DICO_Complet!$A$3:$U$983,17,FALSE)=0,"",VLOOKUP($A302,DICO_Complet!$A$3:$U$983,17,FALSE))</f>
        <v/>
      </c>
      <c r="Q302" s="53" t="str">
        <f>IF(VLOOKUP($A302,DICO_Complet!$A$3:$U$983,18,FALSE)=0,"",VLOOKUP($A302,DICO_Complet!$A$3:$U$983,18,FALSE))</f>
        <v/>
      </c>
    </row>
    <row r="303" spans="1:17">
      <c r="A303" s="38">
        <v>241112000069</v>
      </c>
      <c r="B303" s="47" t="s">
        <v>858</v>
      </c>
      <c r="C303" s="3" t="str">
        <f>VLOOKUP($A303,DICO_Complet!$A$3:$U$983,3,FALSE)</f>
        <v>Context</v>
      </c>
      <c r="D303" s="3" t="str">
        <f>VLOOKUP($A303,DICO_Complet!$A$3:$U$983,4,FALSE)</f>
        <v>verificationValue</v>
      </c>
      <c r="E303" s="2" t="str">
        <f>VLOOKUP($A303,DICO_Complet!$A$3:$U$983,5,FALSE)</f>
        <v>paymentSolutionProof</v>
      </c>
      <c r="F303" s="2" t="str">
        <f>VLOOKUP($A303,DICO_Complet!$A$3:$U$983,6,FALSE)</f>
        <v>PaymentSolutionProofCodeset</v>
      </c>
      <c r="G303" s="48">
        <f>VLOOKUP($A303,DICO_Complet!$A$3:$U$983,7,FALSE)</f>
        <v>0</v>
      </c>
      <c r="H303" s="48">
        <f>VLOOKUP($A303,DICO_Complet!$A$3:$U$983,8,FALSE)</f>
        <v>0</v>
      </c>
      <c r="I303" s="2" t="str">
        <f>IF(VLOOKUP($A303,DICO_Complet!$A$3:$U$983,9,FALSE)&lt;&gt;0,VLOOKUP($A303,DICO_Complet!$A$3:$U$983,9,FALSE),"")</f>
        <v/>
      </c>
      <c r="J303" s="1" t="str">
        <f>VLOOKUP($A303,DICO_Complet!$A$3:$U$983,10,FALSE)</f>
        <v>Type of proof</v>
      </c>
      <c r="K303" s="53" t="str">
        <f>IF(VLOOKUP($A303,DICO_Complet!$A$3:$U$983,12,FALSE)=0,"",VLOOKUP($A303,DICO_Complet!$A$3:$U$983,12,FALSE))</f>
        <v>RSB57_14</v>
      </c>
      <c r="L303" s="53" t="str">
        <f>IF(VLOOKUP($A303,DICO_Complet!$A$3:$U$983,13,FALSE)=0,"",VLOOKUP($A303,DICO_Complet!$A$3:$U$983,13,FALSE))</f>
        <v>[57-0014]</v>
      </c>
      <c r="M303" s="53" t="str">
        <f>IF(VLOOKUP($A303,DICO_Complet!$A$3:$U$983,14,FALSE)=0,"",VLOOKUP($A303,DICO_Complet!$A$3:$U$983,14,FALSE))</f>
        <v/>
      </c>
      <c r="N303" s="53" t="str">
        <f>IF(VLOOKUP($A303,DICO_Complet!$A$3:$U$983,15,FALSE)=0,"",VLOOKUP($A303,DICO_Complet!$A$3:$U$983,15,FALSE))</f>
        <v/>
      </c>
      <c r="O303" s="53" t="str">
        <f>IF(VLOOKUP($A303,DICO_Complet!$A$3:$U$983,16,FALSE)=0,"",VLOOKUP($A303,DICO_Complet!$A$3:$U$983,16,FALSE))</f>
        <v/>
      </c>
      <c r="P303" s="53" t="str">
        <f>IF(VLOOKUP($A303,DICO_Complet!$A$3:$U$983,17,FALSE)=0,"",VLOOKUP($A303,DICO_Complet!$A$3:$U$983,17,FALSE))</f>
        <v/>
      </c>
      <c r="Q303" s="53" t="str">
        <f>IF(VLOOKUP($A303,DICO_Complet!$A$3:$U$983,18,FALSE)=0,"",VLOOKUP($A303,DICO_Complet!$A$3:$U$983,18,FALSE))</f>
        <v/>
      </c>
    </row>
    <row r="304" spans="1:17">
      <c r="A304" s="38">
        <v>250415120500</v>
      </c>
      <c r="B304" s="47" t="s">
        <v>858</v>
      </c>
      <c r="C304" s="3" t="str">
        <f>VLOOKUP($A304,DICO_Complet!$A$3:$U$983,3,FALSE)</f>
        <v>Environment</v>
      </c>
      <c r="D304" s="3" t="str">
        <f>VLOOKUP($A304,DICO_Complet!$A$3:$U$983,4,FALSE)</f>
        <v>acquirer</v>
      </c>
      <c r="E304" s="2" t="str">
        <f>VLOOKUP($A304,DICO_Complet!$A$3:$U$983,5,FALSE)</f>
        <v>acquirerBankIdentifierNumber</v>
      </c>
      <c r="F304" s="2" t="str">
        <f>VLOOKUP($A304,DICO_Complet!$A$3:$U$983,6,FALSE)</f>
        <v>Min6Max8NumericText</v>
      </c>
      <c r="G304" s="48">
        <f>VLOOKUP($A304,DICO_Complet!$A$3:$U$983,7,FALSE)</f>
        <v>0</v>
      </c>
      <c r="H304" s="48">
        <f>VLOOKUP($A304,DICO_Complet!$A$3:$U$983,8,FALSE)</f>
        <v>0</v>
      </c>
      <c r="I304" s="2" t="str">
        <f>IF(VLOOKUP($A304,DICO_Complet!$A$3:$U$983,9,FALSE)&lt;&gt;0,VLOOKUP($A304,DICO_Complet!$A$3:$U$983,9,FALSE),"")</f>
        <v/>
      </c>
      <c r="J304" s="1" t="str">
        <f>VLOOKUP($A304,DICO_Complet!$A$3:$U$983,10,FALSE)</f>
        <v>Acquirer BIN</v>
      </c>
      <c r="K304" s="53" t="str">
        <f>IF(VLOOKUP($A304,DICO_Complet!$A$3:$U$983,12,FALSE)=0,"",VLOOKUP($A304,DICO_Complet!$A$3:$U$983,12,FALSE))</f>
        <v/>
      </c>
      <c r="L304" s="53" t="str">
        <f>IF(VLOOKUP($A304,DICO_Complet!$A$3:$U$983,13,FALSE)=0,"",VLOOKUP($A304,DICO_Complet!$A$3:$U$983,13,FALSE))</f>
        <v/>
      </c>
      <c r="M304" s="53" t="str">
        <f>IF(VLOOKUP($A304,DICO_Complet!$A$3:$U$983,14,FALSE)=0,"",VLOOKUP($A304,DICO_Complet!$A$3:$U$983,14,FALSE))</f>
        <v/>
      </c>
      <c r="N304" s="53" t="str">
        <f>IF(VLOOKUP($A304,DICO_Complet!$A$3:$U$983,15,FALSE)=0,"",VLOOKUP($A304,DICO_Complet!$A$3:$U$983,15,FALSE))</f>
        <v/>
      </c>
      <c r="O304" s="53" t="str">
        <f>IF(VLOOKUP($A304,DICO_Complet!$A$3:$U$983,16,FALSE)=0,"",VLOOKUP($A304,DICO_Complet!$A$3:$U$983,16,FALSE))</f>
        <v/>
      </c>
      <c r="P304" s="53" t="str">
        <f>IF(VLOOKUP($A304,DICO_Complet!$A$3:$U$983,17,FALSE)=0,"",VLOOKUP($A304,DICO_Complet!$A$3:$U$983,17,FALSE))</f>
        <v/>
      </c>
      <c r="Q304" s="53" t="str">
        <f>IF(VLOOKUP($A304,DICO_Complet!$A$3:$U$983,18,FALSE)=0,"",VLOOKUP($A304,DICO_Complet!$A$3:$U$983,18,FALSE))</f>
        <v/>
      </c>
    </row>
    <row r="305" spans="1:17">
      <c r="A305" s="38">
        <v>241112000071</v>
      </c>
      <c r="B305" s="47" t="s">
        <v>858</v>
      </c>
      <c r="C305" s="3" t="str">
        <f>VLOOKUP($A305,DICO_Complet!$A$3:$U$983,3,FALSE)</f>
        <v>Environment</v>
      </c>
      <c r="D305" s="3" t="str">
        <f>VLOOKUP($A305,DICO_Complet!$A$3:$U$983,4,FALSE)</f>
        <v>acquirer</v>
      </c>
      <c r="E305" s="2" t="str">
        <f>VLOOKUP($A305,DICO_Complet!$A$3:$U$983,5,FALSE)</f>
        <v>acquirerDomain</v>
      </c>
      <c r="F305" s="2" t="str">
        <f>VLOOKUP($A305,DICO_Complet!$A$3:$U$983,6,FALSE)</f>
        <v>Max16Text</v>
      </c>
      <c r="G305" s="48">
        <f>VLOOKUP($A305,DICO_Complet!$A$3:$U$983,7,FALSE)</f>
        <v>0</v>
      </c>
      <c r="H305" s="48">
        <f>VLOOKUP($A305,DICO_Complet!$A$3:$U$983,8,FALSE)</f>
        <v>0</v>
      </c>
      <c r="I305" s="2" t="str">
        <f>IF(VLOOKUP($A305,DICO_Complet!$A$3:$U$983,9,FALSE)&lt;&gt;0,VLOOKUP($A305,DICO_Complet!$A$3:$U$983,9,FALSE),"")</f>
        <v/>
      </c>
      <c r="J305" s="1" t="str">
        <f>VLOOKUP($A305,DICO_Complet!$A$3:$U$983,10,FALSE)</f>
        <v>Acquirer Domain</v>
      </c>
      <c r="K305" s="53" t="str">
        <f>IF(VLOOKUP($A305,DICO_Complet!$A$3:$U$983,12,FALSE)=0,"",VLOOKUP($A305,DICO_Complet!$A$3:$U$983,12,FALSE))</f>
        <v>RSB59_805</v>
      </c>
      <c r="L305" s="53" t="str">
        <f>IF(VLOOKUP($A305,DICO_Complet!$A$3:$U$983,13,FALSE)=0,"",VLOOKUP($A305,DICO_Complet!$A$3:$U$983,13,FALSE))</f>
        <v>[59-0805]</v>
      </c>
      <c r="M305" s="53" t="str">
        <f>IF(VLOOKUP($A305,DICO_Complet!$A$3:$U$983,14,FALSE)=0,"",VLOOKUP($A305,DICO_Complet!$A$3:$U$983,14,FALSE))</f>
        <v/>
      </c>
      <c r="N305" s="53" t="str">
        <f>IF(VLOOKUP($A305,DICO_Complet!$A$3:$U$983,15,FALSE)=0,"",VLOOKUP($A305,DICO_Complet!$A$3:$U$983,15,FALSE))</f>
        <v/>
      </c>
      <c r="O305" s="53" t="str">
        <f>IF(VLOOKUP($A305,DICO_Complet!$A$3:$U$983,16,FALSE)=0,"",VLOOKUP($A305,DICO_Complet!$A$3:$U$983,16,FALSE))</f>
        <v/>
      </c>
      <c r="P305" s="53" t="str">
        <f>IF(VLOOKUP($A305,DICO_Complet!$A$3:$U$983,17,FALSE)=0,"",VLOOKUP($A305,DICO_Complet!$A$3:$U$983,17,FALSE))</f>
        <v/>
      </c>
      <c r="Q305" s="53" t="str">
        <f>IF(VLOOKUP($A305,DICO_Complet!$A$3:$U$983,18,FALSE)=0,"",VLOOKUP($A305,DICO_Complet!$A$3:$U$983,18,FALSE))</f>
        <v/>
      </c>
    </row>
    <row r="306" spans="1:17">
      <c r="A306" s="38">
        <v>241112000072</v>
      </c>
      <c r="B306" s="47" t="s">
        <v>858</v>
      </c>
      <c r="C306" s="3" t="str">
        <f>VLOOKUP($A306,DICO_Complet!$A$3:$U$983,3,FALSE)</f>
        <v>Environment</v>
      </c>
      <c r="D306" s="3" t="str">
        <f>VLOOKUP($A306,DICO_Complet!$A$3:$U$983,4,FALSE)</f>
        <v>acquirer</v>
      </c>
      <c r="E306" s="2" t="str">
        <f>VLOOKUP($A306,DICO_Complet!$A$3:$U$983,5,FALSE)</f>
        <v>acquirerId</v>
      </c>
      <c r="F306" s="2" t="str">
        <f>VLOOKUP($A306,DICO_Complet!$A$3:$U$983,6,FALSE)</f>
        <v>Max11NumericText</v>
      </c>
      <c r="G306" s="48">
        <f>VLOOKUP($A306,DICO_Complet!$A$3:$U$983,7,FALSE)</f>
        <v>0</v>
      </c>
      <c r="H306" s="48">
        <f>VLOOKUP($A306,DICO_Complet!$A$3:$U$983,8,FALSE)</f>
        <v>0</v>
      </c>
      <c r="I306" s="2" t="str">
        <f>IF(VLOOKUP($A306,DICO_Complet!$A$3:$U$983,9,FALSE)&lt;&gt;0,VLOOKUP($A306,DICO_Complet!$A$3:$U$983,9,FALSE),"")</f>
        <v/>
      </c>
      <c r="J306" s="1" t="str">
        <f>VLOOKUP($A306,DICO_Complet!$A$3:$U$983,10,FALSE)</f>
        <v>Acquirer Identification</v>
      </c>
      <c r="K306" s="53" t="str">
        <f>IF(VLOOKUP($A306,DICO_Complet!$A$3:$U$983,12,FALSE)=0,"",VLOOKUP($A306,DICO_Complet!$A$3:$U$983,12,FALSE))</f>
        <v>ISO32</v>
      </c>
      <c r="L306" s="53" t="str">
        <f>IF(VLOOKUP($A306,DICO_Complet!$A$3:$U$983,13,FALSE)=0,"",VLOOKUP($A306,DICO_Complet!$A$3:$U$983,13,FALSE))</f>
        <v/>
      </c>
      <c r="M306" s="53" t="str">
        <f>IF(VLOOKUP($A306,DICO_Complet!$A$3:$U$983,14,FALSE)=0,"",VLOOKUP($A306,DICO_Complet!$A$3:$U$983,14,FALSE))</f>
        <v/>
      </c>
      <c r="N306" s="53" t="str">
        <f>IF(VLOOKUP($A306,DICO_Complet!$A$3:$U$983,15,FALSE)=0,"",VLOOKUP($A306,DICO_Complet!$A$3:$U$983,15,FALSE))</f>
        <v/>
      </c>
      <c r="O306" s="53" t="str">
        <f>IF(VLOOKUP($A306,DICO_Complet!$A$3:$U$983,16,FALSE)=0,"",VLOOKUP($A306,DICO_Complet!$A$3:$U$983,16,FALSE))</f>
        <v/>
      </c>
      <c r="P306" s="53" t="str">
        <f>IF(VLOOKUP($A306,DICO_Complet!$A$3:$U$983,17,FALSE)=0,"",VLOOKUP($A306,DICO_Complet!$A$3:$U$983,17,FALSE))</f>
        <v/>
      </c>
      <c r="Q306" s="53" t="str">
        <f>IF(VLOOKUP($A306,DICO_Complet!$A$3:$U$983,18,FALSE)=0,"",VLOOKUP($A306,DICO_Complet!$A$3:$U$983,18,FALSE))</f>
        <v/>
      </c>
    </row>
    <row r="307" spans="1:17">
      <c r="A307" s="38">
        <v>250408142403</v>
      </c>
      <c r="B307" s="47" t="s">
        <v>858</v>
      </c>
      <c r="C307" s="3" t="str">
        <f>VLOOKUP($A307,DICO_Complet!$A$3:$U$983,3,FALSE)</f>
        <v>Environment</v>
      </c>
      <c r="D307" s="3" t="str">
        <f>VLOOKUP($A307,DICO_Complet!$A$3:$U$983,4,FALSE)</f>
        <v>acquirer</v>
      </c>
      <c r="E307" s="2" t="str">
        <f>VLOOKUP($A307,DICO_Complet!$A$3:$U$983,5,FALSE)</f>
        <v>acquirerInstitutionId</v>
      </c>
      <c r="F307" s="2" t="str">
        <f>VLOOKUP($A307,DICO_Complet!$A$3:$U$983,6,FALSE)</f>
        <v>Max35Text</v>
      </c>
      <c r="G307" s="48">
        <f>VLOOKUP($A307,DICO_Complet!$A$3:$U$983,7,FALSE)</f>
        <v>0</v>
      </c>
      <c r="H307" s="48">
        <f>VLOOKUP($A307,DICO_Complet!$A$3:$U$983,8,FALSE)</f>
        <v>0</v>
      </c>
      <c r="I307" s="2" t="str">
        <f>IF(VLOOKUP($A307,DICO_Complet!$A$3:$U$983,9,FALSE)&lt;&gt;0,VLOOKUP($A307,DICO_Complet!$A$3:$U$983,9,FALSE),"")</f>
        <v/>
      </c>
      <c r="J307" s="1" t="str">
        <f>VLOOKUP($A307,DICO_Complet!$A$3:$U$983,10,FALSE)</f>
        <v>Acquirer code Bank</v>
      </c>
      <c r="K307" s="53" t="str">
        <f>IF(VLOOKUP($A307,DICO_Complet!$A$3:$U$983,12,FALSE)=0,"",VLOOKUP($A307,DICO_Complet!$A$3:$U$983,12,FALSE))</f>
        <v>ISO32p2</v>
      </c>
      <c r="L307" s="53" t="str">
        <f>IF(VLOOKUP($A307,DICO_Complet!$A$3:$U$983,13,FALSE)=0,"",VLOOKUP($A307,DICO_Complet!$A$3:$U$983,13,FALSE))</f>
        <v/>
      </c>
      <c r="M307" s="53" t="str">
        <f>IF(VLOOKUP($A307,DICO_Complet!$A$3:$U$983,14,FALSE)=0,"",VLOOKUP($A307,DICO_Complet!$A$3:$U$983,14,FALSE))</f>
        <v/>
      </c>
      <c r="N307" s="53" t="str">
        <f>IF(VLOOKUP($A307,DICO_Complet!$A$3:$U$983,15,FALSE)=0,"",VLOOKUP($A307,DICO_Complet!$A$3:$U$983,15,FALSE))</f>
        <v>32p2</v>
      </c>
      <c r="O307" s="53" t="str">
        <f>IF(VLOOKUP($A307,DICO_Complet!$A$3:$U$983,16,FALSE)=0,"",VLOOKUP($A307,DICO_Complet!$A$3:$U$983,16,FALSE))</f>
        <v/>
      </c>
      <c r="P307" s="53" t="str">
        <f>IF(VLOOKUP($A307,DICO_Complet!$A$3:$U$983,17,FALSE)=0,"",VLOOKUP($A307,DICO_Complet!$A$3:$U$983,17,FALSE))</f>
        <v/>
      </c>
      <c r="Q307" s="53" t="str">
        <f>IF(VLOOKUP($A307,DICO_Complet!$A$3:$U$983,18,FALSE)=0,"",VLOOKUP($A307,DICO_Complet!$A$3:$U$983,18,FALSE))</f>
        <v/>
      </c>
    </row>
    <row r="308" spans="1:17">
      <c r="A308" s="38">
        <v>250317120003</v>
      </c>
      <c r="B308" s="47" t="s">
        <v>858</v>
      </c>
      <c r="C308" s="3" t="str">
        <f>VLOOKUP($A308,DICO_Complet!$A$3:$U$983,3,FALSE)</f>
        <v>Environment</v>
      </c>
      <c r="D308" s="3" t="str">
        <f>VLOOKUP($A308,DICO_Complet!$A$3:$U$983,4,FALSE)</f>
        <v>acquirer</v>
      </c>
      <c r="E308" s="2" t="str">
        <f>VLOOKUP($A308,DICO_Complet!$A$3:$U$983,5,FALSE)</f>
        <v>acquirerLeaderInstitutionId</v>
      </c>
      <c r="F308" s="2" t="str">
        <f>VLOOKUP($A308,DICO_Complet!$A$3:$U$983,6,FALSE)</f>
        <v>Max11NumericText</v>
      </c>
      <c r="G308" s="48">
        <f>VLOOKUP($A308,DICO_Complet!$A$3:$U$983,7,FALSE)</f>
        <v>0</v>
      </c>
      <c r="H308" s="48">
        <f>VLOOKUP($A308,DICO_Complet!$A$3:$U$983,8,FALSE)</f>
        <v>0</v>
      </c>
      <c r="I308" s="2" t="str">
        <f>IF(VLOOKUP($A308,DICO_Complet!$A$3:$U$983,9,FALSE)&lt;&gt;0,VLOOKUP($A308,DICO_Complet!$A$3:$U$983,9,FALSE),"")</f>
        <v/>
      </c>
      <c r="J308" s="1" t="str">
        <f>VLOOKUP($A308,DICO_Complet!$A$3:$U$983,10,FALSE)</f>
        <v>Lead bank the merchant bank belongs to</v>
      </c>
      <c r="K308" s="53" t="str">
        <f>IF(VLOOKUP($A308,DICO_Complet!$A$3:$U$983,12,FALSE)=0,"",VLOOKUP($A308,DICO_Complet!$A$3:$U$983,12,FALSE))</f>
        <v/>
      </c>
      <c r="L308" s="53" t="str">
        <f>IF(VLOOKUP($A308,DICO_Complet!$A$3:$U$983,13,FALSE)=0,"",VLOOKUP($A308,DICO_Complet!$A$3:$U$983,13,FALSE))</f>
        <v/>
      </c>
      <c r="M308" s="53" t="str">
        <f>IF(VLOOKUP($A308,DICO_Complet!$A$3:$U$983,14,FALSE)=0,"",VLOOKUP($A308,DICO_Complet!$A$3:$U$983,14,FALSE))</f>
        <v/>
      </c>
      <c r="N308" s="53" t="str">
        <f>IF(VLOOKUP($A308,DICO_Complet!$A$3:$U$983,15,FALSE)=0,"",VLOOKUP($A308,DICO_Complet!$A$3:$U$983,15,FALSE))</f>
        <v/>
      </c>
      <c r="O308" s="53" t="str">
        <f>IF(VLOOKUP($A308,DICO_Complet!$A$3:$U$983,16,FALSE)=0,"",VLOOKUP($A308,DICO_Complet!$A$3:$U$983,16,FALSE))</f>
        <v/>
      </c>
      <c r="P308" s="53" t="str">
        <f>IF(VLOOKUP($A308,DICO_Complet!$A$3:$U$983,17,FALSE)=0,"",VLOOKUP($A308,DICO_Complet!$A$3:$U$983,17,FALSE))</f>
        <v/>
      </c>
      <c r="Q308" s="53" t="str">
        <f>IF(VLOOKUP($A308,DICO_Complet!$A$3:$U$983,18,FALSE)=0,"",VLOOKUP($A308,DICO_Complet!$A$3:$U$983,18,FALSE))</f>
        <v/>
      </c>
    </row>
    <row r="309" spans="1:17">
      <c r="A309" s="38">
        <v>250401135100</v>
      </c>
      <c r="B309" s="47" t="s">
        <v>858</v>
      </c>
      <c r="C309" s="3" t="str">
        <f>VLOOKUP($A309,DICO_Complet!$A$3:$U$983,3,FALSE)</f>
        <v>Environment</v>
      </c>
      <c r="D309" s="3" t="str">
        <f>VLOOKUP($A309,DICO_Complet!$A$3:$U$983,4,FALSE)</f>
        <v>acquirer</v>
      </c>
      <c r="E309" s="2" t="str">
        <f>VLOOKUP($A309,DICO_Complet!$A$3:$U$983,5,FALSE)</f>
        <v>acquirerName</v>
      </c>
      <c r="F309" s="2" t="str">
        <f>VLOOKUP($A309,DICO_Complet!$A$3:$U$983,6,FALSE)</f>
        <v>Max40Text</v>
      </c>
      <c r="G309" s="48">
        <f>VLOOKUP($A309,DICO_Complet!$A$3:$U$983,7,FALSE)</f>
        <v>0</v>
      </c>
      <c r="H309" s="48">
        <f>VLOOKUP($A309,DICO_Complet!$A$3:$U$983,8,FALSE)</f>
        <v>0</v>
      </c>
      <c r="I309" s="2" t="str">
        <f>IF(VLOOKUP($A309,DICO_Complet!$A$3:$U$983,9,FALSE)&lt;&gt;0,VLOOKUP($A309,DICO_Complet!$A$3:$U$983,9,FALSE),"")</f>
        <v/>
      </c>
      <c r="J309" s="1" t="str">
        <f>VLOOKUP($A309,DICO_Complet!$A$3:$U$983,10,FALSE)</f>
        <v>Merchant acquirer/bank name</v>
      </c>
      <c r="K309" s="53" t="str">
        <f>IF(VLOOKUP($A309,DICO_Complet!$A$3:$U$983,12,FALSE)=0,"",VLOOKUP($A309,DICO_Complet!$A$3:$U$983,12,FALSE))</f>
        <v/>
      </c>
      <c r="L309" s="53" t="str">
        <f>IF(VLOOKUP($A309,DICO_Complet!$A$3:$U$983,13,FALSE)=0,"",VLOOKUP($A309,DICO_Complet!$A$3:$U$983,13,FALSE))</f>
        <v/>
      </c>
      <c r="M309" s="53" t="str">
        <f>IF(VLOOKUP($A309,DICO_Complet!$A$3:$U$983,14,FALSE)=0,"",VLOOKUP($A309,DICO_Complet!$A$3:$U$983,14,FALSE))</f>
        <v/>
      </c>
      <c r="N309" s="53" t="str">
        <f>IF(VLOOKUP($A309,DICO_Complet!$A$3:$U$983,15,FALSE)=0,"",VLOOKUP($A309,DICO_Complet!$A$3:$U$983,15,FALSE))</f>
        <v/>
      </c>
      <c r="O309" s="53" t="str">
        <f>IF(VLOOKUP($A309,DICO_Complet!$A$3:$U$983,16,FALSE)=0,"",VLOOKUP($A309,DICO_Complet!$A$3:$U$983,16,FALSE))</f>
        <v/>
      </c>
      <c r="P309" s="53" t="str">
        <f>IF(VLOOKUP($A309,DICO_Complet!$A$3:$U$983,17,FALSE)=0,"",VLOOKUP($A309,DICO_Complet!$A$3:$U$983,17,FALSE))</f>
        <v/>
      </c>
      <c r="Q309" s="53" t="str">
        <f>IF(VLOOKUP($A309,DICO_Complet!$A$3:$U$983,18,FALSE)=0,"",VLOOKUP($A309,DICO_Complet!$A$3:$U$983,18,FALSE))</f>
        <v/>
      </c>
    </row>
    <row r="310" spans="1:17">
      <c r="A310" s="38">
        <v>250418220108</v>
      </c>
      <c r="B310" s="47" t="s">
        <v>858</v>
      </c>
      <c r="C310" s="3" t="str">
        <f>VLOOKUP($A310,DICO_Complet!$A$3:$U$983,3,FALSE)</f>
        <v>Environment</v>
      </c>
      <c r="D310" s="3" t="str">
        <f>VLOOKUP($A310,DICO_Complet!$A$3:$U$983,4,FALSE)</f>
        <v>acquirer</v>
      </c>
      <c r="E310" s="2" t="str">
        <f>VLOOKUP($A310,DICO_Complet!$A$3:$U$983,5,FALSE)</f>
        <v>currencyCode</v>
      </c>
      <c r="F310" s="2" t="str">
        <f>VLOOKUP($A310,DICO_Complet!$A$3:$U$983,6,FALSE)</f>
        <v>ISO3NumericCurrencyCode</v>
      </c>
      <c r="G310" s="48">
        <f>VLOOKUP($A310,DICO_Complet!$A$3:$U$983,7,FALSE)</f>
        <v>0</v>
      </c>
      <c r="H310" s="48">
        <f>VLOOKUP($A310,DICO_Complet!$A$3:$U$983,8,FALSE)</f>
        <v>0</v>
      </c>
      <c r="I310" s="2" t="str">
        <f>IF(VLOOKUP($A310,DICO_Complet!$A$3:$U$983,9,FALSE)&lt;&gt;0,VLOOKUP($A310,DICO_Complet!$A$3:$U$983,9,FALSE),"")</f>
        <v/>
      </c>
      <c r="J310" s="1" t="str">
        <f>VLOOKUP($A310,DICO_Complet!$A$3:$U$983,10,FALSE)</f>
        <v>Devise de compensation</v>
      </c>
      <c r="K310" s="53" t="str">
        <f>IF(VLOOKUP($A310,DICO_Complet!$A$3:$U$983,12,FALSE)=0,"",VLOOKUP($A310,DICO_Complet!$A$3:$U$983,12,FALSE))</f>
        <v/>
      </c>
      <c r="L310" s="53" t="str">
        <f>IF(VLOOKUP($A310,DICO_Complet!$A$3:$U$983,13,FALSE)=0,"",VLOOKUP($A310,DICO_Complet!$A$3:$U$983,13,FALSE))</f>
        <v/>
      </c>
      <c r="M310" s="53" t="str">
        <f>IF(VLOOKUP($A310,DICO_Complet!$A$3:$U$983,14,FALSE)=0,"",VLOOKUP($A310,DICO_Complet!$A$3:$U$983,14,FALSE))</f>
        <v/>
      </c>
      <c r="N310" s="53" t="str">
        <f>IF(VLOOKUP($A310,DICO_Complet!$A$3:$U$983,15,FALSE)=0,"",VLOOKUP($A310,DICO_Complet!$A$3:$U$983,15,FALSE))</f>
        <v/>
      </c>
      <c r="O310" s="53" t="str">
        <f>IF(VLOOKUP($A310,DICO_Complet!$A$3:$U$983,16,FALSE)=0,"",VLOOKUP($A310,DICO_Complet!$A$3:$U$983,16,FALSE))</f>
        <v/>
      </c>
      <c r="P310" s="53" t="str">
        <f>IF(VLOOKUP($A310,DICO_Complet!$A$3:$U$983,17,FALSE)=0,"",VLOOKUP($A310,DICO_Complet!$A$3:$U$983,17,FALSE))</f>
        <v/>
      </c>
      <c r="Q310" s="53" t="str">
        <f>IF(VLOOKUP($A310,DICO_Complet!$A$3:$U$983,18,FALSE)=0,"",VLOOKUP($A310,DICO_Complet!$A$3:$U$983,18,FALSE))</f>
        <v>XXXX</v>
      </c>
    </row>
    <row r="311" spans="1:17">
      <c r="A311" s="38">
        <v>250418220112</v>
      </c>
      <c r="B311" s="47" t="s">
        <v>858</v>
      </c>
      <c r="C311" s="3" t="str">
        <f>VLOOKUP($A311,DICO_Complet!$A$3:$U$983,3,FALSE)</f>
        <v>Environment</v>
      </c>
      <c r="D311" s="3" t="str">
        <f>VLOOKUP($A311,DICO_Complet!$A$3:$U$983,4,FALSE)</f>
        <v>acquirer</v>
      </c>
      <c r="E311" s="2" t="str">
        <f>VLOOKUP($A311,DICO_Complet!$A$3:$U$983,5,FALSE)</f>
        <v>postalAddress</v>
      </c>
      <c r="F311" s="2" t="str">
        <f>VLOOKUP($A311,DICO_Complet!$A$3:$U$983,6,FALSE)</f>
        <v>PostalAddressType</v>
      </c>
      <c r="G311" s="48">
        <f>VLOOKUP($A311,DICO_Complet!$A$3:$U$983,7,FALSE)</f>
        <v>0</v>
      </c>
      <c r="H311" s="48">
        <f>VLOOKUP($A311,DICO_Complet!$A$3:$U$983,8,FALSE)</f>
        <v>0</v>
      </c>
      <c r="I311" s="2" t="str">
        <f>IF(VLOOKUP($A311,DICO_Complet!$A$3:$U$983,9,FALSE)&lt;&gt;0,VLOOKUP($A311,DICO_Complet!$A$3:$U$983,9,FALSE),"")</f>
        <v/>
      </c>
      <c r="J311" s="1" t="str">
        <f>VLOOKUP($A311,DICO_Complet!$A$3:$U$983,10,FALSE)</f>
        <v>Libelle adresse 1 / 2 /  / 4 / 5</v>
      </c>
      <c r="K311" s="53" t="str">
        <f>IF(VLOOKUP($A311,DICO_Complet!$A$3:$U$983,12,FALSE)=0,"",VLOOKUP($A311,DICO_Complet!$A$3:$U$983,12,FALSE))</f>
        <v/>
      </c>
      <c r="L311" s="53" t="str">
        <f>IF(VLOOKUP($A311,DICO_Complet!$A$3:$U$983,13,FALSE)=0,"",VLOOKUP($A311,DICO_Complet!$A$3:$U$983,13,FALSE))</f>
        <v/>
      </c>
      <c r="M311" s="53" t="str">
        <f>IF(VLOOKUP($A311,DICO_Complet!$A$3:$U$983,14,FALSE)=0,"",VLOOKUP($A311,DICO_Complet!$A$3:$U$983,14,FALSE))</f>
        <v/>
      </c>
      <c r="N311" s="53" t="str">
        <f>IF(VLOOKUP($A311,DICO_Complet!$A$3:$U$983,15,FALSE)=0,"",VLOOKUP($A311,DICO_Complet!$A$3:$U$983,15,FALSE))</f>
        <v/>
      </c>
      <c r="O311" s="53" t="str">
        <f>IF(VLOOKUP($A311,DICO_Complet!$A$3:$U$983,16,FALSE)=0,"",VLOOKUP($A311,DICO_Complet!$A$3:$U$983,16,FALSE))</f>
        <v/>
      </c>
      <c r="P311" s="53" t="str">
        <f>IF(VLOOKUP($A311,DICO_Complet!$A$3:$U$983,17,FALSE)=0,"",VLOOKUP($A311,DICO_Complet!$A$3:$U$983,17,FALSE))</f>
        <v/>
      </c>
      <c r="Q311" s="53" t="str">
        <f>IF(VLOOKUP($A311,DICO_Complet!$A$3:$U$983,18,FALSE)=0,"",VLOOKUP($A311,DICO_Complet!$A$3:$U$983,18,FALSE))</f>
        <v>LIBO01</v>
      </c>
    </row>
    <row r="312" spans="1:17">
      <c r="A312" s="38">
        <v>250418220110</v>
      </c>
      <c r="B312" s="47" t="s">
        <v>858</v>
      </c>
      <c r="C312" s="3" t="str">
        <f>VLOOKUP($A312,DICO_Complet!$A$3:$U$983,3,FALSE)</f>
        <v>Environment</v>
      </c>
      <c r="D312" s="3" t="str">
        <f>VLOOKUP($A312,DICO_Complet!$A$3:$U$983,4,FALSE)</f>
        <v>acquirer</v>
      </c>
      <c r="E312" s="2" t="str">
        <f>VLOOKUP($A312,DICO_Complet!$A$3:$U$983,5,FALSE)</f>
        <v>temp_backOfficeFax</v>
      </c>
      <c r="F312" s="2" t="str">
        <f>VLOOKUP($A312,DICO_Complet!$A$3:$U$983,6,FALSE)</f>
        <v>PhoneNumberType</v>
      </c>
      <c r="G312" s="48">
        <f>VLOOKUP($A312,DICO_Complet!$A$3:$U$983,7,FALSE)</f>
        <v>0</v>
      </c>
      <c r="H312" s="48">
        <f>VLOOKUP($A312,DICO_Complet!$A$3:$U$983,8,FALSE)</f>
        <v>0</v>
      </c>
      <c r="I312" s="2" t="str">
        <f>IF(VLOOKUP($A312,DICO_Complet!$A$3:$U$983,9,FALSE)&lt;&gt;0,VLOOKUP($A312,DICO_Complet!$A$3:$U$983,9,FALSE),"")</f>
        <v/>
      </c>
      <c r="J312" s="1" t="str">
        <f>VLOOKUP($A312,DICO_Complet!$A$3:$U$983,10,FALSE)</f>
        <v>Numero de fax standard</v>
      </c>
      <c r="K312" s="53" t="str">
        <f>IF(VLOOKUP($A312,DICO_Complet!$A$3:$U$983,12,FALSE)=0,"",VLOOKUP($A312,DICO_Complet!$A$3:$U$983,12,FALSE))</f>
        <v/>
      </c>
      <c r="L312" s="53" t="str">
        <f>IF(VLOOKUP($A312,DICO_Complet!$A$3:$U$983,13,FALSE)=0,"",VLOOKUP($A312,DICO_Complet!$A$3:$U$983,13,FALSE))</f>
        <v/>
      </c>
      <c r="M312" s="53" t="str">
        <f>IF(VLOOKUP($A312,DICO_Complet!$A$3:$U$983,14,FALSE)=0,"",VLOOKUP($A312,DICO_Complet!$A$3:$U$983,14,FALSE))</f>
        <v/>
      </c>
      <c r="N312" s="53" t="str">
        <f>IF(VLOOKUP($A312,DICO_Complet!$A$3:$U$983,15,FALSE)=0,"",VLOOKUP($A312,DICO_Complet!$A$3:$U$983,15,FALSE))</f>
        <v/>
      </c>
      <c r="O312" s="53" t="str">
        <f>IF(VLOOKUP($A312,DICO_Complet!$A$3:$U$983,16,FALSE)=0,"",VLOOKUP($A312,DICO_Complet!$A$3:$U$983,16,FALSE))</f>
        <v/>
      </c>
      <c r="P312" s="53" t="str">
        <f>IF(VLOOKUP($A312,DICO_Complet!$A$3:$U$983,17,FALSE)=0,"",VLOOKUP($A312,DICO_Complet!$A$3:$U$983,17,FALSE))</f>
        <v/>
      </c>
      <c r="Q312" s="53" t="str">
        <f>IF(VLOOKUP($A312,DICO_Complet!$A$3:$U$983,18,FALSE)=0,"",VLOOKUP($A312,DICO_Complet!$A$3:$U$983,18,FALSE))</f>
        <v>COFAXS</v>
      </c>
    </row>
    <row r="313" spans="1:17">
      <c r="A313" s="38">
        <v>250418220111</v>
      </c>
      <c r="B313" s="47" t="s">
        <v>858</v>
      </c>
      <c r="C313" s="3" t="str">
        <f>VLOOKUP($A313,DICO_Complet!$A$3:$U$983,3,FALSE)</f>
        <v>Environment</v>
      </c>
      <c r="D313" s="3" t="str">
        <f>VLOOKUP($A313,DICO_Complet!$A$3:$U$983,4,FALSE)</f>
        <v>acquirer</v>
      </c>
      <c r="E313" s="2" t="str">
        <f>VLOOKUP($A313,DICO_Complet!$A$3:$U$983,5,FALSE)</f>
        <v>temp_backOfficePhoneNumber</v>
      </c>
      <c r="F313" s="2" t="str">
        <f>VLOOKUP($A313,DICO_Complet!$A$3:$U$983,6,FALSE)</f>
        <v>PhoneNumberType</v>
      </c>
      <c r="G313" s="48">
        <f>VLOOKUP($A313,DICO_Complet!$A$3:$U$983,7,FALSE)</f>
        <v>0</v>
      </c>
      <c r="H313" s="48">
        <f>VLOOKUP($A313,DICO_Complet!$A$3:$U$983,8,FALSE)</f>
        <v>0</v>
      </c>
      <c r="I313" s="2" t="str">
        <f>IF(VLOOKUP($A313,DICO_Complet!$A$3:$U$983,9,FALSE)&lt;&gt;0,VLOOKUP($A313,DICO_Complet!$A$3:$U$983,9,FALSE),"")</f>
        <v/>
      </c>
      <c r="J313" s="1" t="str">
        <f>VLOOKUP($A313,DICO_Complet!$A$3:$U$983,10,FALSE)</f>
        <v>Numero de telephone sur 50</v>
      </c>
      <c r="K313" s="53" t="str">
        <f>IF(VLOOKUP($A313,DICO_Complet!$A$3:$U$983,12,FALSE)=0,"",VLOOKUP($A313,DICO_Complet!$A$3:$U$983,12,FALSE))</f>
        <v/>
      </c>
      <c r="L313" s="53" t="str">
        <f>IF(VLOOKUP($A313,DICO_Complet!$A$3:$U$983,13,FALSE)=0,"",VLOOKUP($A313,DICO_Complet!$A$3:$U$983,13,FALSE))</f>
        <v/>
      </c>
      <c r="M313" s="53" t="str">
        <f>IF(VLOOKUP($A313,DICO_Complet!$A$3:$U$983,14,FALSE)=0,"",VLOOKUP($A313,DICO_Complet!$A$3:$U$983,14,FALSE))</f>
        <v/>
      </c>
      <c r="N313" s="53" t="str">
        <f>IF(VLOOKUP($A313,DICO_Complet!$A$3:$U$983,15,FALSE)=0,"",VLOOKUP($A313,DICO_Complet!$A$3:$U$983,15,FALSE))</f>
        <v/>
      </c>
      <c r="O313" s="53" t="str">
        <f>IF(VLOOKUP($A313,DICO_Complet!$A$3:$U$983,16,FALSE)=0,"",VLOOKUP($A313,DICO_Complet!$A$3:$U$983,16,FALSE))</f>
        <v/>
      </c>
      <c r="P313" s="53" t="str">
        <f>IF(VLOOKUP($A313,DICO_Complet!$A$3:$U$983,17,FALSE)=0,"",VLOOKUP($A313,DICO_Complet!$A$3:$U$983,17,FALSE))</f>
        <v/>
      </c>
      <c r="Q313" s="53" t="str">
        <f>IF(VLOOKUP($A313,DICO_Complet!$A$3:$U$983,18,FALSE)=0,"",VLOOKUP($A313,DICO_Complet!$A$3:$U$983,18,FALSE))</f>
        <v>COTLP4</v>
      </c>
    </row>
    <row r="314" spans="1:17">
      <c r="A314" s="38">
        <v>250418220109</v>
      </c>
      <c r="B314" s="47" t="s">
        <v>858</v>
      </c>
      <c r="C314" s="3" t="str">
        <f>VLOOKUP($A314,DICO_Complet!$A$3:$U$983,3,FALSE)</f>
        <v>Environment</v>
      </c>
      <c r="D314" s="3" t="str">
        <f>VLOOKUP($A314,DICO_Complet!$A$3:$U$983,4,FALSE)</f>
        <v>acquirer</v>
      </c>
      <c r="E314" s="2" t="str">
        <f>VLOOKUP($A314,DICO_Complet!$A$3:$U$983,5,FALSE)</f>
        <v>temp_bankGroup</v>
      </c>
      <c r="F314" s="2" t="str">
        <f>VLOOKUP($A314,DICO_Complet!$A$3:$U$983,6,FALSE)</f>
        <v>Exact5NumericText</v>
      </c>
      <c r="G314" s="48">
        <f>VLOOKUP($A314,DICO_Complet!$A$3:$U$983,7,FALSE)</f>
        <v>0</v>
      </c>
      <c r="H314" s="48">
        <f>VLOOKUP($A314,DICO_Complet!$A$3:$U$983,8,FALSE)</f>
        <v>0</v>
      </c>
      <c r="I314" s="2" t="str">
        <f>IF(VLOOKUP($A314,DICO_Complet!$A$3:$U$983,9,FALSE)&lt;&gt;0,VLOOKUP($A314,DICO_Complet!$A$3:$U$983,9,FALSE),"")</f>
        <v/>
      </c>
      <c r="J314" s="1" t="str">
        <f>VLOOKUP($A314,DICO_Complet!$A$3:$U$983,10,FALSE)</f>
        <v>Code etablissement chef de file</v>
      </c>
      <c r="K314" s="53" t="str">
        <f>IF(VLOOKUP($A314,DICO_Complet!$A$3:$U$983,12,FALSE)=0,"",VLOOKUP($A314,DICO_Complet!$A$3:$U$983,12,FALSE))</f>
        <v/>
      </c>
      <c r="L314" s="53" t="str">
        <f>IF(VLOOKUP($A314,DICO_Complet!$A$3:$U$983,13,FALSE)=0,"",VLOOKUP($A314,DICO_Complet!$A$3:$U$983,13,FALSE))</f>
        <v/>
      </c>
      <c r="M314" s="53" t="str">
        <f>IF(VLOOKUP($A314,DICO_Complet!$A$3:$U$983,14,FALSE)=0,"",VLOOKUP($A314,DICO_Complet!$A$3:$U$983,14,FALSE))</f>
        <v/>
      </c>
      <c r="N314" s="53" t="str">
        <f>IF(VLOOKUP($A314,DICO_Complet!$A$3:$U$983,15,FALSE)=0,"",VLOOKUP($A314,DICO_Complet!$A$3:$U$983,15,FALSE))</f>
        <v/>
      </c>
      <c r="O314" s="53" t="str">
        <f>IF(VLOOKUP($A314,DICO_Complet!$A$3:$U$983,16,FALSE)=0,"",VLOOKUP($A314,DICO_Complet!$A$3:$U$983,16,FALSE))</f>
        <v/>
      </c>
      <c r="P314" s="53" t="str">
        <f>IF(VLOOKUP($A314,DICO_Complet!$A$3:$U$983,17,FALSE)=0,"",VLOOKUP($A314,DICO_Complet!$A$3:$U$983,17,FALSE))</f>
        <v/>
      </c>
      <c r="Q314" s="53" t="str">
        <f>IF(VLOOKUP($A314,DICO_Complet!$A$3:$U$983,18,FALSE)=0,"",VLOOKUP($A314,DICO_Complet!$A$3:$U$983,18,FALSE))</f>
        <v>COETCF</v>
      </c>
    </row>
    <row r="315" spans="1:17">
      <c r="A315" s="38">
        <v>250410114304</v>
      </c>
      <c r="B315" s="47" t="s">
        <v>858</v>
      </c>
      <c r="C315" s="3" t="str">
        <f>VLOOKUP($A315,DICO_Complet!$A$3:$U$983,3,FALSE)</f>
        <v>Environment</v>
      </c>
      <c r="D315" s="3" t="str">
        <f>VLOOKUP($A315,DICO_Complet!$A$3:$U$983,4,FALSE)</f>
        <v>card</v>
      </c>
      <c r="E315" s="2" t="str">
        <f>VLOOKUP($A315,DICO_Complet!$A$3:$U$983,5,FALSE)</f>
        <v>additionalInformationZone</v>
      </c>
      <c r="F315" s="2" t="str">
        <f>VLOOKUP($A315,DICO_Complet!$A$3:$U$983,6,FALSE)</f>
        <v>Max256Text</v>
      </c>
      <c r="G315" s="48">
        <f>VLOOKUP($A315,DICO_Complet!$A$3:$U$983,7,FALSE)</f>
        <v>0</v>
      </c>
      <c r="H315" s="48">
        <f>VLOOKUP($A315,DICO_Complet!$A$3:$U$983,8,FALSE)</f>
        <v>0</v>
      </c>
      <c r="I315" s="2" t="str">
        <f>IF(VLOOKUP($A315,DICO_Complet!$A$3:$U$983,9,FALSE)&lt;&gt;0,VLOOKUP($A315,DICO_Complet!$A$3:$U$983,9,FALSE),"")</f>
        <v/>
      </c>
      <c r="J315" s="1" t="str">
        <f>VLOOKUP($A315,DICO_Complet!$A$3:$U$983,10,FALSE)</f>
        <v>Zone d'information supplementaire associe au contrat</v>
      </c>
      <c r="K315" s="53" t="str">
        <f>IF(VLOOKUP($A315,DICO_Complet!$A$3:$U$983,12,FALSE)=0,"",VLOOKUP($A315,DICO_Complet!$A$3:$U$983,12,FALSE))</f>
        <v/>
      </c>
      <c r="L315" s="53" t="str">
        <f>IF(VLOOKUP($A315,DICO_Complet!$A$3:$U$983,13,FALSE)=0,"",VLOOKUP($A315,DICO_Complet!$A$3:$U$983,13,FALSE))</f>
        <v/>
      </c>
      <c r="M315" s="53" t="str">
        <f>IF(VLOOKUP($A315,DICO_Complet!$A$3:$U$983,14,FALSE)=0,"",VLOOKUP($A315,DICO_Complet!$A$3:$U$983,14,FALSE))</f>
        <v/>
      </c>
      <c r="N315" s="53" t="str">
        <f>IF(VLOOKUP($A315,DICO_Complet!$A$3:$U$983,15,FALSE)=0,"",VLOOKUP($A315,DICO_Complet!$A$3:$U$983,15,FALSE))</f>
        <v/>
      </c>
      <c r="O315" s="53" t="str">
        <f>IF(VLOOKUP($A315,DICO_Complet!$A$3:$U$983,16,FALSE)=0,"",VLOOKUP($A315,DICO_Complet!$A$3:$U$983,16,FALSE))</f>
        <v/>
      </c>
      <c r="P315" s="53" t="str">
        <f>IF(VLOOKUP($A315,DICO_Complet!$A$3:$U$983,17,FALSE)=0,"",VLOOKUP($A315,DICO_Complet!$A$3:$U$983,17,FALSE))</f>
        <v/>
      </c>
      <c r="Q315" s="53" t="str">
        <f>IF(VLOOKUP($A315,DICO_Complet!$A$3:$U$983,18,FALSE)=0,"",VLOOKUP($A315,DICO_Complet!$A$3:$U$983,18,FALSE))</f>
        <v/>
      </c>
    </row>
    <row r="316" spans="1:17">
      <c r="A316" s="38">
        <v>241112000074</v>
      </c>
      <c r="B316" s="47" t="s">
        <v>858</v>
      </c>
      <c r="C316" s="3" t="str">
        <f>VLOOKUP($A316,DICO_Complet!$A$3:$U$983,3,FALSE)</f>
        <v>Environment</v>
      </c>
      <c r="D316" s="3" t="str">
        <f>VLOOKUP($A316,DICO_Complet!$A$3:$U$983,4,FALSE)</f>
        <v>card</v>
      </c>
      <c r="E316" s="2" t="str">
        <f>VLOOKUP($A316,DICO_Complet!$A$3:$U$983,5,FALSE)</f>
        <v>applicationId</v>
      </c>
      <c r="F316" s="2" t="str">
        <f>VLOOKUP($A316,DICO_Complet!$A$3:$U$983,6,FALSE)</f>
        <v>Min5Max16HexBinaryText</v>
      </c>
      <c r="G316" s="48">
        <f>VLOOKUP($A316,DICO_Complet!$A$3:$U$983,7,FALSE)</f>
        <v>0</v>
      </c>
      <c r="H316" s="48">
        <f>VLOOKUP($A316,DICO_Complet!$A$3:$U$983,8,FALSE)</f>
        <v>0</v>
      </c>
      <c r="I316" s="2" t="str">
        <f>IF(VLOOKUP($A316,DICO_Complet!$A$3:$U$983,9,FALSE)&lt;&gt;0,VLOOKUP($A316,DICO_Complet!$A$3:$U$983,9,FALSE),"")</f>
        <v/>
      </c>
      <c r="J316" s="1" t="str">
        <f>VLOOKUP($A316,DICO_Complet!$A$3:$U$983,10,FALSE)</f>
        <v>Application Identifier</v>
      </c>
      <c r="K316" s="53" t="str">
        <f>IF(VLOOKUP($A316,DICO_Complet!$A$3:$U$983,12,FALSE)=0,"",VLOOKUP($A316,DICO_Complet!$A$3:$U$983,12,FALSE))</f>
        <v>RSB55_9F06</v>
      </c>
      <c r="L316" s="53" t="str">
        <f>IF(VLOOKUP($A316,DICO_Complet!$A$3:$U$983,13,FALSE)=0,"",VLOOKUP($A316,DICO_Complet!$A$3:$U$983,13,FALSE))</f>
        <v>[55-9F06]</v>
      </c>
      <c r="M316" s="53" t="str">
        <f>IF(VLOOKUP($A316,DICO_Complet!$A$3:$U$983,14,FALSE)=0,"",VLOOKUP($A316,DICO_Complet!$A$3:$U$983,14,FALSE))</f>
        <v/>
      </c>
      <c r="N316" s="53" t="str">
        <f>IF(VLOOKUP($A316,DICO_Complet!$A$3:$U$983,15,FALSE)=0,"",VLOOKUP($A316,DICO_Complet!$A$3:$U$983,15,FALSE))</f>
        <v/>
      </c>
      <c r="O316" s="53" t="str">
        <f>IF(VLOOKUP($A316,DICO_Complet!$A$3:$U$983,16,FALSE)=0,"",VLOOKUP($A316,DICO_Complet!$A$3:$U$983,16,FALSE))</f>
        <v/>
      </c>
      <c r="P316" s="53" t="str">
        <f>IF(VLOOKUP($A316,DICO_Complet!$A$3:$U$983,17,FALSE)=0,"",VLOOKUP($A316,DICO_Complet!$A$3:$U$983,17,FALSE))</f>
        <v/>
      </c>
      <c r="Q316" s="53" t="str">
        <f>IF(VLOOKUP($A316,DICO_Complet!$A$3:$U$983,18,FALSE)=0,"",VLOOKUP($A316,DICO_Complet!$A$3:$U$983,18,FALSE))</f>
        <v/>
      </c>
    </row>
    <row r="317" spans="1:17">
      <c r="A317" s="38">
        <v>241112000075</v>
      </c>
      <c r="B317" s="47" t="s">
        <v>858</v>
      </c>
      <c r="C317" s="3" t="str">
        <f>VLOOKUP($A317,DICO_Complet!$A$3:$U$983,3,FALSE)</f>
        <v>Environment</v>
      </c>
      <c r="D317" s="3" t="str">
        <f>VLOOKUP($A317,DICO_Complet!$A$3:$U$983,4,FALSE)</f>
        <v>card</v>
      </c>
      <c r="E317" s="2" t="str">
        <f>VLOOKUP($A317,DICO_Complet!$A$3:$U$983,5,FALSE)</f>
        <v>applicationInterchangeProfile</v>
      </c>
      <c r="F317" s="2" t="str">
        <f>VLOOKUP($A317,DICO_Complet!$A$3:$U$983,6,FALSE)</f>
        <v>Exact2HexBinaryText</v>
      </c>
      <c r="G317" s="48">
        <f>VLOOKUP($A317,DICO_Complet!$A$3:$U$983,7,FALSE)</f>
        <v>0</v>
      </c>
      <c r="H317" s="48">
        <f>VLOOKUP($A317,DICO_Complet!$A$3:$U$983,8,FALSE)</f>
        <v>0</v>
      </c>
      <c r="I317" s="2" t="str">
        <f>IF(VLOOKUP($A317,DICO_Complet!$A$3:$U$983,9,FALSE)&lt;&gt;0,VLOOKUP($A317,DICO_Complet!$A$3:$U$983,9,FALSE),"")</f>
        <v/>
      </c>
      <c r="J317" s="1" t="str">
        <f>VLOOKUP($A317,DICO_Complet!$A$3:$U$983,10,FALSE)</f>
        <v>Application Interchange Profile</v>
      </c>
      <c r="K317" s="53" t="str">
        <f>IF(VLOOKUP($A317,DICO_Complet!$A$3:$U$983,12,FALSE)=0,"",VLOOKUP($A317,DICO_Complet!$A$3:$U$983,12,FALSE))</f>
        <v>RSB55_82</v>
      </c>
      <c r="L317" s="53" t="str">
        <f>IF(VLOOKUP($A317,DICO_Complet!$A$3:$U$983,13,FALSE)=0,"",VLOOKUP($A317,DICO_Complet!$A$3:$U$983,13,FALSE))</f>
        <v>[55-0082]</v>
      </c>
      <c r="M317" s="53" t="str">
        <f>IF(VLOOKUP($A317,DICO_Complet!$A$3:$U$983,14,FALSE)=0,"",VLOOKUP($A317,DICO_Complet!$A$3:$U$983,14,FALSE))</f>
        <v/>
      </c>
      <c r="N317" s="53" t="str">
        <f>IF(VLOOKUP($A317,DICO_Complet!$A$3:$U$983,15,FALSE)=0,"",VLOOKUP($A317,DICO_Complet!$A$3:$U$983,15,FALSE))</f>
        <v/>
      </c>
      <c r="O317" s="53" t="str">
        <f>IF(VLOOKUP($A317,DICO_Complet!$A$3:$U$983,16,FALSE)=0,"",VLOOKUP($A317,DICO_Complet!$A$3:$U$983,16,FALSE))</f>
        <v/>
      </c>
      <c r="P317" s="53" t="str">
        <f>IF(VLOOKUP($A317,DICO_Complet!$A$3:$U$983,17,FALSE)=0,"",VLOOKUP($A317,DICO_Complet!$A$3:$U$983,17,FALSE))</f>
        <v/>
      </c>
      <c r="Q317" s="53" t="str">
        <f>IF(VLOOKUP($A317,DICO_Complet!$A$3:$U$983,18,FALSE)=0,"",VLOOKUP($A317,DICO_Complet!$A$3:$U$983,18,FALSE))</f>
        <v/>
      </c>
    </row>
    <row r="318" spans="1:17">
      <c r="A318" s="38">
        <v>250414120600</v>
      </c>
      <c r="B318" s="47" t="s">
        <v>858</v>
      </c>
      <c r="C318" s="3" t="str">
        <f>VLOOKUP($A318,DICO_Complet!$A$3:$U$983,3,FALSE)</f>
        <v>Environment</v>
      </c>
      <c r="D318" s="3" t="str">
        <f>VLOOKUP($A318,DICO_Complet!$A$3:$U$983,4,FALSE)</f>
        <v>card</v>
      </c>
      <c r="E318" s="2" t="str">
        <f>VLOOKUP($A318,DICO_Complet!$A$3:$U$983,5,FALSE)</f>
        <v>applicationUsageControl</v>
      </c>
      <c r="F318" s="2" t="str">
        <f>VLOOKUP($A318,DICO_Complet!$A$3:$U$983,6,FALSE)</f>
        <v>Exact1HexBinaryText</v>
      </c>
      <c r="G318" s="48">
        <f>VLOOKUP($A318,DICO_Complet!$A$3:$U$983,7,FALSE)</f>
        <v>0</v>
      </c>
      <c r="H318" s="48">
        <f>VLOOKUP($A318,DICO_Complet!$A$3:$U$983,8,FALSE)</f>
        <v>0</v>
      </c>
      <c r="I318" s="2" t="str">
        <f>IF(VLOOKUP($A318,DICO_Complet!$A$3:$U$983,9,FALSE)&lt;&gt;0,VLOOKUP($A318,DICO_Complet!$A$3:$U$983,9,FALSE),"")</f>
        <v/>
      </c>
      <c r="J318" s="1" t="str">
        <f>VLOOKUP($A318,DICO_Complet!$A$3:$U$983,10,FALSE)</f>
        <v xml:space="preserve">application usage control </v>
      </c>
      <c r="K318" s="53" t="str">
        <f>IF(VLOOKUP($A318,DICO_Complet!$A$3:$U$983,12,FALSE)=0,"",VLOOKUP($A318,DICO_Complet!$A$3:$U$983,12,FALSE))</f>
        <v/>
      </c>
      <c r="L318" s="53" t="str">
        <f>IF(VLOOKUP($A318,DICO_Complet!$A$3:$U$983,13,FALSE)=0,"",VLOOKUP($A318,DICO_Complet!$A$3:$U$983,13,FALSE))</f>
        <v/>
      </c>
      <c r="M318" s="53" t="str">
        <f>IF(VLOOKUP($A318,DICO_Complet!$A$3:$U$983,14,FALSE)=0,"",VLOOKUP($A318,DICO_Complet!$A$3:$U$983,14,FALSE))</f>
        <v>55_9F07</v>
      </c>
      <c r="N318" s="53" t="str">
        <f>IF(VLOOKUP($A318,DICO_Complet!$A$3:$U$983,15,FALSE)=0,"",VLOOKUP($A318,DICO_Complet!$A$3:$U$983,15,FALSE))</f>
        <v/>
      </c>
      <c r="O318" s="53" t="str">
        <f>IF(VLOOKUP($A318,DICO_Complet!$A$3:$U$983,16,FALSE)=0,"",VLOOKUP($A318,DICO_Complet!$A$3:$U$983,16,FALSE))</f>
        <v/>
      </c>
      <c r="P318" s="53" t="str">
        <f>IF(VLOOKUP($A318,DICO_Complet!$A$3:$U$983,17,FALSE)=0,"",VLOOKUP($A318,DICO_Complet!$A$3:$U$983,17,FALSE))</f>
        <v/>
      </c>
      <c r="Q318" s="53" t="str">
        <f>IF(VLOOKUP($A318,DICO_Complet!$A$3:$U$983,18,FALSE)=0,"",VLOOKUP($A318,DICO_Complet!$A$3:$U$983,18,FALSE))</f>
        <v/>
      </c>
    </row>
    <row r="319" spans="1:17">
      <c r="A319" s="38">
        <v>241112000077</v>
      </c>
      <c r="B319" s="47" t="s">
        <v>858</v>
      </c>
      <c r="C319" s="3" t="str">
        <f>VLOOKUP($A319,DICO_Complet!$A$3:$U$983,3,FALSE)</f>
        <v>Environment</v>
      </c>
      <c r="D319" s="3" t="str">
        <f>VLOOKUP($A319,DICO_Complet!$A$3:$U$983,4,FALSE)</f>
        <v>card</v>
      </c>
      <c r="E319" s="2" t="str">
        <f>VLOOKUP($A319,DICO_Complet!$A$3:$U$983,5,FALSE)</f>
        <v>billingAddress</v>
      </c>
      <c r="F319" s="2" t="str">
        <f>VLOOKUP($A319,DICO_Complet!$A$3:$U$983,6,FALSE)</f>
        <v>PostalAddressType</v>
      </c>
      <c r="G319" s="48">
        <f>VLOOKUP($A319,DICO_Complet!$A$3:$U$983,7,FALSE)</f>
        <v>0</v>
      </c>
      <c r="H319" s="48">
        <f>VLOOKUP($A319,DICO_Complet!$A$3:$U$983,8,FALSE)</f>
        <v>0</v>
      </c>
      <c r="I319" s="2" t="str">
        <f>IF(VLOOKUP($A319,DICO_Complet!$A$3:$U$983,9,FALSE)&lt;&gt;0,VLOOKUP($A319,DICO_Complet!$A$3:$U$983,9,FALSE),"")</f>
        <v/>
      </c>
      <c r="J319" s="1" t="str">
        <f>VLOOKUP($A319,DICO_Complet!$A$3:$U$983,10,FALSE)</f>
        <v xml:space="preserve">card's billing address </v>
      </c>
      <c r="K319" s="53" t="str">
        <f>IF(VLOOKUP($A319,DICO_Complet!$A$3:$U$983,12,FALSE)=0,"",VLOOKUP($A319,DICO_Complet!$A$3:$U$983,12,FALSE))</f>
        <v/>
      </c>
      <c r="L319" s="53" t="str">
        <f>IF(VLOOKUP($A319,DICO_Complet!$A$3:$U$983,13,FALSE)=0,"",VLOOKUP($A319,DICO_Complet!$A$3:$U$983,13,FALSE))</f>
        <v/>
      </c>
      <c r="M319" s="53" t="str">
        <f>IF(VLOOKUP($A319,DICO_Complet!$A$3:$U$983,14,FALSE)=0,"",VLOOKUP($A319,DICO_Complet!$A$3:$U$983,14,FALSE))</f>
        <v/>
      </c>
      <c r="N319" s="53" t="str">
        <f>IF(VLOOKUP($A319,DICO_Complet!$A$3:$U$983,15,FALSE)=0,"",VLOOKUP($A319,DICO_Complet!$A$3:$U$983,15,FALSE))</f>
        <v/>
      </c>
      <c r="O319" s="53" t="str">
        <f>IF(VLOOKUP($A319,DICO_Complet!$A$3:$U$983,16,FALSE)=0,"",VLOOKUP($A319,DICO_Complet!$A$3:$U$983,16,FALSE))</f>
        <v/>
      </c>
      <c r="P319" s="53" t="str">
        <f>IF(VLOOKUP($A319,DICO_Complet!$A$3:$U$983,17,FALSE)=0,"",VLOOKUP($A319,DICO_Complet!$A$3:$U$983,17,FALSE))</f>
        <v/>
      </c>
      <c r="Q319" s="53" t="str">
        <f>IF(VLOOKUP($A319,DICO_Complet!$A$3:$U$983,18,FALSE)=0,"",VLOOKUP($A319,DICO_Complet!$A$3:$U$983,18,FALSE))</f>
        <v/>
      </c>
    </row>
    <row r="320" spans="1:17">
      <c r="A320" s="38">
        <v>241112000078</v>
      </c>
      <c r="B320" s="47" t="s">
        <v>858</v>
      </c>
      <c r="C320" s="3" t="str">
        <f>VLOOKUP($A320,DICO_Complet!$A$3:$U$983,3,FALSE)</f>
        <v>Environment</v>
      </c>
      <c r="D320" s="3" t="str">
        <f>VLOOKUP($A320,DICO_Complet!$A$3:$U$983,4,FALSE)</f>
        <v>card</v>
      </c>
      <c r="E320" s="2" t="str">
        <f>VLOOKUP($A320,DICO_Complet!$A$3:$U$983,5,FALSE)</f>
        <v>cardApplication</v>
      </c>
      <c r="F320" s="2" t="str">
        <f>VLOOKUP($A320,DICO_Complet!$A$3:$U$983,6,FALSE)</f>
        <v>CardApplicationCodeset</v>
      </c>
      <c r="G320" s="48">
        <f>VLOOKUP($A320,DICO_Complet!$A$3:$U$983,7,FALSE)</f>
        <v>0</v>
      </c>
      <c r="H320" s="48">
        <f>VLOOKUP($A320,DICO_Complet!$A$3:$U$983,8,FALSE)</f>
        <v>0</v>
      </c>
      <c r="I320" s="2" t="str">
        <f>IF(VLOOKUP($A320,DICO_Complet!$A$3:$U$983,9,FALSE)&lt;&gt;0,VLOOKUP($A320,DICO_Complet!$A$3:$U$983,9,FALSE),"")</f>
        <v/>
      </c>
      <c r="J320" s="1" t="str">
        <f>VLOOKUP($A320,DICO_Complet!$A$3:$U$983,10,FALSE)</f>
        <v>Card Application Type</v>
      </c>
      <c r="K320" s="53" t="str">
        <f>IF(VLOOKUP($A320,DICO_Complet!$A$3:$U$983,12,FALSE)=0,"",VLOOKUP($A320,DICO_Complet!$A$3:$U$983,12,FALSE))</f>
        <v>RSB55_DF81</v>
      </c>
      <c r="L320" s="53" t="str">
        <f>IF(VLOOKUP($A320,DICO_Complet!$A$3:$U$983,13,FALSE)=0,"",VLOOKUP($A320,DICO_Complet!$A$3:$U$983,13,FALSE))</f>
        <v>[55-DF81]</v>
      </c>
      <c r="M320" s="53" t="str">
        <f>IF(VLOOKUP($A320,DICO_Complet!$A$3:$U$983,14,FALSE)=0,"",VLOOKUP($A320,DICO_Complet!$A$3:$U$983,14,FALSE))</f>
        <v/>
      </c>
      <c r="N320" s="53" t="str">
        <f>IF(VLOOKUP($A320,DICO_Complet!$A$3:$U$983,15,FALSE)=0,"",VLOOKUP($A320,DICO_Complet!$A$3:$U$983,15,FALSE))</f>
        <v/>
      </c>
      <c r="O320" s="53" t="str">
        <f>IF(VLOOKUP($A320,DICO_Complet!$A$3:$U$983,16,FALSE)=0,"",VLOOKUP($A320,DICO_Complet!$A$3:$U$983,16,FALSE))</f>
        <v/>
      </c>
      <c r="P320" s="53" t="str">
        <f>IF(VLOOKUP($A320,DICO_Complet!$A$3:$U$983,17,FALSE)=0,"",VLOOKUP($A320,DICO_Complet!$A$3:$U$983,17,FALSE))</f>
        <v/>
      </c>
      <c r="Q320" s="53" t="str">
        <f>IF(VLOOKUP($A320,DICO_Complet!$A$3:$U$983,18,FALSE)=0,"",VLOOKUP($A320,DICO_Complet!$A$3:$U$983,18,FALSE))</f>
        <v/>
      </c>
    </row>
    <row r="321" spans="1:17">
      <c r="A321" s="38">
        <v>241112000079</v>
      </c>
      <c r="B321" s="47" t="s">
        <v>858</v>
      </c>
      <c r="C321" s="3" t="str">
        <f>VLOOKUP($A321,DICO_Complet!$A$3:$U$983,3,FALSE)</f>
        <v>Environment</v>
      </c>
      <c r="D321" s="3" t="str">
        <f>VLOOKUP($A321,DICO_Complet!$A$3:$U$983,4,FALSE)</f>
        <v>card</v>
      </c>
      <c r="E321" s="2" t="str">
        <f>VLOOKUP($A321,DICO_Complet!$A$3:$U$983,5,FALSE)</f>
        <v>cardBrand</v>
      </c>
      <c r="F321" s="2" t="str">
        <f>VLOOKUP($A321,DICO_Complet!$A$3:$U$983,6,FALSE)</f>
        <v>BrandCodeset</v>
      </c>
      <c r="G321" s="48">
        <f>VLOOKUP($A321,DICO_Complet!$A$3:$U$983,7,FALSE)</f>
        <v>0</v>
      </c>
      <c r="H321" s="48">
        <f>VLOOKUP($A321,DICO_Complet!$A$3:$U$983,8,FALSE)</f>
        <v>0</v>
      </c>
      <c r="I321" s="2" t="str">
        <f>IF(VLOOKUP($A321,DICO_Complet!$A$3:$U$983,9,FALSE)&lt;&gt;0,VLOOKUP($A321,DICO_Complet!$A$3:$U$983,9,FALSE),"")</f>
        <v/>
      </c>
      <c r="J321" s="1" t="str">
        <f>VLOOKUP($A321,DICO_Complet!$A$3:$U$983,10,FALSE)</f>
        <v>Brand of the card (Scheme)</v>
      </c>
      <c r="K321" s="53" t="str">
        <f>IF(VLOOKUP($A321,DICO_Complet!$A$3:$U$983,12,FALSE)=0,"",VLOOKUP($A321,DICO_Complet!$A$3:$U$983,12,FALSE))</f>
        <v>AUT103/RSB47_98_p1</v>
      </c>
      <c r="L321" s="53" t="str">
        <f>IF(VLOOKUP($A321,DICO_Complet!$A$3:$U$983,13,FALSE)=0,"",VLOOKUP($A321,DICO_Complet!$A$3:$U$983,13,FALSE))</f>
        <v>Field 47 Type 98 part 1</v>
      </c>
      <c r="M321" s="53" t="str">
        <f>IF(VLOOKUP($A321,DICO_Complet!$A$3:$U$983,14,FALSE)=0,"",VLOOKUP($A321,DICO_Complet!$A$3:$U$983,14,FALSE))</f>
        <v/>
      </c>
      <c r="N321" s="53" t="str">
        <f>IF(VLOOKUP($A321,DICO_Complet!$A$3:$U$983,15,FALSE)=0,"",VLOOKUP($A321,DICO_Complet!$A$3:$U$983,15,FALSE))</f>
        <v xml:space="preserve">47 Type 98 part 1 </v>
      </c>
      <c r="O321" s="53" t="str">
        <f>IF(VLOOKUP($A321,DICO_Complet!$A$3:$U$983,16,FALSE)=0,"",VLOOKUP($A321,DICO_Complet!$A$3:$U$983,16,FALSE))</f>
        <v/>
      </c>
      <c r="P321" s="53" t="str">
        <f>IF(VLOOKUP($A321,DICO_Complet!$A$3:$U$983,17,FALSE)=0,"",VLOOKUP($A321,DICO_Complet!$A$3:$U$983,17,FALSE))</f>
        <v/>
      </c>
      <c r="Q321" s="53" t="str">
        <f>IF(VLOOKUP($A321,DICO_Complet!$A$3:$U$983,18,FALSE)=0,"",VLOOKUP($A321,DICO_Complet!$A$3:$U$983,18,FALSE))</f>
        <v/>
      </c>
    </row>
    <row r="322" spans="1:17">
      <c r="A322" s="38">
        <v>241112000080</v>
      </c>
      <c r="B322" s="47" t="s">
        <v>858</v>
      </c>
      <c r="C322" s="3" t="str">
        <f>VLOOKUP($A322,DICO_Complet!$A$3:$U$983,3,FALSE)</f>
        <v>Environment</v>
      </c>
      <c r="D322" s="3" t="str">
        <f>VLOOKUP($A322,DICO_Complet!$A$3:$U$983,4,FALSE)</f>
        <v>card</v>
      </c>
      <c r="E322" s="2" t="str">
        <f>VLOOKUP($A322,DICO_Complet!$A$3:$U$983,5,FALSE)</f>
        <v>cardBrandProductCode</v>
      </c>
      <c r="F322" s="2" t="str">
        <f>VLOOKUP($A322,DICO_Complet!$A$3:$U$983,6,FALSE)</f>
        <v>Max9NumericText</v>
      </c>
      <c r="G322" s="48">
        <f>VLOOKUP($A322,DICO_Complet!$A$3:$U$983,7,FALSE)</f>
        <v>0</v>
      </c>
      <c r="H322" s="48">
        <f>VLOOKUP($A322,DICO_Complet!$A$3:$U$983,8,FALSE)</f>
        <v>0</v>
      </c>
      <c r="I322" s="2" t="str">
        <f>IF(VLOOKUP($A322,DICO_Complet!$A$3:$U$983,9,FALSE)&lt;&gt;0,VLOOKUP($A322,DICO_Complet!$A$3:$U$983,9,FALSE),"")</f>
        <v/>
      </c>
      <c r="J322" s="1" t="str">
        <f>VLOOKUP($A322,DICO_Complet!$A$3:$U$983,10,FALSE)</f>
        <v>Card Product</v>
      </c>
      <c r="K322" s="53" t="str">
        <f>IF(VLOOKUP($A322,DICO_Complet!$A$3:$U$983,12,FALSE)=0,"",VLOOKUP($A322,DICO_Complet!$A$3:$U$983,12,FALSE))</f>
        <v>RSB47_98_p2</v>
      </c>
      <c r="L322" s="53" t="str">
        <f>IF(VLOOKUP($A322,DICO_Complet!$A$3:$U$983,13,FALSE)=0,"",VLOOKUP($A322,DICO_Complet!$A$3:$U$983,13,FALSE))</f>
        <v>[47-98-p2]</v>
      </c>
      <c r="M322" s="53" t="str">
        <f>IF(VLOOKUP($A322,DICO_Complet!$A$3:$U$983,14,FALSE)=0,"",VLOOKUP($A322,DICO_Complet!$A$3:$U$983,14,FALSE))</f>
        <v>47_ 98 part 2</v>
      </c>
      <c r="N322" s="53" t="str">
        <f>IF(VLOOKUP($A322,DICO_Complet!$A$3:$U$983,15,FALSE)=0,"",VLOOKUP($A322,DICO_Complet!$A$3:$U$983,15,FALSE))</f>
        <v/>
      </c>
      <c r="O322" s="53" t="str">
        <f>IF(VLOOKUP($A322,DICO_Complet!$A$3:$U$983,16,FALSE)=0,"",VLOOKUP($A322,DICO_Complet!$A$3:$U$983,16,FALSE))</f>
        <v/>
      </c>
      <c r="P322" s="53" t="str">
        <f>IF(VLOOKUP($A322,DICO_Complet!$A$3:$U$983,17,FALSE)=0,"",VLOOKUP($A322,DICO_Complet!$A$3:$U$983,17,FALSE))</f>
        <v/>
      </c>
      <c r="Q322" s="53" t="str">
        <f>IF(VLOOKUP($A322,DICO_Complet!$A$3:$U$983,18,FALSE)=0,"",VLOOKUP($A322,DICO_Complet!$A$3:$U$983,18,FALSE))</f>
        <v/>
      </c>
    </row>
    <row r="323" spans="1:17">
      <c r="A323" s="38">
        <v>250410114309</v>
      </c>
      <c r="B323" s="47" t="s">
        <v>858</v>
      </c>
      <c r="C323" s="3" t="str">
        <f>VLOOKUP($A323,DICO_Complet!$A$3:$U$983,3,FALSE)</f>
        <v>Environment</v>
      </c>
      <c r="D323" s="3" t="str">
        <f>VLOOKUP($A323,DICO_Complet!$A$3:$U$983,4,FALSE)</f>
        <v>card</v>
      </c>
      <c r="E323" s="2" t="str">
        <f>VLOOKUP($A323,DICO_Complet!$A$3:$U$983,5,FALSE)</f>
        <v>cardDesignCode</v>
      </c>
      <c r="F323" s="2" t="str">
        <f>VLOOKUP($A323,DICO_Complet!$A$3:$U$983,6,FALSE)</f>
        <v>CardDesignCodeset</v>
      </c>
      <c r="G323" s="48">
        <f>VLOOKUP($A323,DICO_Complet!$A$3:$U$983,7,FALSE)</f>
        <v>0</v>
      </c>
      <c r="H323" s="48">
        <f>VLOOKUP($A323,DICO_Complet!$A$3:$U$983,8,FALSE)</f>
        <v>0</v>
      </c>
      <c r="I323" s="2" t="str">
        <f>IF(VLOOKUP($A323,DICO_Complet!$A$3:$U$983,9,FALSE)&lt;&gt;0,VLOOKUP($A323,DICO_Complet!$A$3:$U$983,9,FALSE),"")</f>
        <v/>
      </c>
      <c r="J323" s="1" t="str">
        <f>VLOOKUP($A323,DICO_Complet!$A$3:$U$983,10,FALSE)</f>
        <v>Card design code defined by the distribution</v>
      </c>
      <c r="K323" s="53" t="str">
        <f>IF(VLOOKUP($A323,DICO_Complet!$A$3:$U$983,12,FALSE)=0,"",VLOOKUP($A323,DICO_Complet!$A$3:$U$983,12,FALSE))</f>
        <v/>
      </c>
      <c r="L323" s="53" t="str">
        <f>IF(VLOOKUP($A323,DICO_Complet!$A$3:$U$983,13,FALSE)=0,"",VLOOKUP($A323,DICO_Complet!$A$3:$U$983,13,FALSE))</f>
        <v/>
      </c>
      <c r="M323" s="53" t="str">
        <f>IF(VLOOKUP($A323,DICO_Complet!$A$3:$U$983,14,FALSE)=0,"",VLOOKUP($A323,DICO_Complet!$A$3:$U$983,14,FALSE))</f>
        <v/>
      </c>
      <c r="N323" s="53" t="str">
        <f>IF(VLOOKUP($A323,DICO_Complet!$A$3:$U$983,15,FALSE)=0,"",VLOOKUP($A323,DICO_Complet!$A$3:$U$983,15,FALSE))</f>
        <v/>
      </c>
      <c r="O323" s="53" t="str">
        <f>IF(VLOOKUP($A323,DICO_Complet!$A$3:$U$983,16,FALSE)=0,"",VLOOKUP($A323,DICO_Complet!$A$3:$U$983,16,FALSE))</f>
        <v/>
      </c>
      <c r="P323" s="53" t="str">
        <f>IF(VLOOKUP($A323,DICO_Complet!$A$3:$U$983,17,FALSE)=0,"",VLOOKUP($A323,DICO_Complet!$A$3:$U$983,17,FALSE))</f>
        <v/>
      </c>
      <c r="Q323" s="53" t="str">
        <f>IF(VLOOKUP($A323,DICO_Complet!$A$3:$U$983,18,FALSE)=0,"",VLOOKUP($A323,DICO_Complet!$A$3:$U$983,18,FALSE))</f>
        <v/>
      </c>
    </row>
    <row r="324" spans="1:17">
      <c r="A324" s="38">
        <v>250410114310</v>
      </c>
      <c r="B324" s="47" t="s">
        <v>858</v>
      </c>
      <c r="C324" s="3" t="str">
        <f>VLOOKUP($A324,DICO_Complet!$A$3:$U$983,3,FALSE)</f>
        <v>Environment</v>
      </c>
      <c r="D324" s="3" t="str">
        <f>VLOOKUP($A324,DICO_Complet!$A$3:$U$983,4,FALSE)</f>
        <v>card</v>
      </c>
      <c r="E324" s="2" t="str">
        <f>VLOOKUP($A324,DICO_Complet!$A$3:$U$983,5,FALSE)</f>
        <v>cardholderPictureId</v>
      </c>
      <c r="F324" s="2" t="str">
        <f>VLOOKUP($A324,DICO_Complet!$A$3:$U$983,6,FALSE)</f>
        <v>Max100Text</v>
      </c>
      <c r="G324" s="48">
        <f>VLOOKUP($A324,DICO_Complet!$A$3:$U$983,7,FALSE)</f>
        <v>0</v>
      </c>
      <c r="H324" s="48">
        <f>VLOOKUP($A324,DICO_Complet!$A$3:$U$983,8,FALSE)</f>
        <v>0</v>
      </c>
      <c r="I324" s="2" t="str">
        <f>IF(VLOOKUP($A324,DICO_Complet!$A$3:$U$983,9,FALSE)&lt;&gt;0,VLOOKUP($A324,DICO_Complet!$A$3:$U$983,9,FALSE),"")</f>
        <v/>
      </c>
      <c r="J324" s="1" t="str">
        <f>VLOOKUP($A324,DICO_Complet!$A$3:$U$983,10,FALSE)</f>
        <v>Distribution identifier of the card design picture for the cardholder - may be an URL</v>
      </c>
      <c r="K324" s="53" t="str">
        <f>IF(VLOOKUP($A324,DICO_Complet!$A$3:$U$983,12,FALSE)=0,"",VLOOKUP($A324,DICO_Complet!$A$3:$U$983,12,FALSE))</f>
        <v/>
      </c>
      <c r="L324" s="53" t="str">
        <f>IF(VLOOKUP($A324,DICO_Complet!$A$3:$U$983,13,FALSE)=0,"",VLOOKUP($A324,DICO_Complet!$A$3:$U$983,13,FALSE))</f>
        <v/>
      </c>
      <c r="M324" s="53" t="str">
        <f>IF(VLOOKUP($A324,DICO_Complet!$A$3:$U$983,14,FALSE)=0,"",VLOOKUP($A324,DICO_Complet!$A$3:$U$983,14,FALSE))</f>
        <v/>
      </c>
      <c r="N324" s="53" t="str">
        <f>IF(VLOOKUP($A324,DICO_Complet!$A$3:$U$983,15,FALSE)=0,"",VLOOKUP($A324,DICO_Complet!$A$3:$U$983,15,FALSE))</f>
        <v/>
      </c>
      <c r="O324" s="53" t="str">
        <f>IF(VLOOKUP($A324,DICO_Complet!$A$3:$U$983,16,FALSE)=0,"",VLOOKUP($A324,DICO_Complet!$A$3:$U$983,16,FALSE))</f>
        <v/>
      </c>
      <c r="P324" s="53" t="str">
        <f>IF(VLOOKUP($A324,DICO_Complet!$A$3:$U$983,17,FALSE)=0,"",VLOOKUP($A324,DICO_Complet!$A$3:$U$983,17,FALSE))</f>
        <v/>
      </c>
      <c r="Q324" s="53" t="str">
        <f>IF(VLOOKUP($A324,DICO_Complet!$A$3:$U$983,18,FALSE)=0,"",VLOOKUP($A324,DICO_Complet!$A$3:$U$983,18,FALSE))</f>
        <v/>
      </c>
    </row>
    <row r="325" spans="1:17">
      <c r="A325" s="38">
        <v>250214094350</v>
      </c>
      <c r="B325" s="47" t="s">
        <v>858</v>
      </c>
      <c r="C325" s="3" t="str">
        <f>VLOOKUP($A325,DICO_Complet!$A$3:$U$983,3,FALSE)</f>
        <v>Environment</v>
      </c>
      <c r="D325" s="3" t="str">
        <f>VLOOKUP($A325,DICO_Complet!$A$3:$U$983,4,FALSE)</f>
        <v>card</v>
      </c>
      <c r="E325" s="2" t="str">
        <f>VLOOKUP($A325,DICO_Complet!$A$3:$U$983,5,FALSE)</f>
        <v>cardIssuerCountryZone</v>
      </c>
      <c r="F325" s="2" t="str">
        <f>VLOOKUP($A325,DICO_Complet!$A$3:$U$983,6,FALSE)</f>
        <v>CountryZoneCodeset</v>
      </c>
      <c r="G325" s="48">
        <f>VLOOKUP($A325,DICO_Complet!$A$3:$U$983,7,FALSE)</f>
        <v>0</v>
      </c>
      <c r="H325" s="48">
        <f>VLOOKUP($A325,DICO_Complet!$A$3:$U$983,8,FALSE)</f>
        <v>0</v>
      </c>
      <c r="I325" s="2" t="str">
        <f>IF(VLOOKUP($A325,DICO_Complet!$A$3:$U$983,9,FALSE)&lt;&gt;0,VLOOKUP($A325,DICO_Complet!$A$3:$U$983,9,FALSE),"")</f>
        <v/>
      </c>
      <c r="J325" s="1" t="str">
        <f>VLOOKUP($A325,DICO_Complet!$A$3:$U$983,10,FALSE)</f>
        <v>Country zone of issuer</v>
      </c>
      <c r="K325" s="53" t="str">
        <f>IF(VLOOKUP($A325,DICO_Complet!$A$3:$U$983,12,FALSE)=0,"",VLOOKUP($A325,DICO_Complet!$A$3:$U$983,12,FALSE))</f>
        <v>MFO6</v>
      </c>
      <c r="L325" s="53" t="str">
        <f>IF(VLOOKUP($A325,DICO_Complet!$A$3:$U$983,13,FALSE)=0,"",VLOOKUP($A325,DICO_Complet!$A$3:$U$983,13,FALSE))</f>
        <v/>
      </c>
      <c r="M325" s="53" t="str">
        <f>IF(VLOOKUP($A325,DICO_Complet!$A$3:$U$983,14,FALSE)=0,"",VLOOKUP($A325,DICO_Complet!$A$3:$U$983,14,FALSE))</f>
        <v/>
      </c>
      <c r="N325" s="53" t="str">
        <f>IF(VLOOKUP($A325,DICO_Complet!$A$3:$U$983,15,FALSE)=0,"",VLOOKUP($A325,DICO_Complet!$A$3:$U$983,15,FALSE))</f>
        <v/>
      </c>
      <c r="O325" s="53" t="str">
        <f>IF(VLOOKUP($A325,DICO_Complet!$A$3:$U$983,16,FALSE)=0,"",VLOOKUP($A325,DICO_Complet!$A$3:$U$983,16,FALSE))</f>
        <v/>
      </c>
      <c r="P325" s="53" t="str">
        <f>IF(VLOOKUP($A325,DICO_Complet!$A$3:$U$983,17,FALSE)=0,"",VLOOKUP($A325,DICO_Complet!$A$3:$U$983,17,FALSE))</f>
        <v/>
      </c>
      <c r="Q325" s="53" t="str">
        <f>IF(VLOOKUP($A325,DICO_Complet!$A$3:$U$983,18,FALSE)=0,"",VLOOKUP($A325,DICO_Complet!$A$3:$U$983,18,FALSE))</f>
        <v/>
      </c>
    </row>
    <row r="326" spans="1:17">
      <c r="A326" s="38">
        <v>241112000082</v>
      </c>
      <c r="B326" s="47" t="s">
        <v>858</v>
      </c>
      <c r="C326" s="3" t="str">
        <f>VLOOKUP($A326,DICO_Complet!$A$3:$U$983,3,FALSE)</f>
        <v>Environment</v>
      </c>
      <c r="D326" s="3" t="str">
        <f>VLOOKUP($A326,DICO_Complet!$A$3:$U$983,4,FALSE)</f>
        <v>card</v>
      </c>
      <c r="E326" s="2" t="str">
        <f>VLOOKUP($A326,DICO_Complet!$A$3:$U$983,5,FALSE)</f>
        <v>cardIssuerProductCode</v>
      </c>
      <c r="F326" s="2" t="str">
        <f>VLOOKUP($A326,DICO_Complet!$A$3:$U$983,6,FALSE)</f>
        <v>CardProductCodeCodeset</v>
      </c>
      <c r="G326" s="48">
        <f>VLOOKUP($A326,DICO_Complet!$A$3:$U$983,7,FALSE)</f>
        <v>0</v>
      </c>
      <c r="H326" s="48">
        <f>VLOOKUP($A326,DICO_Complet!$A$3:$U$983,8,FALSE)</f>
        <v>0</v>
      </c>
      <c r="I326" s="2" t="str">
        <f>IF(VLOOKUP($A326,DICO_Complet!$A$3:$U$983,9,FALSE)&lt;&gt;0,VLOOKUP($A326,DICO_Complet!$A$3:$U$983,9,FALSE),"")</f>
        <v/>
      </c>
      <c r="J326" s="1" t="str">
        <f>VLOOKUP($A326,DICO_Complet!$A$3:$U$983,10,FALSE)</f>
        <v>Product code of the issuer of the card</v>
      </c>
      <c r="K326" s="53" t="str">
        <f>IF(VLOOKUP($A326,DICO_Complet!$A$3:$U$983,12,FALSE)=0,"",VLOOKUP($A326,DICO_Complet!$A$3:$U$983,12,FALSE))</f>
        <v>SICB1</v>
      </c>
      <c r="L326" s="53" t="str">
        <f>IF(VLOOKUP($A326,DICO_Complet!$A$3:$U$983,13,FALSE)=0,"",VLOOKUP($A326,DICO_Complet!$A$3:$U$983,13,FALSE))</f>
        <v/>
      </c>
      <c r="M326" s="53" t="str">
        <f>IF(VLOOKUP($A326,DICO_Complet!$A$3:$U$983,14,FALSE)=0,"",VLOOKUP($A326,DICO_Complet!$A$3:$U$983,14,FALSE))</f>
        <v/>
      </c>
      <c r="N326" s="53" t="str">
        <f>IF(VLOOKUP($A326,DICO_Complet!$A$3:$U$983,15,FALSE)=0,"",VLOOKUP($A326,DICO_Complet!$A$3:$U$983,15,FALSE))</f>
        <v/>
      </c>
      <c r="O326" s="53" t="str">
        <f>IF(VLOOKUP($A326,DICO_Complet!$A$3:$U$983,16,FALSE)=0,"",VLOOKUP($A326,DICO_Complet!$A$3:$U$983,16,FALSE))</f>
        <v/>
      </c>
      <c r="P326" s="53" t="str">
        <f>IF(VLOOKUP($A326,DICO_Complet!$A$3:$U$983,17,FALSE)=0,"",VLOOKUP($A326,DICO_Complet!$A$3:$U$983,17,FALSE))</f>
        <v/>
      </c>
      <c r="Q326" s="53" t="str">
        <f>IF(VLOOKUP($A326,DICO_Complet!$A$3:$U$983,18,FALSE)=0,"",VLOOKUP($A326,DICO_Complet!$A$3:$U$983,18,FALSE))</f>
        <v/>
      </c>
    </row>
    <row r="327" spans="1:17">
      <c r="A327" s="38">
        <v>250410114312</v>
      </c>
      <c r="B327" s="47" t="s">
        <v>858</v>
      </c>
      <c r="C327" s="3" t="str">
        <f>VLOOKUP($A327,DICO_Complet!$A$3:$U$983,3,FALSE)</f>
        <v>Environment</v>
      </c>
      <c r="D327" s="3" t="str">
        <f>VLOOKUP($A327,DICO_Complet!$A$3:$U$983,4,FALSE)</f>
        <v>card</v>
      </c>
      <c r="E327" s="2" t="str">
        <f>VLOOKUP($A327,DICO_Complet!$A$3:$U$983,5,FALSE)</f>
        <v>cardLimit</v>
      </c>
      <c r="F327" s="2" t="str">
        <f>VLOOKUP($A327,DICO_Complet!$A$3:$U$983,6,FALSE)</f>
        <v>LimitType</v>
      </c>
      <c r="G327" s="48">
        <f>VLOOKUP($A327,DICO_Complet!$A$3:$U$983,7,FALSE)</f>
        <v>0</v>
      </c>
      <c r="H327" s="48">
        <f>VLOOKUP($A327,DICO_Complet!$A$3:$U$983,8,FALSE)</f>
        <v>0</v>
      </c>
      <c r="I327" s="2" t="str">
        <f>IF(VLOOKUP($A327,DICO_Complet!$A$3:$U$983,9,FALSE)&lt;&gt;0,VLOOKUP($A327,DICO_Complet!$A$3:$U$983,9,FALSE),"")</f>
        <v/>
      </c>
      <c r="J327" s="1" t="str">
        <f>VLOOKUP($A327,DICO_Complet!$A$3:$U$983,10,FALSE)</f>
        <v>Card limit(s) set for the card at the contract subscription</v>
      </c>
      <c r="K327" s="53" t="str">
        <f>IF(VLOOKUP($A327,DICO_Complet!$A$3:$U$983,12,FALSE)=0,"",VLOOKUP($A327,DICO_Complet!$A$3:$U$983,12,FALSE))</f>
        <v/>
      </c>
      <c r="L327" s="53" t="str">
        <f>IF(VLOOKUP($A327,DICO_Complet!$A$3:$U$983,13,FALSE)=0,"",VLOOKUP($A327,DICO_Complet!$A$3:$U$983,13,FALSE))</f>
        <v/>
      </c>
      <c r="M327" s="53" t="str">
        <f>IF(VLOOKUP($A327,DICO_Complet!$A$3:$U$983,14,FALSE)=0,"",VLOOKUP($A327,DICO_Complet!$A$3:$U$983,14,FALSE))</f>
        <v/>
      </c>
      <c r="N327" s="53" t="str">
        <f>IF(VLOOKUP($A327,DICO_Complet!$A$3:$U$983,15,FALSE)=0,"",VLOOKUP($A327,DICO_Complet!$A$3:$U$983,15,FALSE))</f>
        <v/>
      </c>
      <c r="O327" s="53" t="str">
        <f>IF(VLOOKUP($A327,DICO_Complet!$A$3:$U$983,16,FALSE)=0,"",VLOOKUP($A327,DICO_Complet!$A$3:$U$983,16,FALSE))</f>
        <v/>
      </c>
      <c r="P327" s="53" t="str">
        <f>IF(VLOOKUP($A327,DICO_Complet!$A$3:$U$983,17,FALSE)=0,"",VLOOKUP($A327,DICO_Complet!$A$3:$U$983,17,FALSE))</f>
        <v/>
      </c>
      <c r="Q327" s="53" t="str">
        <f>IF(VLOOKUP($A327,DICO_Complet!$A$3:$U$983,18,FALSE)=0,"",VLOOKUP($A327,DICO_Complet!$A$3:$U$983,18,FALSE))</f>
        <v/>
      </c>
    </row>
    <row r="328" spans="1:17">
      <c r="A328" s="38">
        <v>241112000083</v>
      </c>
      <c r="B328" s="47" t="s">
        <v>858</v>
      </c>
      <c r="C328" s="3" t="str">
        <f>VLOOKUP($A328,DICO_Complet!$A$3:$U$983,3,FALSE)</f>
        <v>Environment</v>
      </c>
      <c r="D328" s="3" t="str">
        <f>VLOOKUP($A328,DICO_Complet!$A$3:$U$983,4,FALSE)</f>
        <v>card</v>
      </c>
      <c r="E328" s="2" t="str">
        <f>VLOOKUP($A328,DICO_Complet!$A$3:$U$983,5,FALSE)</f>
        <v>cardSecurityCodeIndicator</v>
      </c>
      <c r="F328" s="2" t="str">
        <f>VLOOKUP($A328,DICO_Complet!$A$3:$U$983,6,FALSE)</f>
        <v>CardSecurityCodeIndicatorCodeset</v>
      </c>
      <c r="G328" s="48">
        <f>VLOOKUP($A328,DICO_Complet!$A$3:$U$983,7,FALSE)</f>
        <v>0</v>
      </c>
      <c r="H328" s="48">
        <f>VLOOKUP($A328,DICO_Complet!$A$3:$U$983,8,FALSE)</f>
        <v>0</v>
      </c>
      <c r="I328" s="2" t="str">
        <f>IF(VLOOKUP($A328,DICO_Complet!$A$3:$U$983,9,FALSE)&lt;&gt;0,VLOOKUP($A328,DICO_Complet!$A$3:$U$983,9,FALSE),"")</f>
        <v/>
      </c>
      <c r="J328" s="1" t="str">
        <f>VLOOKUP($A328,DICO_Complet!$A$3:$U$983,10,FALSE)</f>
        <v>Card type indicator</v>
      </c>
      <c r="K328" s="53" t="str">
        <f>IF(VLOOKUP($A328,DICO_Complet!$A$3:$U$983,12,FALSE)=0,"",VLOOKUP($A328,DICO_Complet!$A$3:$U$983,12,FALSE))</f>
        <v>RSB57_18</v>
      </c>
      <c r="L328" s="53" t="str">
        <f>IF(VLOOKUP($A328,DICO_Complet!$A$3:$U$983,13,FALSE)=0,"",VLOOKUP($A328,DICO_Complet!$A$3:$U$983,13,FALSE))</f>
        <v>[57-0018]</v>
      </c>
      <c r="M328" s="53" t="str">
        <f>IF(VLOOKUP($A328,DICO_Complet!$A$3:$U$983,14,FALSE)=0,"",VLOOKUP($A328,DICO_Complet!$A$3:$U$983,14,FALSE))</f>
        <v/>
      </c>
      <c r="N328" s="53" t="str">
        <f>IF(VLOOKUP($A328,DICO_Complet!$A$3:$U$983,15,FALSE)=0,"",VLOOKUP($A328,DICO_Complet!$A$3:$U$983,15,FALSE))</f>
        <v/>
      </c>
      <c r="O328" s="53" t="str">
        <f>IF(VLOOKUP($A328,DICO_Complet!$A$3:$U$983,16,FALSE)=0,"",VLOOKUP($A328,DICO_Complet!$A$3:$U$983,16,FALSE))</f>
        <v/>
      </c>
      <c r="P328" s="53" t="str">
        <f>IF(VLOOKUP($A328,DICO_Complet!$A$3:$U$983,17,FALSE)=0,"",VLOOKUP($A328,DICO_Complet!$A$3:$U$983,17,FALSE))</f>
        <v/>
      </c>
      <c r="Q328" s="53" t="str">
        <f>IF(VLOOKUP($A328,DICO_Complet!$A$3:$U$983,18,FALSE)=0,"",VLOOKUP($A328,DICO_Complet!$A$3:$U$983,18,FALSE))</f>
        <v/>
      </c>
    </row>
    <row r="329" spans="1:17">
      <c r="A329" s="38">
        <v>241112000084</v>
      </c>
      <c r="B329" s="47" t="s">
        <v>858</v>
      </c>
      <c r="C329" s="3" t="str">
        <f>VLOOKUP($A329,DICO_Complet!$A$3:$U$983,3,FALSE)</f>
        <v>Environment</v>
      </c>
      <c r="D329" s="3" t="str">
        <f>VLOOKUP($A329,DICO_Complet!$A$3:$U$983,4,FALSE)</f>
        <v>card</v>
      </c>
      <c r="E329" s="2" t="str">
        <f>VLOOKUP($A329,DICO_Complet!$A$3:$U$983,5,FALSE)</f>
        <v>cardSequenceNumber</v>
      </c>
      <c r="F329" s="2" t="str">
        <f>VLOOKUP($A329,DICO_Complet!$A$3:$U$983,6,FALSE)</f>
        <v>Min2Max3NumericText</v>
      </c>
      <c r="G329" s="48">
        <f>VLOOKUP($A329,DICO_Complet!$A$3:$U$983,7,FALSE)</f>
        <v>0</v>
      </c>
      <c r="H329" s="48">
        <f>VLOOKUP($A329,DICO_Complet!$A$3:$U$983,8,FALSE)</f>
        <v>0</v>
      </c>
      <c r="I329" s="2" t="str">
        <f>IF(VLOOKUP($A329,DICO_Complet!$A$3:$U$983,9,FALSE)&lt;&gt;0,VLOOKUP($A329,DICO_Complet!$A$3:$U$983,9,FALSE),"")</f>
        <v/>
      </c>
      <c r="J329" s="1" t="str">
        <f>VLOOKUP($A329,DICO_Complet!$A$3:$U$983,10,FALSE)</f>
        <v>Card Sequence Number</v>
      </c>
      <c r="K329" s="53" t="str">
        <f>IF(VLOOKUP($A329,DICO_Complet!$A$3:$U$983,12,FALSE)=0,"",VLOOKUP($A329,DICO_Complet!$A$3:$U$983,12,FALSE))</f>
        <v>ISO23</v>
      </c>
      <c r="L329" s="53" t="str">
        <f>IF(VLOOKUP($A329,DICO_Complet!$A$3:$U$983,13,FALSE)=0,"",VLOOKUP($A329,DICO_Complet!$A$3:$U$983,13,FALSE))</f>
        <v>[23]</v>
      </c>
      <c r="M329" s="53" t="str">
        <f>IF(VLOOKUP($A329,DICO_Complet!$A$3:$U$983,14,FALSE)=0,"",VLOOKUP($A329,DICO_Complet!$A$3:$U$983,14,FALSE))</f>
        <v/>
      </c>
      <c r="N329" s="53" t="str">
        <f>IF(VLOOKUP($A329,DICO_Complet!$A$3:$U$983,15,FALSE)=0,"",VLOOKUP($A329,DICO_Complet!$A$3:$U$983,15,FALSE))</f>
        <v/>
      </c>
      <c r="O329" s="53" t="str">
        <f>IF(VLOOKUP($A329,DICO_Complet!$A$3:$U$983,16,FALSE)=0,"",VLOOKUP($A329,DICO_Complet!$A$3:$U$983,16,FALSE))</f>
        <v/>
      </c>
      <c r="P329" s="53" t="str">
        <f>IF(VLOOKUP($A329,DICO_Complet!$A$3:$U$983,17,FALSE)=0,"",VLOOKUP($A329,DICO_Complet!$A$3:$U$983,17,FALSE))</f>
        <v/>
      </c>
      <c r="Q329" s="53" t="str">
        <f>IF(VLOOKUP($A329,DICO_Complet!$A$3:$U$983,18,FALSE)=0,"",VLOOKUP($A329,DICO_Complet!$A$3:$U$983,18,FALSE))</f>
        <v/>
      </c>
    </row>
    <row r="330" spans="1:17">
      <c r="A330" s="38">
        <v>250410114307</v>
      </c>
      <c r="B330" s="47" t="s">
        <v>858</v>
      </c>
      <c r="C330" s="3" t="str">
        <f>VLOOKUP($A330,DICO_Complet!$A$3:$U$983,3,FALSE)</f>
        <v>Environment</v>
      </c>
      <c r="D330" s="3" t="str">
        <f>VLOOKUP($A330,DICO_Complet!$A$3:$U$983,4,FALSE)</f>
        <v>card</v>
      </c>
      <c r="E330" s="2" t="str">
        <f>VLOOKUP($A330,DICO_Complet!$A$3:$U$983,5,FALSE)</f>
        <v>chainingSecretCodeId</v>
      </c>
      <c r="F330" s="2" t="str">
        <f>VLOOKUP($A330,DICO_Complet!$A$3:$U$983,6,FALSE)</f>
        <v>Max36AlphaNumericText</v>
      </c>
      <c r="G330" s="48">
        <f>VLOOKUP($A330,DICO_Complet!$A$3:$U$983,7,FALSE)</f>
        <v>0</v>
      </c>
      <c r="H330" s="48">
        <f>VLOOKUP($A330,DICO_Complet!$A$3:$U$983,8,FALSE)</f>
        <v>0</v>
      </c>
      <c r="I330" s="2" t="str">
        <f>IF(VLOOKUP($A330,DICO_Complet!$A$3:$U$983,9,FALSE)&lt;&gt;0,VLOOKUP($A330,DICO_Complet!$A$3:$U$983,9,FALSE),"")</f>
        <v/>
      </c>
      <c r="J330" s="1" t="str">
        <f>VLOOKUP($A330,DICO_Complet!$A$3:$U$983,10,FALSE)</f>
        <v>Identifiant du contrat carte parent (pour chainer le PIN)</v>
      </c>
      <c r="K330" s="53" t="str">
        <f>IF(VLOOKUP($A330,DICO_Complet!$A$3:$U$983,12,FALSE)=0,"",VLOOKUP($A330,DICO_Complet!$A$3:$U$983,12,FALSE))</f>
        <v/>
      </c>
      <c r="L330" s="53" t="str">
        <f>IF(VLOOKUP($A330,DICO_Complet!$A$3:$U$983,13,FALSE)=0,"",VLOOKUP($A330,DICO_Complet!$A$3:$U$983,13,FALSE))</f>
        <v/>
      </c>
      <c r="M330" s="53" t="str">
        <f>IF(VLOOKUP($A330,DICO_Complet!$A$3:$U$983,14,FALSE)=0,"",VLOOKUP($A330,DICO_Complet!$A$3:$U$983,14,FALSE))</f>
        <v/>
      </c>
      <c r="N330" s="53" t="str">
        <f>IF(VLOOKUP($A330,DICO_Complet!$A$3:$U$983,15,FALSE)=0,"",VLOOKUP($A330,DICO_Complet!$A$3:$U$983,15,FALSE))</f>
        <v/>
      </c>
      <c r="O330" s="53" t="str">
        <f>IF(VLOOKUP($A330,DICO_Complet!$A$3:$U$983,16,FALSE)=0,"",VLOOKUP($A330,DICO_Complet!$A$3:$U$983,16,FALSE))</f>
        <v/>
      </c>
      <c r="P330" s="53" t="str">
        <f>IF(VLOOKUP($A330,DICO_Complet!$A$3:$U$983,17,FALSE)=0,"",VLOOKUP($A330,DICO_Complet!$A$3:$U$983,17,FALSE))</f>
        <v/>
      </c>
      <c r="Q330" s="53" t="str">
        <f>IF(VLOOKUP($A330,DICO_Complet!$A$3:$U$983,18,FALSE)=0,"",VLOOKUP($A330,DICO_Complet!$A$3:$U$983,18,FALSE))</f>
        <v/>
      </c>
    </row>
    <row r="331" spans="1:17">
      <c r="A331" s="38">
        <v>241112000085</v>
      </c>
      <c r="B331" s="47" t="s">
        <v>858</v>
      </c>
      <c r="C331" s="3" t="str">
        <f>VLOOKUP($A331,DICO_Complet!$A$3:$U$983,3,FALSE)</f>
        <v>Environment</v>
      </c>
      <c r="D331" s="3" t="str">
        <f>VLOOKUP($A331,DICO_Complet!$A$3:$U$983,4,FALSE)</f>
        <v>card</v>
      </c>
      <c r="E331" s="2" t="str">
        <f>VLOOKUP($A331,DICO_Complet!$A$3:$U$983,5,FALSE)</f>
        <v>contactlessDevice</v>
      </c>
      <c r="F331" s="2" t="str">
        <f>VLOOKUP($A331,DICO_Complet!$A$3:$U$983,6,FALSE)</f>
        <v>Max35HexBinaryText</v>
      </c>
      <c r="G331" s="48">
        <f>VLOOKUP($A331,DICO_Complet!$A$3:$U$983,7,FALSE)</f>
        <v>0</v>
      </c>
      <c r="H331" s="48">
        <f>VLOOKUP($A331,DICO_Complet!$A$3:$U$983,8,FALSE)</f>
        <v>0</v>
      </c>
      <c r="I331" s="2" t="str">
        <f>IF(VLOOKUP($A331,DICO_Complet!$A$3:$U$983,9,FALSE)&lt;&gt;0,VLOOKUP($A331,DICO_Complet!$A$3:$U$983,9,FALSE),"")</f>
        <v/>
      </c>
      <c r="J331" s="1" t="str">
        <f>VLOOKUP($A331,DICO_Complet!$A$3:$U$983,10,FALSE)</f>
        <v>Contactless Device</v>
      </c>
      <c r="K331" s="53" t="str">
        <f>IF(VLOOKUP($A331,DICO_Complet!$A$3:$U$983,12,FALSE)=0,"",VLOOKUP($A331,DICO_Complet!$A$3:$U$983,12,FALSE))</f>
        <v>RSB55_DF86</v>
      </c>
      <c r="L331" s="53" t="str">
        <f>IF(VLOOKUP($A331,DICO_Complet!$A$3:$U$983,13,FALSE)=0,"",VLOOKUP($A331,DICO_Complet!$A$3:$U$983,13,FALSE))</f>
        <v>[55-DF86]</v>
      </c>
      <c r="M331" s="53" t="str">
        <f>IF(VLOOKUP($A331,DICO_Complet!$A$3:$U$983,14,FALSE)=0,"",VLOOKUP($A331,DICO_Complet!$A$3:$U$983,14,FALSE))</f>
        <v/>
      </c>
      <c r="N331" s="53" t="str">
        <f>IF(VLOOKUP($A331,DICO_Complet!$A$3:$U$983,15,FALSE)=0,"",VLOOKUP($A331,DICO_Complet!$A$3:$U$983,15,FALSE))</f>
        <v/>
      </c>
      <c r="O331" s="53" t="str">
        <f>IF(VLOOKUP($A331,DICO_Complet!$A$3:$U$983,16,FALSE)=0,"",VLOOKUP($A331,DICO_Complet!$A$3:$U$983,16,FALSE))</f>
        <v/>
      </c>
      <c r="P331" s="53" t="str">
        <f>IF(VLOOKUP($A331,DICO_Complet!$A$3:$U$983,17,FALSE)=0,"",VLOOKUP($A331,DICO_Complet!$A$3:$U$983,17,FALSE))</f>
        <v/>
      </c>
      <c r="Q331" s="53" t="str">
        <f>IF(VLOOKUP($A331,DICO_Complet!$A$3:$U$983,18,FALSE)=0,"",VLOOKUP($A331,DICO_Complet!$A$3:$U$983,18,FALSE))</f>
        <v/>
      </c>
    </row>
    <row r="332" spans="1:17">
      <c r="A332" s="38">
        <v>241112000081</v>
      </c>
      <c r="B332" s="47" t="s">
        <v>858</v>
      </c>
      <c r="C332" s="3" t="str">
        <f>VLOOKUP($A332,DICO_Complet!$A$3:$U$983,3,FALSE)</f>
        <v>Environment</v>
      </c>
      <c r="D332" s="3" t="str">
        <f>VLOOKUP($A332,DICO_Complet!$A$3:$U$983,4,FALSE)</f>
        <v>card</v>
      </c>
      <c r="E332" s="2" t="str">
        <f>VLOOKUP($A332,DICO_Complet!$A$3:$U$983,5,FALSE)</f>
        <v>countryCode</v>
      </c>
      <c r="F332" s="2" t="str">
        <f>VLOOKUP($A332,DICO_Complet!$A$3:$U$983,6,FALSE)</f>
        <v>ISO3NumericCountryCode</v>
      </c>
      <c r="G332" s="48">
        <f>VLOOKUP($A332,DICO_Complet!$A$3:$U$983,7,FALSE)</f>
        <v>0</v>
      </c>
      <c r="H332" s="48">
        <f>VLOOKUP($A332,DICO_Complet!$A$3:$U$983,8,FALSE)</f>
        <v>0</v>
      </c>
      <c r="I332" s="2" t="str">
        <f>IF(VLOOKUP($A332,DICO_Complet!$A$3:$U$983,9,FALSE)&lt;&gt;0,VLOOKUP($A332,DICO_Complet!$A$3:$U$983,9,FALSE),"")</f>
        <v/>
      </c>
      <c r="J332" s="1" t="str">
        <f>VLOOKUP($A332,DICO_Complet!$A$3:$U$983,10,FALSE)</f>
        <v>Issuer Country code coding comply with ISO3166 standard</v>
      </c>
      <c r="K332" s="53" t="str">
        <f>IF(VLOOKUP($A332,DICO_Complet!$A$3:$U$983,12,FALSE)=0,"",VLOOKUP($A332,DICO_Complet!$A$3:$U$983,12,FALSE))</f>
        <v>SICB2</v>
      </c>
      <c r="L332" s="53" t="str">
        <f>IF(VLOOKUP($A332,DICO_Complet!$A$3:$U$983,13,FALSE)=0,"",VLOOKUP($A332,DICO_Complet!$A$3:$U$983,13,FALSE))</f>
        <v/>
      </c>
      <c r="M332" s="53" t="str">
        <f>IF(VLOOKUP($A332,DICO_Complet!$A$3:$U$983,14,FALSE)=0,"",VLOOKUP($A332,DICO_Complet!$A$3:$U$983,14,FALSE))</f>
        <v/>
      </c>
      <c r="N332" s="53" t="str">
        <f>IF(VLOOKUP($A332,DICO_Complet!$A$3:$U$983,15,FALSE)=0,"",VLOOKUP($A332,DICO_Complet!$A$3:$U$983,15,FALSE))</f>
        <v/>
      </c>
      <c r="O332" s="53" t="str">
        <f>IF(VLOOKUP($A332,DICO_Complet!$A$3:$U$983,16,FALSE)=0,"",VLOOKUP($A332,DICO_Complet!$A$3:$U$983,16,FALSE))</f>
        <v/>
      </c>
      <c r="P332" s="53" t="str">
        <f>IF(VLOOKUP($A332,DICO_Complet!$A$3:$U$983,17,FALSE)=0,"",VLOOKUP($A332,DICO_Complet!$A$3:$U$983,17,FALSE))</f>
        <v/>
      </c>
      <c r="Q332" s="53" t="str">
        <f>IF(VLOOKUP($A332,DICO_Complet!$A$3:$U$983,18,FALSE)=0,"",VLOOKUP($A332,DICO_Complet!$A$3:$U$983,18,FALSE))</f>
        <v/>
      </c>
    </row>
    <row r="333" spans="1:17">
      <c r="A333" s="38">
        <v>250331114314</v>
      </c>
      <c r="B333" s="47" t="s">
        <v>858</v>
      </c>
      <c r="C333" s="3" t="str">
        <f>VLOOKUP($A333,DICO_Complet!$A$3:$U$983,3,FALSE)</f>
        <v>Environment</v>
      </c>
      <c r="D333" s="3" t="str">
        <f>VLOOKUP($A333,DICO_Complet!$A$3:$U$983,4,FALSE)</f>
        <v>card</v>
      </c>
      <c r="E333" s="2" t="str">
        <f>VLOOKUP($A333,DICO_Complet!$A$3:$U$983,5,FALSE)</f>
        <v>designSubscriptionIndicator</v>
      </c>
      <c r="F333" s="2" t="str">
        <f>VLOOKUP($A333,DICO_Complet!$A$3:$U$983,6,FALSE)</f>
        <v>TrueFalseIndicator</v>
      </c>
      <c r="G333" s="48">
        <f>VLOOKUP($A333,DICO_Complet!$A$3:$U$983,7,FALSE)</f>
        <v>0</v>
      </c>
      <c r="H333" s="48">
        <f>VLOOKUP($A333,DICO_Complet!$A$3:$U$983,8,FALSE)</f>
        <v>0</v>
      </c>
      <c r="I333" s="2" t="str">
        <f>IF(VLOOKUP($A333,DICO_Complet!$A$3:$U$983,9,FALSE)&lt;&gt;0,VLOOKUP($A333,DICO_Complet!$A$3:$U$983,9,FALSE),"")</f>
        <v/>
      </c>
      <c r="J333" s="1" t="str">
        <f>VLOOKUP($A333,DICO_Complet!$A$3:$U$983,10,FALSE)</f>
        <v>Card design choice subscription indicator</v>
      </c>
      <c r="K333" s="53" t="str">
        <f>IF(VLOOKUP($A333,DICO_Complet!$A$3:$U$983,12,FALSE)=0,"",VLOOKUP($A333,DICO_Complet!$A$3:$U$983,12,FALSE))</f>
        <v/>
      </c>
      <c r="L333" s="53" t="str">
        <f>IF(VLOOKUP($A333,DICO_Complet!$A$3:$U$983,13,FALSE)=0,"",VLOOKUP($A333,DICO_Complet!$A$3:$U$983,13,FALSE))</f>
        <v/>
      </c>
      <c r="M333" s="53" t="str">
        <f>IF(VLOOKUP($A333,DICO_Complet!$A$3:$U$983,14,FALSE)=0,"",VLOOKUP($A333,DICO_Complet!$A$3:$U$983,14,FALSE))</f>
        <v/>
      </c>
      <c r="N333" s="53" t="str">
        <f>IF(VLOOKUP($A333,DICO_Complet!$A$3:$U$983,15,FALSE)=0,"",VLOOKUP($A333,DICO_Complet!$A$3:$U$983,15,FALSE))</f>
        <v/>
      </c>
      <c r="O333" s="53" t="str">
        <f>IF(VLOOKUP($A333,DICO_Complet!$A$3:$U$983,16,FALSE)=0,"",VLOOKUP($A333,DICO_Complet!$A$3:$U$983,16,FALSE))</f>
        <v/>
      </c>
      <c r="P333" s="53" t="str">
        <f>IF(VLOOKUP($A333,DICO_Complet!$A$3:$U$983,17,FALSE)=0,"",VLOOKUP($A333,DICO_Complet!$A$3:$U$983,17,FALSE))</f>
        <v/>
      </c>
      <c r="Q333" s="53" t="str">
        <f>IF(VLOOKUP($A333,DICO_Complet!$A$3:$U$983,18,FALSE)=0,"",VLOOKUP($A333,DICO_Complet!$A$3:$U$983,18,FALSE))</f>
        <v/>
      </c>
    </row>
    <row r="334" spans="1:17">
      <c r="A334" s="38">
        <v>250410114302</v>
      </c>
      <c r="B334" s="47" t="s">
        <v>858</v>
      </c>
      <c r="C334" s="3" t="str">
        <f>VLOOKUP($A334,DICO_Complet!$A$3:$U$983,3,FALSE)</f>
        <v>Environment</v>
      </c>
      <c r="D334" s="3" t="str">
        <f>VLOOKUP($A334,DICO_Complet!$A$3:$U$983,4,FALSE)</f>
        <v>card</v>
      </c>
      <c r="E334" s="2" t="str">
        <f>VLOOKUP($A334,DICO_Complet!$A$3:$U$983,5,FALSE)</f>
        <v>embossedComplementaryData</v>
      </c>
      <c r="F334" s="2" t="str">
        <f>VLOOKUP($A334,DICO_Complet!$A$3:$U$983,6,FALSE)</f>
        <v>Max35Text</v>
      </c>
      <c r="G334" s="48">
        <f>VLOOKUP($A334,DICO_Complet!$A$3:$U$983,7,FALSE)</f>
        <v>0</v>
      </c>
      <c r="H334" s="48">
        <f>VLOOKUP($A334,DICO_Complet!$A$3:$U$983,8,FALSE)</f>
        <v>0</v>
      </c>
      <c r="I334" s="2" t="str">
        <f>IF(VLOOKUP($A334,DICO_Complet!$A$3:$U$983,9,FALSE)&lt;&gt;0,VLOOKUP($A334,DICO_Complet!$A$3:$U$983,9,FALSE),"")</f>
        <v/>
      </c>
      <c r="J334" s="1" t="str">
        <f>VLOOKUP($A334,DICO_Complet!$A$3:$U$983,10,FALSE)</f>
        <v>libelle Zone embossee complementaire</v>
      </c>
      <c r="K334" s="53" t="str">
        <f>IF(VLOOKUP($A334,DICO_Complet!$A$3:$U$983,12,FALSE)=0,"",VLOOKUP($A334,DICO_Complet!$A$3:$U$983,12,FALSE))</f>
        <v/>
      </c>
      <c r="L334" s="53" t="str">
        <f>IF(VLOOKUP($A334,DICO_Complet!$A$3:$U$983,13,FALSE)=0,"",VLOOKUP($A334,DICO_Complet!$A$3:$U$983,13,FALSE))</f>
        <v/>
      </c>
      <c r="M334" s="53" t="str">
        <f>IF(VLOOKUP($A334,DICO_Complet!$A$3:$U$983,14,FALSE)=0,"",VLOOKUP($A334,DICO_Complet!$A$3:$U$983,14,FALSE))</f>
        <v/>
      </c>
      <c r="N334" s="53" t="str">
        <f>IF(VLOOKUP($A334,DICO_Complet!$A$3:$U$983,15,FALSE)=0,"",VLOOKUP($A334,DICO_Complet!$A$3:$U$983,15,FALSE))</f>
        <v/>
      </c>
      <c r="O334" s="53" t="str">
        <f>IF(VLOOKUP($A334,DICO_Complet!$A$3:$U$983,16,FALSE)=0,"",VLOOKUP($A334,DICO_Complet!$A$3:$U$983,16,FALSE))</f>
        <v/>
      </c>
      <c r="P334" s="53" t="str">
        <f>IF(VLOOKUP($A334,DICO_Complet!$A$3:$U$983,17,FALSE)=0,"",VLOOKUP($A334,DICO_Complet!$A$3:$U$983,17,FALSE))</f>
        <v/>
      </c>
      <c r="Q334" s="53" t="str">
        <f>IF(VLOOKUP($A334,DICO_Complet!$A$3:$U$983,18,FALSE)=0,"",VLOOKUP($A334,DICO_Complet!$A$3:$U$983,18,FALSE))</f>
        <v/>
      </c>
    </row>
    <row r="335" spans="1:17">
      <c r="A335" s="38">
        <v>241112000086</v>
      </c>
      <c r="B335" s="47" t="s">
        <v>858</v>
      </c>
      <c r="C335" s="3" t="str">
        <f>VLOOKUP($A335,DICO_Complet!$A$3:$U$983,3,FALSE)</f>
        <v>Environment</v>
      </c>
      <c r="D335" s="3" t="str">
        <f>VLOOKUP($A335,DICO_Complet!$A$3:$U$983,4,FALSE)</f>
        <v>card</v>
      </c>
      <c r="E335" s="2" t="str">
        <f>VLOOKUP($A335,DICO_Complet!$A$3:$U$983,5,FALSE)</f>
        <v>embossedName</v>
      </c>
      <c r="F335" s="2" t="str">
        <f>VLOOKUP($A335,DICO_Complet!$A$3:$U$983,6,FALSE)</f>
        <v>Max45Text</v>
      </c>
      <c r="G335" s="48">
        <f>VLOOKUP($A335,DICO_Complet!$A$3:$U$983,7,FALSE)</f>
        <v>0</v>
      </c>
      <c r="H335" s="48">
        <f>VLOOKUP($A335,DICO_Complet!$A$3:$U$983,8,FALSE)</f>
        <v>0</v>
      </c>
      <c r="I335" s="2" t="str">
        <f>IF(VLOOKUP($A335,DICO_Complet!$A$3:$U$983,9,FALSE)&lt;&gt;0,VLOOKUP($A335,DICO_Complet!$A$3:$U$983,9,FALSE),"")</f>
        <v/>
      </c>
      <c r="J335" s="1" t="str">
        <f>VLOOKUP($A335,DICO_Complet!$A$3:$U$983,10,FALSE)</f>
        <v>card embossed name</v>
      </c>
      <c r="K335" s="53" t="str">
        <f>IF(VLOOKUP($A335,DICO_Complet!$A$3:$U$983,12,FALSE)=0,"",VLOOKUP($A335,DICO_Complet!$A$3:$U$983,12,FALSE))</f>
        <v/>
      </c>
      <c r="L335" s="53" t="str">
        <f>IF(VLOOKUP($A335,DICO_Complet!$A$3:$U$983,13,FALSE)=0,"",VLOOKUP($A335,DICO_Complet!$A$3:$U$983,13,FALSE))</f>
        <v/>
      </c>
      <c r="M335" s="53" t="str">
        <f>IF(VLOOKUP($A335,DICO_Complet!$A$3:$U$983,14,FALSE)=0,"",VLOOKUP($A335,DICO_Complet!$A$3:$U$983,14,FALSE))</f>
        <v/>
      </c>
      <c r="N335" s="53" t="str">
        <f>IF(VLOOKUP($A335,DICO_Complet!$A$3:$U$983,15,FALSE)=0,"",VLOOKUP($A335,DICO_Complet!$A$3:$U$983,15,FALSE))</f>
        <v/>
      </c>
      <c r="O335" s="53" t="str">
        <f>IF(VLOOKUP($A335,DICO_Complet!$A$3:$U$983,16,FALSE)=0,"",VLOOKUP($A335,DICO_Complet!$A$3:$U$983,16,FALSE))</f>
        <v/>
      </c>
      <c r="P335" s="53" t="str">
        <f>IF(VLOOKUP($A335,DICO_Complet!$A$3:$U$983,17,FALSE)=0,"",VLOOKUP($A335,DICO_Complet!$A$3:$U$983,17,FALSE))</f>
        <v/>
      </c>
      <c r="Q335" s="53" t="str">
        <f>IF(VLOOKUP($A335,DICO_Complet!$A$3:$U$983,18,FALSE)=0,"",VLOOKUP($A335,DICO_Complet!$A$3:$U$983,18,FALSE))</f>
        <v/>
      </c>
    </row>
    <row r="336" spans="1:17">
      <c r="A336" s="38">
        <v>250410114301</v>
      </c>
      <c r="B336" s="47" t="s">
        <v>858</v>
      </c>
      <c r="C336" s="3" t="str">
        <f>VLOOKUP($A336,DICO_Complet!$A$3:$U$983,3,FALSE)</f>
        <v>Environment</v>
      </c>
      <c r="D336" s="3" t="str">
        <f>VLOOKUP($A336,DICO_Complet!$A$3:$U$983,4,FALSE)</f>
        <v>card</v>
      </c>
      <c r="E336" s="2" t="str">
        <f>VLOOKUP($A336,DICO_Complet!$A$3:$U$983,5,FALSE)</f>
        <v>embossedZone</v>
      </c>
      <c r="F336" s="2" t="str">
        <f>VLOOKUP($A336,DICO_Complet!$A$3:$U$983,6,FALSE)</f>
        <v>Max35Text</v>
      </c>
      <c r="G336" s="48">
        <f>VLOOKUP($A336,DICO_Complet!$A$3:$U$983,7,FALSE)</f>
        <v>0</v>
      </c>
      <c r="H336" s="48">
        <f>VLOOKUP($A336,DICO_Complet!$A$3:$U$983,8,FALSE)</f>
        <v>0</v>
      </c>
      <c r="I336" s="2" t="str">
        <f>IF(VLOOKUP($A336,DICO_Complet!$A$3:$U$983,9,FALSE)&lt;&gt;0,VLOOKUP($A336,DICO_Complet!$A$3:$U$983,9,FALSE),"")</f>
        <v/>
      </c>
      <c r="J336" s="1" t="str">
        <f>VLOOKUP($A336,DICO_Complet!$A$3:$U$983,10,FALSE)</f>
        <v>libelle Zone embossee de la carte</v>
      </c>
      <c r="K336" s="53" t="str">
        <f>IF(VLOOKUP($A336,DICO_Complet!$A$3:$U$983,12,FALSE)=0,"",VLOOKUP($A336,DICO_Complet!$A$3:$U$983,12,FALSE))</f>
        <v/>
      </c>
      <c r="L336" s="53" t="str">
        <f>IF(VLOOKUP($A336,DICO_Complet!$A$3:$U$983,13,FALSE)=0,"",VLOOKUP($A336,DICO_Complet!$A$3:$U$983,13,FALSE))</f>
        <v/>
      </c>
      <c r="M336" s="53" t="str">
        <f>IF(VLOOKUP($A336,DICO_Complet!$A$3:$U$983,14,FALSE)=0,"",VLOOKUP($A336,DICO_Complet!$A$3:$U$983,14,FALSE))</f>
        <v/>
      </c>
      <c r="N336" s="53" t="str">
        <f>IF(VLOOKUP($A336,DICO_Complet!$A$3:$U$983,15,FALSE)=0,"",VLOOKUP($A336,DICO_Complet!$A$3:$U$983,15,FALSE))</f>
        <v/>
      </c>
      <c r="O336" s="53" t="str">
        <f>IF(VLOOKUP($A336,DICO_Complet!$A$3:$U$983,16,FALSE)=0,"",VLOOKUP($A336,DICO_Complet!$A$3:$U$983,16,FALSE))</f>
        <v/>
      </c>
      <c r="P336" s="53" t="str">
        <f>IF(VLOOKUP($A336,DICO_Complet!$A$3:$U$983,17,FALSE)=0,"",VLOOKUP($A336,DICO_Complet!$A$3:$U$983,17,FALSE))</f>
        <v/>
      </c>
      <c r="Q336" s="53" t="str">
        <f>IF(VLOOKUP($A336,DICO_Complet!$A$3:$U$983,18,FALSE)=0,"",VLOOKUP($A336,DICO_Complet!$A$3:$U$983,18,FALSE))</f>
        <v/>
      </c>
    </row>
    <row r="337" spans="1:17">
      <c r="A337" s="38">
        <v>241112000087</v>
      </c>
      <c r="B337" s="47" t="s">
        <v>858</v>
      </c>
      <c r="C337" s="3" t="str">
        <f>VLOOKUP($A337,DICO_Complet!$A$3:$U$983,3,FALSE)</f>
        <v>Environment</v>
      </c>
      <c r="D337" s="3" t="str">
        <f>VLOOKUP($A337,DICO_Complet!$A$3:$U$983,4,FALSE)</f>
        <v>card</v>
      </c>
      <c r="E337" s="2" t="str">
        <f>VLOOKUP($A337,DICO_Complet!$A$3:$U$983,5,FALSE)</f>
        <v>encryptedPan</v>
      </c>
      <c r="F337" s="2" t="str">
        <f>VLOOKUP($A337,DICO_Complet!$A$3:$U$983,6,FALSE)</f>
        <v>Exact20HexBinaryText</v>
      </c>
      <c r="G337" s="48">
        <f>VLOOKUP($A337,DICO_Complet!$A$3:$U$983,7,FALSE)</f>
        <v>0</v>
      </c>
      <c r="H337" s="48">
        <f>VLOOKUP($A337,DICO_Complet!$A$3:$U$983,8,FALSE)</f>
        <v>0</v>
      </c>
      <c r="I337" s="2" t="str">
        <f>IF(VLOOKUP($A337,DICO_Complet!$A$3:$U$983,9,FALSE)&lt;&gt;0,VLOOKUP($A337,DICO_Complet!$A$3:$U$983,9,FALSE),"")</f>
        <v/>
      </c>
      <c r="J337" s="1" t="str">
        <f>VLOOKUP($A337,DICO_Complet!$A$3:$U$983,10,FALSE)</f>
        <v>encrypted pan</v>
      </c>
      <c r="K337" s="53" t="str">
        <f>IF(VLOOKUP($A337,DICO_Complet!$A$3:$U$983,12,FALSE)=0,"",VLOOKUP($A337,DICO_Complet!$A$3:$U$983,12,FALSE))</f>
        <v/>
      </c>
      <c r="L337" s="53" t="str">
        <f>IF(VLOOKUP($A337,DICO_Complet!$A$3:$U$983,13,FALSE)=0,"",VLOOKUP($A337,DICO_Complet!$A$3:$U$983,13,FALSE))</f>
        <v/>
      </c>
      <c r="M337" s="53" t="str">
        <f>IF(VLOOKUP($A337,DICO_Complet!$A$3:$U$983,14,FALSE)=0,"",VLOOKUP($A337,DICO_Complet!$A$3:$U$983,14,FALSE))</f>
        <v/>
      </c>
      <c r="N337" s="53" t="str">
        <f>IF(VLOOKUP($A337,DICO_Complet!$A$3:$U$983,15,FALSE)=0,"",VLOOKUP($A337,DICO_Complet!$A$3:$U$983,15,FALSE))</f>
        <v/>
      </c>
      <c r="O337" s="53" t="str">
        <f>IF(VLOOKUP($A337,DICO_Complet!$A$3:$U$983,16,FALSE)=0,"",VLOOKUP($A337,DICO_Complet!$A$3:$U$983,16,FALSE))</f>
        <v/>
      </c>
      <c r="P337" s="53" t="str">
        <f>IF(VLOOKUP($A337,DICO_Complet!$A$3:$U$983,17,FALSE)=0,"",VLOOKUP($A337,DICO_Complet!$A$3:$U$983,17,FALSE))</f>
        <v/>
      </c>
      <c r="Q337" s="53" t="str">
        <f>IF(VLOOKUP($A337,DICO_Complet!$A$3:$U$983,18,FALSE)=0,"",VLOOKUP($A337,DICO_Complet!$A$3:$U$983,18,FALSE))</f>
        <v/>
      </c>
    </row>
    <row r="338" spans="1:17">
      <c r="A338" s="38">
        <v>241112000088</v>
      </c>
      <c r="B338" s="47" t="s">
        <v>858</v>
      </c>
      <c r="C338" s="3" t="str">
        <f>VLOOKUP($A338,DICO_Complet!$A$3:$U$983,3,FALSE)</f>
        <v>Environment</v>
      </c>
      <c r="D338" s="3" t="str">
        <f>VLOOKUP($A338,DICO_Complet!$A$3:$U$983,4,FALSE)</f>
        <v>card</v>
      </c>
      <c r="E338" s="2" t="str">
        <f>VLOOKUP($A338,DICO_Complet!$A$3:$U$983,5,FALSE)</f>
        <v>expiryDate</v>
      </c>
      <c r="F338" s="2" t="str">
        <f>VLOOKUP($A338,DICO_Complet!$A$3:$U$983,6,FALSE)</f>
        <v>ISOYearMonth</v>
      </c>
      <c r="G338" s="48">
        <f>VLOOKUP($A338,DICO_Complet!$A$3:$U$983,7,FALSE)</f>
        <v>0</v>
      </c>
      <c r="H338" s="48">
        <f>VLOOKUP($A338,DICO_Complet!$A$3:$U$983,8,FALSE)</f>
        <v>0</v>
      </c>
      <c r="I338" s="2" t="str">
        <f>IF(VLOOKUP($A338,DICO_Complet!$A$3:$U$983,9,FALSE)&lt;&gt;0,VLOOKUP($A338,DICO_Complet!$A$3:$U$983,9,FALSE),"")</f>
        <v/>
      </c>
      <c r="J338" s="1" t="str">
        <f>VLOOKUP($A338,DICO_Complet!$A$3:$U$983,10,FALSE)</f>
        <v>Expiry date</v>
      </c>
      <c r="K338" s="53" t="str">
        <f>IF(VLOOKUP($A338,DICO_Complet!$A$3:$U$983,12,FALSE)=0,"",VLOOKUP($A338,DICO_Complet!$A$3:$U$983,12,FALSE))</f>
        <v>ISO14</v>
      </c>
      <c r="L338" s="53" t="str">
        <f>IF(VLOOKUP($A338,DICO_Complet!$A$3:$U$983,13,FALSE)=0,"",VLOOKUP($A338,DICO_Complet!$A$3:$U$983,13,FALSE))</f>
        <v>[14]</v>
      </c>
      <c r="M338" s="53" t="str">
        <f>IF(VLOOKUP($A338,DICO_Complet!$A$3:$U$983,14,FALSE)=0,"",VLOOKUP($A338,DICO_Complet!$A$3:$U$983,14,FALSE))</f>
        <v/>
      </c>
      <c r="N338" s="53" t="str">
        <f>IF(VLOOKUP($A338,DICO_Complet!$A$3:$U$983,15,FALSE)=0,"",VLOOKUP($A338,DICO_Complet!$A$3:$U$983,15,FALSE))</f>
        <v/>
      </c>
      <c r="O338" s="53" t="str">
        <f>IF(VLOOKUP($A338,DICO_Complet!$A$3:$U$983,16,FALSE)=0,"",VLOOKUP($A338,DICO_Complet!$A$3:$U$983,16,FALSE))</f>
        <v/>
      </c>
      <c r="P338" s="53" t="str">
        <f>IF(VLOOKUP($A338,DICO_Complet!$A$3:$U$983,17,FALSE)=0,"",VLOOKUP($A338,DICO_Complet!$A$3:$U$983,17,FALSE))</f>
        <v/>
      </c>
      <c r="Q338" s="53" t="str">
        <f>IF(VLOOKUP($A338,DICO_Complet!$A$3:$U$983,18,FALSE)=0,"",VLOOKUP($A338,DICO_Complet!$A$3:$U$983,18,FALSE))</f>
        <v/>
      </c>
    </row>
    <row r="339" spans="1:17">
      <c r="A339" s="38">
        <v>250331114311</v>
      </c>
      <c r="B339" s="47" t="s">
        <v>858</v>
      </c>
      <c r="C339" s="3" t="str">
        <f>VLOOKUP($A339,DICO_Complet!$A$3:$U$983,3,FALSE)</f>
        <v>Environment</v>
      </c>
      <c r="D339" s="3" t="str">
        <f>VLOOKUP($A339,DICO_Complet!$A$3:$U$983,4,FALSE)</f>
        <v>card</v>
      </c>
      <c r="E339" s="2" t="str">
        <f>VLOOKUP($A339,DICO_Complet!$A$3:$U$983,5,FALSE)</f>
        <v>internalReference</v>
      </c>
      <c r="F339" s="2" t="str">
        <f>VLOOKUP($A339,DICO_Complet!$A$3:$U$983,6,FALSE)</f>
        <v>Max36NumericText</v>
      </c>
      <c r="G339" s="48">
        <f>VLOOKUP($A339,DICO_Complet!$A$3:$U$983,7,FALSE)</f>
        <v>0</v>
      </c>
      <c r="H339" s="48">
        <f>VLOOKUP($A339,DICO_Complet!$A$3:$U$983,8,FALSE)</f>
        <v>0</v>
      </c>
      <c r="I339" s="2" t="str">
        <f>IF(VLOOKUP($A339,DICO_Complet!$A$3:$U$983,9,FALSE)&lt;&gt;0,VLOOKUP($A339,DICO_Complet!$A$3:$U$983,9,FALSE),"")</f>
        <v/>
      </c>
      <c r="J339" s="1" t="str">
        <f>VLOOKUP($A339,DICO_Complet!$A$3:$U$983,10,FALSE)</f>
        <v>Card internal reference</v>
      </c>
      <c r="K339" s="53" t="str">
        <f>IF(VLOOKUP($A339,DICO_Complet!$A$3:$U$983,12,FALSE)=0,"",VLOOKUP($A339,DICO_Complet!$A$3:$U$983,12,FALSE))</f>
        <v/>
      </c>
      <c r="L339" s="53" t="str">
        <f>IF(VLOOKUP($A339,DICO_Complet!$A$3:$U$983,13,FALSE)=0,"",VLOOKUP($A339,DICO_Complet!$A$3:$U$983,13,FALSE))</f>
        <v/>
      </c>
      <c r="M339" s="53" t="str">
        <f>IF(VLOOKUP($A339,DICO_Complet!$A$3:$U$983,14,FALSE)=0,"",VLOOKUP($A339,DICO_Complet!$A$3:$U$983,14,FALSE))</f>
        <v/>
      </c>
      <c r="N339" s="53" t="str">
        <f>IF(VLOOKUP($A339,DICO_Complet!$A$3:$U$983,15,FALSE)=0,"",VLOOKUP($A339,DICO_Complet!$A$3:$U$983,15,FALSE))</f>
        <v/>
      </c>
      <c r="O339" s="53" t="str">
        <f>IF(VLOOKUP($A339,DICO_Complet!$A$3:$U$983,16,FALSE)=0,"",VLOOKUP($A339,DICO_Complet!$A$3:$U$983,16,FALSE))</f>
        <v/>
      </c>
      <c r="P339" s="53" t="str">
        <f>IF(VLOOKUP($A339,DICO_Complet!$A$3:$U$983,17,FALSE)=0,"",VLOOKUP($A339,DICO_Complet!$A$3:$U$983,17,FALSE))</f>
        <v/>
      </c>
      <c r="Q339" s="53" t="str">
        <f>IF(VLOOKUP($A339,DICO_Complet!$A$3:$U$983,18,FALSE)=0,"",VLOOKUP($A339,DICO_Complet!$A$3:$U$983,18,FALSE))</f>
        <v/>
      </c>
    </row>
    <row r="340" spans="1:17">
      <c r="A340" s="38">
        <v>250328162300</v>
      </c>
      <c r="B340" s="47" t="s">
        <v>858</v>
      </c>
      <c r="C340" s="3" t="str">
        <f>VLOOKUP($A340,DICO_Complet!$A$3:$U$983,3,FALSE)</f>
        <v>Environment</v>
      </c>
      <c r="D340" s="3" t="str">
        <f>VLOOKUP($A340,DICO_Complet!$A$3:$U$983,4,FALSE)</f>
        <v>card</v>
      </c>
      <c r="E340" s="2" t="str">
        <f>VLOOKUP($A340,DICO_Complet!$A$3:$U$983,5,FALSE)</f>
        <v>issuerId</v>
      </c>
      <c r="F340" s="2" t="str">
        <f>VLOOKUP($A340,DICO_Complet!$A$3:$U$983,6,FALSE)</f>
        <v>Max11NumericText</v>
      </c>
      <c r="G340" s="48">
        <f>VLOOKUP($A340,DICO_Complet!$A$3:$U$983,7,FALSE)</f>
        <v>0</v>
      </c>
      <c r="H340" s="48">
        <f>VLOOKUP($A340,DICO_Complet!$A$3:$U$983,8,FALSE)</f>
        <v>0</v>
      </c>
      <c r="I340" s="2" t="str">
        <f>IF(VLOOKUP($A340,DICO_Complet!$A$3:$U$983,9,FALSE)&lt;&gt;0,VLOOKUP($A340,DICO_Complet!$A$3:$U$983,9,FALSE),"")</f>
        <v/>
      </c>
      <c r="J340" s="1" t="str">
        <f>VLOOKUP($A340,DICO_Complet!$A$3:$U$983,10,FALSE)</f>
        <v>issuer identification</v>
      </c>
      <c r="K340" s="53" t="str">
        <f>IF(VLOOKUP($A340,DICO_Complet!$A$3:$U$983,12,FALSE)=0,"",VLOOKUP($A340,DICO_Complet!$A$3:$U$983,12,FALSE))</f>
        <v>MFO11</v>
      </c>
      <c r="L340" s="53" t="str">
        <f>IF(VLOOKUP($A340,DICO_Complet!$A$3:$U$983,13,FALSE)=0,"",VLOOKUP($A340,DICO_Complet!$A$3:$U$983,13,FALSE))</f>
        <v/>
      </c>
      <c r="M340" s="53" t="str">
        <f>IF(VLOOKUP($A340,DICO_Complet!$A$3:$U$983,14,FALSE)=0,"",VLOOKUP($A340,DICO_Complet!$A$3:$U$983,14,FALSE))</f>
        <v/>
      </c>
      <c r="N340" s="53" t="str">
        <f>IF(VLOOKUP($A340,DICO_Complet!$A$3:$U$983,15,FALSE)=0,"",VLOOKUP($A340,DICO_Complet!$A$3:$U$983,15,FALSE))</f>
        <v/>
      </c>
      <c r="O340" s="53" t="str">
        <f>IF(VLOOKUP($A340,DICO_Complet!$A$3:$U$983,16,FALSE)=0,"",VLOOKUP($A340,DICO_Complet!$A$3:$U$983,16,FALSE))</f>
        <v/>
      </c>
      <c r="P340" s="53" t="str">
        <f>IF(VLOOKUP($A340,DICO_Complet!$A$3:$U$983,17,FALSE)=0,"",VLOOKUP($A340,DICO_Complet!$A$3:$U$983,17,FALSE))</f>
        <v/>
      </c>
      <c r="Q340" s="53" t="str">
        <f>IF(VLOOKUP($A340,DICO_Complet!$A$3:$U$983,18,FALSE)=0,"",VLOOKUP($A340,DICO_Complet!$A$3:$U$983,18,FALSE))</f>
        <v/>
      </c>
    </row>
    <row r="341" spans="1:17">
      <c r="A341" s="38">
        <v>241112000076</v>
      </c>
      <c r="B341" s="47" t="s">
        <v>858</v>
      </c>
      <c r="C341" s="3" t="str">
        <f>VLOOKUP($A341,DICO_Complet!$A$3:$U$983,3,FALSE)</f>
        <v>Environment</v>
      </c>
      <c r="D341" s="3" t="str">
        <f>VLOOKUP($A341,DICO_Complet!$A$3:$U$983,4,FALSE)</f>
        <v>card</v>
      </c>
      <c r="E341" s="2" t="str">
        <f>VLOOKUP($A341,DICO_Complet!$A$3:$U$983,5,FALSE)</f>
        <v>issuerInstitutionId</v>
      </c>
      <c r="F341" s="2" t="str">
        <f>VLOOKUP($A341,DICO_Complet!$A$3:$U$983,6,FALSE)</f>
        <v>Max35Text</v>
      </c>
      <c r="G341" s="48">
        <f>VLOOKUP($A341,DICO_Complet!$A$3:$U$983,7,FALSE)</f>
        <v>0</v>
      </c>
      <c r="H341" s="48">
        <f>VLOOKUP($A341,DICO_Complet!$A$3:$U$983,8,FALSE)</f>
        <v>0</v>
      </c>
      <c r="I341" s="2" t="str">
        <f>IF(VLOOKUP($A341,DICO_Complet!$A$3:$U$983,9,FALSE)&lt;&gt;0,VLOOKUP($A341,DICO_Complet!$A$3:$U$983,9,FALSE),"")</f>
        <v/>
      </c>
      <c r="J341" s="1" t="str">
        <f>VLOOKUP($A341,DICO_Complet!$A$3:$U$983,10,FALSE)</f>
        <v>Issuer Bank Reference</v>
      </c>
      <c r="K341" s="53" t="str">
        <f>IF(VLOOKUP($A341,DICO_Complet!$A$3:$U$983,12,FALSE)=0,"",VLOOKUP($A341,DICO_Complet!$A$3:$U$983,12,FALSE))</f>
        <v>AUT123</v>
      </c>
      <c r="L341" s="53" t="str">
        <f>IF(VLOOKUP($A341,DICO_Complet!$A$3:$U$983,13,FALSE)=0,"",VLOOKUP($A341,DICO_Complet!$A$3:$U$983,13,FALSE))</f>
        <v/>
      </c>
      <c r="M341" s="53" t="str">
        <f>IF(VLOOKUP($A341,DICO_Complet!$A$3:$U$983,14,FALSE)=0,"",VLOOKUP($A341,DICO_Complet!$A$3:$U$983,14,FALSE))</f>
        <v/>
      </c>
      <c r="N341" s="53" t="str">
        <f>IF(VLOOKUP($A341,DICO_Complet!$A$3:$U$983,15,FALSE)=0,"",VLOOKUP($A341,DICO_Complet!$A$3:$U$983,15,FALSE))</f>
        <v/>
      </c>
      <c r="O341" s="53" t="str">
        <f>IF(VLOOKUP($A341,DICO_Complet!$A$3:$U$983,16,FALSE)=0,"",VLOOKUP($A341,DICO_Complet!$A$3:$U$983,16,FALSE))</f>
        <v/>
      </c>
      <c r="P341" s="53" t="str">
        <f>IF(VLOOKUP($A341,DICO_Complet!$A$3:$U$983,17,FALSE)=0,"",VLOOKUP($A341,DICO_Complet!$A$3:$U$983,17,FALSE))</f>
        <v/>
      </c>
      <c r="Q341" s="53" t="str">
        <f>IF(VLOOKUP($A341,DICO_Complet!$A$3:$U$983,18,FALSE)=0,"",VLOOKUP($A341,DICO_Complet!$A$3:$U$983,18,FALSE))</f>
        <v/>
      </c>
    </row>
    <row r="342" spans="1:17">
      <c r="A342" s="38">
        <v>250212182200</v>
      </c>
      <c r="B342" s="47" t="s">
        <v>858</v>
      </c>
      <c r="C342" s="3" t="str">
        <f>VLOOKUP($A342,DICO_Complet!$A$3:$U$983,3,FALSE)</f>
        <v>Environment</v>
      </c>
      <c r="D342" s="3" t="str">
        <f>VLOOKUP($A342,DICO_Complet!$A$3:$U$983,4,FALSE)</f>
        <v>card</v>
      </c>
      <c r="E342" s="2" t="str">
        <f>VLOOKUP($A342,DICO_Complet!$A$3:$U$983,5,FALSE)</f>
        <v>issuerLeaderInstitutionId</v>
      </c>
      <c r="F342" s="2" t="str">
        <f>VLOOKUP($A342,DICO_Complet!$A$3:$U$983,6,FALSE)</f>
        <v>Max35Text</v>
      </c>
      <c r="G342" s="48">
        <f>VLOOKUP($A342,DICO_Complet!$A$3:$U$983,7,FALSE)</f>
        <v>0</v>
      </c>
      <c r="H342" s="48">
        <f>VLOOKUP($A342,DICO_Complet!$A$3:$U$983,8,FALSE)</f>
        <v>0</v>
      </c>
      <c r="I342" s="2" t="str">
        <f>IF(VLOOKUP($A342,DICO_Complet!$A$3:$U$983,9,FALSE)&lt;&gt;0,VLOOKUP($A342,DICO_Complet!$A$3:$U$983,9,FALSE),"")</f>
        <v/>
      </c>
      <c r="J342" s="1" t="str">
        <f>VLOOKUP($A342,DICO_Complet!$A$3:$U$983,10,FALSE)</f>
        <v>Bank Leader of Issuer</v>
      </c>
      <c r="K342" s="53" t="str">
        <f>IF(VLOOKUP($A342,DICO_Complet!$A$3:$U$983,12,FALSE)=0,"",VLOOKUP($A342,DICO_Complet!$A$3:$U$983,12,FALSE))</f>
        <v>MFO5</v>
      </c>
      <c r="L342" s="53" t="str">
        <f>IF(VLOOKUP($A342,DICO_Complet!$A$3:$U$983,13,FALSE)=0,"",VLOOKUP($A342,DICO_Complet!$A$3:$U$983,13,FALSE))</f>
        <v/>
      </c>
      <c r="M342" s="53" t="str">
        <f>IF(VLOOKUP($A342,DICO_Complet!$A$3:$U$983,14,FALSE)=0,"",VLOOKUP($A342,DICO_Complet!$A$3:$U$983,14,FALSE))</f>
        <v/>
      </c>
      <c r="N342" s="53" t="str">
        <f>IF(VLOOKUP($A342,DICO_Complet!$A$3:$U$983,15,FALSE)=0,"",VLOOKUP($A342,DICO_Complet!$A$3:$U$983,15,FALSE))</f>
        <v/>
      </c>
      <c r="O342" s="53" t="str">
        <f>IF(VLOOKUP($A342,DICO_Complet!$A$3:$U$983,16,FALSE)=0,"",VLOOKUP($A342,DICO_Complet!$A$3:$U$983,16,FALSE))</f>
        <v/>
      </c>
      <c r="P342" s="53" t="str">
        <f>IF(VLOOKUP($A342,DICO_Complet!$A$3:$U$983,17,FALSE)=0,"",VLOOKUP($A342,DICO_Complet!$A$3:$U$983,17,FALSE))</f>
        <v/>
      </c>
      <c r="Q342" s="53" t="str">
        <f>IF(VLOOKUP($A342,DICO_Complet!$A$3:$U$983,18,FALSE)=0,"",VLOOKUP($A342,DICO_Complet!$A$3:$U$983,18,FALSE))</f>
        <v/>
      </c>
    </row>
    <row r="343" spans="1:17">
      <c r="A343" s="38">
        <v>250425100315</v>
      </c>
      <c r="B343" s="47" t="s">
        <v>858</v>
      </c>
      <c r="C343" s="3" t="str">
        <f>VLOOKUP($A343,DICO_Complet!$A$3:$U$983,3,FALSE)</f>
        <v>Environment</v>
      </c>
      <c r="D343" s="3" t="str">
        <f>VLOOKUP($A343,DICO_Complet!$A$3:$U$983,4,FALSE)</f>
        <v>card</v>
      </c>
      <c r="E343" s="2" t="str">
        <f>VLOOKUP($A343,DICO_Complet!$A$3:$U$983,5,FALSE)</f>
        <v>issuerScript</v>
      </c>
      <c r="F343" s="2" t="str">
        <f>VLOOKUP($A343,DICO_Complet!$A$3:$U$983,6,FALSE)</f>
        <v>Exact5HexBinaryText</v>
      </c>
      <c r="G343" s="48">
        <f>VLOOKUP($A343,DICO_Complet!$A$3:$U$983,7,FALSE)</f>
        <v>0</v>
      </c>
      <c r="H343" s="48">
        <f>VLOOKUP($A343,DICO_Complet!$A$3:$U$983,8,FALSE)</f>
        <v>0</v>
      </c>
      <c r="I343" s="2" t="str">
        <f>IF(VLOOKUP($A343,DICO_Complet!$A$3:$U$983,9,FALSE)&lt;&gt;0,VLOOKUP($A343,DICO_Complet!$A$3:$U$983,9,FALSE),"")</f>
        <v/>
      </c>
      <c r="J343" s="1" t="str">
        <f>VLOOKUP($A343,DICO_Complet!$A$3:$U$983,10,FALSE)</f>
        <v>issuer script results</v>
      </c>
      <c r="K343" s="53" t="str">
        <f>IF(VLOOKUP($A343,DICO_Complet!$A$3:$U$983,12,FALSE)=0,"",VLOOKUP($A343,DICO_Complet!$A$3:$U$983,12,FALSE))</f>
        <v/>
      </c>
      <c r="L343" s="53" t="str">
        <f>IF(VLOOKUP($A343,DICO_Complet!$A$3:$U$983,13,FALSE)=0,"",VLOOKUP($A343,DICO_Complet!$A$3:$U$983,13,FALSE))</f>
        <v/>
      </c>
      <c r="M343" s="53" t="str">
        <f>IF(VLOOKUP($A343,DICO_Complet!$A$3:$U$983,14,FALSE)=0,"",VLOOKUP($A343,DICO_Complet!$A$3:$U$983,14,FALSE))</f>
        <v>55_FF00</v>
      </c>
      <c r="N343" s="53" t="str">
        <f>IF(VLOOKUP($A343,DICO_Complet!$A$3:$U$983,15,FALSE)=0,"",VLOOKUP($A343,DICO_Complet!$A$3:$U$983,15,FALSE))</f>
        <v/>
      </c>
      <c r="O343" s="53" t="str">
        <f>IF(VLOOKUP($A343,DICO_Complet!$A$3:$U$983,16,FALSE)=0,"",VLOOKUP($A343,DICO_Complet!$A$3:$U$983,16,FALSE))</f>
        <v/>
      </c>
      <c r="P343" s="53" t="str">
        <f>IF(VLOOKUP($A343,DICO_Complet!$A$3:$U$983,17,FALSE)=0,"",VLOOKUP($A343,DICO_Complet!$A$3:$U$983,17,FALSE))</f>
        <v/>
      </c>
      <c r="Q343" s="53" t="str">
        <f>IF(VLOOKUP($A343,DICO_Complet!$A$3:$U$983,18,FALSE)=0,"",VLOOKUP($A343,DICO_Complet!$A$3:$U$983,18,FALSE))</f>
        <v/>
      </c>
    </row>
    <row r="344" spans="1:17">
      <c r="A344" s="38">
        <v>250410114326</v>
      </c>
      <c r="B344" s="47" t="s">
        <v>858</v>
      </c>
      <c r="C344" s="3" t="str">
        <f>VLOOKUP($A344,DICO_Complet!$A$3:$U$983,3,FALSE)</f>
        <v>Environment</v>
      </c>
      <c r="D344" s="3" t="str">
        <f>VLOOKUP($A344,DICO_Complet!$A$3:$U$983,4,FALSE)</f>
        <v>card</v>
      </c>
      <c r="E344" s="2" t="str">
        <f>VLOOKUP($A344,DICO_Complet!$A$3:$U$983,5,FALSE)</f>
        <v>lostOrStolenDateTime</v>
      </c>
      <c r="F344" s="2" t="str">
        <f>VLOOKUP($A344,DICO_Complet!$A$3:$U$983,6,FALSE)</f>
        <v>ISODateTime</v>
      </c>
      <c r="G344" s="48">
        <f>VLOOKUP($A344,DICO_Complet!$A$3:$U$983,7,FALSE)</f>
        <v>0</v>
      </c>
      <c r="H344" s="48">
        <f>VLOOKUP($A344,DICO_Complet!$A$3:$U$983,8,FALSE)</f>
        <v>0</v>
      </c>
      <c r="I344" s="2" t="str">
        <f>IF(VLOOKUP($A344,DICO_Complet!$A$3:$U$983,9,FALSE)&lt;&gt;0,VLOOKUP($A344,DICO_Complet!$A$3:$U$983,9,FALSE),"")</f>
        <v/>
      </c>
      <c r="J344" s="1" t="str">
        <f>VLOOKUP($A344,DICO_Complet!$A$3:$U$983,10,FALSE)</f>
        <v>Date de perte ou de vol de la carte</v>
      </c>
      <c r="K344" s="53" t="str">
        <f>IF(VLOOKUP($A344,DICO_Complet!$A$3:$U$983,12,FALSE)=0,"",VLOOKUP($A344,DICO_Complet!$A$3:$U$983,12,FALSE))</f>
        <v/>
      </c>
      <c r="L344" s="53" t="str">
        <f>IF(VLOOKUP($A344,DICO_Complet!$A$3:$U$983,13,FALSE)=0,"",VLOOKUP($A344,DICO_Complet!$A$3:$U$983,13,FALSE))</f>
        <v/>
      </c>
      <c r="M344" s="53" t="str">
        <f>IF(VLOOKUP($A344,DICO_Complet!$A$3:$U$983,14,FALSE)=0,"",VLOOKUP($A344,DICO_Complet!$A$3:$U$983,14,FALSE))</f>
        <v/>
      </c>
      <c r="N344" s="53" t="str">
        <f>IF(VLOOKUP($A344,DICO_Complet!$A$3:$U$983,15,FALSE)=0,"",VLOOKUP($A344,DICO_Complet!$A$3:$U$983,15,FALSE))</f>
        <v/>
      </c>
      <c r="O344" s="53" t="str">
        <f>IF(VLOOKUP($A344,DICO_Complet!$A$3:$U$983,16,FALSE)=0,"",VLOOKUP($A344,DICO_Complet!$A$3:$U$983,16,FALSE))</f>
        <v/>
      </c>
      <c r="P344" s="53" t="str">
        <f>IF(VLOOKUP($A344,DICO_Complet!$A$3:$U$983,17,FALSE)=0,"",VLOOKUP($A344,DICO_Complet!$A$3:$U$983,17,FALSE))</f>
        <v/>
      </c>
      <c r="Q344" s="53" t="str">
        <f>IF(VLOOKUP($A344,DICO_Complet!$A$3:$U$983,18,FALSE)=0,"",VLOOKUP($A344,DICO_Complet!$A$3:$U$983,18,FALSE))</f>
        <v/>
      </c>
    </row>
    <row r="345" spans="1:17">
      <c r="A345" s="38">
        <v>250410114317</v>
      </c>
      <c r="B345" s="47" t="s">
        <v>858</v>
      </c>
      <c r="C345" s="3" t="str">
        <f>VLOOKUP($A345,DICO_Complet!$A$3:$U$983,3,FALSE)</f>
        <v>Environment</v>
      </c>
      <c r="D345" s="3" t="str">
        <f>VLOOKUP($A345,DICO_Complet!$A$3:$U$983,4,FALSE)</f>
        <v>card</v>
      </c>
      <c r="E345" s="2" t="str">
        <f>VLOOKUP($A345,DICO_Complet!$A$3:$U$983,5,FALSE)</f>
        <v>maskedPAN</v>
      </c>
      <c r="F345" s="2" t="str">
        <f>VLOOKUP($A345,DICO_Complet!$A$3:$U$983,6,FALSE)</f>
        <v>Max30Text</v>
      </c>
      <c r="G345" s="48">
        <f>VLOOKUP($A345,DICO_Complet!$A$3:$U$983,7,FALSE)</f>
        <v>0</v>
      </c>
      <c r="H345" s="48">
        <f>VLOOKUP($A345,DICO_Complet!$A$3:$U$983,8,FALSE)</f>
        <v>0</v>
      </c>
      <c r="I345" s="2" t="str">
        <f>IF(VLOOKUP($A345,DICO_Complet!$A$3:$U$983,9,FALSE)&lt;&gt;0,VLOOKUP($A345,DICO_Complet!$A$3:$U$983,9,FALSE),"")</f>
        <v/>
      </c>
      <c r="J345" s="1" t="str">
        <f>VLOOKUP($A345,DICO_Complet!$A$3:$U$983,10,FALSE)</f>
        <v>Code carte masque</v>
      </c>
      <c r="K345" s="53" t="str">
        <f>IF(VLOOKUP($A345,DICO_Complet!$A$3:$U$983,12,FALSE)=0,"",VLOOKUP($A345,DICO_Complet!$A$3:$U$983,12,FALSE))</f>
        <v/>
      </c>
      <c r="L345" s="53" t="str">
        <f>IF(VLOOKUP($A345,DICO_Complet!$A$3:$U$983,13,FALSE)=0,"",VLOOKUP($A345,DICO_Complet!$A$3:$U$983,13,FALSE))</f>
        <v/>
      </c>
      <c r="M345" s="53" t="str">
        <f>IF(VLOOKUP($A345,DICO_Complet!$A$3:$U$983,14,FALSE)=0,"",VLOOKUP($A345,DICO_Complet!$A$3:$U$983,14,FALSE))</f>
        <v/>
      </c>
      <c r="N345" s="53" t="str">
        <f>IF(VLOOKUP($A345,DICO_Complet!$A$3:$U$983,15,FALSE)=0,"",VLOOKUP($A345,DICO_Complet!$A$3:$U$983,15,FALSE))</f>
        <v/>
      </c>
      <c r="O345" s="53" t="str">
        <f>IF(VLOOKUP($A345,DICO_Complet!$A$3:$U$983,16,FALSE)=0,"",VLOOKUP($A345,DICO_Complet!$A$3:$U$983,16,FALSE))</f>
        <v/>
      </c>
      <c r="P345" s="53" t="str">
        <f>IF(VLOOKUP($A345,DICO_Complet!$A$3:$U$983,17,FALSE)=0,"",VLOOKUP($A345,DICO_Complet!$A$3:$U$983,17,FALSE))</f>
        <v/>
      </c>
      <c r="Q345" s="53" t="str">
        <f>IF(VLOOKUP($A345,DICO_Complet!$A$3:$U$983,18,FALSE)=0,"",VLOOKUP($A345,DICO_Complet!$A$3:$U$983,18,FALSE))</f>
        <v/>
      </c>
    </row>
    <row r="346" spans="1:17">
      <c r="A346" s="38">
        <v>241112000089</v>
      </c>
      <c r="B346" s="47" t="s">
        <v>858</v>
      </c>
      <c r="C346" s="3" t="str">
        <f>VLOOKUP($A346,DICO_Complet!$A$3:$U$983,3,FALSE)</f>
        <v>Environment</v>
      </c>
      <c r="D346" s="3" t="str">
        <f>VLOOKUP($A346,DICO_Complet!$A$3:$U$983,4,FALSE)</f>
        <v>card</v>
      </c>
      <c r="E346" s="2" t="str">
        <f>VLOOKUP($A346,DICO_Complet!$A$3:$U$983,5,FALSE)</f>
        <v>mastercardProduct</v>
      </c>
      <c r="F346" s="2" t="str">
        <f>VLOOKUP($A346,DICO_Complet!$A$3:$U$983,6,FALSE)</f>
        <v>Exact3AlphaNumericText</v>
      </c>
      <c r="G346" s="48">
        <f>VLOOKUP($A346,DICO_Complet!$A$3:$U$983,7,FALSE)</f>
        <v>0</v>
      </c>
      <c r="H346" s="48">
        <f>VLOOKUP($A346,DICO_Complet!$A$3:$U$983,8,FALSE)</f>
        <v>0</v>
      </c>
      <c r="I346" s="2" t="str">
        <f>IF(VLOOKUP($A346,DICO_Complet!$A$3:$U$983,9,FALSE)&lt;&gt;0,VLOOKUP($A346,DICO_Complet!$A$3:$U$983,9,FALSE),"")</f>
        <v/>
      </c>
      <c r="J346" s="1" t="str">
        <f>VLOOKUP($A346,DICO_Complet!$A$3:$U$983,10,FALSE)</f>
        <v>Mastercard Product code given by SMINCA</v>
      </c>
      <c r="K346" s="53" t="str">
        <f>IF(VLOOKUP($A346,DICO_Complet!$A$3:$U$983,12,FALSE)=0,"",VLOOKUP($A346,DICO_Complet!$A$3:$U$983,12,FALSE))</f>
        <v>MPE2</v>
      </c>
      <c r="L346" s="53" t="str">
        <f>IF(VLOOKUP($A346,DICO_Complet!$A$3:$U$983,13,FALSE)=0,"",VLOOKUP($A346,DICO_Complet!$A$3:$U$983,13,FALSE))</f>
        <v/>
      </c>
      <c r="M346" s="53" t="str">
        <f>IF(VLOOKUP($A346,DICO_Complet!$A$3:$U$983,14,FALSE)=0,"",VLOOKUP($A346,DICO_Complet!$A$3:$U$983,14,FALSE))</f>
        <v/>
      </c>
      <c r="N346" s="53" t="str">
        <f>IF(VLOOKUP($A346,DICO_Complet!$A$3:$U$983,15,FALSE)=0,"",VLOOKUP($A346,DICO_Complet!$A$3:$U$983,15,FALSE))</f>
        <v/>
      </c>
      <c r="O346" s="53" t="str">
        <f>IF(VLOOKUP($A346,DICO_Complet!$A$3:$U$983,16,FALSE)=0,"",VLOOKUP($A346,DICO_Complet!$A$3:$U$983,16,FALSE))</f>
        <v/>
      </c>
      <c r="P346" s="53" t="str">
        <f>IF(VLOOKUP($A346,DICO_Complet!$A$3:$U$983,17,FALSE)=0,"",VLOOKUP($A346,DICO_Complet!$A$3:$U$983,17,FALSE))</f>
        <v/>
      </c>
      <c r="Q346" s="53" t="str">
        <f>IF(VLOOKUP($A346,DICO_Complet!$A$3:$U$983,18,FALSE)=0,"",VLOOKUP($A346,DICO_Complet!$A$3:$U$983,18,FALSE))</f>
        <v/>
      </c>
    </row>
    <row r="347" spans="1:17">
      <c r="A347" s="38">
        <v>241112000090</v>
      </c>
      <c r="B347" s="47" t="s">
        <v>858</v>
      </c>
      <c r="C347" s="3" t="str">
        <f>VLOOKUP($A347,DICO_Complet!$A$3:$U$983,3,FALSE)</f>
        <v>Environment</v>
      </c>
      <c r="D347" s="3" t="str">
        <f>VLOOKUP($A347,DICO_Complet!$A$3:$U$983,4,FALSE)</f>
        <v>card</v>
      </c>
      <c r="E347" s="2" t="str">
        <f>VLOOKUP($A347,DICO_Complet!$A$3:$U$983,5,FALSE)</f>
        <v>mastercardProgram</v>
      </c>
      <c r="F347" s="2" t="str">
        <f>VLOOKUP($A347,DICO_Complet!$A$3:$U$983,6,FALSE)</f>
        <v>Exact3AlphaNumericText</v>
      </c>
      <c r="G347" s="48">
        <f>VLOOKUP($A347,DICO_Complet!$A$3:$U$983,7,FALSE)</f>
        <v>0</v>
      </c>
      <c r="H347" s="48">
        <f>VLOOKUP($A347,DICO_Complet!$A$3:$U$983,8,FALSE)</f>
        <v>0</v>
      </c>
      <c r="I347" s="2" t="str">
        <f>IF(VLOOKUP($A347,DICO_Complet!$A$3:$U$983,9,FALSE)&lt;&gt;0,VLOOKUP($A347,DICO_Complet!$A$3:$U$983,9,FALSE),"")</f>
        <v/>
      </c>
      <c r="J347" s="1" t="str">
        <f>VLOOKUP($A347,DICO_Complet!$A$3:$U$983,10,FALSE)</f>
        <v>Mastercard Program code given by SMINCA</v>
      </c>
      <c r="K347" s="53" t="str">
        <f>IF(VLOOKUP($A347,DICO_Complet!$A$3:$U$983,12,FALSE)=0,"",VLOOKUP($A347,DICO_Complet!$A$3:$U$983,12,FALSE))</f>
        <v>MPE1</v>
      </c>
      <c r="L347" s="53" t="str">
        <f>IF(VLOOKUP($A347,DICO_Complet!$A$3:$U$983,13,FALSE)=0,"",VLOOKUP($A347,DICO_Complet!$A$3:$U$983,13,FALSE))</f>
        <v/>
      </c>
      <c r="M347" s="53" t="str">
        <f>IF(VLOOKUP($A347,DICO_Complet!$A$3:$U$983,14,FALSE)=0,"",VLOOKUP($A347,DICO_Complet!$A$3:$U$983,14,FALSE))</f>
        <v/>
      </c>
      <c r="N347" s="53" t="str">
        <f>IF(VLOOKUP($A347,DICO_Complet!$A$3:$U$983,15,FALSE)=0,"",VLOOKUP($A347,DICO_Complet!$A$3:$U$983,15,FALSE))</f>
        <v/>
      </c>
      <c r="O347" s="53" t="str">
        <f>IF(VLOOKUP($A347,DICO_Complet!$A$3:$U$983,16,FALSE)=0,"",VLOOKUP($A347,DICO_Complet!$A$3:$U$983,16,FALSE))</f>
        <v/>
      </c>
      <c r="P347" s="53" t="str">
        <f>IF(VLOOKUP($A347,DICO_Complet!$A$3:$U$983,17,FALSE)=0,"",VLOOKUP($A347,DICO_Complet!$A$3:$U$983,17,FALSE))</f>
        <v/>
      </c>
      <c r="Q347" s="53" t="str">
        <f>IF(VLOOKUP($A347,DICO_Complet!$A$3:$U$983,18,FALSE)=0,"",VLOOKUP($A347,DICO_Complet!$A$3:$U$983,18,FALSE))</f>
        <v/>
      </c>
    </row>
    <row r="348" spans="1:17">
      <c r="A348" s="38">
        <v>250410114300</v>
      </c>
      <c r="B348" s="47" t="s">
        <v>858</v>
      </c>
      <c r="C348" s="3" t="str">
        <f>VLOOKUP($A348,DICO_Complet!$A$3:$U$983,3,FALSE)</f>
        <v>Environment</v>
      </c>
      <c r="D348" s="3" t="str">
        <f>VLOOKUP($A348,DICO_Complet!$A$3:$U$983,4,FALSE)</f>
        <v>card</v>
      </c>
      <c r="E348" s="2" t="str">
        <f>VLOOKUP($A348,DICO_Complet!$A$3:$U$983,5,FALSE)</f>
        <v>ownerId</v>
      </c>
      <c r="F348" s="2" t="str">
        <f>VLOOKUP($A348,DICO_Complet!$A$3:$U$983,6,FALSE)</f>
        <v>Max36AlphaNumericText</v>
      </c>
      <c r="G348" s="48">
        <f>VLOOKUP($A348,DICO_Complet!$A$3:$U$983,7,FALSE)</f>
        <v>0</v>
      </c>
      <c r="H348" s="48">
        <f>VLOOKUP($A348,DICO_Complet!$A$3:$U$983,8,FALSE)</f>
        <v>0</v>
      </c>
      <c r="I348" s="2" t="str">
        <f>IF(VLOOKUP($A348,DICO_Complet!$A$3:$U$983,9,FALSE)&lt;&gt;0,VLOOKUP($A348,DICO_Complet!$A$3:$U$983,9,FALSE),"")</f>
        <v/>
      </c>
      <c r="J348" s="1" t="str">
        <f>VLOOKUP($A348,DICO_Complet!$A$3:$U$983,10,FALSE)</f>
        <v>Editeur : Technical identifier of the customer relationship. In case of customer relationship creation outside the migration context, it should not be filled in the input message.</v>
      </c>
      <c r="K348" s="53" t="str">
        <f>IF(VLOOKUP($A348,DICO_Complet!$A$3:$U$983,12,FALSE)=0,"",VLOOKUP($A348,DICO_Complet!$A$3:$U$983,12,FALSE))</f>
        <v/>
      </c>
      <c r="L348" s="53" t="str">
        <f>IF(VLOOKUP($A348,DICO_Complet!$A$3:$U$983,13,FALSE)=0,"",VLOOKUP($A348,DICO_Complet!$A$3:$U$983,13,FALSE))</f>
        <v/>
      </c>
      <c r="M348" s="53" t="str">
        <f>IF(VLOOKUP($A348,DICO_Complet!$A$3:$U$983,14,FALSE)=0,"",VLOOKUP($A348,DICO_Complet!$A$3:$U$983,14,FALSE))</f>
        <v/>
      </c>
      <c r="N348" s="53" t="str">
        <f>IF(VLOOKUP($A348,DICO_Complet!$A$3:$U$983,15,FALSE)=0,"",VLOOKUP($A348,DICO_Complet!$A$3:$U$983,15,FALSE))</f>
        <v/>
      </c>
      <c r="O348" s="53" t="str">
        <f>IF(VLOOKUP($A348,DICO_Complet!$A$3:$U$983,16,FALSE)=0,"",VLOOKUP($A348,DICO_Complet!$A$3:$U$983,16,FALSE))</f>
        <v/>
      </c>
      <c r="P348" s="53" t="str">
        <f>IF(VLOOKUP($A348,DICO_Complet!$A$3:$U$983,17,FALSE)=0,"",VLOOKUP($A348,DICO_Complet!$A$3:$U$983,17,FALSE))</f>
        <v/>
      </c>
      <c r="Q348" s="53" t="str">
        <f>IF(VLOOKUP($A348,DICO_Complet!$A$3:$U$983,18,FALSE)=0,"",VLOOKUP($A348,DICO_Complet!$A$3:$U$983,18,FALSE))</f>
        <v/>
      </c>
    </row>
    <row r="349" spans="1:17">
      <c r="A349" s="38">
        <v>241112000091</v>
      </c>
      <c r="B349" s="47" t="s">
        <v>858</v>
      </c>
      <c r="C349" s="3" t="str">
        <f>VLOOKUP($A349,DICO_Complet!$A$3:$U$983,3,FALSE)</f>
        <v>Environment</v>
      </c>
      <c r="D349" s="3" t="str">
        <f>VLOOKUP($A349,DICO_Complet!$A$3:$U$983,4,FALSE)</f>
        <v>card</v>
      </c>
      <c r="E349" s="2" t="str">
        <f>VLOOKUP($A349,DICO_Complet!$A$3:$U$983,5,FALSE)</f>
        <v>paymentAccountReference</v>
      </c>
      <c r="F349" s="2" t="str">
        <f>VLOOKUP($A349,DICO_Complet!$A$3:$U$983,6,FALSE)</f>
        <v>Max29AlphaNumericText</v>
      </c>
      <c r="G349" s="48">
        <f>VLOOKUP($A349,DICO_Complet!$A$3:$U$983,7,FALSE)</f>
        <v>0</v>
      </c>
      <c r="H349" s="48">
        <f>VLOOKUP($A349,DICO_Complet!$A$3:$U$983,8,FALSE)</f>
        <v>0</v>
      </c>
      <c r="I349" s="2" t="str">
        <f>IF(VLOOKUP($A349,DICO_Complet!$A$3:$U$983,9,FALSE)&lt;&gt;0,VLOOKUP($A349,DICO_Complet!$A$3:$U$983,9,FALSE),"")</f>
        <v/>
      </c>
      <c r="J349" s="1" t="str">
        <f>VLOOKUP($A349,DICO_Complet!$A$3:$U$983,10,FALSE)</f>
        <v>Payment account reference</v>
      </c>
      <c r="K349" s="53" t="str">
        <f>IF(VLOOKUP($A349,DICO_Complet!$A$3:$U$983,12,FALSE)=0,"",VLOOKUP($A349,DICO_Complet!$A$3:$U$983,12,FALSE))</f>
        <v>RSB57_56</v>
      </c>
      <c r="L349" s="53" t="str">
        <f>IF(VLOOKUP($A349,DICO_Complet!$A$3:$U$983,13,FALSE)=0,"",VLOOKUP($A349,DICO_Complet!$A$3:$U$983,13,FALSE))</f>
        <v>[57-0056]</v>
      </c>
      <c r="M349" s="53" t="str">
        <f>IF(VLOOKUP($A349,DICO_Complet!$A$3:$U$983,14,FALSE)=0,"",VLOOKUP($A349,DICO_Complet!$A$3:$U$983,14,FALSE))</f>
        <v/>
      </c>
      <c r="N349" s="53" t="str">
        <f>IF(VLOOKUP($A349,DICO_Complet!$A$3:$U$983,15,FALSE)=0,"",VLOOKUP($A349,DICO_Complet!$A$3:$U$983,15,FALSE))</f>
        <v/>
      </c>
      <c r="O349" s="53" t="str">
        <f>IF(VLOOKUP($A349,DICO_Complet!$A$3:$U$983,16,FALSE)=0,"",VLOOKUP($A349,DICO_Complet!$A$3:$U$983,16,FALSE))</f>
        <v/>
      </c>
      <c r="P349" s="53" t="str">
        <f>IF(VLOOKUP($A349,DICO_Complet!$A$3:$U$983,17,FALSE)=0,"",VLOOKUP($A349,DICO_Complet!$A$3:$U$983,17,FALSE))</f>
        <v/>
      </c>
      <c r="Q349" s="53" t="str">
        <f>IF(VLOOKUP($A349,DICO_Complet!$A$3:$U$983,18,FALSE)=0,"",VLOOKUP($A349,DICO_Complet!$A$3:$U$983,18,FALSE))</f>
        <v/>
      </c>
    </row>
    <row r="350" spans="1:17">
      <c r="A350" s="38">
        <v>250410114308</v>
      </c>
      <c r="B350" s="47" t="s">
        <v>858</v>
      </c>
      <c r="C350" s="3" t="str">
        <f>VLOOKUP($A350,DICO_Complet!$A$3:$U$983,3,FALSE)</f>
        <v>Environment</v>
      </c>
      <c r="D350" s="3" t="str">
        <f>VLOOKUP($A350,DICO_Complet!$A$3:$U$983,4,FALSE)</f>
        <v>card</v>
      </c>
      <c r="E350" s="2" t="str">
        <f>VLOOKUP($A350,DICO_Complet!$A$3:$U$983,5,FALSE)</f>
        <v>personalAccountNumberExternalInformation</v>
      </c>
      <c r="F350" s="2" t="str">
        <f>VLOOKUP($A350,DICO_Complet!$A$3:$U$983,6,FALSE)</f>
        <v>Max70Text</v>
      </c>
      <c r="G350" s="48">
        <f>VLOOKUP($A350,DICO_Complet!$A$3:$U$983,7,FALSE)</f>
        <v>0</v>
      </c>
      <c r="H350" s="48">
        <f>VLOOKUP($A350,DICO_Complet!$A$3:$U$983,8,FALSE)</f>
        <v>0</v>
      </c>
      <c r="I350" s="2" t="str">
        <f>IF(VLOOKUP($A350,DICO_Complet!$A$3:$U$983,9,FALSE)&lt;&gt;0,VLOOKUP($A350,DICO_Complet!$A$3:$U$983,9,FALSE),"")</f>
        <v/>
      </c>
      <c r="J350" s="1" t="str">
        <f>VLOOKUP($A350,DICO_Complet!$A$3:$U$983,10,FALSE)</f>
        <v>External information of the PAN</v>
      </c>
      <c r="K350" s="53" t="str">
        <f>IF(VLOOKUP($A350,DICO_Complet!$A$3:$U$983,12,FALSE)=0,"",VLOOKUP($A350,DICO_Complet!$A$3:$U$983,12,FALSE))</f>
        <v/>
      </c>
      <c r="L350" s="53" t="str">
        <f>IF(VLOOKUP($A350,DICO_Complet!$A$3:$U$983,13,FALSE)=0,"",VLOOKUP($A350,DICO_Complet!$A$3:$U$983,13,FALSE))</f>
        <v/>
      </c>
      <c r="M350" s="53" t="str">
        <f>IF(VLOOKUP($A350,DICO_Complet!$A$3:$U$983,14,FALSE)=0,"",VLOOKUP($A350,DICO_Complet!$A$3:$U$983,14,FALSE))</f>
        <v/>
      </c>
      <c r="N350" s="53" t="str">
        <f>IF(VLOOKUP($A350,DICO_Complet!$A$3:$U$983,15,FALSE)=0,"",VLOOKUP($A350,DICO_Complet!$A$3:$U$983,15,FALSE))</f>
        <v/>
      </c>
      <c r="O350" s="53" t="str">
        <f>IF(VLOOKUP($A350,DICO_Complet!$A$3:$U$983,16,FALSE)=0,"",VLOOKUP($A350,DICO_Complet!$A$3:$U$983,16,FALSE))</f>
        <v/>
      </c>
      <c r="P350" s="53" t="str">
        <f>IF(VLOOKUP($A350,DICO_Complet!$A$3:$U$983,17,FALSE)=0,"",VLOOKUP($A350,DICO_Complet!$A$3:$U$983,17,FALSE))</f>
        <v/>
      </c>
      <c r="Q350" s="53" t="str">
        <f>IF(VLOOKUP($A350,DICO_Complet!$A$3:$U$983,18,FALSE)=0,"",VLOOKUP($A350,DICO_Complet!$A$3:$U$983,18,FALSE))</f>
        <v/>
      </c>
    </row>
    <row r="351" spans="1:17">
      <c r="A351" s="38">
        <v>241112000092</v>
      </c>
      <c r="B351" s="47" t="s">
        <v>858</v>
      </c>
      <c r="C351" s="3" t="str">
        <f>VLOOKUP($A351,DICO_Complet!$A$3:$U$983,3,FALSE)</f>
        <v>Environment</v>
      </c>
      <c r="D351" s="3" t="str">
        <f>VLOOKUP($A351,DICO_Complet!$A$3:$U$983,4,FALSE)</f>
        <v>card</v>
      </c>
      <c r="E351" s="2" t="str">
        <f>VLOOKUP($A351,DICO_Complet!$A$3:$U$983,5,FALSE)</f>
        <v>primaryAccountNumber</v>
      </c>
      <c r="F351" s="2" t="str">
        <f>VLOOKUP($A351,DICO_Complet!$A$3:$U$983,6,FALSE)</f>
        <v>Max19NumericText</v>
      </c>
      <c r="G351" s="48">
        <f>VLOOKUP($A351,DICO_Complet!$A$3:$U$983,7,FALSE)</f>
        <v>0</v>
      </c>
      <c r="H351" s="48">
        <f>VLOOKUP($A351,DICO_Complet!$A$3:$U$983,8,FALSE)</f>
        <v>0</v>
      </c>
      <c r="I351" s="2" t="str">
        <f>IF(VLOOKUP($A351,DICO_Complet!$A$3:$U$983,9,FALSE)&lt;&gt;0,VLOOKUP($A351,DICO_Complet!$A$3:$U$983,9,FALSE),"")</f>
        <v/>
      </c>
      <c r="J351" s="1" t="str">
        <f>VLOOKUP($A351,DICO_Complet!$A$3:$U$983,10,FALSE)</f>
        <v>Primary Account Number</v>
      </c>
      <c r="K351" s="53" t="str">
        <f>IF(VLOOKUP($A351,DICO_Complet!$A$3:$U$983,12,FALSE)=0,"",VLOOKUP($A351,DICO_Complet!$A$3:$U$983,12,FALSE))</f>
        <v>ISO2 / RSB105_11</v>
      </c>
      <c r="L351" s="53" t="str">
        <f>IF(VLOOKUP($A351,DICO_Complet!$A$3:$U$983,13,FALSE)=0,"",VLOOKUP($A351,DICO_Complet!$A$3:$U$983,13,FALSE))</f>
        <v>[105-11;2]</v>
      </c>
      <c r="M351" s="53" t="str">
        <f>IF(VLOOKUP($A351,DICO_Complet!$A$3:$U$983,14,FALSE)=0,"",VLOOKUP($A351,DICO_Complet!$A$3:$U$983,14,FALSE))</f>
        <v/>
      </c>
      <c r="N351" s="53" t="str">
        <f>IF(VLOOKUP($A351,DICO_Complet!$A$3:$U$983,15,FALSE)=0,"",VLOOKUP($A351,DICO_Complet!$A$3:$U$983,15,FALSE))</f>
        <v/>
      </c>
      <c r="O351" s="53" t="str">
        <f>IF(VLOOKUP($A351,DICO_Complet!$A$3:$U$983,16,FALSE)=0,"",VLOOKUP($A351,DICO_Complet!$A$3:$U$983,16,FALSE))</f>
        <v/>
      </c>
      <c r="P351" s="53" t="str">
        <f>IF(VLOOKUP($A351,DICO_Complet!$A$3:$U$983,17,FALSE)=0,"",VLOOKUP($A351,DICO_Complet!$A$3:$U$983,17,FALSE))</f>
        <v/>
      </c>
      <c r="Q351" s="53" t="str">
        <f>IF(VLOOKUP($A351,DICO_Complet!$A$3:$U$983,18,FALSE)=0,"",VLOOKUP($A351,DICO_Complet!$A$3:$U$983,18,FALSE))</f>
        <v/>
      </c>
    </row>
    <row r="352" spans="1:17">
      <c r="A352" s="38">
        <v>241112000215</v>
      </c>
      <c r="B352" s="47" t="s">
        <v>858</v>
      </c>
      <c r="C352" s="3" t="str">
        <f>VLOOKUP($A352,DICO_Complet!$A$3:$U$983,3,FALSE)</f>
        <v>Environment</v>
      </c>
      <c r="D352" s="3" t="str">
        <f>VLOOKUP($A352,DICO_Complet!$A$3:$U$983,4,FALSE)</f>
        <v>card</v>
      </c>
      <c r="E352" s="2" t="str">
        <f>VLOOKUP($A352,DICO_Complet!$A$3:$U$983,5,FALSE)</f>
        <v>primaryAccountNumberL4D</v>
      </c>
      <c r="F352" s="2" t="str">
        <f>VLOOKUP($A352,DICO_Complet!$A$3:$U$983,6,FALSE)</f>
        <v>Exact4NumericText</v>
      </c>
      <c r="G352" s="48">
        <f>VLOOKUP($A352,DICO_Complet!$A$3:$U$983,7,FALSE)</f>
        <v>0</v>
      </c>
      <c r="H352" s="48">
        <f>VLOOKUP($A352,DICO_Complet!$A$3:$U$983,8,FALSE)</f>
        <v>0</v>
      </c>
      <c r="I352" s="2" t="str">
        <f>IF(VLOOKUP($A352,DICO_Complet!$A$3:$U$983,9,FALSE)&lt;&gt;0,VLOOKUP($A352,DICO_Complet!$A$3:$U$983,9,FALSE),"")</f>
        <v/>
      </c>
      <c r="J352" s="1" t="str">
        <f>VLOOKUP($A352,DICO_Complet!$A$3:$U$983,10,FALSE)</f>
        <v>Last four digits of PAN</v>
      </c>
      <c r="K352" s="53" t="str">
        <f>IF(VLOOKUP($A352,DICO_Complet!$A$3:$U$983,12,FALSE)=0,"",VLOOKUP($A352,DICO_Complet!$A$3:$U$983,12,FALSE))</f>
        <v>RSB105_10</v>
      </c>
      <c r="L352" s="53" t="str">
        <f>IF(VLOOKUP($A352,DICO_Complet!$A$3:$U$983,13,FALSE)=0,"",VLOOKUP($A352,DICO_Complet!$A$3:$U$983,13,FALSE))</f>
        <v>[105-10]</v>
      </c>
      <c r="M352" s="53" t="str">
        <f>IF(VLOOKUP($A352,DICO_Complet!$A$3:$U$983,14,FALSE)=0,"",VLOOKUP($A352,DICO_Complet!$A$3:$U$983,14,FALSE))</f>
        <v/>
      </c>
      <c r="N352" s="53" t="str">
        <f>IF(VLOOKUP($A352,DICO_Complet!$A$3:$U$983,15,FALSE)=0,"",VLOOKUP($A352,DICO_Complet!$A$3:$U$983,15,FALSE))</f>
        <v/>
      </c>
      <c r="O352" s="53" t="str">
        <f>IF(VLOOKUP($A352,DICO_Complet!$A$3:$U$983,16,FALSE)=0,"",VLOOKUP($A352,DICO_Complet!$A$3:$U$983,16,FALSE))</f>
        <v/>
      </c>
      <c r="P352" s="53" t="str">
        <f>IF(VLOOKUP($A352,DICO_Complet!$A$3:$U$983,17,FALSE)=0,"",VLOOKUP($A352,DICO_Complet!$A$3:$U$983,17,FALSE))</f>
        <v/>
      </c>
      <c r="Q352" s="53" t="str">
        <f>IF(VLOOKUP($A352,DICO_Complet!$A$3:$U$983,18,FALSE)=0,"",VLOOKUP($A352,DICO_Complet!$A$3:$U$983,18,FALSE))</f>
        <v/>
      </c>
    </row>
    <row r="353" spans="1:17">
      <c r="A353" s="38">
        <v>250410114316</v>
      </c>
      <c r="B353" s="47" t="s">
        <v>858</v>
      </c>
      <c r="C353" s="3" t="str">
        <f>VLOOKUP($A353,DICO_Complet!$A$3:$U$983,3,FALSE)</f>
        <v>Environment</v>
      </c>
      <c r="D353" s="3" t="str">
        <f>VLOOKUP($A353,DICO_Complet!$A$3:$U$983,4,FALSE)</f>
        <v>card</v>
      </c>
      <c r="E353" s="2" t="str">
        <f>VLOOKUP($A353,DICO_Complet!$A$3:$U$983,5,FALSE)</f>
        <v>priorityRank</v>
      </c>
      <c r="F353" s="2" t="str">
        <f>VLOOKUP($A353,DICO_Complet!$A$3:$U$983,6,FALSE)</f>
        <v>Max999NumericText</v>
      </c>
      <c r="G353" s="48">
        <f>VLOOKUP($A353,DICO_Complet!$A$3:$U$983,7,FALSE)</f>
        <v>0</v>
      </c>
      <c r="H353" s="48">
        <f>VLOOKUP($A353,DICO_Complet!$A$3:$U$983,8,FALSE)</f>
        <v>0</v>
      </c>
      <c r="I353" s="2" t="str">
        <f>IF(VLOOKUP($A353,DICO_Complet!$A$3:$U$983,9,FALSE)&lt;&gt;0,VLOOKUP($A353,DICO_Complet!$A$3:$U$983,9,FALSE),"")</f>
        <v/>
      </c>
      <c r="J353" s="1" t="str">
        <f>VLOOKUP($A353,DICO_Complet!$A$3:$U$983,10,FALSE)</f>
        <v xml:space="preserve">Prioritisation rank </v>
      </c>
      <c r="K353" s="53" t="str">
        <f>IF(VLOOKUP($A353,DICO_Complet!$A$3:$U$983,12,FALSE)=0,"",VLOOKUP($A353,DICO_Complet!$A$3:$U$983,12,FALSE))</f>
        <v/>
      </c>
      <c r="L353" s="53" t="str">
        <f>IF(VLOOKUP($A353,DICO_Complet!$A$3:$U$983,13,FALSE)=0,"",VLOOKUP($A353,DICO_Complet!$A$3:$U$983,13,FALSE))</f>
        <v/>
      </c>
      <c r="M353" s="53" t="str">
        <f>IF(VLOOKUP($A353,DICO_Complet!$A$3:$U$983,14,FALSE)=0,"",VLOOKUP($A353,DICO_Complet!$A$3:$U$983,14,FALSE))</f>
        <v/>
      </c>
      <c r="N353" s="53" t="str">
        <f>IF(VLOOKUP($A353,DICO_Complet!$A$3:$U$983,15,FALSE)=0,"",VLOOKUP($A353,DICO_Complet!$A$3:$U$983,15,FALSE))</f>
        <v/>
      </c>
      <c r="O353" s="53" t="str">
        <f>IF(VLOOKUP($A353,DICO_Complet!$A$3:$U$983,16,FALSE)=0,"",VLOOKUP($A353,DICO_Complet!$A$3:$U$983,16,FALSE))</f>
        <v/>
      </c>
      <c r="P353" s="53" t="str">
        <f>IF(VLOOKUP($A353,DICO_Complet!$A$3:$U$983,17,FALSE)=0,"",VLOOKUP($A353,DICO_Complet!$A$3:$U$983,17,FALSE))</f>
        <v/>
      </c>
      <c r="Q353" s="53" t="str">
        <f>IF(VLOOKUP($A353,DICO_Complet!$A$3:$U$983,18,FALSE)=0,"",VLOOKUP($A353,DICO_Complet!$A$3:$U$983,18,FALSE))</f>
        <v/>
      </c>
    </row>
    <row r="354" spans="1:17">
      <c r="A354" s="38">
        <v>241112000094</v>
      </c>
      <c r="B354" s="47" t="s">
        <v>858</v>
      </c>
      <c r="C354" s="3" t="str">
        <f>VLOOKUP($A354,DICO_Complet!$A$3:$U$983,3,FALSE)</f>
        <v>Environment</v>
      </c>
      <c r="D354" s="3" t="str">
        <f>VLOOKUP($A354,DICO_Complet!$A$3:$U$983,4,FALSE)</f>
        <v>card</v>
      </c>
      <c r="E354" s="2" t="str">
        <f>VLOOKUP($A354,DICO_Complet!$A$3:$U$983,5,FALSE)</f>
        <v>processorCardData</v>
      </c>
      <c r="F354" s="2" t="str">
        <f>VLOOKUP($A354,DICO_Complet!$A$3:$U$983,6,FALSE)</f>
        <v>ProcessorCardDataType</v>
      </c>
      <c r="G354" s="48">
        <f>VLOOKUP($A354,DICO_Complet!$A$3:$U$983,7,FALSE)</f>
        <v>0</v>
      </c>
      <c r="H354" s="48">
        <f>VLOOKUP($A354,DICO_Complet!$A$3:$U$983,8,FALSE)</f>
        <v>0</v>
      </c>
      <c r="I354" s="2" t="str">
        <f>IF(VLOOKUP($A354,DICO_Complet!$A$3:$U$983,9,FALSE)&lt;&gt;0,VLOOKUP($A354,DICO_Complet!$A$3:$U$983,9,FALSE),"")</f>
        <v/>
      </c>
      <c r="J354" s="1" t="str">
        <f>VLOOKUP($A354,DICO_Complet!$A$3:$U$983,10,FALSE)</f>
        <v xml:space="preserve">Usage of the card </v>
      </c>
      <c r="K354" s="53" t="str">
        <f>IF(VLOOKUP($A354,DICO_Complet!$A$3:$U$983,12,FALSE)=0,"",VLOOKUP($A354,DICO_Complet!$A$3:$U$983,12,FALSE))</f>
        <v>AUT101 / AUT102</v>
      </c>
      <c r="L354" s="53" t="str">
        <f>IF(VLOOKUP($A354,DICO_Complet!$A$3:$U$983,13,FALSE)=0,"",VLOOKUP($A354,DICO_Complet!$A$3:$U$983,13,FALSE))</f>
        <v/>
      </c>
      <c r="M354" s="53" t="str">
        <f>IF(VLOOKUP($A354,DICO_Complet!$A$3:$U$983,14,FALSE)=0,"",VLOOKUP($A354,DICO_Complet!$A$3:$U$983,14,FALSE))</f>
        <v/>
      </c>
      <c r="N354" s="53" t="str">
        <f>IF(VLOOKUP($A354,DICO_Complet!$A$3:$U$983,15,FALSE)=0,"",VLOOKUP($A354,DICO_Complet!$A$3:$U$983,15,FALSE))</f>
        <v/>
      </c>
      <c r="O354" s="53" t="str">
        <f>IF(VLOOKUP($A354,DICO_Complet!$A$3:$U$983,16,FALSE)=0,"",VLOOKUP($A354,DICO_Complet!$A$3:$U$983,16,FALSE))</f>
        <v/>
      </c>
      <c r="P354" s="53" t="str">
        <f>IF(VLOOKUP($A354,DICO_Complet!$A$3:$U$983,17,FALSE)=0,"",VLOOKUP($A354,DICO_Complet!$A$3:$U$983,17,FALSE))</f>
        <v/>
      </c>
      <c r="Q354" s="53" t="str">
        <f>IF(VLOOKUP($A354,DICO_Complet!$A$3:$U$983,18,FALSE)=0,"",VLOOKUP($A354,DICO_Complet!$A$3:$U$983,18,FALSE))</f>
        <v/>
      </c>
    </row>
    <row r="355" spans="1:17">
      <c r="A355" s="38">
        <v>241112000095</v>
      </c>
      <c r="B355" s="47" t="s">
        <v>858</v>
      </c>
      <c r="C355" s="3" t="str">
        <f>VLOOKUP($A355,DICO_Complet!$A$3:$U$983,3,FALSE)</f>
        <v>Environment</v>
      </c>
      <c r="D355" s="3" t="str">
        <f>VLOOKUP($A355,DICO_Complet!$A$3:$U$983,4,FALSE)</f>
        <v>card</v>
      </c>
      <c r="E355" s="2" t="str">
        <f>VLOOKUP($A355,DICO_Complet!$A$3:$U$983,5,FALSE)</f>
        <v>processorIssuerData</v>
      </c>
      <c r="F355" s="2" t="str">
        <f>VLOOKUP($A355,DICO_Complet!$A$3:$U$983,6,FALSE)</f>
        <v>ProcessorIssuerDataType</v>
      </c>
      <c r="G355" s="48">
        <f>VLOOKUP($A355,DICO_Complet!$A$3:$U$983,7,FALSE)</f>
        <v>0</v>
      </c>
      <c r="H355" s="48">
        <f>VLOOKUP($A355,DICO_Complet!$A$3:$U$983,8,FALSE)</f>
        <v>0</v>
      </c>
      <c r="I355" s="2" t="str">
        <f>IF(VLOOKUP($A355,DICO_Complet!$A$3:$U$983,9,FALSE)&lt;&gt;0,VLOOKUP($A355,DICO_Complet!$A$3:$U$983,9,FALSE),"")</f>
        <v/>
      </c>
      <c r="J355" s="1" t="str">
        <f>VLOOKUP($A355,DICO_Complet!$A$3:$U$983,10,FALSE)</f>
        <v xml:space="preserve">Place of issuer </v>
      </c>
      <c r="K355" s="53" t="str">
        <f>IF(VLOOKUP($A355,DICO_Complet!$A$3:$U$983,12,FALSE)=0,"",VLOOKUP($A355,DICO_Complet!$A$3:$U$983,12,FALSE))</f>
        <v>AUT105 / AUT106</v>
      </c>
      <c r="L355" s="53" t="str">
        <f>IF(VLOOKUP($A355,DICO_Complet!$A$3:$U$983,13,FALSE)=0,"",VLOOKUP($A355,DICO_Complet!$A$3:$U$983,13,FALSE))</f>
        <v/>
      </c>
      <c r="M355" s="53" t="str">
        <f>IF(VLOOKUP($A355,DICO_Complet!$A$3:$U$983,14,FALSE)=0,"",VLOOKUP($A355,DICO_Complet!$A$3:$U$983,14,FALSE))</f>
        <v/>
      </c>
      <c r="N355" s="53" t="str">
        <f>IF(VLOOKUP($A355,DICO_Complet!$A$3:$U$983,15,FALSE)=0,"",VLOOKUP($A355,DICO_Complet!$A$3:$U$983,15,FALSE))</f>
        <v/>
      </c>
      <c r="O355" s="53" t="str">
        <f>IF(VLOOKUP($A355,DICO_Complet!$A$3:$U$983,16,FALSE)=0,"",VLOOKUP($A355,DICO_Complet!$A$3:$U$983,16,FALSE))</f>
        <v/>
      </c>
      <c r="P355" s="53" t="str">
        <f>IF(VLOOKUP($A355,DICO_Complet!$A$3:$U$983,17,FALSE)=0,"",VLOOKUP($A355,DICO_Complet!$A$3:$U$983,17,FALSE))</f>
        <v/>
      </c>
      <c r="Q355" s="53" t="str">
        <f>IF(VLOOKUP($A355,DICO_Complet!$A$3:$U$983,18,FALSE)=0,"",VLOOKUP($A355,DICO_Complet!$A$3:$U$983,18,FALSE))</f>
        <v/>
      </c>
    </row>
    <row r="356" spans="1:17">
      <c r="A356" s="38">
        <v>250331114310</v>
      </c>
      <c r="B356" s="47" t="s">
        <v>858</v>
      </c>
      <c r="C356" s="3" t="str">
        <f>VLOOKUP($A356,DICO_Complet!$A$3:$U$983,3,FALSE)</f>
        <v>Environment</v>
      </c>
      <c r="D356" s="3" t="str">
        <f>VLOOKUP($A356,DICO_Complet!$A$3:$U$983,4,FALSE)</f>
        <v>card</v>
      </c>
      <c r="E356" s="2" t="str">
        <f>VLOOKUP($A356,DICO_Complet!$A$3:$U$983,5,FALSE)</f>
        <v>productCode</v>
      </c>
      <c r="F356" s="2" t="str">
        <f>VLOOKUP($A356,DICO_Complet!$A$3:$U$983,6,FALSE)</f>
        <v>Max50Text</v>
      </c>
      <c r="G356" s="48">
        <f>VLOOKUP($A356,DICO_Complet!$A$3:$U$983,7,FALSE)</f>
        <v>0</v>
      </c>
      <c r="H356" s="48">
        <f>VLOOKUP($A356,DICO_Complet!$A$3:$U$983,8,FALSE)</f>
        <v>0</v>
      </c>
      <c r="I356" s="2" t="str">
        <f>IF(VLOOKUP($A356,DICO_Complet!$A$3:$U$983,9,FALSE)&lt;&gt;0,VLOOKUP($A356,DICO_Complet!$A$3:$U$983,9,FALSE),"")</f>
        <v/>
      </c>
      <c r="J356" s="1" t="str">
        <f>VLOOKUP($A356,DICO_Complet!$A$3:$U$983,10,FALSE)</f>
        <v>Product Code</v>
      </c>
      <c r="K356" s="53" t="str">
        <f>IF(VLOOKUP($A356,DICO_Complet!$A$3:$U$983,12,FALSE)=0,"",VLOOKUP($A356,DICO_Complet!$A$3:$U$983,12,FALSE))</f>
        <v/>
      </c>
      <c r="L356" s="53" t="str">
        <f>IF(VLOOKUP($A356,DICO_Complet!$A$3:$U$983,13,FALSE)=0,"",VLOOKUP($A356,DICO_Complet!$A$3:$U$983,13,FALSE))</f>
        <v/>
      </c>
      <c r="M356" s="53" t="str">
        <f>IF(VLOOKUP($A356,DICO_Complet!$A$3:$U$983,14,FALSE)=0,"",VLOOKUP($A356,DICO_Complet!$A$3:$U$983,14,FALSE))</f>
        <v/>
      </c>
      <c r="N356" s="53" t="str">
        <f>IF(VLOOKUP($A356,DICO_Complet!$A$3:$U$983,15,FALSE)=0,"",VLOOKUP($A356,DICO_Complet!$A$3:$U$983,15,FALSE))</f>
        <v/>
      </c>
      <c r="O356" s="53" t="str">
        <f>IF(VLOOKUP($A356,DICO_Complet!$A$3:$U$983,16,FALSE)=0,"",VLOOKUP($A356,DICO_Complet!$A$3:$U$983,16,FALSE))</f>
        <v/>
      </c>
      <c r="P356" s="53" t="str">
        <f>IF(VLOOKUP($A356,DICO_Complet!$A$3:$U$983,17,FALSE)=0,"",VLOOKUP($A356,DICO_Complet!$A$3:$U$983,17,FALSE))</f>
        <v/>
      </c>
      <c r="Q356" s="53" t="str">
        <f>IF(VLOOKUP($A356,DICO_Complet!$A$3:$U$983,18,FALSE)=0,"",VLOOKUP($A356,DICO_Complet!$A$3:$U$983,18,FALSE))</f>
        <v/>
      </c>
    </row>
    <row r="357" spans="1:17">
      <c r="A357" s="38">
        <v>250410114314</v>
      </c>
      <c r="B357" s="47" t="s">
        <v>858</v>
      </c>
      <c r="C357" s="3" t="str">
        <f>VLOOKUP($A357,DICO_Complet!$A$3:$U$983,3,FALSE)</f>
        <v>Environment</v>
      </c>
      <c r="D357" s="3" t="str">
        <f>VLOOKUP($A357,DICO_Complet!$A$3:$U$983,4,FALSE)</f>
        <v>card</v>
      </c>
      <c r="E357" s="2" t="str">
        <f>VLOOKUP($A357,DICO_Complet!$A$3:$U$983,5,FALSE)</f>
        <v>subscribeContextSettlementsConditionCode</v>
      </c>
      <c r="F357" s="2" t="str">
        <f>VLOOKUP($A357,DICO_Complet!$A$3:$U$983,6,FALSE)</f>
        <v>SubscribeContextSettlementsConditionCodeset</v>
      </c>
      <c r="G357" s="48">
        <f>VLOOKUP($A357,DICO_Complet!$A$3:$U$983,7,FALSE)</f>
        <v>0</v>
      </c>
      <c r="H357" s="48">
        <f>VLOOKUP($A357,DICO_Complet!$A$3:$U$983,8,FALSE)</f>
        <v>0</v>
      </c>
      <c r="I357" s="2" t="str">
        <f>IF(VLOOKUP($A357,DICO_Complet!$A$3:$U$983,9,FALSE)&lt;&gt;0,VLOOKUP($A357,DICO_Complet!$A$3:$U$983,9,FALSE),"")</f>
        <v/>
      </c>
      <c r="J357" s="1" t="str">
        <f>VLOOKUP($A357,DICO_Complet!$A$3:$U$983,10,FALSE)</f>
        <v xml:space="preserve">Contract Settlements Condition </v>
      </c>
      <c r="K357" s="53" t="str">
        <f>IF(VLOOKUP($A357,DICO_Complet!$A$3:$U$983,12,FALSE)=0,"",VLOOKUP($A357,DICO_Complet!$A$3:$U$983,12,FALSE))</f>
        <v/>
      </c>
      <c r="L357" s="53" t="str">
        <f>IF(VLOOKUP($A357,DICO_Complet!$A$3:$U$983,13,FALSE)=0,"",VLOOKUP($A357,DICO_Complet!$A$3:$U$983,13,FALSE))</f>
        <v/>
      </c>
      <c r="M357" s="53" t="str">
        <f>IF(VLOOKUP($A357,DICO_Complet!$A$3:$U$983,14,FALSE)=0,"",VLOOKUP($A357,DICO_Complet!$A$3:$U$983,14,FALSE))</f>
        <v/>
      </c>
      <c r="N357" s="53" t="str">
        <f>IF(VLOOKUP($A357,DICO_Complet!$A$3:$U$983,15,FALSE)=0,"",VLOOKUP($A357,DICO_Complet!$A$3:$U$983,15,FALSE))</f>
        <v/>
      </c>
      <c r="O357" s="53" t="str">
        <f>IF(VLOOKUP($A357,DICO_Complet!$A$3:$U$983,16,FALSE)=0,"",VLOOKUP($A357,DICO_Complet!$A$3:$U$983,16,FALSE))</f>
        <v/>
      </c>
      <c r="P357" s="53" t="str">
        <f>IF(VLOOKUP($A357,DICO_Complet!$A$3:$U$983,17,FALSE)=0,"",VLOOKUP($A357,DICO_Complet!$A$3:$U$983,17,FALSE))</f>
        <v/>
      </c>
      <c r="Q357" s="53" t="str">
        <f>IF(VLOOKUP($A357,DICO_Complet!$A$3:$U$983,18,FALSE)=0,"",VLOOKUP($A357,DICO_Complet!$A$3:$U$983,18,FALSE))</f>
        <v/>
      </c>
    </row>
    <row r="358" spans="1:17">
      <c r="A358" s="38">
        <v>250410114315</v>
      </c>
      <c r="B358" s="47" t="s">
        <v>858</v>
      </c>
      <c r="C358" s="3" t="str">
        <f>VLOOKUP($A358,DICO_Complet!$A$3:$U$983,3,FALSE)</f>
        <v>Environment</v>
      </c>
      <c r="D358" s="3" t="str">
        <f>VLOOKUP($A358,DICO_Complet!$A$3:$U$983,4,FALSE)</f>
        <v>card</v>
      </c>
      <c r="E358" s="2" t="str">
        <f>VLOOKUP($A358,DICO_Complet!$A$3:$U$983,5,FALSE)</f>
        <v>subscribeCurrencySettlementsCurrencyCode</v>
      </c>
      <c r="F358" s="2" t="str">
        <f>VLOOKUP($A358,DICO_Complet!$A$3:$U$983,6,FALSE)</f>
        <v>ISO3NumericCurrencyCode</v>
      </c>
      <c r="G358" s="48">
        <f>VLOOKUP($A358,DICO_Complet!$A$3:$U$983,7,FALSE)</f>
        <v>0</v>
      </c>
      <c r="H358" s="48">
        <f>VLOOKUP($A358,DICO_Complet!$A$3:$U$983,8,FALSE)</f>
        <v>0</v>
      </c>
      <c r="I358" s="2" t="str">
        <f>IF(VLOOKUP($A358,DICO_Complet!$A$3:$U$983,9,FALSE)&lt;&gt;0,VLOOKUP($A358,DICO_Complet!$A$3:$U$983,9,FALSE),"")</f>
        <v/>
      </c>
      <c r="J358" s="1" t="str">
        <f>VLOOKUP($A358,DICO_Complet!$A$3:$U$983,10,FALSE)</f>
        <v>Contract Settlements Currency</v>
      </c>
      <c r="K358" s="53" t="str">
        <f>IF(VLOOKUP($A358,DICO_Complet!$A$3:$U$983,12,FALSE)=0,"",VLOOKUP($A358,DICO_Complet!$A$3:$U$983,12,FALSE))</f>
        <v/>
      </c>
      <c r="L358" s="53" t="str">
        <f>IF(VLOOKUP($A358,DICO_Complet!$A$3:$U$983,13,FALSE)=0,"",VLOOKUP($A358,DICO_Complet!$A$3:$U$983,13,FALSE))</f>
        <v/>
      </c>
      <c r="M358" s="53" t="str">
        <f>IF(VLOOKUP($A358,DICO_Complet!$A$3:$U$983,14,FALSE)=0,"",VLOOKUP($A358,DICO_Complet!$A$3:$U$983,14,FALSE))</f>
        <v/>
      </c>
      <c r="N358" s="53" t="str">
        <f>IF(VLOOKUP($A358,DICO_Complet!$A$3:$U$983,15,FALSE)=0,"",VLOOKUP($A358,DICO_Complet!$A$3:$U$983,15,FALSE))</f>
        <v/>
      </c>
      <c r="O358" s="53" t="str">
        <f>IF(VLOOKUP($A358,DICO_Complet!$A$3:$U$983,16,FALSE)=0,"",VLOOKUP($A358,DICO_Complet!$A$3:$U$983,16,FALSE))</f>
        <v/>
      </c>
      <c r="P358" s="53" t="str">
        <f>IF(VLOOKUP($A358,DICO_Complet!$A$3:$U$983,17,FALSE)=0,"",VLOOKUP($A358,DICO_Complet!$A$3:$U$983,17,FALSE))</f>
        <v/>
      </c>
      <c r="Q358" s="53" t="str">
        <f>IF(VLOOKUP($A358,DICO_Complet!$A$3:$U$983,18,FALSE)=0,"",VLOOKUP($A358,DICO_Complet!$A$3:$U$983,18,FALSE))</f>
        <v/>
      </c>
    </row>
    <row r="359" spans="1:17">
      <c r="A359" s="38">
        <v>250410114313</v>
      </c>
      <c r="B359" s="47" t="s">
        <v>858</v>
      </c>
      <c r="C359" s="3" t="str">
        <f>VLOOKUP($A359,DICO_Complet!$A$3:$U$983,3,FALSE)</f>
        <v>Environment</v>
      </c>
      <c r="D359" s="3" t="str">
        <f>VLOOKUP($A359,DICO_Complet!$A$3:$U$983,4,FALSE)</f>
        <v>card</v>
      </c>
      <c r="E359" s="2" t="str">
        <f>VLOOKUP($A359,DICO_Complet!$A$3:$U$983,5,FALSE)</f>
        <v>subscribeServicesCode</v>
      </c>
      <c r="F359" s="2" t="str">
        <f>VLOOKUP($A359,DICO_Complet!$A$3:$U$983,6,FALSE)</f>
        <v>SubscribeServicesCodeset</v>
      </c>
      <c r="G359" s="48">
        <f>VLOOKUP($A359,DICO_Complet!$A$3:$U$983,7,FALSE)</f>
        <v>0</v>
      </c>
      <c r="H359" s="48">
        <f>VLOOKUP($A359,DICO_Complet!$A$3:$U$983,8,FALSE)</f>
        <v>0</v>
      </c>
      <c r="I359" s="2" t="str">
        <f>IF(VLOOKUP($A359,DICO_Complet!$A$3:$U$983,9,FALSE)&lt;&gt;0,VLOOKUP($A359,DICO_Complet!$A$3:$U$983,9,FALSE),"")</f>
        <v/>
      </c>
      <c r="J359" s="1" t="str">
        <f>VLOOKUP($A359,DICO_Complet!$A$3:$U$983,10,FALSE)</f>
        <v>Service code defined by the distribution</v>
      </c>
      <c r="K359" s="53" t="str">
        <f>IF(VLOOKUP($A359,DICO_Complet!$A$3:$U$983,12,FALSE)=0,"",VLOOKUP($A359,DICO_Complet!$A$3:$U$983,12,FALSE))</f>
        <v/>
      </c>
      <c r="L359" s="53" t="str">
        <f>IF(VLOOKUP($A359,DICO_Complet!$A$3:$U$983,13,FALSE)=0,"",VLOOKUP($A359,DICO_Complet!$A$3:$U$983,13,FALSE))</f>
        <v/>
      </c>
      <c r="M359" s="53" t="str">
        <f>IF(VLOOKUP($A359,DICO_Complet!$A$3:$U$983,14,FALSE)=0,"",VLOOKUP($A359,DICO_Complet!$A$3:$U$983,14,FALSE))</f>
        <v/>
      </c>
      <c r="N359" s="53" t="str">
        <f>IF(VLOOKUP($A359,DICO_Complet!$A$3:$U$983,15,FALSE)=0,"",VLOOKUP($A359,DICO_Complet!$A$3:$U$983,15,FALSE))</f>
        <v/>
      </c>
      <c r="O359" s="53" t="str">
        <f>IF(VLOOKUP($A359,DICO_Complet!$A$3:$U$983,16,FALSE)=0,"",VLOOKUP($A359,DICO_Complet!$A$3:$U$983,16,FALSE))</f>
        <v/>
      </c>
      <c r="P359" s="53" t="str">
        <f>IF(VLOOKUP($A359,DICO_Complet!$A$3:$U$983,17,FALSE)=0,"",VLOOKUP($A359,DICO_Complet!$A$3:$U$983,17,FALSE))</f>
        <v/>
      </c>
      <c r="Q359" s="53" t="str">
        <f>IF(VLOOKUP($A359,DICO_Complet!$A$3:$U$983,18,FALSE)=0,"",VLOOKUP($A359,DICO_Complet!$A$3:$U$983,18,FALSE))</f>
        <v/>
      </c>
    </row>
    <row r="360" spans="1:17">
      <c r="A360" s="38">
        <v>250410114311</v>
      </c>
      <c r="B360" s="47" t="s">
        <v>858</v>
      </c>
      <c r="C360" s="3" t="str">
        <f>VLOOKUP($A360,DICO_Complet!$A$3:$U$983,3,FALSE)</f>
        <v>Environment</v>
      </c>
      <c r="D360" s="3" t="str">
        <f>VLOOKUP($A360,DICO_Complet!$A$3:$U$983,4,FALSE)</f>
        <v>card</v>
      </c>
      <c r="E360" s="2" t="str">
        <f>VLOOKUP($A360,DICO_Complet!$A$3:$U$983,5,FALSE)</f>
        <v>subscribeShippingConditions</v>
      </c>
      <c r="F360" s="2" t="str">
        <f>VLOOKUP($A360,DICO_Complet!$A$3:$U$983,6,FALSE)</f>
        <v>SubscribeShippingConditionsCodeset</v>
      </c>
      <c r="G360" s="48">
        <f>VLOOKUP($A360,DICO_Complet!$A$3:$U$983,7,FALSE)</f>
        <v>0</v>
      </c>
      <c r="H360" s="48">
        <f>VLOOKUP($A360,DICO_Complet!$A$3:$U$983,8,FALSE)</f>
        <v>0</v>
      </c>
      <c r="I360" s="2" t="str">
        <f>IF(VLOOKUP($A360,DICO_Complet!$A$3:$U$983,9,FALSE)&lt;&gt;0,VLOOKUP($A360,DICO_Complet!$A$3:$U$983,9,FALSE),"")</f>
        <v/>
      </c>
      <c r="J360" s="1" t="str">
        <f>VLOOKUP($A360,DICO_Complet!$A$3:$U$983,10,FALSE)</f>
        <v>Shipping condition code defined by the distribution</v>
      </c>
      <c r="K360" s="53" t="str">
        <f>IF(VLOOKUP($A360,DICO_Complet!$A$3:$U$983,12,FALSE)=0,"",VLOOKUP($A360,DICO_Complet!$A$3:$U$983,12,FALSE))</f>
        <v/>
      </c>
      <c r="L360" s="53" t="str">
        <f>IF(VLOOKUP($A360,DICO_Complet!$A$3:$U$983,13,FALSE)=0,"",VLOOKUP($A360,DICO_Complet!$A$3:$U$983,13,FALSE))</f>
        <v/>
      </c>
      <c r="M360" s="53" t="str">
        <f>IF(VLOOKUP($A360,DICO_Complet!$A$3:$U$983,14,FALSE)=0,"",VLOOKUP($A360,DICO_Complet!$A$3:$U$983,14,FALSE))</f>
        <v/>
      </c>
      <c r="N360" s="53" t="str">
        <f>IF(VLOOKUP($A360,DICO_Complet!$A$3:$U$983,15,FALSE)=0,"",VLOOKUP($A360,DICO_Complet!$A$3:$U$983,15,FALSE))</f>
        <v/>
      </c>
      <c r="O360" s="53" t="str">
        <f>IF(VLOOKUP($A360,DICO_Complet!$A$3:$U$983,16,FALSE)=0,"",VLOOKUP($A360,DICO_Complet!$A$3:$U$983,16,FALSE))</f>
        <v/>
      </c>
      <c r="P360" s="53" t="str">
        <f>IF(VLOOKUP($A360,DICO_Complet!$A$3:$U$983,17,FALSE)=0,"",VLOOKUP($A360,DICO_Complet!$A$3:$U$983,17,FALSE))</f>
        <v/>
      </c>
      <c r="Q360" s="53" t="str">
        <f>IF(VLOOKUP($A360,DICO_Complet!$A$3:$U$983,18,FALSE)=0,"",VLOOKUP($A360,DICO_Complet!$A$3:$U$983,18,FALSE))</f>
        <v/>
      </c>
    </row>
    <row r="361" spans="1:17">
      <c r="A361" s="38">
        <v>250410114305</v>
      </c>
      <c r="B361" s="47" t="s">
        <v>858</v>
      </c>
      <c r="C361" s="3" t="str">
        <f>VLOOKUP($A361,DICO_Complet!$A$3:$U$983,3,FALSE)</f>
        <v>Environment</v>
      </c>
      <c r="D361" s="3" t="str">
        <f>VLOOKUP($A361,DICO_Complet!$A$3:$U$983,4,FALSE)</f>
        <v>card</v>
      </c>
      <c r="E361" s="2" t="str">
        <f>VLOOKUP($A361,DICO_Complet!$A$3:$U$983,5,FALSE)</f>
        <v>supplementZone1</v>
      </c>
      <c r="F361" s="2" t="str">
        <f>VLOOKUP($A361,DICO_Complet!$A$3:$U$983,6,FALSE)</f>
        <v>Max500Text</v>
      </c>
      <c r="G361" s="48">
        <f>VLOOKUP($A361,DICO_Complet!$A$3:$U$983,7,FALSE)</f>
        <v>0</v>
      </c>
      <c r="H361" s="48">
        <f>VLOOKUP($A361,DICO_Complet!$A$3:$U$983,8,FALSE)</f>
        <v>0</v>
      </c>
      <c r="I361" s="2" t="str">
        <f>IF(VLOOKUP($A361,DICO_Complet!$A$3:$U$983,9,FALSE)&lt;&gt;0,VLOOKUP($A361,DICO_Complet!$A$3:$U$983,9,FALSE),"")</f>
        <v/>
      </c>
      <c r="J361" s="1" t="str">
        <f>VLOOKUP($A361,DICO_Complet!$A$3:$U$983,10,FALSE)</f>
        <v>Zone supplementaire 1</v>
      </c>
      <c r="K361" s="53" t="str">
        <f>IF(VLOOKUP($A361,DICO_Complet!$A$3:$U$983,12,FALSE)=0,"",VLOOKUP($A361,DICO_Complet!$A$3:$U$983,12,FALSE))</f>
        <v/>
      </c>
      <c r="L361" s="53" t="str">
        <f>IF(VLOOKUP($A361,DICO_Complet!$A$3:$U$983,13,FALSE)=0,"",VLOOKUP($A361,DICO_Complet!$A$3:$U$983,13,FALSE))</f>
        <v/>
      </c>
      <c r="M361" s="53" t="str">
        <f>IF(VLOOKUP($A361,DICO_Complet!$A$3:$U$983,14,FALSE)=0,"",VLOOKUP($A361,DICO_Complet!$A$3:$U$983,14,FALSE))</f>
        <v/>
      </c>
      <c r="N361" s="53" t="str">
        <f>IF(VLOOKUP($A361,DICO_Complet!$A$3:$U$983,15,FALSE)=0,"",VLOOKUP($A361,DICO_Complet!$A$3:$U$983,15,FALSE))</f>
        <v/>
      </c>
      <c r="O361" s="53" t="str">
        <f>IF(VLOOKUP($A361,DICO_Complet!$A$3:$U$983,16,FALSE)=0,"",VLOOKUP($A361,DICO_Complet!$A$3:$U$983,16,FALSE))</f>
        <v/>
      </c>
      <c r="P361" s="53" t="str">
        <f>IF(VLOOKUP($A361,DICO_Complet!$A$3:$U$983,17,FALSE)=0,"",VLOOKUP($A361,DICO_Complet!$A$3:$U$983,17,FALSE))</f>
        <v/>
      </c>
      <c r="Q361" s="53" t="str">
        <f>IF(VLOOKUP($A361,DICO_Complet!$A$3:$U$983,18,FALSE)=0,"",VLOOKUP($A361,DICO_Complet!$A$3:$U$983,18,FALSE))</f>
        <v/>
      </c>
    </row>
    <row r="362" spans="1:17">
      <c r="A362" s="38">
        <v>250410114306</v>
      </c>
      <c r="B362" s="47" t="s">
        <v>858</v>
      </c>
      <c r="C362" s="3" t="str">
        <f>VLOOKUP($A362,DICO_Complet!$A$3:$U$983,3,FALSE)</f>
        <v>Environment</v>
      </c>
      <c r="D362" s="3" t="str">
        <f>VLOOKUP($A362,DICO_Complet!$A$3:$U$983,4,FALSE)</f>
        <v>card</v>
      </c>
      <c r="E362" s="2" t="str">
        <f>VLOOKUP($A362,DICO_Complet!$A$3:$U$983,5,FALSE)</f>
        <v>supplementZone2</v>
      </c>
      <c r="F362" s="2" t="str">
        <f>VLOOKUP($A362,DICO_Complet!$A$3:$U$983,6,FALSE)</f>
        <v>Max500Text</v>
      </c>
      <c r="G362" s="48">
        <f>VLOOKUP($A362,DICO_Complet!$A$3:$U$983,7,FALSE)</f>
        <v>0</v>
      </c>
      <c r="H362" s="48">
        <f>VLOOKUP($A362,DICO_Complet!$A$3:$U$983,8,FALSE)</f>
        <v>0</v>
      </c>
      <c r="I362" s="2" t="str">
        <f>IF(VLOOKUP($A362,DICO_Complet!$A$3:$U$983,9,FALSE)&lt;&gt;0,VLOOKUP($A362,DICO_Complet!$A$3:$U$983,9,FALSE),"")</f>
        <v/>
      </c>
      <c r="J362" s="1" t="str">
        <f>VLOOKUP($A362,DICO_Complet!$A$3:$U$983,10,FALSE)</f>
        <v>Zone supplementaire 2</v>
      </c>
      <c r="K362" s="53" t="str">
        <f>IF(VLOOKUP($A362,DICO_Complet!$A$3:$U$983,12,FALSE)=0,"",VLOOKUP($A362,DICO_Complet!$A$3:$U$983,12,FALSE))</f>
        <v/>
      </c>
      <c r="L362" s="53" t="str">
        <f>IF(VLOOKUP($A362,DICO_Complet!$A$3:$U$983,13,FALSE)=0,"",VLOOKUP($A362,DICO_Complet!$A$3:$U$983,13,FALSE))</f>
        <v/>
      </c>
      <c r="M362" s="53" t="str">
        <f>IF(VLOOKUP($A362,DICO_Complet!$A$3:$U$983,14,FALSE)=0,"",VLOOKUP($A362,DICO_Complet!$A$3:$U$983,14,FALSE))</f>
        <v/>
      </c>
      <c r="N362" s="53" t="str">
        <f>IF(VLOOKUP($A362,DICO_Complet!$A$3:$U$983,15,FALSE)=0,"",VLOOKUP($A362,DICO_Complet!$A$3:$U$983,15,FALSE))</f>
        <v/>
      </c>
      <c r="O362" s="53" t="str">
        <f>IF(VLOOKUP($A362,DICO_Complet!$A$3:$U$983,16,FALSE)=0,"",VLOOKUP($A362,DICO_Complet!$A$3:$U$983,16,FALSE))</f>
        <v/>
      </c>
      <c r="P362" s="53" t="str">
        <f>IF(VLOOKUP($A362,DICO_Complet!$A$3:$U$983,17,FALSE)=0,"",VLOOKUP($A362,DICO_Complet!$A$3:$U$983,17,FALSE))</f>
        <v/>
      </c>
      <c r="Q362" s="53" t="str">
        <f>IF(VLOOKUP($A362,DICO_Complet!$A$3:$U$983,18,FALSE)=0,"",VLOOKUP($A362,DICO_Complet!$A$3:$U$983,18,FALSE))</f>
        <v/>
      </c>
    </row>
    <row r="363" spans="1:17">
      <c r="A363" s="38">
        <v>250418220113</v>
      </c>
      <c r="B363" s="47" t="s">
        <v>858</v>
      </c>
      <c r="C363" s="3" t="str">
        <f>VLOOKUP($A363,DICO_Complet!$A$3:$U$983,3,FALSE)</f>
        <v>Environment</v>
      </c>
      <c r="D363" s="3" t="str">
        <f>VLOOKUP($A363,DICO_Complet!$A$3:$U$983,4,FALSE)</f>
        <v>card</v>
      </c>
      <c r="E363" s="2" t="str">
        <f>VLOOKUP($A363,DICO_Complet!$A$3:$U$983,5,FALSE)</f>
        <v>temp_acceptanceLevelCode</v>
      </c>
      <c r="F363" s="2" t="str">
        <f>VLOOKUP($A363,DICO_Complet!$A$3:$U$983,6,FALSE)</f>
        <v>temp_Type_apreciser</v>
      </c>
      <c r="G363" s="48">
        <f>VLOOKUP($A363,DICO_Complet!$A$3:$U$983,7,FALSE)</f>
        <v>0</v>
      </c>
      <c r="H363" s="48">
        <f>VLOOKUP($A363,DICO_Complet!$A$3:$U$983,8,FALSE)</f>
        <v>0</v>
      </c>
      <c r="I363" s="2" t="str">
        <f>IF(VLOOKUP($A363,DICO_Complet!$A$3:$U$983,9,FALSE)&lt;&gt;0,VLOOKUP($A363,DICO_Complet!$A$3:$U$983,9,FALSE),"")</f>
        <v/>
      </c>
      <c r="J363" s="1" t="str">
        <f>VLOOKUP($A363,DICO_Complet!$A$3:$U$983,10,FALSE)</f>
        <v>Code niveau acceptation de la carte (donnee commune  P8)</v>
      </c>
      <c r="K363" s="53" t="str">
        <f>IF(VLOOKUP($A363,DICO_Complet!$A$3:$U$983,12,FALSE)=0,"",VLOOKUP($A363,DICO_Complet!$A$3:$U$983,12,FALSE))</f>
        <v/>
      </c>
      <c r="L363" s="53" t="str">
        <f>IF(VLOOKUP($A363,DICO_Complet!$A$3:$U$983,13,FALSE)=0,"",VLOOKUP($A363,DICO_Complet!$A$3:$U$983,13,FALSE))</f>
        <v/>
      </c>
      <c r="M363" s="53" t="str">
        <f>IF(VLOOKUP($A363,DICO_Complet!$A$3:$U$983,14,FALSE)=0,"",VLOOKUP($A363,DICO_Complet!$A$3:$U$983,14,FALSE))</f>
        <v/>
      </c>
      <c r="N363" s="53" t="str">
        <f>IF(VLOOKUP($A363,DICO_Complet!$A$3:$U$983,15,FALSE)=0,"",VLOOKUP($A363,DICO_Complet!$A$3:$U$983,15,FALSE))</f>
        <v/>
      </c>
      <c r="O363" s="53" t="str">
        <f>IF(VLOOKUP($A363,DICO_Complet!$A$3:$U$983,16,FALSE)=0,"",VLOOKUP($A363,DICO_Complet!$A$3:$U$983,16,FALSE))</f>
        <v/>
      </c>
      <c r="P363" s="53" t="str">
        <f>IF(VLOOKUP($A363,DICO_Complet!$A$3:$U$983,17,FALSE)=0,"",VLOOKUP($A363,DICO_Complet!$A$3:$U$983,17,FALSE))</f>
        <v/>
      </c>
      <c r="Q363" s="53" t="str">
        <f>IF(VLOOKUP($A363,DICO_Complet!$A$3:$U$983,18,FALSE)=0,"",VLOOKUP($A363,DICO_Complet!$A$3:$U$983,18,FALSE))</f>
        <v>COACCT</v>
      </c>
    </row>
    <row r="364" spans="1:17">
      <c r="A364" s="38">
        <v>250418220114</v>
      </c>
      <c r="B364" s="47" t="s">
        <v>858</v>
      </c>
      <c r="C364" s="3" t="str">
        <f>VLOOKUP($A364,DICO_Complet!$A$3:$U$983,3,FALSE)</f>
        <v>Environment</v>
      </c>
      <c r="D364" s="3" t="str">
        <f>VLOOKUP($A364,DICO_Complet!$A$3:$U$983,4,FALSE)</f>
        <v>card</v>
      </c>
      <c r="E364" s="2" t="str">
        <f>VLOOKUP($A364,DICO_Complet!$A$3:$U$983,5,FALSE)</f>
        <v>temp_accountFundingSource</v>
      </c>
      <c r="F364" s="2" t="str">
        <f>VLOOKUP($A364,DICO_Complet!$A$3:$U$983,6,FALSE)</f>
        <v>temp_Type_apreciser</v>
      </c>
      <c r="G364" s="48">
        <f>VLOOKUP($A364,DICO_Complet!$A$3:$U$983,7,FALSE)</f>
        <v>0</v>
      </c>
      <c r="H364" s="48">
        <f>VLOOKUP($A364,DICO_Complet!$A$3:$U$983,8,FALSE)</f>
        <v>0</v>
      </c>
      <c r="I364" s="2" t="str">
        <f>IF(VLOOKUP($A364,DICO_Complet!$A$3:$U$983,9,FALSE)&lt;&gt;0,VLOOKUP($A364,DICO_Complet!$A$3:$U$983,9,FALSE),"")</f>
        <v/>
      </c>
      <c r="J364" s="1" t="str">
        <f>VLOOKUP($A364,DICO_Complet!$A$3:$U$983,10,FALSE)</f>
        <v>Account Funding Source (VI21)</v>
      </c>
      <c r="K364" s="53" t="str">
        <f>IF(VLOOKUP($A364,DICO_Complet!$A$3:$U$983,12,FALSE)=0,"",VLOOKUP($A364,DICO_Complet!$A$3:$U$983,12,FALSE))</f>
        <v/>
      </c>
      <c r="L364" s="53" t="str">
        <f>IF(VLOOKUP($A364,DICO_Complet!$A$3:$U$983,13,FALSE)=0,"",VLOOKUP($A364,DICO_Complet!$A$3:$U$983,13,FALSE))</f>
        <v/>
      </c>
      <c r="M364" s="53" t="str">
        <f>IF(VLOOKUP($A364,DICO_Complet!$A$3:$U$983,14,FALSE)=0,"",VLOOKUP($A364,DICO_Complet!$A$3:$U$983,14,FALSE))</f>
        <v/>
      </c>
      <c r="N364" s="53" t="str">
        <f>IF(VLOOKUP($A364,DICO_Complet!$A$3:$U$983,15,FALSE)=0,"",VLOOKUP($A364,DICO_Complet!$A$3:$U$983,15,FALSE))</f>
        <v/>
      </c>
      <c r="O364" s="53" t="str">
        <f>IF(VLOOKUP($A364,DICO_Complet!$A$3:$U$983,16,FALSE)=0,"",VLOOKUP($A364,DICO_Complet!$A$3:$U$983,16,FALSE))</f>
        <v/>
      </c>
      <c r="P364" s="53" t="str">
        <f>IF(VLOOKUP($A364,DICO_Complet!$A$3:$U$983,17,FALSE)=0,"",VLOOKUP($A364,DICO_Complet!$A$3:$U$983,17,FALSE))</f>
        <v/>
      </c>
      <c r="Q364" s="53" t="str">
        <f>IF(VLOOKUP($A364,DICO_Complet!$A$3:$U$983,18,FALSE)=0,"",VLOOKUP($A364,DICO_Complet!$A$3:$U$983,18,FALSE))</f>
        <v>CEAFS</v>
      </c>
    </row>
    <row r="365" spans="1:17">
      <c r="A365" s="38">
        <v>250418220115</v>
      </c>
      <c r="B365" s="47" t="s">
        <v>858</v>
      </c>
      <c r="C365" s="3" t="str">
        <f>VLOOKUP($A365,DICO_Complet!$A$3:$U$983,3,FALSE)</f>
        <v>Environment</v>
      </c>
      <c r="D365" s="3" t="str">
        <f>VLOOKUP($A365,DICO_Complet!$A$3:$U$983,4,FALSE)</f>
        <v>card</v>
      </c>
      <c r="E365" s="2" t="str">
        <f>VLOOKUP($A365,DICO_Complet!$A$3:$U$983,5,FALSE)</f>
        <v>temp_acquirerCountryCode</v>
      </c>
      <c r="F365" s="2" t="str">
        <f>VLOOKUP($A365,DICO_Complet!$A$3:$U$983,6,FALSE)</f>
        <v>Exact3AlphaNumericText</v>
      </c>
      <c r="G365" s="48">
        <f>VLOOKUP($A365,DICO_Complet!$A$3:$U$983,7,FALSE)</f>
        <v>0</v>
      </c>
      <c r="H365" s="48">
        <f>VLOOKUP($A365,DICO_Complet!$A$3:$U$983,8,FALSE)</f>
        <v>0</v>
      </c>
      <c r="I365" s="2" t="str">
        <f>IF(VLOOKUP($A365,DICO_Complet!$A$3:$U$983,9,FALSE)&lt;&gt;0,VLOOKUP($A365,DICO_Complet!$A$3:$U$983,9,FALSE),"")</f>
        <v/>
      </c>
      <c r="J365" s="1" t="str">
        <f>VLOOKUP($A365,DICO_Complet!$A$3:$U$983,10,FALSE)</f>
        <v>acceptation country code system</v>
      </c>
      <c r="K365" s="53" t="str">
        <f>IF(VLOOKUP($A365,DICO_Complet!$A$3:$U$983,12,FALSE)=0,"",VLOOKUP($A365,DICO_Complet!$A$3:$U$983,12,FALSE))</f>
        <v/>
      </c>
      <c r="L365" s="53" t="str">
        <f>IF(VLOOKUP($A365,DICO_Complet!$A$3:$U$983,13,FALSE)=0,"",VLOOKUP($A365,DICO_Complet!$A$3:$U$983,13,FALSE))</f>
        <v/>
      </c>
      <c r="M365" s="53" t="str">
        <f>IF(VLOOKUP($A365,DICO_Complet!$A$3:$U$983,14,FALSE)=0,"",VLOOKUP($A365,DICO_Complet!$A$3:$U$983,14,FALSE))</f>
        <v/>
      </c>
      <c r="N365" s="53" t="str">
        <f>IF(VLOOKUP($A365,DICO_Complet!$A$3:$U$983,15,FALSE)=0,"",VLOOKUP($A365,DICO_Complet!$A$3:$U$983,15,FALSE))</f>
        <v/>
      </c>
      <c r="O365" s="53" t="str">
        <f>IF(VLOOKUP($A365,DICO_Complet!$A$3:$U$983,16,FALSE)=0,"",VLOOKUP($A365,DICO_Complet!$A$3:$U$983,16,FALSE))</f>
        <v/>
      </c>
      <c r="P365" s="53" t="str">
        <f>IF(VLOOKUP($A365,DICO_Complet!$A$3:$U$983,17,FALSE)=0,"",VLOOKUP($A365,DICO_Complet!$A$3:$U$983,17,FALSE))</f>
        <v/>
      </c>
      <c r="Q365" s="53" t="str">
        <f>IF(VLOOKUP($A365,DICO_Complet!$A$3:$U$983,18,FALSE)=0,"",VLOOKUP($A365,DICO_Complet!$A$3:$U$983,18,FALSE))</f>
        <v>COPSAC</v>
      </c>
    </row>
    <row r="366" spans="1:17">
      <c r="A366" s="38">
        <v>250418220116</v>
      </c>
      <c r="B366" s="47" t="s">
        <v>858</v>
      </c>
      <c r="C366" s="3" t="str">
        <f>VLOOKUP($A366,DICO_Complet!$A$3:$U$983,3,FALSE)</f>
        <v>Environment</v>
      </c>
      <c r="D366" s="3" t="str">
        <f>VLOOKUP($A366,DICO_Complet!$A$3:$U$983,4,FALSE)</f>
        <v>card</v>
      </c>
      <c r="E366" s="2" t="str">
        <f>VLOOKUP($A366,DICO_Complet!$A$3:$U$983,5,FALSE)</f>
        <v>temp_affectationInstitutionId</v>
      </c>
      <c r="F366" s="2" t="str">
        <f>VLOOKUP($A366,DICO_Complet!$A$3:$U$983,6,FALSE)</f>
        <v>temp_Type_apreciser</v>
      </c>
      <c r="G366" s="48">
        <f>VLOOKUP($A366,DICO_Complet!$A$3:$U$983,7,FALSE)</f>
        <v>0</v>
      </c>
      <c r="H366" s="48">
        <f>VLOOKUP($A366,DICO_Complet!$A$3:$U$983,8,FALSE)</f>
        <v>0</v>
      </c>
      <c r="I366" s="2" t="str">
        <f>IF(VLOOKUP($A366,DICO_Complet!$A$3:$U$983,9,FALSE)&lt;&gt;0,VLOOKUP($A366,DICO_Complet!$A$3:$U$983,9,FALSE),"")</f>
        <v/>
      </c>
      <c r="J366" s="1" t="str">
        <f>VLOOKUP($A366,DICO_Complet!$A$3:$U$983,10,FALSE)</f>
        <v>Code banque d'affectation</v>
      </c>
      <c r="K366" s="53" t="str">
        <f>IF(VLOOKUP($A366,DICO_Complet!$A$3:$U$983,12,FALSE)=0,"",VLOOKUP($A366,DICO_Complet!$A$3:$U$983,12,FALSE))</f>
        <v/>
      </c>
      <c r="L366" s="53" t="str">
        <f>IF(VLOOKUP($A366,DICO_Complet!$A$3:$U$983,13,FALSE)=0,"",VLOOKUP($A366,DICO_Complet!$A$3:$U$983,13,FALSE))</f>
        <v/>
      </c>
      <c r="M366" s="53" t="str">
        <f>IF(VLOOKUP($A366,DICO_Complet!$A$3:$U$983,14,FALSE)=0,"",VLOOKUP($A366,DICO_Complet!$A$3:$U$983,14,FALSE))</f>
        <v/>
      </c>
      <c r="N366" s="53" t="str">
        <f>IF(VLOOKUP($A366,DICO_Complet!$A$3:$U$983,15,FALSE)=0,"",VLOOKUP($A366,DICO_Complet!$A$3:$U$983,15,FALSE))</f>
        <v/>
      </c>
      <c r="O366" s="53" t="str">
        <f>IF(VLOOKUP($A366,DICO_Complet!$A$3:$U$983,16,FALSE)=0,"",VLOOKUP($A366,DICO_Complet!$A$3:$U$983,16,FALSE))</f>
        <v/>
      </c>
      <c r="P366" s="53" t="str">
        <f>IF(VLOOKUP($A366,DICO_Complet!$A$3:$U$983,17,FALSE)=0,"",VLOOKUP($A366,DICO_Complet!$A$3:$U$983,17,FALSE))</f>
        <v/>
      </c>
      <c r="Q366" s="53" t="str">
        <f>IF(VLOOKUP($A366,DICO_Complet!$A$3:$U$983,18,FALSE)=0,"",VLOOKUP($A366,DICO_Complet!$A$3:$U$983,18,FALSE))</f>
        <v>COBAAF</v>
      </c>
    </row>
    <row r="367" spans="1:17">
      <c r="A367" s="38">
        <v>250418220117</v>
      </c>
      <c r="B367" s="47" t="s">
        <v>858</v>
      </c>
      <c r="C367" s="3" t="str">
        <f>VLOOKUP($A367,DICO_Complet!$A$3:$U$983,3,FALSE)</f>
        <v>Environment</v>
      </c>
      <c r="D367" s="3" t="str">
        <f>VLOOKUP($A367,DICO_Complet!$A$3:$U$983,4,FALSE)</f>
        <v>card</v>
      </c>
      <c r="E367" s="2" t="str">
        <f>VLOOKUP($A367,DICO_Complet!$A$3:$U$983,5,FALSE)</f>
        <v>temp_cardIssuerCountryCode</v>
      </c>
      <c r="F367" s="2" t="str">
        <f>VLOOKUP($A367,DICO_Complet!$A$3:$U$983,6,FALSE)</f>
        <v>temp_Type_apreciser</v>
      </c>
      <c r="G367" s="48">
        <f>VLOOKUP($A367,DICO_Complet!$A$3:$U$983,7,FALSE)</f>
        <v>0</v>
      </c>
      <c r="H367" s="48">
        <f>VLOOKUP($A367,DICO_Complet!$A$3:$U$983,8,FALSE)</f>
        <v>0</v>
      </c>
      <c r="I367" s="2" t="str">
        <f>IF(VLOOKUP($A367,DICO_Complet!$A$3:$U$983,9,FALSE)&lt;&gt;0,VLOOKUP($A367,DICO_Complet!$A$3:$U$983,9,FALSE),"")</f>
        <v/>
      </c>
      <c r="J367" s="1" t="str">
        <f>VLOOKUP($A367,DICO_Complet!$A$3:$U$983,10,FALSE)</f>
        <v>code ISO du pays (alphabetique) (donnee commune P14)</v>
      </c>
      <c r="K367" s="53" t="str">
        <f>IF(VLOOKUP($A367,DICO_Complet!$A$3:$U$983,12,FALSE)=0,"",VLOOKUP($A367,DICO_Complet!$A$3:$U$983,12,FALSE))</f>
        <v/>
      </c>
      <c r="L367" s="53" t="str">
        <f>IF(VLOOKUP($A367,DICO_Complet!$A$3:$U$983,13,FALSE)=0,"",VLOOKUP($A367,DICO_Complet!$A$3:$U$983,13,FALSE))</f>
        <v/>
      </c>
      <c r="M367" s="53" t="str">
        <f>IF(VLOOKUP($A367,DICO_Complet!$A$3:$U$983,14,FALSE)=0,"",VLOOKUP($A367,DICO_Complet!$A$3:$U$983,14,FALSE))</f>
        <v/>
      </c>
      <c r="N367" s="53" t="str">
        <f>IF(VLOOKUP($A367,DICO_Complet!$A$3:$U$983,15,FALSE)=0,"",VLOOKUP($A367,DICO_Complet!$A$3:$U$983,15,FALSE))</f>
        <v/>
      </c>
      <c r="O367" s="53" t="str">
        <f>IF(VLOOKUP($A367,DICO_Complet!$A$3:$U$983,16,FALSE)=0,"",VLOOKUP($A367,DICO_Complet!$A$3:$U$983,16,FALSE))</f>
        <v/>
      </c>
      <c r="P367" s="53" t="str">
        <f>IF(VLOOKUP($A367,DICO_Complet!$A$3:$U$983,17,FALSE)=0,"",VLOOKUP($A367,DICO_Complet!$A$3:$U$983,17,FALSE))</f>
        <v/>
      </c>
      <c r="Q367" s="53" t="str">
        <f>IF(VLOOKUP($A367,DICO_Complet!$A$3:$U$983,18,FALSE)=0,"",VLOOKUP($A367,DICO_Complet!$A$3:$U$983,18,FALSE))</f>
        <v>COPAYS</v>
      </c>
    </row>
    <row r="368" spans="1:17">
      <c r="A368" s="38">
        <v>250418220118</v>
      </c>
      <c r="B368" s="47" t="s">
        <v>858</v>
      </c>
      <c r="C368" s="3" t="str">
        <f>VLOOKUP($A368,DICO_Complet!$A$3:$U$983,3,FALSE)</f>
        <v>Environment</v>
      </c>
      <c r="D368" s="3" t="str">
        <f>VLOOKUP($A368,DICO_Complet!$A$3:$U$983,4,FALSE)</f>
        <v>card</v>
      </c>
      <c r="E368" s="2" t="str">
        <f>VLOOKUP($A368,DICO_Complet!$A$3:$U$983,5,FALSE)</f>
        <v>temp_cardRangeStatus</v>
      </c>
      <c r="F368" s="2" t="str">
        <f>VLOOKUP($A368,DICO_Complet!$A$3:$U$983,6,FALSE)</f>
        <v>temp_Type_apreciser</v>
      </c>
      <c r="G368" s="48">
        <f>VLOOKUP($A368,DICO_Complet!$A$3:$U$983,7,FALSE)</f>
        <v>0</v>
      </c>
      <c r="H368" s="48">
        <f>VLOOKUP($A368,DICO_Complet!$A$3:$U$983,8,FALSE)</f>
        <v>0</v>
      </c>
      <c r="I368" s="2" t="str">
        <f>IF(VLOOKUP($A368,DICO_Complet!$A$3:$U$983,9,FALSE)&lt;&gt;0,VLOOKUP($A368,DICO_Complet!$A$3:$U$983,9,FALSE),"")</f>
        <v/>
      </c>
      <c r="J368" s="1" t="str">
        <f>VLOOKUP($A368,DICO_Complet!$A$3:$U$983,10,FALSE)</f>
        <v>Code etat de la plage (donnee commune  P24)</v>
      </c>
      <c r="K368" s="53" t="str">
        <f>IF(VLOOKUP($A368,DICO_Complet!$A$3:$U$983,12,FALSE)=0,"",VLOOKUP($A368,DICO_Complet!$A$3:$U$983,12,FALSE))</f>
        <v/>
      </c>
      <c r="L368" s="53" t="str">
        <f>IF(VLOOKUP($A368,DICO_Complet!$A$3:$U$983,13,FALSE)=0,"",VLOOKUP($A368,DICO_Complet!$A$3:$U$983,13,FALSE))</f>
        <v/>
      </c>
      <c r="M368" s="53" t="str">
        <f>IF(VLOOKUP($A368,DICO_Complet!$A$3:$U$983,14,FALSE)=0,"",VLOOKUP($A368,DICO_Complet!$A$3:$U$983,14,FALSE))</f>
        <v/>
      </c>
      <c r="N368" s="53" t="str">
        <f>IF(VLOOKUP($A368,DICO_Complet!$A$3:$U$983,15,FALSE)=0,"",VLOOKUP($A368,DICO_Complet!$A$3:$U$983,15,FALSE))</f>
        <v/>
      </c>
      <c r="O368" s="53" t="str">
        <f>IF(VLOOKUP($A368,DICO_Complet!$A$3:$U$983,16,FALSE)=0,"",VLOOKUP($A368,DICO_Complet!$A$3:$U$983,16,FALSE))</f>
        <v/>
      </c>
      <c r="P368" s="53" t="str">
        <f>IF(VLOOKUP($A368,DICO_Complet!$A$3:$U$983,17,FALSE)=0,"",VLOOKUP($A368,DICO_Complet!$A$3:$U$983,17,FALSE))</f>
        <v/>
      </c>
      <c r="Q368" s="53" t="str">
        <f>IF(VLOOKUP($A368,DICO_Complet!$A$3:$U$983,18,FALSE)=0,"",VLOOKUP($A368,DICO_Complet!$A$3:$U$983,18,FALSE))</f>
        <v>CEPLAG</v>
      </c>
    </row>
    <row r="369" spans="1:17">
      <c r="A369" s="38">
        <v>250418220119</v>
      </c>
      <c r="B369" s="47" t="s">
        <v>858</v>
      </c>
      <c r="C369" s="3" t="str">
        <f>VLOOKUP($A369,DICO_Complet!$A$3:$U$983,3,FALSE)</f>
        <v>Environment</v>
      </c>
      <c r="D369" s="3" t="str">
        <f>VLOOKUP($A369,DICO_Complet!$A$3:$U$983,4,FALSE)</f>
        <v>card</v>
      </c>
      <c r="E369" s="2" t="str">
        <f>VLOOKUP($A369,DICO_Complet!$A$3:$U$983,5,FALSE)</f>
        <v>temp_cashWithdrawalProcessAvailableIndicator</v>
      </c>
      <c r="F369" s="2" t="str">
        <f>VLOOKUP($A369,DICO_Complet!$A$3:$U$983,6,FALSE)</f>
        <v>temp_Type_apreciser</v>
      </c>
      <c r="G369" s="48">
        <f>VLOOKUP($A369,DICO_Complet!$A$3:$U$983,7,FALSE)</f>
        <v>0</v>
      </c>
      <c r="H369" s="48">
        <f>VLOOKUP($A369,DICO_Complet!$A$3:$U$983,8,FALSE)</f>
        <v>0</v>
      </c>
      <c r="I369" s="2" t="str">
        <f>IF(VLOOKUP($A369,DICO_Complet!$A$3:$U$983,9,FALSE)&lt;&gt;0,VLOOKUP($A369,DICO_Complet!$A$3:$U$983,9,FALSE),"")</f>
        <v/>
      </c>
      <c r="J369" s="1" t="str">
        <f>VLOOKUP($A369,DICO_Complet!$A$3:$U$983,10,FALSE)</f>
        <v>Service monetique retrait disponible (donnee commune  P10-1)</v>
      </c>
      <c r="K369" s="53" t="str">
        <f>IF(VLOOKUP($A369,DICO_Complet!$A$3:$U$983,12,FALSE)=0,"",VLOOKUP($A369,DICO_Complet!$A$3:$U$983,12,FALSE))</f>
        <v/>
      </c>
      <c r="L369" s="53" t="str">
        <f>IF(VLOOKUP($A369,DICO_Complet!$A$3:$U$983,13,FALSE)=0,"",VLOOKUP($A369,DICO_Complet!$A$3:$U$983,13,FALSE))</f>
        <v/>
      </c>
      <c r="M369" s="53" t="str">
        <f>IF(VLOOKUP($A369,DICO_Complet!$A$3:$U$983,14,FALSE)=0,"",VLOOKUP($A369,DICO_Complet!$A$3:$U$983,14,FALSE))</f>
        <v/>
      </c>
      <c r="N369" s="53" t="str">
        <f>IF(VLOOKUP($A369,DICO_Complet!$A$3:$U$983,15,FALSE)=0,"",VLOOKUP($A369,DICO_Complet!$A$3:$U$983,15,FALSE))</f>
        <v/>
      </c>
      <c r="O369" s="53" t="str">
        <f>IF(VLOOKUP($A369,DICO_Complet!$A$3:$U$983,16,FALSE)=0,"",VLOOKUP($A369,DICO_Complet!$A$3:$U$983,16,FALSE))</f>
        <v/>
      </c>
      <c r="P369" s="53" t="str">
        <f>IF(VLOOKUP($A369,DICO_Complet!$A$3:$U$983,17,FALSE)=0,"",VLOOKUP($A369,DICO_Complet!$A$3:$U$983,17,FALSE))</f>
        <v/>
      </c>
      <c r="Q369" s="53" t="str">
        <f>IF(VLOOKUP($A369,DICO_Complet!$A$3:$U$983,18,FALSE)=0,"",VLOOKUP($A369,DICO_Complet!$A$3:$U$983,18,FALSE))</f>
        <v>CTSMDR</v>
      </c>
    </row>
    <row r="370" spans="1:17">
      <c r="A370" s="38">
        <v>250418220120</v>
      </c>
      <c r="B370" s="47" t="s">
        <v>858</v>
      </c>
      <c r="C370" s="3" t="str">
        <f>VLOOKUP($A370,DICO_Complet!$A$3:$U$983,3,FALSE)</f>
        <v>Environment</v>
      </c>
      <c r="D370" s="3" t="str">
        <f>VLOOKUP($A370,DICO_Complet!$A$3:$U$983,4,FALSE)</f>
        <v>card</v>
      </c>
      <c r="E370" s="2" t="str">
        <f>VLOOKUP($A370,DICO_Complet!$A$3:$U$983,5,FALSE)</f>
        <v>temp_cbAccountType</v>
      </c>
      <c r="F370" s="2" t="str">
        <f>VLOOKUP($A370,DICO_Complet!$A$3:$U$983,6,FALSE)</f>
        <v>temp_Type_apreciser</v>
      </c>
      <c r="G370" s="48">
        <f>VLOOKUP($A370,DICO_Complet!$A$3:$U$983,7,FALSE)</f>
        <v>0</v>
      </c>
      <c r="H370" s="48">
        <f>VLOOKUP($A370,DICO_Complet!$A$3:$U$983,8,FALSE)</f>
        <v>0</v>
      </c>
      <c r="I370" s="2" t="str">
        <f>IF(VLOOKUP($A370,DICO_Complet!$A$3:$U$983,9,FALSE)&lt;&gt;0,VLOOKUP($A370,DICO_Complet!$A$3:$U$983,9,FALSE),"")</f>
        <v/>
      </c>
      <c r="J370" s="1" t="str">
        <f>VLOOKUP($A370,DICO_Complet!$A$3:$U$983,10,FALSE)</f>
        <v>identifiant code produit ssN44 (Donnee CB N44) - type de compte</v>
      </c>
      <c r="K370" s="53" t="str">
        <f>IF(VLOOKUP($A370,DICO_Complet!$A$3:$U$983,12,FALSE)=0,"",VLOOKUP($A370,DICO_Complet!$A$3:$U$983,12,FALSE))</f>
        <v/>
      </c>
      <c r="L370" s="53" t="str">
        <f>IF(VLOOKUP($A370,DICO_Complet!$A$3:$U$983,13,FALSE)=0,"",VLOOKUP($A370,DICO_Complet!$A$3:$U$983,13,FALSE))</f>
        <v/>
      </c>
      <c r="M370" s="53" t="str">
        <f>IF(VLOOKUP($A370,DICO_Complet!$A$3:$U$983,14,FALSE)=0,"",VLOOKUP($A370,DICO_Complet!$A$3:$U$983,14,FALSE))</f>
        <v/>
      </c>
      <c r="N370" s="53" t="str">
        <f>IF(VLOOKUP($A370,DICO_Complet!$A$3:$U$983,15,FALSE)=0,"",VLOOKUP($A370,DICO_Complet!$A$3:$U$983,15,FALSE))</f>
        <v/>
      </c>
      <c r="O370" s="53" t="str">
        <f>IF(VLOOKUP($A370,DICO_Complet!$A$3:$U$983,16,FALSE)=0,"",VLOOKUP($A370,DICO_Complet!$A$3:$U$983,16,FALSE))</f>
        <v/>
      </c>
      <c r="P370" s="53" t="str">
        <f>IF(VLOOKUP($A370,DICO_Complet!$A$3:$U$983,17,FALSE)=0,"",VLOOKUP($A370,DICO_Complet!$A$3:$U$983,17,FALSE))</f>
        <v/>
      </c>
      <c r="Q370" s="53" t="str">
        <f>IF(VLOOKUP($A370,DICO_Complet!$A$3:$U$983,18,FALSE)=0,"",VLOOKUP($A370,DICO_Complet!$A$3:$U$983,18,FALSE))</f>
        <v>CIDCPR</v>
      </c>
    </row>
    <row r="371" spans="1:17">
      <c r="A371" s="38">
        <v>250418220121</v>
      </c>
      <c r="B371" s="47" t="s">
        <v>858</v>
      </c>
      <c r="C371" s="3" t="str">
        <f>VLOOKUP($A371,DICO_Complet!$A$3:$U$983,3,FALSE)</f>
        <v>Environment</v>
      </c>
      <c r="D371" s="3" t="str">
        <f>VLOOKUP($A371,DICO_Complet!$A$3:$U$983,4,FALSE)</f>
        <v>card</v>
      </c>
      <c r="E371" s="2" t="str">
        <f>VLOOKUP($A371,DICO_Complet!$A$3:$U$983,5,FALSE)</f>
        <v>temp_cbProductNature</v>
      </c>
      <c r="F371" s="2" t="str">
        <f>VLOOKUP($A371,DICO_Complet!$A$3:$U$983,6,FALSE)</f>
        <v>temp_Type_apreciser</v>
      </c>
      <c r="G371" s="48">
        <f>VLOOKUP($A371,DICO_Complet!$A$3:$U$983,7,FALSE)</f>
        <v>0</v>
      </c>
      <c r="H371" s="48">
        <f>VLOOKUP($A371,DICO_Complet!$A$3:$U$983,8,FALSE)</f>
        <v>0</v>
      </c>
      <c r="I371" s="2" t="str">
        <f>IF(VLOOKUP($A371,DICO_Complet!$A$3:$U$983,9,FALSE)&lt;&gt;0,VLOOKUP($A371,DICO_Complet!$A$3:$U$983,9,FALSE),"")</f>
        <v/>
      </c>
      <c r="J371" s="1" t="str">
        <f>VLOOKUP($A371,DICO_Complet!$A$3:$U$983,10,FALSE)</f>
        <v>code nature produit (Donnee CB N5)</v>
      </c>
      <c r="K371" s="53" t="str">
        <f>IF(VLOOKUP($A371,DICO_Complet!$A$3:$U$983,12,FALSE)=0,"",VLOOKUP($A371,DICO_Complet!$A$3:$U$983,12,FALSE))</f>
        <v/>
      </c>
      <c r="L371" s="53" t="str">
        <f>IF(VLOOKUP($A371,DICO_Complet!$A$3:$U$983,13,FALSE)=0,"",VLOOKUP($A371,DICO_Complet!$A$3:$U$983,13,FALSE))</f>
        <v/>
      </c>
      <c r="M371" s="53" t="str">
        <f>IF(VLOOKUP($A371,DICO_Complet!$A$3:$U$983,14,FALSE)=0,"",VLOOKUP($A371,DICO_Complet!$A$3:$U$983,14,FALSE))</f>
        <v/>
      </c>
      <c r="N371" s="53" t="str">
        <f>IF(VLOOKUP($A371,DICO_Complet!$A$3:$U$983,15,FALSE)=0,"",VLOOKUP($A371,DICO_Complet!$A$3:$U$983,15,FALSE))</f>
        <v/>
      </c>
      <c r="O371" s="53" t="str">
        <f>IF(VLOOKUP($A371,DICO_Complet!$A$3:$U$983,16,FALSE)=0,"",VLOOKUP($A371,DICO_Complet!$A$3:$U$983,16,FALSE))</f>
        <v/>
      </c>
      <c r="P371" s="53" t="str">
        <f>IF(VLOOKUP($A371,DICO_Complet!$A$3:$U$983,17,FALSE)=0,"",VLOOKUP($A371,DICO_Complet!$A$3:$U$983,17,FALSE))</f>
        <v/>
      </c>
      <c r="Q371" s="53" t="str">
        <f>IF(VLOOKUP($A371,DICO_Complet!$A$3:$U$983,18,FALSE)=0,"",VLOOKUP($A371,DICO_Complet!$A$3:$U$983,18,FALSE))</f>
        <v>CONAPD</v>
      </c>
    </row>
    <row r="372" spans="1:17">
      <c r="A372" s="38">
        <v>250418220122</v>
      </c>
      <c r="B372" s="47" t="s">
        <v>858</v>
      </c>
      <c r="C372" s="3" t="str">
        <f>VLOOKUP($A372,DICO_Complet!$A$3:$U$983,3,FALSE)</f>
        <v>Environment</v>
      </c>
      <c r="D372" s="3" t="str">
        <f>VLOOKUP($A372,DICO_Complet!$A$3:$U$983,4,FALSE)</f>
        <v>card</v>
      </c>
      <c r="E372" s="2" t="str">
        <f>VLOOKUP($A372,DICO_Complet!$A$3:$U$983,5,FALSE)</f>
        <v>temp_electronicPaymentlProcessAvailableIndicator</v>
      </c>
      <c r="F372" s="2" t="str">
        <f>VLOOKUP($A372,DICO_Complet!$A$3:$U$983,6,FALSE)</f>
        <v>temp_Type_apreciser</v>
      </c>
      <c r="G372" s="48">
        <f>VLOOKUP($A372,DICO_Complet!$A$3:$U$983,7,FALSE)</f>
        <v>0</v>
      </c>
      <c r="H372" s="48">
        <f>VLOOKUP($A372,DICO_Complet!$A$3:$U$983,8,FALSE)</f>
        <v>0</v>
      </c>
      <c r="I372" s="2" t="str">
        <f>IF(VLOOKUP($A372,DICO_Complet!$A$3:$U$983,9,FALSE)&lt;&gt;0,VLOOKUP($A372,DICO_Complet!$A$3:$U$983,9,FALSE),"")</f>
        <v/>
      </c>
      <c r="J372" s="1" t="str">
        <f>VLOOKUP($A372,DICO_Complet!$A$3:$U$983,10,FALSE)</f>
        <v>Service monetique P.E disponible  (donnee commune  P10-3)</v>
      </c>
      <c r="K372" s="53" t="str">
        <f>IF(VLOOKUP($A372,DICO_Complet!$A$3:$U$983,12,FALSE)=0,"",VLOOKUP($A372,DICO_Complet!$A$3:$U$983,12,FALSE))</f>
        <v/>
      </c>
      <c r="L372" s="53" t="str">
        <f>IF(VLOOKUP($A372,DICO_Complet!$A$3:$U$983,13,FALSE)=0,"",VLOOKUP($A372,DICO_Complet!$A$3:$U$983,13,FALSE))</f>
        <v/>
      </c>
      <c r="M372" s="53" t="str">
        <f>IF(VLOOKUP($A372,DICO_Complet!$A$3:$U$983,14,FALSE)=0,"",VLOOKUP($A372,DICO_Complet!$A$3:$U$983,14,FALSE))</f>
        <v/>
      </c>
      <c r="N372" s="53" t="str">
        <f>IF(VLOOKUP($A372,DICO_Complet!$A$3:$U$983,15,FALSE)=0,"",VLOOKUP($A372,DICO_Complet!$A$3:$U$983,15,FALSE))</f>
        <v/>
      </c>
      <c r="O372" s="53" t="str">
        <f>IF(VLOOKUP($A372,DICO_Complet!$A$3:$U$983,16,FALSE)=0,"",VLOOKUP($A372,DICO_Complet!$A$3:$U$983,16,FALSE))</f>
        <v/>
      </c>
      <c r="P372" s="53" t="str">
        <f>IF(VLOOKUP($A372,DICO_Complet!$A$3:$U$983,17,FALSE)=0,"",VLOOKUP($A372,DICO_Complet!$A$3:$U$983,17,FALSE))</f>
        <v/>
      </c>
      <c r="Q372" s="53" t="str">
        <f>IF(VLOOKUP($A372,DICO_Complet!$A$3:$U$983,18,FALSE)=0,"",VLOOKUP($A372,DICO_Complet!$A$3:$U$983,18,FALSE))</f>
        <v>CTSMDE</v>
      </c>
    </row>
    <row r="373" spans="1:17">
      <c r="A373" s="38">
        <v>250418220123</v>
      </c>
      <c r="B373" s="47" t="s">
        <v>858</v>
      </c>
      <c r="C373" s="3" t="str">
        <f>VLOOKUP($A373,DICO_Complet!$A$3:$U$983,3,FALSE)</f>
        <v>Environment</v>
      </c>
      <c r="D373" s="3" t="str">
        <f>VLOOKUP($A373,DICO_Complet!$A$3:$U$983,4,FALSE)</f>
        <v>card</v>
      </c>
      <c r="E373" s="2" t="str">
        <f>VLOOKUP($A373,DICO_Complet!$A$3:$U$983,5,FALSE)</f>
        <v>temp_electronicPaymentServiceAvalaibleIndicator</v>
      </c>
      <c r="F373" s="2" t="str">
        <f>VLOOKUP($A373,DICO_Complet!$A$3:$U$983,6,FALSE)</f>
        <v>temp_Type_apreciser</v>
      </c>
      <c r="G373" s="48">
        <f>VLOOKUP($A373,DICO_Complet!$A$3:$U$983,7,FALSE)</f>
        <v>0</v>
      </c>
      <c r="H373" s="48">
        <f>VLOOKUP($A373,DICO_Complet!$A$3:$U$983,8,FALSE)</f>
        <v>0</v>
      </c>
      <c r="I373" s="2" t="str">
        <f>IF(VLOOKUP($A373,DICO_Complet!$A$3:$U$983,9,FALSE)&lt;&gt;0,VLOOKUP($A373,DICO_Complet!$A$3:$U$983,9,FALSE),"")</f>
        <v/>
      </c>
      <c r="J373" s="1" t="str">
        <f>VLOOKUP($A373,DICO_Complet!$A$3:$U$983,10,FALSE)</f>
        <v>Service monetique P.N.E disponible (donnee commune P10-2)</v>
      </c>
      <c r="K373" s="53" t="str">
        <f>IF(VLOOKUP($A373,DICO_Complet!$A$3:$U$983,12,FALSE)=0,"",VLOOKUP($A373,DICO_Complet!$A$3:$U$983,12,FALSE))</f>
        <v/>
      </c>
      <c r="L373" s="53" t="str">
        <f>IF(VLOOKUP($A373,DICO_Complet!$A$3:$U$983,13,FALSE)=0,"",VLOOKUP($A373,DICO_Complet!$A$3:$U$983,13,FALSE))</f>
        <v/>
      </c>
      <c r="M373" s="53" t="str">
        <f>IF(VLOOKUP($A373,DICO_Complet!$A$3:$U$983,14,FALSE)=0,"",VLOOKUP($A373,DICO_Complet!$A$3:$U$983,14,FALSE))</f>
        <v/>
      </c>
      <c r="N373" s="53" t="str">
        <f>IF(VLOOKUP($A373,DICO_Complet!$A$3:$U$983,15,FALSE)=0,"",VLOOKUP($A373,DICO_Complet!$A$3:$U$983,15,FALSE))</f>
        <v/>
      </c>
      <c r="O373" s="53" t="str">
        <f>IF(VLOOKUP($A373,DICO_Complet!$A$3:$U$983,16,FALSE)=0,"",VLOOKUP($A373,DICO_Complet!$A$3:$U$983,16,FALSE))</f>
        <v/>
      </c>
      <c r="P373" s="53" t="str">
        <f>IF(VLOOKUP($A373,DICO_Complet!$A$3:$U$983,17,FALSE)=0,"",VLOOKUP($A373,DICO_Complet!$A$3:$U$983,17,FALSE))</f>
        <v/>
      </c>
      <c r="Q373" s="53" t="str">
        <f>IF(VLOOKUP($A373,DICO_Complet!$A$3:$U$983,18,FALSE)=0,"",VLOOKUP($A373,DICO_Complet!$A$3:$U$983,18,FALSE))</f>
        <v>CTSMDN</v>
      </c>
    </row>
    <row r="374" spans="1:17">
      <c r="A374" s="38">
        <v>250418220124</v>
      </c>
      <c r="B374" s="47" t="s">
        <v>858</v>
      </c>
      <c r="C374" s="3" t="str">
        <f>VLOOKUP($A374,DICO_Complet!$A$3:$U$983,3,FALSE)</f>
        <v>Environment</v>
      </c>
      <c r="D374" s="3" t="str">
        <f>VLOOKUP($A374,DICO_Complet!$A$3:$U$983,4,FALSE)</f>
        <v>card</v>
      </c>
      <c r="E374" s="2" t="str">
        <f>VLOOKUP($A374,DICO_Complet!$A$3:$U$983,5,FALSE)</f>
        <v>temp_issuerCardCountryCode</v>
      </c>
      <c r="F374" s="2" t="str">
        <f>VLOOKUP($A374,DICO_Complet!$A$3:$U$983,6,FALSE)</f>
        <v>temp_Type_apreciser</v>
      </c>
      <c r="G374" s="48">
        <f>VLOOKUP($A374,DICO_Complet!$A$3:$U$983,7,FALSE)</f>
        <v>0</v>
      </c>
      <c r="H374" s="48">
        <f>VLOOKUP($A374,DICO_Complet!$A$3:$U$983,8,FALSE)</f>
        <v>0</v>
      </c>
      <c r="I374" s="2" t="str">
        <f>IF(VLOOKUP($A374,DICO_Complet!$A$3:$U$983,9,FALSE)&lt;&gt;0,VLOOKUP($A374,DICO_Complet!$A$3:$U$983,9,FALSE),"")</f>
        <v/>
      </c>
      <c r="J374" s="1" t="str">
        <f>VLOOKUP($A374,DICO_Complet!$A$3:$U$983,10,FALSE)</f>
        <v>Code pays de l'emetteur de la carte</v>
      </c>
      <c r="K374" s="53" t="str">
        <f>IF(VLOOKUP($A374,DICO_Complet!$A$3:$U$983,12,FALSE)=0,"",VLOOKUP($A374,DICO_Complet!$A$3:$U$983,12,FALSE))</f>
        <v/>
      </c>
      <c r="L374" s="53" t="str">
        <f>IF(VLOOKUP($A374,DICO_Complet!$A$3:$U$983,13,FALSE)=0,"",VLOOKUP($A374,DICO_Complet!$A$3:$U$983,13,FALSE))</f>
        <v/>
      </c>
      <c r="M374" s="53" t="str">
        <f>IF(VLOOKUP($A374,DICO_Complet!$A$3:$U$983,14,FALSE)=0,"",VLOOKUP($A374,DICO_Complet!$A$3:$U$983,14,FALSE))</f>
        <v/>
      </c>
      <c r="N374" s="53" t="str">
        <f>IF(VLOOKUP($A374,DICO_Complet!$A$3:$U$983,15,FALSE)=0,"",VLOOKUP($A374,DICO_Complet!$A$3:$U$983,15,FALSE))</f>
        <v/>
      </c>
      <c r="O374" s="53" t="str">
        <f>IF(VLOOKUP($A374,DICO_Complet!$A$3:$U$983,16,FALSE)=0,"",VLOOKUP($A374,DICO_Complet!$A$3:$U$983,16,FALSE))</f>
        <v/>
      </c>
      <c r="P374" s="53" t="str">
        <f>IF(VLOOKUP($A374,DICO_Complet!$A$3:$U$983,17,FALSE)=0,"",VLOOKUP($A374,DICO_Complet!$A$3:$U$983,17,FALSE))</f>
        <v/>
      </c>
      <c r="Q374" s="53" t="str">
        <f>IF(VLOOKUP($A374,DICO_Complet!$A$3:$U$983,18,FALSE)=0,"",VLOOKUP($A374,DICO_Complet!$A$3:$U$983,18,FALSE))</f>
        <v>COPAYM</v>
      </c>
    </row>
    <row r="375" spans="1:17">
      <c r="A375" s="38">
        <v>250418220125</v>
      </c>
      <c r="B375" s="47" t="s">
        <v>858</v>
      </c>
      <c r="C375" s="3" t="str">
        <f>VLOOKUP($A375,DICO_Complet!$A$3:$U$983,3,FALSE)</f>
        <v>Environment</v>
      </c>
      <c r="D375" s="3" t="str">
        <f>VLOOKUP($A375,DICO_Complet!$A$3:$U$983,4,FALSE)</f>
        <v>card</v>
      </c>
      <c r="E375" s="2" t="str">
        <f>VLOOKUP($A375,DICO_Complet!$A$3:$U$983,5,FALSE)</f>
        <v>temp_IssuerRegionNumber</v>
      </c>
      <c r="F375" s="2" t="str">
        <f>VLOOKUP($A375,DICO_Complet!$A$3:$U$983,6,FALSE)</f>
        <v>temp_Type_apreciser</v>
      </c>
      <c r="G375" s="48">
        <f>VLOOKUP($A375,DICO_Complet!$A$3:$U$983,7,FALSE)</f>
        <v>0</v>
      </c>
      <c r="H375" s="48">
        <f>VLOOKUP($A375,DICO_Complet!$A$3:$U$983,8,FALSE)</f>
        <v>0</v>
      </c>
      <c r="I375" s="2" t="str">
        <f>IF(VLOOKUP($A375,DICO_Complet!$A$3:$U$983,9,FALSE)&lt;&gt;0,VLOOKUP($A375,DICO_Complet!$A$3:$U$983,9,FALSE),"")</f>
        <v/>
      </c>
      <c r="J375" s="1" t="str">
        <f>VLOOKUP($A375,DICO_Complet!$A$3:$U$983,10,FALSE)</f>
        <v>numero de la region (donnee VISA VI3 (region ou est l'emetteur de la carte)  ou donnee Mastercard EP91 (a quelle sous region Mastercard appartient le pays)</v>
      </c>
      <c r="K375" s="53" t="str">
        <f>IF(VLOOKUP($A375,DICO_Complet!$A$3:$U$983,12,FALSE)=0,"",VLOOKUP($A375,DICO_Complet!$A$3:$U$983,12,FALSE))</f>
        <v/>
      </c>
      <c r="L375" s="53" t="str">
        <f>IF(VLOOKUP($A375,DICO_Complet!$A$3:$U$983,13,FALSE)=0,"",VLOOKUP($A375,DICO_Complet!$A$3:$U$983,13,FALSE))</f>
        <v/>
      </c>
      <c r="M375" s="53" t="str">
        <f>IF(VLOOKUP($A375,DICO_Complet!$A$3:$U$983,14,FALSE)=0,"",VLOOKUP($A375,DICO_Complet!$A$3:$U$983,14,FALSE))</f>
        <v/>
      </c>
      <c r="N375" s="53" t="str">
        <f>IF(VLOOKUP($A375,DICO_Complet!$A$3:$U$983,15,FALSE)=0,"",VLOOKUP($A375,DICO_Complet!$A$3:$U$983,15,FALSE))</f>
        <v/>
      </c>
      <c r="O375" s="53" t="str">
        <f>IF(VLOOKUP($A375,DICO_Complet!$A$3:$U$983,16,FALSE)=0,"",VLOOKUP($A375,DICO_Complet!$A$3:$U$983,16,FALSE))</f>
        <v/>
      </c>
      <c r="P375" s="53" t="str">
        <f>IF(VLOOKUP($A375,DICO_Complet!$A$3:$U$983,17,FALSE)=0,"",VLOOKUP($A375,DICO_Complet!$A$3:$U$983,17,FALSE))</f>
        <v/>
      </c>
      <c r="Q375" s="53" t="str">
        <f>IF(VLOOKUP($A375,DICO_Complet!$A$3:$U$983,18,FALSE)=0,"",VLOOKUP($A375,DICO_Complet!$A$3:$U$983,18,FALSE))</f>
        <v>COREGE</v>
      </c>
    </row>
    <row r="376" spans="1:17">
      <c r="A376" s="38">
        <v>250418220126</v>
      </c>
      <c r="B376" s="47" t="s">
        <v>858</v>
      </c>
      <c r="C376" s="3" t="str">
        <f>VLOOKUP($A376,DICO_Complet!$A$3:$U$983,3,FALSE)</f>
        <v>Environment</v>
      </c>
      <c r="D376" s="3" t="str">
        <f>VLOOKUP($A376,DICO_Complet!$A$3:$U$983,4,FALSE)</f>
        <v>card</v>
      </c>
      <c r="E376" s="2" t="str">
        <f>VLOOKUP($A376,DICO_Complet!$A$3:$U$983,5,FALSE)</f>
        <v>temp_luhnKeyCheckIndicator</v>
      </c>
      <c r="F376" s="2" t="str">
        <f>VLOOKUP($A376,DICO_Complet!$A$3:$U$983,6,FALSE)</f>
        <v>temp_Type_apreciser</v>
      </c>
      <c r="G376" s="48">
        <f>VLOOKUP($A376,DICO_Complet!$A$3:$U$983,7,FALSE)</f>
        <v>0</v>
      </c>
      <c r="H376" s="48">
        <f>VLOOKUP($A376,DICO_Complet!$A$3:$U$983,8,FALSE)</f>
        <v>0</v>
      </c>
      <c r="I376" s="2" t="str">
        <f>IF(VLOOKUP($A376,DICO_Complet!$A$3:$U$983,9,FALSE)&lt;&gt;0,VLOOKUP($A376,DICO_Complet!$A$3:$U$983,9,FALSE),"")</f>
        <v/>
      </c>
      <c r="J376" s="1" t="str">
        <f>VLOOKUP($A376,DICO_Complet!$A$3:$U$983,10,FALSE)</f>
        <v>Luhn key check indicator</v>
      </c>
      <c r="K376" s="53" t="str">
        <f>IF(VLOOKUP($A376,DICO_Complet!$A$3:$U$983,12,FALSE)=0,"",VLOOKUP($A376,DICO_Complet!$A$3:$U$983,12,FALSE))</f>
        <v/>
      </c>
      <c r="L376" s="53" t="str">
        <f>IF(VLOOKUP($A376,DICO_Complet!$A$3:$U$983,13,FALSE)=0,"",VLOOKUP($A376,DICO_Complet!$A$3:$U$983,13,FALSE))</f>
        <v/>
      </c>
      <c r="M376" s="53" t="str">
        <f>IF(VLOOKUP($A376,DICO_Complet!$A$3:$U$983,14,FALSE)=0,"",VLOOKUP($A376,DICO_Complet!$A$3:$U$983,14,FALSE))</f>
        <v/>
      </c>
      <c r="N376" s="53" t="str">
        <f>IF(VLOOKUP($A376,DICO_Complet!$A$3:$U$983,15,FALSE)=0,"",VLOOKUP($A376,DICO_Complet!$A$3:$U$983,15,FALSE))</f>
        <v/>
      </c>
      <c r="O376" s="53" t="str">
        <f>IF(VLOOKUP($A376,DICO_Complet!$A$3:$U$983,16,FALSE)=0,"",VLOOKUP($A376,DICO_Complet!$A$3:$U$983,16,FALSE))</f>
        <v/>
      </c>
      <c r="P376" s="53" t="str">
        <f>IF(VLOOKUP($A376,DICO_Complet!$A$3:$U$983,17,FALSE)=0,"",VLOOKUP($A376,DICO_Complet!$A$3:$U$983,17,FALSE))</f>
        <v/>
      </c>
      <c r="Q376" s="53" t="str">
        <f>IF(VLOOKUP($A376,DICO_Complet!$A$3:$U$983,18,FALSE)=0,"",VLOOKUP($A376,DICO_Complet!$A$3:$U$983,18,FALSE))</f>
        <v>CECTCL</v>
      </c>
    </row>
    <row r="377" spans="1:17">
      <c r="A377" s="38">
        <v>250418220127</v>
      </c>
      <c r="B377" s="47" t="s">
        <v>858</v>
      </c>
      <c r="C377" s="3" t="str">
        <f>VLOOKUP($A377,DICO_Complet!$A$3:$U$983,3,FALSE)</f>
        <v>Environment</v>
      </c>
      <c r="D377" s="3" t="str">
        <f>VLOOKUP($A377,DICO_Complet!$A$3:$U$983,4,FALSE)</f>
        <v>card</v>
      </c>
      <c r="E377" s="2" t="str">
        <f>VLOOKUP($A377,DICO_Complet!$A$3:$U$983,5,FALSE)</f>
        <v>temp_mainMemberaffectationInstitutionId</v>
      </c>
      <c r="F377" s="2" t="str">
        <f>VLOOKUP($A377,DICO_Complet!$A$3:$U$983,6,FALSE)</f>
        <v>temp_Type_apreciser</v>
      </c>
      <c r="G377" s="48">
        <f>VLOOKUP($A377,DICO_Complet!$A$3:$U$983,7,FALSE)</f>
        <v>0</v>
      </c>
      <c r="H377" s="48">
        <f>VLOOKUP($A377,DICO_Complet!$A$3:$U$983,8,FALSE)</f>
        <v>0</v>
      </c>
      <c r="I377" s="2" t="str">
        <f>IF(VLOOKUP($A377,DICO_Complet!$A$3:$U$983,9,FALSE)&lt;&gt;0,VLOOKUP($A377,DICO_Complet!$A$3:$U$983,9,FALSE),"")</f>
        <v/>
      </c>
      <c r="J377" s="1" t="str">
        <f>VLOOKUP($A377,DICO_Complet!$A$3:$U$983,10,FALSE)</f>
        <v>Code Banque du principal member (VI34)</v>
      </c>
      <c r="K377" s="53" t="str">
        <f>IF(VLOOKUP($A377,DICO_Complet!$A$3:$U$983,12,FALSE)=0,"",VLOOKUP($A377,DICO_Complet!$A$3:$U$983,12,FALSE))</f>
        <v/>
      </c>
      <c r="L377" s="53" t="str">
        <f>IF(VLOOKUP($A377,DICO_Complet!$A$3:$U$983,13,FALSE)=0,"",VLOOKUP($A377,DICO_Complet!$A$3:$U$983,13,FALSE))</f>
        <v/>
      </c>
      <c r="M377" s="53" t="str">
        <f>IF(VLOOKUP($A377,DICO_Complet!$A$3:$U$983,14,FALSE)=0,"",VLOOKUP($A377,DICO_Complet!$A$3:$U$983,14,FALSE))</f>
        <v/>
      </c>
      <c r="N377" s="53" t="str">
        <f>IF(VLOOKUP($A377,DICO_Complet!$A$3:$U$983,15,FALSE)=0,"",VLOOKUP($A377,DICO_Complet!$A$3:$U$983,15,FALSE))</f>
        <v/>
      </c>
      <c r="O377" s="53" t="str">
        <f>IF(VLOOKUP($A377,DICO_Complet!$A$3:$U$983,16,FALSE)=0,"",VLOOKUP($A377,DICO_Complet!$A$3:$U$983,16,FALSE))</f>
        <v/>
      </c>
      <c r="P377" s="53" t="str">
        <f>IF(VLOOKUP($A377,DICO_Complet!$A$3:$U$983,17,FALSE)=0,"",VLOOKUP($A377,DICO_Complet!$A$3:$U$983,17,FALSE))</f>
        <v/>
      </c>
      <c r="Q377" s="53" t="str">
        <f>IF(VLOOKUP($A377,DICO_Complet!$A$3:$U$983,18,FALSE)=0,"",VLOOKUP($A377,DICO_Complet!$A$3:$U$983,18,FALSE))</f>
        <v>COBANM</v>
      </c>
    </row>
    <row r="378" spans="1:17">
      <c r="A378" s="38">
        <v>250418220128</v>
      </c>
      <c r="B378" s="47" t="s">
        <v>858</v>
      </c>
      <c r="C378" s="3" t="str">
        <f>VLOOKUP($A378,DICO_Complet!$A$3:$U$983,3,FALSE)</f>
        <v>Environment</v>
      </c>
      <c r="D378" s="3" t="str">
        <f>VLOOKUP($A378,DICO_Complet!$A$3:$U$983,4,FALSE)</f>
        <v>card</v>
      </c>
      <c r="E378" s="2" t="str">
        <f>VLOOKUP($A378,DICO_Complet!$A$3:$U$983,5,FALSE)</f>
        <v>temp_managerInstitutionId</v>
      </c>
      <c r="F378" s="2" t="str">
        <f>VLOOKUP($A378,DICO_Complet!$A$3:$U$983,6,FALSE)</f>
        <v>temp_Type_apreciser</v>
      </c>
      <c r="G378" s="48">
        <f>VLOOKUP($A378,DICO_Complet!$A$3:$U$983,7,FALSE)</f>
        <v>0</v>
      </c>
      <c r="H378" s="48">
        <f>VLOOKUP($A378,DICO_Complet!$A$3:$U$983,8,FALSE)</f>
        <v>0</v>
      </c>
      <c r="I378" s="2" t="str">
        <f>IF(VLOOKUP($A378,DICO_Complet!$A$3:$U$983,9,FALSE)&lt;&gt;0,VLOOKUP($A378,DICO_Complet!$A$3:$U$983,9,FALSE),"")</f>
        <v/>
      </c>
      <c r="J378" s="1" t="str">
        <f>VLOOKUP($A378,DICO_Complet!$A$3:$U$983,10,FALSE)</f>
        <v>Code etablissement attributaire (donnee commune P7)</v>
      </c>
      <c r="K378" s="53" t="str">
        <f>IF(VLOOKUP($A378,DICO_Complet!$A$3:$U$983,12,FALSE)=0,"",VLOOKUP($A378,DICO_Complet!$A$3:$U$983,12,FALSE))</f>
        <v/>
      </c>
      <c r="L378" s="53" t="str">
        <f>IF(VLOOKUP($A378,DICO_Complet!$A$3:$U$983,13,FALSE)=0,"",VLOOKUP($A378,DICO_Complet!$A$3:$U$983,13,FALSE))</f>
        <v/>
      </c>
      <c r="M378" s="53" t="str">
        <f>IF(VLOOKUP($A378,DICO_Complet!$A$3:$U$983,14,FALSE)=0,"",VLOOKUP($A378,DICO_Complet!$A$3:$U$983,14,FALSE))</f>
        <v/>
      </c>
      <c r="N378" s="53" t="str">
        <f>IF(VLOOKUP($A378,DICO_Complet!$A$3:$U$983,15,FALSE)=0,"",VLOOKUP($A378,DICO_Complet!$A$3:$U$983,15,FALSE))</f>
        <v/>
      </c>
      <c r="O378" s="53" t="str">
        <f>IF(VLOOKUP($A378,DICO_Complet!$A$3:$U$983,16,FALSE)=0,"",VLOOKUP($A378,DICO_Complet!$A$3:$U$983,16,FALSE))</f>
        <v/>
      </c>
      <c r="P378" s="53" t="str">
        <f>IF(VLOOKUP($A378,DICO_Complet!$A$3:$U$983,17,FALSE)=0,"",VLOOKUP($A378,DICO_Complet!$A$3:$U$983,17,FALSE))</f>
        <v/>
      </c>
      <c r="Q378" s="53" t="str">
        <f>IF(VLOOKUP($A378,DICO_Complet!$A$3:$U$983,18,FALSE)=0,"",VLOOKUP($A378,DICO_Complet!$A$3:$U$983,18,FALSE))</f>
        <v>COETPC</v>
      </c>
    </row>
    <row r="379" spans="1:17">
      <c r="A379" s="38">
        <v>250418220129</v>
      </c>
      <c r="B379" s="47" t="s">
        <v>858</v>
      </c>
      <c r="C379" s="3" t="str">
        <f>VLOOKUP($A379,DICO_Complet!$A$3:$U$983,3,FALSE)</f>
        <v>Environment</v>
      </c>
      <c r="D379" s="3" t="str">
        <f>VLOOKUP($A379,DICO_Complet!$A$3:$U$983,4,FALSE)</f>
        <v>card</v>
      </c>
      <c r="E379" s="2" t="str">
        <f>VLOOKUP($A379,DICO_Complet!$A$3:$U$983,5,FALSE)</f>
        <v>temp_maskedPrimaryAccountNumber</v>
      </c>
      <c r="F379" s="2" t="str">
        <f>VLOOKUP($A379,DICO_Complet!$A$3:$U$983,6,FALSE)</f>
        <v>Max19Text</v>
      </c>
      <c r="G379" s="48">
        <f>VLOOKUP($A379,DICO_Complet!$A$3:$U$983,7,FALSE)</f>
        <v>0</v>
      </c>
      <c r="H379" s="48">
        <f>VLOOKUP($A379,DICO_Complet!$A$3:$U$983,8,FALSE)</f>
        <v>0</v>
      </c>
      <c r="I379" s="2" t="str">
        <f>IF(VLOOKUP($A379,DICO_Complet!$A$3:$U$983,9,FALSE)&lt;&gt;0,VLOOKUP($A379,DICO_Complet!$A$3:$U$983,9,FALSE),"")</f>
        <v/>
      </c>
      <c r="J379" s="1" t="str">
        <f>VLOOKUP($A379,DICO_Complet!$A$3:$U$983,10,FALSE)</f>
        <v>Code carte bancaire</v>
      </c>
      <c r="K379" s="53" t="str">
        <f>IF(VLOOKUP($A379,DICO_Complet!$A$3:$U$983,12,FALSE)=0,"",VLOOKUP($A379,DICO_Complet!$A$3:$U$983,12,FALSE))</f>
        <v/>
      </c>
      <c r="L379" s="53" t="str">
        <f>IF(VLOOKUP($A379,DICO_Complet!$A$3:$U$983,13,FALSE)=0,"",VLOOKUP($A379,DICO_Complet!$A$3:$U$983,13,FALSE))</f>
        <v/>
      </c>
      <c r="M379" s="53" t="str">
        <f>IF(VLOOKUP($A379,DICO_Complet!$A$3:$U$983,14,FALSE)=0,"",VLOOKUP($A379,DICO_Complet!$A$3:$U$983,14,FALSE))</f>
        <v/>
      </c>
      <c r="N379" s="53" t="str">
        <f>IF(VLOOKUP($A379,DICO_Complet!$A$3:$U$983,15,FALSE)=0,"",VLOOKUP($A379,DICO_Complet!$A$3:$U$983,15,FALSE))</f>
        <v/>
      </c>
      <c r="O379" s="53" t="str">
        <f>IF(VLOOKUP($A379,DICO_Complet!$A$3:$U$983,16,FALSE)=0,"",VLOOKUP($A379,DICO_Complet!$A$3:$U$983,16,FALSE))</f>
        <v/>
      </c>
      <c r="P379" s="53" t="str">
        <f>IF(VLOOKUP($A379,DICO_Complet!$A$3:$U$983,17,FALSE)=0,"",VLOOKUP($A379,DICO_Complet!$A$3:$U$983,17,FALSE))</f>
        <v/>
      </c>
      <c r="Q379" s="53" t="str">
        <f>IF(VLOOKUP($A379,DICO_Complet!$A$3:$U$983,18,FALSE)=0,"",VLOOKUP($A379,DICO_Complet!$A$3:$U$983,18,FALSE))</f>
        <v>COCART</v>
      </c>
    </row>
    <row r="380" spans="1:17">
      <c r="A380" s="38">
        <v>250418220130</v>
      </c>
      <c r="B380" s="47" t="s">
        <v>858</v>
      </c>
      <c r="C380" s="3" t="str">
        <f>VLOOKUP($A380,DICO_Complet!$A$3:$U$983,3,FALSE)</f>
        <v>Environment</v>
      </c>
      <c r="D380" s="3" t="str">
        <f>VLOOKUP($A380,DICO_Complet!$A$3:$U$983,4,FALSE)</f>
        <v>card</v>
      </c>
      <c r="E380" s="2" t="str">
        <f>VLOOKUP($A380,DICO_Complet!$A$3:$U$983,5,FALSE)</f>
        <v>temp_mastercardCashWithDrawServiceAvalaibleIndicator</v>
      </c>
      <c r="F380" s="2" t="str">
        <f>VLOOKUP($A380,DICO_Complet!$A$3:$U$983,6,FALSE)</f>
        <v>temp_Type_apreciser</v>
      </c>
      <c r="G380" s="48">
        <f>VLOOKUP($A380,DICO_Complet!$A$3:$U$983,7,FALSE)</f>
        <v>0</v>
      </c>
      <c r="H380" s="48">
        <f>VLOOKUP($A380,DICO_Complet!$A$3:$U$983,8,FALSE)</f>
        <v>0</v>
      </c>
      <c r="I380" s="2" t="str">
        <f>IF(VLOOKUP($A380,DICO_Complet!$A$3:$U$983,9,FALSE)&lt;&gt;0,VLOOKUP($A380,DICO_Complet!$A$3:$U$983,9,FALSE),"")</f>
        <v/>
      </c>
      <c r="J380" s="1" t="str">
        <f>VLOOKUP($A380,DICO_Complet!$A$3:$U$983,10,FALSE)</f>
        <v>Classe trait. reseau EPI/MCI retrait (donnee Mastercard EP33)</v>
      </c>
      <c r="K380" s="53" t="str">
        <f>IF(VLOOKUP($A380,DICO_Complet!$A$3:$U$983,12,FALSE)=0,"",VLOOKUP($A380,DICO_Complet!$A$3:$U$983,12,FALSE))</f>
        <v/>
      </c>
      <c r="L380" s="53" t="str">
        <f>IF(VLOOKUP($A380,DICO_Complet!$A$3:$U$983,13,FALSE)=0,"",VLOOKUP($A380,DICO_Complet!$A$3:$U$983,13,FALSE))</f>
        <v/>
      </c>
      <c r="M380" s="53" t="str">
        <f>IF(VLOOKUP($A380,DICO_Complet!$A$3:$U$983,14,FALSE)=0,"",VLOOKUP($A380,DICO_Complet!$A$3:$U$983,14,FALSE))</f>
        <v/>
      </c>
      <c r="N380" s="53" t="str">
        <f>IF(VLOOKUP($A380,DICO_Complet!$A$3:$U$983,15,FALSE)=0,"",VLOOKUP($A380,DICO_Complet!$A$3:$U$983,15,FALSE))</f>
        <v/>
      </c>
      <c r="O380" s="53" t="str">
        <f>IF(VLOOKUP($A380,DICO_Complet!$A$3:$U$983,16,FALSE)=0,"",VLOOKUP($A380,DICO_Complet!$A$3:$U$983,16,FALSE))</f>
        <v/>
      </c>
      <c r="P380" s="53" t="str">
        <f>IF(VLOOKUP($A380,DICO_Complet!$A$3:$U$983,17,FALSE)=0,"",VLOOKUP($A380,DICO_Complet!$A$3:$U$983,17,FALSE))</f>
        <v/>
      </c>
      <c r="Q380" s="53" t="str">
        <f>IF(VLOOKUP($A380,DICO_Complet!$A$3:$U$983,18,FALSE)=0,"",VLOOKUP($A380,DICO_Complet!$A$3:$U$983,18,FALSE))</f>
        <v>COCTER</v>
      </c>
    </row>
    <row r="381" spans="1:17">
      <c r="A381" s="38">
        <v>250418220131</v>
      </c>
      <c r="B381" s="47" t="s">
        <v>858</v>
      </c>
      <c r="C381" s="3" t="str">
        <f>VLOOKUP($A381,DICO_Complet!$A$3:$U$983,3,FALSE)</f>
        <v>Environment</v>
      </c>
      <c r="D381" s="3" t="str">
        <f>VLOOKUP($A381,DICO_Complet!$A$3:$U$983,4,FALSE)</f>
        <v>card</v>
      </c>
      <c r="E381" s="2" t="str">
        <f>VLOOKUP($A381,DICO_Complet!$A$3:$U$983,5,FALSE)</f>
        <v>temp_mastercardElectronicPaymentServiceAvalaibleIndicator</v>
      </c>
      <c r="F381" s="2" t="str">
        <f>VLOOKUP($A381,DICO_Complet!$A$3:$U$983,6,FALSE)</f>
        <v>temp_Type_apreciser</v>
      </c>
      <c r="G381" s="48">
        <f>VLOOKUP($A381,DICO_Complet!$A$3:$U$983,7,FALSE)</f>
        <v>0</v>
      </c>
      <c r="H381" s="48">
        <f>VLOOKUP($A381,DICO_Complet!$A$3:$U$983,8,FALSE)</f>
        <v>0</v>
      </c>
      <c r="I381" s="2" t="str">
        <f>IF(VLOOKUP($A381,DICO_Complet!$A$3:$U$983,9,FALSE)&lt;&gt;0,VLOOKUP($A381,DICO_Complet!$A$3:$U$983,9,FALSE),"")</f>
        <v/>
      </c>
      <c r="J381" s="1" t="str">
        <f>VLOOKUP($A381,DICO_Complet!$A$3:$U$983,10,FALSE)</f>
        <v>Classe trait. reseau EPI/MCI P.E (donnee Mastercard EP53)</v>
      </c>
      <c r="K381" s="53" t="str">
        <f>IF(VLOOKUP($A381,DICO_Complet!$A$3:$U$983,12,FALSE)=0,"",VLOOKUP($A381,DICO_Complet!$A$3:$U$983,12,FALSE))</f>
        <v/>
      </c>
      <c r="L381" s="53" t="str">
        <f>IF(VLOOKUP($A381,DICO_Complet!$A$3:$U$983,13,FALSE)=0,"",VLOOKUP($A381,DICO_Complet!$A$3:$U$983,13,FALSE))</f>
        <v/>
      </c>
      <c r="M381" s="53" t="str">
        <f>IF(VLOOKUP($A381,DICO_Complet!$A$3:$U$983,14,FALSE)=0,"",VLOOKUP($A381,DICO_Complet!$A$3:$U$983,14,FALSE))</f>
        <v/>
      </c>
      <c r="N381" s="53" t="str">
        <f>IF(VLOOKUP($A381,DICO_Complet!$A$3:$U$983,15,FALSE)=0,"",VLOOKUP($A381,DICO_Complet!$A$3:$U$983,15,FALSE))</f>
        <v/>
      </c>
      <c r="O381" s="53" t="str">
        <f>IF(VLOOKUP($A381,DICO_Complet!$A$3:$U$983,16,FALSE)=0,"",VLOOKUP($A381,DICO_Complet!$A$3:$U$983,16,FALSE))</f>
        <v/>
      </c>
      <c r="P381" s="53" t="str">
        <f>IF(VLOOKUP($A381,DICO_Complet!$A$3:$U$983,17,FALSE)=0,"",VLOOKUP($A381,DICO_Complet!$A$3:$U$983,17,FALSE))</f>
        <v/>
      </c>
      <c r="Q381" s="53" t="str">
        <f>IF(VLOOKUP($A381,DICO_Complet!$A$3:$U$983,18,FALSE)=0,"",VLOOKUP($A381,DICO_Complet!$A$3:$U$983,18,FALSE))</f>
        <v>COCTEE</v>
      </c>
    </row>
    <row r="382" spans="1:17">
      <c r="A382" s="38">
        <v>250418220132</v>
      </c>
      <c r="B382" s="47" t="s">
        <v>858</v>
      </c>
      <c r="C382" s="3" t="str">
        <f>VLOOKUP($A382,DICO_Complet!$A$3:$U$983,3,FALSE)</f>
        <v>Environment</v>
      </c>
      <c r="D382" s="3" t="str">
        <f>VLOOKUP($A382,DICO_Complet!$A$3:$U$983,4,FALSE)</f>
        <v>card</v>
      </c>
      <c r="E382" s="2" t="str">
        <f>VLOOKUP($A382,DICO_Complet!$A$3:$U$983,5,FALSE)</f>
        <v>temp_mastercardEuropeSubregionIndicator</v>
      </c>
      <c r="F382" s="2" t="str">
        <f>VLOOKUP($A382,DICO_Complet!$A$3:$U$983,6,FALSE)</f>
        <v>temp_Type_apreciser</v>
      </c>
      <c r="G382" s="48">
        <f>VLOOKUP($A382,DICO_Complet!$A$3:$U$983,7,FALSE)</f>
        <v>0</v>
      </c>
      <c r="H382" s="48">
        <f>VLOOKUP($A382,DICO_Complet!$A$3:$U$983,8,FALSE)</f>
        <v>0</v>
      </c>
      <c r="I382" s="2" t="str">
        <f>IF(VLOOKUP($A382,DICO_Complet!$A$3:$U$983,9,FALSE)&lt;&gt;0,VLOOKUP($A382,DICO_Complet!$A$3:$U$983,9,FALSE),"")</f>
        <v/>
      </c>
      <c r="J382" s="1" t="str">
        <f>VLOOKUP($A382,DICO_Complet!$A$3:$U$983,10,FALSE)</f>
        <v>Indicateur Pays / Sous-Region Europe (donnee Mastercard EP91)</v>
      </c>
      <c r="K382" s="53" t="str">
        <f>IF(VLOOKUP($A382,DICO_Complet!$A$3:$U$983,12,FALSE)=0,"",VLOOKUP($A382,DICO_Complet!$A$3:$U$983,12,FALSE))</f>
        <v/>
      </c>
      <c r="L382" s="53" t="str">
        <f>IF(VLOOKUP($A382,DICO_Complet!$A$3:$U$983,13,FALSE)=0,"",VLOOKUP($A382,DICO_Complet!$A$3:$U$983,13,FALSE))</f>
        <v/>
      </c>
      <c r="M382" s="53" t="str">
        <f>IF(VLOOKUP($A382,DICO_Complet!$A$3:$U$983,14,FALSE)=0,"",VLOOKUP($A382,DICO_Complet!$A$3:$U$983,14,FALSE))</f>
        <v/>
      </c>
      <c r="N382" s="53" t="str">
        <f>IF(VLOOKUP($A382,DICO_Complet!$A$3:$U$983,15,FALSE)=0,"",VLOOKUP($A382,DICO_Complet!$A$3:$U$983,15,FALSE))</f>
        <v/>
      </c>
      <c r="O382" s="53" t="str">
        <f>IF(VLOOKUP($A382,DICO_Complet!$A$3:$U$983,16,FALSE)=0,"",VLOOKUP($A382,DICO_Complet!$A$3:$U$983,16,FALSE))</f>
        <v/>
      </c>
      <c r="P382" s="53" t="str">
        <f>IF(VLOOKUP($A382,DICO_Complet!$A$3:$U$983,17,FALSE)=0,"",VLOOKUP($A382,DICO_Complet!$A$3:$U$983,17,FALSE))</f>
        <v/>
      </c>
      <c r="Q382" s="53" t="str">
        <f>IF(VLOOKUP($A382,DICO_Complet!$A$3:$U$983,18,FALSE)=0,"",VLOOKUP($A382,DICO_Complet!$A$3:$U$983,18,FALSE))</f>
        <v>CESORE</v>
      </c>
    </row>
    <row r="383" spans="1:17">
      <c r="A383" s="38">
        <v>250418220133</v>
      </c>
      <c r="B383" s="47" t="s">
        <v>858</v>
      </c>
      <c r="C383" s="3" t="str">
        <f>VLOOKUP($A383,DICO_Complet!$A$3:$U$983,3,FALSE)</f>
        <v>Environment</v>
      </c>
      <c r="D383" s="3" t="str">
        <f>VLOOKUP($A383,DICO_Complet!$A$3:$U$983,4,FALSE)</f>
        <v>card</v>
      </c>
      <c r="E383" s="2" t="str">
        <f>VLOOKUP($A383,DICO_Complet!$A$3:$U$983,5,FALSE)</f>
        <v>temp_mastercardInterchangeFeeRegionNumber</v>
      </c>
      <c r="F383" s="2" t="str">
        <f>VLOOKUP($A383,DICO_Complet!$A$3:$U$983,6,FALSE)</f>
        <v>temp_Type_apreciser</v>
      </c>
      <c r="G383" s="48">
        <f>VLOOKUP($A383,DICO_Complet!$A$3:$U$983,7,FALSE)</f>
        <v>0</v>
      </c>
      <c r="H383" s="48">
        <f>VLOOKUP($A383,DICO_Complet!$A$3:$U$983,8,FALSE)</f>
        <v>0</v>
      </c>
      <c r="I383" s="2" t="str">
        <f>IF(VLOOKUP($A383,DICO_Complet!$A$3:$U$983,9,FALSE)&lt;&gt;0,VLOOKUP($A383,DICO_Complet!$A$3:$U$983,9,FALSE),"")</f>
        <v/>
      </c>
      <c r="J383" s="1" t="str">
        <f>VLOOKUP($A383,DICO_Complet!$A$3:$U$983,10,FALSE)</f>
        <v>Numero de la region (donnee Mastercard EP97)</v>
      </c>
      <c r="K383" s="53" t="str">
        <f>IF(VLOOKUP($A383,DICO_Complet!$A$3:$U$983,12,FALSE)=0,"",VLOOKUP($A383,DICO_Complet!$A$3:$U$983,12,FALSE))</f>
        <v/>
      </c>
      <c r="L383" s="53" t="str">
        <f>IF(VLOOKUP($A383,DICO_Complet!$A$3:$U$983,13,FALSE)=0,"",VLOOKUP($A383,DICO_Complet!$A$3:$U$983,13,FALSE))</f>
        <v/>
      </c>
      <c r="M383" s="53" t="str">
        <f>IF(VLOOKUP($A383,DICO_Complet!$A$3:$U$983,14,FALSE)=0,"",VLOOKUP($A383,DICO_Complet!$A$3:$U$983,14,FALSE))</f>
        <v/>
      </c>
      <c r="N383" s="53" t="str">
        <f>IF(VLOOKUP($A383,DICO_Complet!$A$3:$U$983,15,FALSE)=0,"",VLOOKUP($A383,DICO_Complet!$A$3:$U$983,15,FALSE))</f>
        <v/>
      </c>
      <c r="O383" s="53" t="str">
        <f>IF(VLOOKUP($A383,DICO_Complet!$A$3:$U$983,16,FALSE)=0,"",VLOOKUP($A383,DICO_Complet!$A$3:$U$983,16,FALSE))</f>
        <v/>
      </c>
      <c r="P383" s="53" t="str">
        <f>IF(VLOOKUP($A383,DICO_Complet!$A$3:$U$983,17,FALSE)=0,"",VLOOKUP($A383,DICO_Complet!$A$3:$U$983,17,FALSE))</f>
        <v/>
      </c>
      <c r="Q383" s="53" t="str">
        <f>IF(VLOOKUP($A383,DICO_Complet!$A$3:$U$983,18,FALSE)=0,"",VLOOKUP($A383,DICO_Complet!$A$3:$U$983,18,FALSE))</f>
        <v>COREGG</v>
      </c>
    </row>
    <row r="384" spans="1:17">
      <c r="A384" s="38">
        <v>250418220134</v>
      </c>
      <c r="B384" s="47" t="s">
        <v>858</v>
      </c>
      <c r="C384" s="3" t="str">
        <f>VLOOKUP($A384,DICO_Complet!$A$3:$U$983,3,FALSE)</f>
        <v>Environment</v>
      </c>
      <c r="D384" s="3" t="str">
        <f>VLOOKUP($A384,DICO_Complet!$A$3:$U$983,4,FALSE)</f>
        <v>card</v>
      </c>
      <c r="E384" s="2" t="str">
        <f>VLOOKUP($A384,DICO_Complet!$A$3:$U$983,5,FALSE)</f>
        <v>temp_mastercardProductId</v>
      </c>
      <c r="F384" s="2" t="str">
        <f>VLOOKUP($A384,DICO_Complet!$A$3:$U$983,6,FALSE)</f>
        <v>temp_Type_apreciser</v>
      </c>
      <c r="G384" s="48">
        <f>VLOOKUP($A384,DICO_Complet!$A$3:$U$983,7,FALSE)</f>
        <v>0</v>
      </c>
      <c r="H384" s="48">
        <f>VLOOKUP($A384,DICO_Complet!$A$3:$U$983,8,FALSE)</f>
        <v>0</v>
      </c>
      <c r="I384" s="2" t="str">
        <f>IF(VLOOKUP($A384,DICO_Complet!$A$3:$U$983,9,FALSE)&lt;&gt;0,VLOOKUP($A384,DICO_Complet!$A$3:$U$983,9,FALSE),"")</f>
        <v/>
      </c>
      <c r="J384" s="1" t="str">
        <f>VLOOKUP($A384,DICO_Complet!$A$3:$U$983,10,FALSE)</f>
        <v>Produit MCI Paiement (donnee Mastercard EP93)</v>
      </c>
      <c r="K384" s="53" t="str">
        <f>IF(VLOOKUP($A384,DICO_Complet!$A$3:$U$983,12,FALSE)=0,"",VLOOKUP($A384,DICO_Complet!$A$3:$U$983,12,FALSE))</f>
        <v/>
      </c>
      <c r="L384" s="53" t="str">
        <f>IF(VLOOKUP($A384,DICO_Complet!$A$3:$U$983,13,FALSE)=0,"",VLOOKUP($A384,DICO_Complet!$A$3:$U$983,13,FALSE))</f>
        <v/>
      </c>
      <c r="M384" s="53" t="str">
        <f>IF(VLOOKUP($A384,DICO_Complet!$A$3:$U$983,14,FALSE)=0,"",VLOOKUP($A384,DICO_Complet!$A$3:$U$983,14,FALSE))</f>
        <v/>
      </c>
      <c r="N384" s="53" t="str">
        <f>IF(VLOOKUP($A384,DICO_Complet!$A$3:$U$983,15,FALSE)=0,"",VLOOKUP($A384,DICO_Complet!$A$3:$U$983,15,FALSE))</f>
        <v/>
      </c>
      <c r="O384" s="53" t="str">
        <f>IF(VLOOKUP($A384,DICO_Complet!$A$3:$U$983,16,FALSE)=0,"",VLOOKUP($A384,DICO_Complet!$A$3:$U$983,16,FALSE))</f>
        <v/>
      </c>
      <c r="P384" s="53" t="str">
        <f>IF(VLOOKUP($A384,DICO_Complet!$A$3:$U$983,17,FALSE)=0,"",VLOOKUP($A384,DICO_Complet!$A$3:$U$983,17,FALSE))</f>
        <v/>
      </c>
      <c r="Q384" s="53" t="str">
        <f>IF(VLOOKUP($A384,DICO_Complet!$A$3:$U$983,18,FALSE)=0,"",VLOOKUP($A384,DICO_Complet!$A$3:$U$983,18,FALSE))</f>
        <v>COMQCA</v>
      </c>
    </row>
    <row r="385" spans="1:17">
      <c r="A385" s="38">
        <v>250418220135</v>
      </c>
      <c r="B385" s="47" t="s">
        <v>858</v>
      </c>
      <c r="C385" s="3" t="str">
        <f>VLOOKUP($A385,DICO_Complet!$A$3:$U$983,3,FALSE)</f>
        <v>Environment</v>
      </c>
      <c r="D385" s="3" t="str">
        <f>VLOOKUP($A385,DICO_Complet!$A$3:$U$983,4,FALSE)</f>
        <v>card</v>
      </c>
      <c r="E385" s="2" t="str">
        <f>VLOOKUP($A385,DICO_Complet!$A$3:$U$983,5,FALSE)</f>
        <v>temp_mastercardProductType</v>
      </c>
      <c r="F385" s="2" t="str">
        <f>VLOOKUP($A385,DICO_Complet!$A$3:$U$983,6,FALSE)</f>
        <v>temp_Type_apreciser</v>
      </c>
      <c r="G385" s="48">
        <f>VLOOKUP($A385,DICO_Complet!$A$3:$U$983,7,FALSE)</f>
        <v>0</v>
      </c>
      <c r="H385" s="48">
        <f>VLOOKUP($A385,DICO_Complet!$A$3:$U$983,8,FALSE)</f>
        <v>0</v>
      </c>
      <c r="I385" s="2" t="str">
        <f>IF(VLOOKUP($A385,DICO_Complet!$A$3:$U$983,9,FALSE)&lt;&gt;0,VLOOKUP($A385,DICO_Complet!$A$3:$U$983,9,FALSE),"")</f>
        <v/>
      </c>
      <c r="J385" s="1" t="str">
        <f>VLOOKUP($A385,DICO_Complet!$A$3:$U$983,10,FALSE)</f>
        <v>Type de produit MCI  (donnee Mastercard EP95)</v>
      </c>
      <c r="K385" s="53" t="str">
        <f>IF(VLOOKUP($A385,DICO_Complet!$A$3:$U$983,12,FALSE)=0,"",VLOOKUP($A385,DICO_Complet!$A$3:$U$983,12,FALSE))</f>
        <v/>
      </c>
      <c r="L385" s="53" t="str">
        <f>IF(VLOOKUP($A385,DICO_Complet!$A$3:$U$983,13,FALSE)=0,"",VLOOKUP($A385,DICO_Complet!$A$3:$U$983,13,FALSE))</f>
        <v/>
      </c>
      <c r="M385" s="53" t="str">
        <f>IF(VLOOKUP($A385,DICO_Complet!$A$3:$U$983,14,FALSE)=0,"",VLOOKUP($A385,DICO_Complet!$A$3:$U$983,14,FALSE))</f>
        <v/>
      </c>
      <c r="N385" s="53" t="str">
        <f>IF(VLOOKUP($A385,DICO_Complet!$A$3:$U$983,15,FALSE)=0,"",VLOOKUP($A385,DICO_Complet!$A$3:$U$983,15,FALSE))</f>
        <v/>
      </c>
      <c r="O385" s="53" t="str">
        <f>IF(VLOOKUP($A385,DICO_Complet!$A$3:$U$983,16,FALSE)=0,"",VLOOKUP($A385,DICO_Complet!$A$3:$U$983,16,FALSE))</f>
        <v/>
      </c>
      <c r="P385" s="53" t="str">
        <f>IF(VLOOKUP($A385,DICO_Complet!$A$3:$U$983,17,FALSE)=0,"",VLOOKUP($A385,DICO_Complet!$A$3:$U$983,17,FALSE))</f>
        <v/>
      </c>
      <c r="Q385" s="53" t="str">
        <f>IF(VLOOKUP($A385,DICO_Complet!$A$3:$U$983,18,FALSE)=0,"",VLOOKUP($A385,DICO_Complet!$A$3:$U$983,18,FALSE))</f>
        <v>COPRM1</v>
      </c>
    </row>
    <row r="386" spans="1:17">
      <c r="A386" s="38">
        <v>250418220136</v>
      </c>
      <c r="B386" s="47" t="s">
        <v>858</v>
      </c>
      <c r="C386" s="3" t="str">
        <f>VLOOKUP($A386,DICO_Complet!$A$3:$U$983,3,FALSE)</f>
        <v>Environment</v>
      </c>
      <c r="D386" s="3" t="str">
        <f>VLOOKUP($A386,DICO_Complet!$A$3:$U$983,4,FALSE)</f>
        <v>card</v>
      </c>
      <c r="E386" s="2" t="str">
        <f>VLOOKUP($A386,DICO_Complet!$A$3:$U$983,5,FALSE)</f>
        <v>temp_mastercardProgramCard</v>
      </c>
      <c r="F386" s="2" t="str">
        <f>VLOOKUP($A386,DICO_Complet!$A$3:$U$983,6,FALSE)</f>
        <v>temp_Type_apreciser</v>
      </c>
      <c r="G386" s="48">
        <f>VLOOKUP($A386,DICO_Complet!$A$3:$U$983,7,FALSE)</f>
        <v>0</v>
      </c>
      <c r="H386" s="48">
        <f>VLOOKUP($A386,DICO_Complet!$A$3:$U$983,8,FALSE)</f>
        <v>0</v>
      </c>
      <c r="I386" s="2" t="str">
        <f>IF(VLOOKUP($A386,DICO_Complet!$A$3:$U$983,9,FALSE)&lt;&gt;0,VLOOKUP($A386,DICO_Complet!$A$3:$U$983,9,FALSE),"")</f>
        <v/>
      </c>
      <c r="J386" s="1" t="str">
        <f>VLOOKUP($A386,DICO_Complet!$A$3:$U$983,10,FALSE)</f>
        <v>Programme Carte  (donnee Mastercard EP32)</v>
      </c>
      <c r="K386" s="53" t="str">
        <f>IF(VLOOKUP($A386,DICO_Complet!$A$3:$U$983,12,FALSE)=0,"",VLOOKUP($A386,DICO_Complet!$A$3:$U$983,12,FALSE))</f>
        <v/>
      </c>
      <c r="L386" s="53" t="str">
        <f>IF(VLOOKUP($A386,DICO_Complet!$A$3:$U$983,13,FALSE)=0,"",VLOOKUP($A386,DICO_Complet!$A$3:$U$983,13,FALSE))</f>
        <v/>
      </c>
      <c r="M386" s="53" t="str">
        <f>IF(VLOOKUP($A386,DICO_Complet!$A$3:$U$983,14,FALSE)=0,"",VLOOKUP($A386,DICO_Complet!$A$3:$U$983,14,FALSE))</f>
        <v/>
      </c>
      <c r="N386" s="53" t="str">
        <f>IF(VLOOKUP($A386,DICO_Complet!$A$3:$U$983,15,FALSE)=0,"",VLOOKUP($A386,DICO_Complet!$A$3:$U$983,15,FALSE))</f>
        <v/>
      </c>
      <c r="O386" s="53" t="str">
        <f>IF(VLOOKUP($A386,DICO_Complet!$A$3:$U$983,16,FALSE)=0,"",VLOOKUP($A386,DICO_Complet!$A$3:$U$983,16,FALSE))</f>
        <v/>
      </c>
      <c r="P386" s="53" t="str">
        <f>IF(VLOOKUP($A386,DICO_Complet!$A$3:$U$983,17,FALSE)=0,"",VLOOKUP($A386,DICO_Complet!$A$3:$U$983,17,FALSE))</f>
        <v/>
      </c>
      <c r="Q386" s="53" t="str">
        <f>IF(VLOOKUP($A386,DICO_Complet!$A$3:$U$983,18,FALSE)=0,"",VLOOKUP($A386,DICO_Complet!$A$3:$U$983,18,FALSE))</f>
        <v>COMQER</v>
      </c>
    </row>
    <row r="387" spans="1:17">
      <c r="A387" s="38">
        <v>250418220137</v>
      </c>
      <c r="B387" s="47" t="s">
        <v>858</v>
      </c>
      <c r="C387" s="3" t="str">
        <f>VLOOKUP($A387,DICO_Complet!$A$3:$U$983,3,FALSE)</f>
        <v>Environment</v>
      </c>
      <c r="D387" s="3" t="str">
        <f>VLOOKUP($A387,DICO_Complet!$A$3:$U$983,4,FALSE)</f>
        <v>card</v>
      </c>
      <c r="E387" s="2" t="str">
        <f>VLOOKUP($A387,DICO_Complet!$A$3:$U$983,5,FALSE)</f>
        <v>temp_mastercardTradeMark</v>
      </c>
      <c r="F387" s="2" t="str">
        <f>VLOOKUP($A387,DICO_Complet!$A$3:$U$983,6,FALSE)</f>
        <v>temp_Type_apreciser</v>
      </c>
      <c r="G387" s="48">
        <f>VLOOKUP($A387,DICO_Complet!$A$3:$U$983,7,FALSE)</f>
        <v>0</v>
      </c>
      <c r="H387" s="48">
        <f>VLOOKUP($A387,DICO_Complet!$A$3:$U$983,8,FALSE)</f>
        <v>0</v>
      </c>
      <c r="I387" s="2" t="str">
        <f>IF(VLOOKUP($A387,DICO_Complet!$A$3:$U$983,9,FALSE)&lt;&gt;0,VLOOKUP($A387,DICO_Complet!$A$3:$U$983,9,FALSE),"")</f>
        <v/>
      </c>
      <c r="J387" s="1" t="str">
        <f>VLOOKUP($A387,DICO_Complet!$A$3:$U$983,10,FALSE)</f>
        <v>Marque commerciale EPI/MCI P.E  (donnee Mastercard EP52)</v>
      </c>
      <c r="K387" s="53" t="str">
        <f>IF(VLOOKUP($A387,DICO_Complet!$A$3:$U$983,12,FALSE)=0,"",VLOOKUP($A387,DICO_Complet!$A$3:$U$983,12,FALSE))</f>
        <v/>
      </c>
      <c r="L387" s="53" t="str">
        <f>IF(VLOOKUP($A387,DICO_Complet!$A$3:$U$983,13,FALSE)=0,"",VLOOKUP($A387,DICO_Complet!$A$3:$U$983,13,FALSE))</f>
        <v/>
      </c>
      <c r="M387" s="53" t="str">
        <f>IF(VLOOKUP($A387,DICO_Complet!$A$3:$U$983,14,FALSE)=0,"",VLOOKUP($A387,DICO_Complet!$A$3:$U$983,14,FALSE))</f>
        <v/>
      </c>
      <c r="N387" s="53" t="str">
        <f>IF(VLOOKUP($A387,DICO_Complet!$A$3:$U$983,15,FALSE)=0,"",VLOOKUP($A387,DICO_Complet!$A$3:$U$983,15,FALSE))</f>
        <v/>
      </c>
      <c r="O387" s="53" t="str">
        <f>IF(VLOOKUP($A387,DICO_Complet!$A$3:$U$983,16,FALSE)=0,"",VLOOKUP($A387,DICO_Complet!$A$3:$U$983,16,FALSE))</f>
        <v/>
      </c>
      <c r="P387" s="53" t="str">
        <f>IF(VLOOKUP($A387,DICO_Complet!$A$3:$U$983,17,FALSE)=0,"",VLOOKUP($A387,DICO_Complet!$A$3:$U$983,17,FALSE))</f>
        <v/>
      </c>
      <c r="Q387" s="53" t="str">
        <f>IF(VLOOKUP($A387,DICO_Complet!$A$3:$U$983,18,FALSE)=0,"",VLOOKUP($A387,DICO_Complet!$A$3:$U$983,18,FALSE))</f>
        <v>COMQEE</v>
      </c>
    </row>
    <row r="388" spans="1:17">
      <c r="A388" s="38">
        <v>250418220138</v>
      </c>
      <c r="B388" s="47" t="s">
        <v>858</v>
      </c>
      <c r="C388" s="3" t="str">
        <f>VLOOKUP($A388,DICO_Complet!$A$3:$U$983,3,FALSE)</f>
        <v>Environment</v>
      </c>
      <c r="D388" s="3" t="str">
        <f>VLOOKUP($A388,DICO_Complet!$A$3:$U$983,4,FALSE)</f>
        <v>card</v>
      </c>
      <c r="E388" s="2" t="str">
        <f>VLOOKUP($A388,DICO_Complet!$A$3:$U$983,5,FALSE)</f>
        <v>temp_panLength</v>
      </c>
      <c r="F388" s="2" t="str">
        <f>VLOOKUP($A388,DICO_Complet!$A$3:$U$983,6,FALSE)</f>
        <v>temp_Type_apreciser</v>
      </c>
      <c r="G388" s="48">
        <f>VLOOKUP($A388,DICO_Complet!$A$3:$U$983,7,FALSE)</f>
        <v>0</v>
      </c>
      <c r="H388" s="48">
        <f>VLOOKUP($A388,DICO_Complet!$A$3:$U$983,8,FALSE)</f>
        <v>0</v>
      </c>
      <c r="I388" s="2" t="str">
        <f>IF(VLOOKUP($A388,DICO_Complet!$A$3:$U$983,9,FALSE)&lt;&gt;0,VLOOKUP($A388,DICO_Complet!$A$3:$U$983,9,FALSE),"")</f>
        <v/>
      </c>
      <c r="J388" s="1" t="str">
        <f>VLOOKUP($A388,DICO_Complet!$A$3:$U$983,10,FALSE)</f>
        <v>Longueur carte ISO2 (donnee commune  P3)</v>
      </c>
      <c r="K388" s="53" t="str">
        <f>IF(VLOOKUP($A388,DICO_Complet!$A$3:$U$983,12,FALSE)=0,"",VLOOKUP($A388,DICO_Complet!$A$3:$U$983,12,FALSE))</f>
        <v/>
      </c>
      <c r="L388" s="53" t="str">
        <f>IF(VLOOKUP($A388,DICO_Complet!$A$3:$U$983,13,FALSE)=0,"",VLOOKUP($A388,DICO_Complet!$A$3:$U$983,13,FALSE))</f>
        <v/>
      </c>
      <c r="M388" s="53" t="str">
        <f>IF(VLOOKUP($A388,DICO_Complet!$A$3:$U$983,14,FALSE)=0,"",VLOOKUP($A388,DICO_Complet!$A$3:$U$983,14,FALSE))</f>
        <v/>
      </c>
      <c r="N388" s="53" t="str">
        <f>IF(VLOOKUP($A388,DICO_Complet!$A$3:$U$983,15,FALSE)=0,"",VLOOKUP($A388,DICO_Complet!$A$3:$U$983,15,FALSE))</f>
        <v/>
      </c>
      <c r="O388" s="53" t="str">
        <f>IF(VLOOKUP($A388,DICO_Complet!$A$3:$U$983,16,FALSE)=0,"",VLOOKUP($A388,DICO_Complet!$A$3:$U$983,16,FALSE))</f>
        <v/>
      </c>
      <c r="P388" s="53" t="str">
        <f>IF(VLOOKUP($A388,DICO_Complet!$A$3:$U$983,17,FALSE)=0,"",VLOOKUP($A388,DICO_Complet!$A$3:$U$983,17,FALSE))</f>
        <v/>
      </c>
      <c r="Q388" s="53" t="str">
        <f>IF(VLOOKUP($A388,DICO_Complet!$A$3:$U$983,18,FALSE)=0,"",VLOOKUP($A388,DICO_Complet!$A$3:$U$983,18,FALSE))</f>
        <v>CELGC</v>
      </c>
    </row>
    <row r="389" spans="1:17">
      <c r="A389" s="38">
        <v>250418220139</v>
      </c>
      <c r="B389" s="47" t="s">
        <v>858</v>
      </c>
      <c r="C389" s="3" t="str">
        <f>VLOOKUP($A389,DICO_Complet!$A$3:$U$983,3,FALSE)</f>
        <v>Environment</v>
      </c>
      <c r="D389" s="3" t="str">
        <f>VLOOKUP($A389,DICO_Complet!$A$3:$U$983,4,FALSE)</f>
        <v>card</v>
      </c>
      <c r="E389" s="2" t="str">
        <f>VLOOKUP($A389,DICO_Complet!$A$3:$U$983,5,FALSE)</f>
        <v>temp_payPass_Enabled_Indicator</v>
      </c>
      <c r="F389" s="2" t="str">
        <f>VLOOKUP($A389,DICO_Complet!$A$3:$U$983,6,FALSE)</f>
        <v>temp_Type_apreciser</v>
      </c>
      <c r="G389" s="48">
        <f>VLOOKUP($A389,DICO_Complet!$A$3:$U$983,7,FALSE)</f>
        <v>0</v>
      </c>
      <c r="H389" s="48">
        <f>VLOOKUP($A389,DICO_Complet!$A$3:$U$983,8,FALSE)</f>
        <v>0</v>
      </c>
      <c r="I389" s="2" t="str">
        <f>IF(VLOOKUP($A389,DICO_Complet!$A$3:$U$983,9,FALSE)&lt;&gt;0,VLOOKUP($A389,DICO_Complet!$A$3:$U$983,9,FALSE),"")</f>
        <v/>
      </c>
      <c r="J389" s="1" t="str">
        <f>VLOOKUP($A389,DICO_Complet!$A$3:$U$983,10,FALSE)</f>
        <v>PayPass Enabled Indicator</v>
      </c>
      <c r="K389" s="53" t="str">
        <f>IF(VLOOKUP($A389,DICO_Complet!$A$3:$U$983,12,FALSE)=0,"",VLOOKUP($A389,DICO_Complet!$A$3:$U$983,12,FALSE))</f>
        <v/>
      </c>
      <c r="L389" s="53" t="str">
        <f>IF(VLOOKUP($A389,DICO_Complet!$A$3:$U$983,13,FALSE)=0,"",VLOOKUP($A389,DICO_Complet!$A$3:$U$983,13,FALSE))</f>
        <v/>
      </c>
      <c r="M389" s="53" t="str">
        <f>IF(VLOOKUP($A389,DICO_Complet!$A$3:$U$983,14,FALSE)=0,"",VLOOKUP($A389,DICO_Complet!$A$3:$U$983,14,FALSE))</f>
        <v/>
      </c>
      <c r="N389" s="53" t="str">
        <f>IF(VLOOKUP($A389,DICO_Complet!$A$3:$U$983,15,FALSE)=0,"",VLOOKUP($A389,DICO_Complet!$A$3:$U$983,15,FALSE))</f>
        <v/>
      </c>
      <c r="O389" s="53" t="str">
        <f>IF(VLOOKUP($A389,DICO_Complet!$A$3:$U$983,16,FALSE)=0,"",VLOOKUP($A389,DICO_Complet!$A$3:$U$983,16,FALSE))</f>
        <v/>
      </c>
      <c r="P389" s="53" t="str">
        <f>IF(VLOOKUP($A389,DICO_Complet!$A$3:$U$983,17,FALSE)=0,"",VLOOKUP($A389,DICO_Complet!$A$3:$U$983,17,FALSE))</f>
        <v/>
      </c>
      <c r="Q389" s="53" t="str">
        <f>IF(VLOOKUP($A389,DICO_Complet!$A$3:$U$983,18,FALSE)=0,"",VLOOKUP($A389,DICO_Complet!$A$3:$U$983,18,FALSE))</f>
        <v>CEPPEI</v>
      </c>
    </row>
    <row r="390" spans="1:17">
      <c r="A390" s="38">
        <v>250418220140</v>
      </c>
      <c r="B390" s="47" t="s">
        <v>858</v>
      </c>
      <c r="C390" s="3" t="str">
        <f>VLOOKUP($A390,DICO_Complet!$A$3:$U$983,3,FALSE)</f>
        <v>Environment</v>
      </c>
      <c r="D390" s="3" t="str">
        <f>VLOOKUP($A390,DICO_Complet!$A$3:$U$983,4,FALSE)</f>
        <v>card</v>
      </c>
      <c r="E390" s="2" t="str">
        <f>VLOOKUP($A390,DICO_Complet!$A$3:$U$983,5,FALSE)</f>
        <v>temp_product_Category</v>
      </c>
      <c r="F390" s="2" t="str">
        <f>VLOOKUP($A390,DICO_Complet!$A$3:$U$983,6,FALSE)</f>
        <v>temp_Type_apreciser</v>
      </c>
      <c r="G390" s="48">
        <f>VLOOKUP($A390,DICO_Complet!$A$3:$U$983,7,FALSE)</f>
        <v>0</v>
      </c>
      <c r="H390" s="48">
        <f>VLOOKUP($A390,DICO_Complet!$A$3:$U$983,8,FALSE)</f>
        <v>0</v>
      </c>
      <c r="I390" s="2" t="str">
        <f>IF(VLOOKUP($A390,DICO_Complet!$A$3:$U$983,9,FALSE)&lt;&gt;0,VLOOKUP($A390,DICO_Complet!$A$3:$U$983,9,FALSE),"")</f>
        <v/>
      </c>
      <c r="J390" s="1" t="str">
        <f>VLOOKUP($A390,DICO_Complet!$A$3:$U$983,10,FALSE)</f>
        <v>Product Category (EP101)</v>
      </c>
      <c r="K390" s="53" t="str">
        <f>IF(VLOOKUP($A390,DICO_Complet!$A$3:$U$983,12,FALSE)=0,"",VLOOKUP($A390,DICO_Complet!$A$3:$U$983,12,FALSE))</f>
        <v/>
      </c>
      <c r="L390" s="53" t="str">
        <f>IF(VLOOKUP($A390,DICO_Complet!$A$3:$U$983,13,FALSE)=0,"",VLOOKUP($A390,DICO_Complet!$A$3:$U$983,13,FALSE))</f>
        <v/>
      </c>
      <c r="M390" s="53" t="str">
        <f>IF(VLOOKUP($A390,DICO_Complet!$A$3:$U$983,14,FALSE)=0,"",VLOOKUP($A390,DICO_Complet!$A$3:$U$983,14,FALSE))</f>
        <v/>
      </c>
      <c r="N390" s="53" t="str">
        <f>IF(VLOOKUP($A390,DICO_Complet!$A$3:$U$983,15,FALSE)=0,"",VLOOKUP($A390,DICO_Complet!$A$3:$U$983,15,FALSE))</f>
        <v/>
      </c>
      <c r="O390" s="53" t="str">
        <f>IF(VLOOKUP($A390,DICO_Complet!$A$3:$U$983,16,FALSE)=0,"",VLOOKUP($A390,DICO_Complet!$A$3:$U$983,16,FALSE))</f>
        <v/>
      </c>
      <c r="P390" s="53" t="str">
        <f>IF(VLOOKUP($A390,DICO_Complet!$A$3:$U$983,17,FALSE)=0,"",VLOOKUP($A390,DICO_Complet!$A$3:$U$983,17,FALSE))</f>
        <v/>
      </c>
      <c r="Q390" s="53" t="str">
        <f>IF(VLOOKUP($A390,DICO_Complet!$A$3:$U$983,18,FALSE)=0,"",VLOOKUP($A390,DICO_Complet!$A$3:$U$983,18,FALSE))</f>
        <v>CTPROC</v>
      </c>
    </row>
    <row r="391" spans="1:17">
      <c r="A391" s="38">
        <v>250418220141</v>
      </c>
      <c r="B391" s="47" t="s">
        <v>858</v>
      </c>
      <c r="C391" s="3" t="str">
        <f>VLOOKUP($A391,DICO_Complet!$A$3:$U$983,3,FALSE)</f>
        <v>Environment</v>
      </c>
      <c r="D391" s="3" t="str">
        <f>VLOOKUP($A391,DICO_Complet!$A$3:$U$983,4,FALSE)</f>
        <v>card</v>
      </c>
      <c r="E391" s="2" t="str">
        <f>VLOOKUP($A391,DICO_Complet!$A$3:$U$983,5,FALSE)</f>
        <v>temp_rangeUsage</v>
      </c>
      <c r="F391" s="2" t="str">
        <f>VLOOKUP($A391,DICO_Complet!$A$3:$U$983,6,FALSE)</f>
        <v>temp_Type_apreciser</v>
      </c>
      <c r="G391" s="48">
        <f>VLOOKUP($A391,DICO_Complet!$A$3:$U$983,7,FALSE)</f>
        <v>0</v>
      </c>
      <c r="H391" s="48">
        <f>VLOOKUP($A391,DICO_Complet!$A$3:$U$983,8,FALSE)</f>
        <v>0</v>
      </c>
      <c r="I391" s="2" t="str">
        <f>IF(VLOOKUP($A391,DICO_Complet!$A$3:$U$983,9,FALSE)&lt;&gt;0,VLOOKUP($A391,DICO_Complet!$A$3:$U$983,9,FALSE),"")</f>
        <v/>
      </c>
      <c r="J391" s="1" t="str">
        <f>VLOOKUP($A391,DICO_Complet!$A$3:$U$983,10,FALSE)</f>
        <v>Usage de la plage (donnee VISA VI11)</v>
      </c>
      <c r="K391" s="53" t="str">
        <f>IF(VLOOKUP($A391,DICO_Complet!$A$3:$U$983,12,FALSE)=0,"",VLOOKUP($A391,DICO_Complet!$A$3:$U$983,12,FALSE))</f>
        <v/>
      </c>
      <c r="L391" s="53" t="str">
        <f>IF(VLOOKUP($A391,DICO_Complet!$A$3:$U$983,13,FALSE)=0,"",VLOOKUP($A391,DICO_Complet!$A$3:$U$983,13,FALSE))</f>
        <v/>
      </c>
      <c r="M391" s="53" t="str">
        <f>IF(VLOOKUP($A391,DICO_Complet!$A$3:$U$983,14,FALSE)=0,"",VLOOKUP($A391,DICO_Complet!$A$3:$U$983,14,FALSE))</f>
        <v/>
      </c>
      <c r="N391" s="53" t="str">
        <f>IF(VLOOKUP($A391,DICO_Complet!$A$3:$U$983,15,FALSE)=0,"",VLOOKUP($A391,DICO_Complet!$A$3:$U$983,15,FALSE))</f>
        <v/>
      </c>
      <c r="O391" s="53" t="str">
        <f>IF(VLOOKUP($A391,DICO_Complet!$A$3:$U$983,16,FALSE)=0,"",VLOOKUP($A391,DICO_Complet!$A$3:$U$983,16,FALSE))</f>
        <v/>
      </c>
      <c r="P391" s="53" t="str">
        <f>IF(VLOOKUP($A391,DICO_Complet!$A$3:$U$983,17,FALSE)=0,"",VLOOKUP($A391,DICO_Complet!$A$3:$U$983,17,FALSE))</f>
        <v/>
      </c>
      <c r="Q391" s="53" t="str">
        <f>IF(VLOOKUP($A391,DICO_Complet!$A$3:$U$983,18,FALSE)=0,"",VLOOKUP($A391,DICO_Complet!$A$3:$U$983,18,FALSE))</f>
        <v>CEUSAG</v>
      </c>
    </row>
    <row r="392" spans="1:17">
      <c r="A392" s="38">
        <v>250418220142</v>
      </c>
      <c r="B392" s="47" t="s">
        <v>858</v>
      </c>
      <c r="C392" s="3" t="str">
        <f>VLOOKUP($A392,DICO_Complet!$A$3:$U$983,3,FALSE)</f>
        <v>Environment</v>
      </c>
      <c r="D392" s="3" t="str">
        <f>VLOOKUP($A392,DICO_Complet!$A$3:$U$983,4,FALSE)</f>
        <v>card</v>
      </c>
      <c r="E392" s="2" t="str">
        <f>VLOOKUP($A392,DICO_Complet!$A$3:$U$983,5,FALSE)</f>
        <v>temp_RecipientBankId</v>
      </c>
      <c r="F392" s="2" t="str">
        <f>VLOOKUP($A392,DICO_Complet!$A$3:$U$983,6,FALSE)</f>
        <v>temp_Type_apreciser</v>
      </c>
      <c r="G392" s="48">
        <f>VLOOKUP($A392,DICO_Complet!$A$3:$U$983,7,FALSE)</f>
        <v>0</v>
      </c>
      <c r="H392" s="48">
        <f>VLOOKUP($A392,DICO_Complet!$A$3:$U$983,8,FALSE)</f>
        <v>0</v>
      </c>
      <c r="I392" s="2" t="str">
        <f>IF(VLOOKUP($A392,DICO_Complet!$A$3:$U$983,9,FALSE)&lt;&gt;0,VLOOKUP($A392,DICO_Complet!$A$3:$U$983,9,FALSE),"")</f>
        <v/>
      </c>
      <c r="J392" s="1" t="str">
        <f>VLOOKUP($A392,DICO_Complet!$A$3:$U$983,10,FALSE)</f>
        <v>Code etablissement destinataire (donnee commune P18)</v>
      </c>
      <c r="K392" s="53" t="str">
        <f>IF(VLOOKUP($A392,DICO_Complet!$A$3:$U$983,12,FALSE)=0,"",VLOOKUP($A392,DICO_Complet!$A$3:$U$983,12,FALSE))</f>
        <v/>
      </c>
      <c r="L392" s="53" t="str">
        <f>IF(VLOOKUP($A392,DICO_Complet!$A$3:$U$983,13,FALSE)=0,"",VLOOKUP($A392,DICO_Complet!$A$3:$U$983,13,FALSE))</f>
        <v/>
      </c>
      <c r="M392" s="53" t="str">
        <f>IF(VLOOKUP($A392,DICO_Complet!$A$3:$U$983,14,FALSE)=0,"",VLOOKUP($A392,DICO_Complet!$A$3:$U$983,14,FALSE))</f>
        <v/>
      </c>
      <c r="N392" s="53" t="str">
        <f>IF(VLOOKUP($A392,DICO_Complet!$A$3:$U$983,15,FALSE)=0,"",VLOOKUP($A392,DICO_Complet!$A$3:$U$983,15,FALSE))</f>
        <v/>
      </c>
      <c r="O392" s="53" t="str">
        <f>IF(VLOOKUP($A392,DICO_Complet!$A$3:$U$983,16,FALSE)=0,"",VLOOKUP($A392,DICO_Complet!$A$3:$U$983,16,FALSE))</f>
        <v/>
      </c>
      <c r="P392" s="53" t="str">
        <f>IF(VLOOKUP($A392,DICO_Complet!$A$3:$U$983,17,FALSE)=0,"",VLOOKUP($A392,DICO_Complet!$A$3:$U$983,17,FALSE))</f>
        <v/>
      </c>
      <c r="Q392" s="53" t="str">
        <f>IF(VLOOKUP($A392,DICO_Complet!$A$3:$U$983,18,FALSE)=0,"",VLOOKUP($A392,DICO_Complet!$A$3:$U$983,18,FALSE))</f>
        <v>COEDES</v>
      </c>
    </row>
    <row r="393" spans="1:17">
      <c r="A393" s="38">
        <v>250418220143</v>
      </c>
      <c r="B393" s="47" t="s">
        <v>858</v>
      </c>
      <c r="C393" s="3" t="str">
        <f>VLOOKUP($A393,DICO_Complet!$A$3:$U$983,3,FALSE)</f>
        <v>Environment</v>
      </c>
      <c r="D393" s="3" t="str">
        <f>VLOOKUP($A393,DICO_Complet!$A$3:$U$983,4,FALSE)</f>
        <v>card</v>
      </c>
      <c r="E393" s="2" t="str">
        <f>VLOOKUP($A393,DICO_Complet!$A$3:$U$983,5,FALSE)</f>
        <v>temp_visaCardSubNetwork</v>
      </c>
      <c r="F393" s="2" t="str">
        <f>VLOOKUP($A393,DICO_Complet!$A$3:$U$983,6,FALSE)</f>
        <v>temp_Type_apreciser</v>
      </c>
      <c r="G393" s="48">
        <f>VLOOKUP($A393,DICO_Complet!$A$3:$U$983,7,FALSE)</f>
        <v>0</v>
      </c>
      <c r="H393" s="48">
        <f>VLOOKUP($A393,DICO_Complet!$A$3:$U$983,8,FALSE)</f>
        <v>0</v>
      </c>
      <c r="I393" s="2" t="str">
        <f>IF(VLOOKUP($A393,DICO_Complet!$A$3:$U$983,9,FALSE)&lt;&gt;0,VLOOKUP($A393,DICO_Complet!$A$3:$U$983,9,FALSE),"")</f>
        <v/>
      </c>
      <c r="J393" s="1" t="str">
        <f>VLOOKUP($A393,DICO_Complet!$A$3:$U$983,10,FALSE)</f>
        <v>Code sous-reseau VISA (donnee Visa VI4)</v>
      </c>
      <c r="K393" s="53" t="str">
        <f>IF(VLOOKUP($A393,DICO_Complet!$A$3:$U$983,12,FALSE)=0,"",VLOOKUP($A393,DICO_Complet!$A$3:$U$983,12,FALSE))</f>
        <v/>
      </c>
      <c r="L393" s="53" t="str">
        <f>IF(VLOOKUP($A393,DICO_Complet!$A$3:$U$983,13,FALSE)=0,"",VLOOKUP($A393,DICO_Complet!$A$3:$U$983,13,FALSE))</f>
        <v/>
      </c>
      <c r="M393" s="53" t="str">
        <f>IF(VLOOKUP($A393,DICO_Complet!$A$3:$U$983,14,FALSE)=0,"",VLOOKUP($A393,DICO_Complet!$A$3:$U$983,14,FALSE))</f>
        <v/>
      </c>
      <c r="N393" s="53" t="str">
        <f>IF(VLOOKUP($A393,DICO_Complet!$A$3:$U$983,15,FALSE)=0,"",VLOOKUP($A393,DICO_Complet!$A$3:$U$983,15,FALSE))</f>
        <v/>
      </c>
      <c r="O393" s="53" t="str">
        <f>IF(VLOOKUP($A393,DICO_Complet!$A$3:$U$983,16,FALSE)=0,"",VLOOKUP($A393,DICO_Complet!$A$3:$U$983,16,FALSE))</f>
        <v/>
      </c>
      <c r="P393" s="53" t="str">
        <f>IF(VLOOKUP($A393,DICO_Complet!$A$3:$U$983,17,FALSE)=0,"",VLOOKUP($A393,DICO_Complet!$A$3:$U$983,17,FALSE))</f>
        <v/>
      </c>
      <c r="Q393" s="53" t="str">
        <f>IF(VLOOKUP($A393,DICO_Complet!$A$3:$U$983,18,FALSE)=0,"",VLOOKUP($A393,DICO_Complet!$A$3:$U$983,18,FALSE))</f>
        <v>COSRVS</v>
      </c>
    </row>
    <row r="394" spans="1:17">
      <c r="A394" s="38">
        <v>250418220144</v>
      </c>
      <c r="B394" s="47" t="s">
        <v>858</v>
      </c>
      <c r="C394" s="3" t="str">
        <f>VLOOKUP($A394,DICO_Complet!$A$3:$U$983,3,FALSE)</f>
        <v>Environment</v>
      </c>
      <c r="D394" s="3" t="str">
        <f>VLOOKUP($A394,DICO_Complet!$A$3:$U$983,4,FALSE)</f>
        <v>card</v>
      </c>
      <c r="E394" s="2" t="str">
        <f>VLOOKUP($A394,DICO_Complet!$A$3:$U$983,5,FALSE)</f>
        <v>temp_visaMarketingRegionCode</v>
      </c>
      <c r="F394" s="2" t="str">
        <f>VLOOKUP($A394,DICO_Complet!$A$3:$U$983,6,FALSE)</f>
        <v>temp_Type_apreciser</v>
      </c>
      <c r="G394" s="48">
        <f>VLOOKUP($A394,DICO_Complet!$A$3:$U$983,7,FALSE)</f>
        <v>0</v>
      </c>
      <c r="H394" s="48">
        <f>VLOOKUP($A394,DICO_Complet!$A$3:$U$983,8,FALSE)</f>
        <v>0</v>
      </c>
      <c r="I394" s="2" t="str">
        <f>IF(VLOOKUP($A394,DICO_Complet!$A$3:$U$983,9,FALSE)&lt;&gt;0,VLOOKUP($A394,DICO_Complet!$A$3:$U$983,9,FALSE),"")</f>
        <v/>
      </c>
      <c r="J394" s="1" t="str">
        <f>VLOOKUP($A394,DICO_Complet!$A$3:$U$983,10,FALSE)</f>
        <v>numero de la region (donnee VISA VI8 (region ou est l'emetteur de la carte)</v>
      </c>
      <c r="K394" s="53" t="str">
        <f>IF(VLOOKUP($A394,DICO_Complet!$A$3:$U$983,12,FALSE)=0,"",VLOOKUP($A394,DICO_Complet!$A$3:$U$983,12,FALSE))</f>
        <v/>
      </c>
      <c r="L394" s="53" t="str">
        <f>IF(VLOOKUP($A394,DICO_Complet!$A$3:$U$983,13,FALSE)=0,"",VLOOKUP($A394,DICO_Complet!$A$3:$U$983,13,FALSE))</f>
        <v/>
      </c>
      <c r="M394" s="53" t="str">
        <f>IF(VLOOKUP($A394,DICO_Complet!$A$3:$U$983,14,FALSE)=0,"",VLOOKUP($A394,DICO_Complet!$A$3:$U$983,14,FALSE))</f>
        <v/>
      </c>
      <c r="N394" s="53" t="str">
        <f>IF(VLOOKUP($A394,DICO_Complet!$A$3:$U$983,15,FALSE)=0,"",VLOOKUP($A394,DICO_Complet!$A$3:$U$983,15,FALSE))</f>
        <v/>
      </c>
      <c r="O394" s="53" t="str">
        <f>IF(VLOOKUP($A394,DICO_Complet!$A$3:$U$983,16,FALSE)=0,"",VLOOKUP($A394,DICO_Complet!$A$3:$U$983,16,FALSE))</f>
        <v/>
      </c>
      <c r="P394" s="53" t="str">
        <f>IF(VLOOKUP($A394,DICO_Complet!$A$3:$U$983,17,FALSE)=0,"",VLOOKUP($A394,DICO_Complet!$A$3:$U$983,17,FALSE))</f>
        <v/>
      </c>
      <c r="Q394" s="53" t="str">
        <f>IF(VLOOKUP($A394,DICO_Complet!$A$3:$U$983,18,FALSE)=0,"",VLOOKUP($A394,DICO_Complet!$A$3:$U$983,18,FALSE))</f>
        <v>CERVIS</v>
      </c>
    </row>
    <row r="395" spans="1:17">
      <c r="A395" s="38">
        <v>250418220145</v>
      </c>
      <c r="B395" s="47" t="s">
        <v>858</v>
      </c>
      <c r="C395" s="3" t="str">
        <f>VLOOKUP($A395,DICO_Complet!$A$3:$U$983,3,FALSE)</f>
        <v>Environment</v>
      </c>
      <c r="D395" s="3" t="str">
        <f>VLOOKUP($A395,DICO_Complet!$A$3:$U$983,4,FALSE)</f>
        <v>card</v>
      </c>
      <c r="E395" s="2" t="str">
        <f>VLOOKUP($A395,DICO_Complet!$A$3:$U$983,5,FALSE)</f>
        <v>temp_visaProductCode</v>
      </c>
      <c r="F395" s="2" t="str">
        <f>VLOOKUP($A395,DICO_Complet!$A$3:$U$983,6,FALSE)</f>
        <v>temp_Type_apreciser</v>
      </c>
      <c r="G395" s="48">
        <f>VLOOKUP($A395,DICO_Complet!$A$3:$U$983,7,FALSE)</f>
        <v>0</v>
      </c>
      <c r="H395" s="48">
        <f>VLOOKUP($A395,DICO_Complet!$A$3:$U$983,8,FALSE)</f>
        <v>0</v>
      </c>
      <c r="I395" s="2" t="str">
        <f>IF(VLOOKUP($A395,DICO_Complet!$A$3:$U$983,9,FALSE)&lt;&gt;0,VLOOKUP($A395,DICO_Complet!$A$3:$U$983,9,FALSE),"")</f>
        <v/>
      </c>
      <c r="J395" s="1" t="str">
        <f>VLOOKUP($A395,DICO_Complet!$A$3:$U$983,10,FALSE)</f>
        <v>Code produit reseau VISA (donnee VISA VI5)</v>
      </c>
      <c r="K395" s="53" t="str">
        <f>IF(VLOOKUP($A395,DICO_Complet!$A$3:$U$983,12,FALSE)=0,"",VLOOKUP($A395,DICO_Complet!$A$3:$U$983,12,FALSE))</f>
        <v/>
      </c>
      <c r="L395" s="53" t="str">
        <f>IF(VLOOKUP($A395,DICO_Complet!$A$3:$U$983,13,FALSE)=0,"",VLOOKUP($A395,DICO_Complet!$A$3:$U$983,13,FALSE))</f>
        <v/>
      </c>
      <c r="M395" s="53" t="str">
        <f>IF(VLOOKUP($A395,DICO_Complet!$A$3:$U$983,14,FALSE)=0,"",VLOOKUP($A395,DICO_Complet!$A$3:$U$983,14,FALSE))</f>
        <v/>
      </c>
      <c r="N395" s="53" t="str">
        <f>IF(VLOOKUP($A395,DICO_Complet!$A$3:$U$983,15,FALSE)=0,"",VLOOKUP($A395,DICO_Complet!$A$3:$U$983,15,FALSE))</f>
        <v/>
      </c>
      <c r="O395" s="53" t="str">
        <f>IF(VLOOKUP($A395,DICO_Complet!$A$3:$U$983,16,FALSE)=0,"",VLOOKUP($A395,DICO_Complet!$A$3:$U$983,16,FALSE))</f>
        <v/>
      </c>
      <c r="P395" s="53" t="str">
        <f>IF(VLOOKUP($A395,DICO_Complet!$A$3:$U$983,17,FALSE)=0,"",VLOOKUP($A395,DICO_Complet!$A$3:$U$983,17,FALSE))</f>
        <v/>
      </c>
      <c r="Q395" s="53" t="str">
        <f>IF(VLOOKUP($A395,DICO_Complet!$A$3:$U$983,18,FALSE)=0,"",VLOOKUP($A395,DICO_Complet!$A$3:$U$983,18,FALSE))</f>
        <v>COPRVS</v>
      </c>
    </row>
    <row r="396" spans="1:17">
      <c r="A396" s="38">
        <v>241112000097</v>
      </c>
      <c r="B396" s="47" t="s">
        <v>858</v>
      </c>
      <c r="C396" s="3" t="str">
        <f>VLOOKUP($A396,DICO_Complet!$A$3:$U$983,3,FALSE)</f>
        <v>Environment</v>
      </c>
      <c r="D396" s="3" t="str">
        <f>VLOOKUP($A396,DICO_Complet!$A$3:$U$983,4,FALSE)</f>
        <v>card</v>
      </c>
      <c r="E396" s="2" t="str">
        <f>VLOOKUP($A396,DICO_Complet!$A$3:$U$983,5,FALSE)</f>
        <v>track1</v>
      </c>
      <c r="F396" s="2" t="str">
        <f>VLOOKUP($A396,DICO_Complet!$A$3:$U$983,6,FALSE)</f>
        <v>Max76Text</v>
      </c>
      <c r="G396" s="48">
        <f>VLOOKUP($A396,DICO_Complet!$A$3:$U$983,7,FALSE)</f>
        <v>0</v>
      </c>
      <c r="H396" s="48">
        <f>VLOOKUP($A396,DICO_Complet!$A$3:$U$983,8,FALSE)</f>
        <v>0</v>
      </c>
      <c r="I396" s="2" t="str">
        <f>IF(VLOOKUP($A396,DICO_Complet!$A$3:$U$983,9,FALSE)&lt;&gt;0,VLOOKUP($A396,DICO_Complet!$A$3:$U$983,9,FALSE),"")</f>
        <v/>
      </c>
      <c r="J396" s="1" t="str">
        <f>VLOOKUP($A396,DICO_Complet!$A$3:$U$983,10,FALSE)</f>
        <v>Track1</v>
      </c>
      <c r="K396" s="53" t="str">
        <f>IF(VLOOKUP($A396,DICO_Complet!$A$3:$U$983,12,FALSE)=0,"",VLOOKUP($A396,DICO_Complet!$A$3:$U$983,12,FALSE))</f>
        <v>ISO45</v>
      </c>
      <c r="L396" s="53" t="str">
        <f>IF(VLOOKUP($A396,DICO_Complet!$A$3:$U$983,13,FALSE)=0,"",VLOOKUP($A396,DICO_Complet!$A$3:$U$983,13,FALSE))</f>
        <v>[45]</v>
      </c>
      <c r="M396" s="53" t="str">
        <f>IF(VLOOKUP($A396,DICO_Complet!$A$3:$U$983,14,FALSE)=0,"",VLOOKUP($A396,DICO_Complet!$A$3:$U$983,14,FALSE))</f>
        <v/>
      </c>
      <c r="N396" s="53" t="str">
        <f>IF(VLOOKUP($A396,DICO_Complet!$A$3:$U$983,15,FALSE)=0,"",VLOOKUP($A396,DICO_Complet!$A$3:$U$983,15,FALSE))</f>
        <v/>
      </c>
      <c r="O396" s="53" t="str">
        <f>IF(VLOOKUP($A396,DICO_Complet!$A$3:$U$983,16,FALSE)=0,"",VLOOKUP($A396,DICO_Complet!$A$3:$U$983,16,FALSE))</f>
        <v/>
      </c>
      <c r="P396" s="53" t="str">
        <f>IF(VLOOKUP($A396,DICO_Complet!$A$3:$U$983,17,FALSE)=0,"",VLOOKUP($A396,DICO_Complet!$A$3:$U$983,17,FALSE))</f>
        <v/>
      </c>
      <c r="Q396" s="53" t="str">
        <f>IF(VLOOKUP($A396,DICO_Complet!$A$3:$U$983,18,FALSE)=0,"",VLOOKUP($A396,DICO_Complet!$A$3:$U$983,18,FALSE))</f>
        <v/>
      </c>
    </row>
    <row r="397" spans="1:17">
      <c r="A397" s="38">
        <v>241112000098</v>
      </c>
      <c r="B397" s="47" t="s">
        <v>858</v>
      </c>
      <c r="C397" s="3" t="str">
        <f>VLOOKUP($A397,DICO_Complet!$A$3:$U$983,3,FALSE)</f>
        <v>Environment</v>
      </c>
      <c r="D397" s="3" t="str">
        <f>VLOOKUP($A397,DICO_Complet!$A$3:$U$983,4,FALSE)</f>
        <v>card</v>
      </c>
      <c r="E397" s="2" t="str">
        <f>VLOOKUP($A397,DICO_Complet!$A$3:$U$983,5,FALSE)</f>
        <v>track2</v>
      </c>
      <c r="F397" s="2" t="str">
        <f>VLOOKUP($A397,DICO_Complet!$A$3:$U$983,6,FALSE)</f>
        <v>Max37Text</v>
      </c>
      <c r="G397" s="48">
        <f>VLOOKUP($A397,DICO_Complet!$A$3:$U$983,7,FALSE)</f>
        <v>0</v>
      </c>
      <c r="H397" s="48">
        <f>VLOOKUP($A397,DICO_Complet!$A$3:$U$983,8,FALSE)</f>
        <v>0</v>
      </c>
      <c r="I397" s="2" t="str">
        <f>IF(VLOOKUP($A397,DICO_Complet!$A$3:$U$983,9,FALSE)&lt;&gt;0,VLOOKUP($A397,DICO_Complet!$A$3:$U$983,9,FALSE),"")</f>
        <v/>
      </c>
      <c r="J397" s="1" t="str">
        <f>VLOOKUP($A397,DICO_Complet!$A$3:$U$983,10,FALSE)</f>
        <v>Track2</v>
      </c>
      <c r="K397" s="53" t="str">
        <f>IF(VLOOKUP($A397,DICO_Complet!$A$3:$U$983,12,FALSE)=0,"",VLOOKUP($A397,DICO_Complet!$A$3:$U$983,12,FALSE))</f>
        <v>ISO35 / RSB55_57</v>
      </c>
      <c r="L397" s="53" t="str">
        <f>IF(VLOOKUP($A397,DICO_Complet!$A$3:$U$983,13,FALSE)=0,"",VLOOKUP($A397,DICO_Complet!$A$3:$U$983,13,FALSE))</f>
        <v>[35;55-0057]</v>
      </c>
      <c r="M397" s="53" t="str">
        <f>IF(VLOOKUP($A397,DICO_Complet!$A$3:$U$983,14,FALSE)=0,"",VLOOKUP($A397,DICO_Complet!$A$3:$U$983,14,FALSE))</f>
        <v/>
      </c>
      <c r="N397" s="53" t="str">
        <f>IF(VLOOKUP($A397,DICO_Complet!$A$3:$U$983,15,FALSE)=0,"",VLOOKUP($A397,DICO_Complet!$A$3:$U$983,15,FALSE))</f>
        <v/>
      </c>
      <c r="O397" s="53" t="str">
        <f>IF(VLOOKUP($A397,DICO_Complet!$A$3:$U$983,16,FALSE)=0,"",VLOOKUP($A397,DICO_Complet!$A$3:$U$983,16,FALSE))</f>
        <v/>
      </c>
      <c r="P397" s="53" t="str">
        <f>IF(VLOOKUP($A397,DICO_Complet!$A$3:$U$983,17,FALSE)=0,"",VLOOKUP($A397,DICO_Complet!$A$3:$U$983,17,FALSE))</f>
        <v/>
      </c>
      <c r="Q397" s="53" t="str">
        <f>IF(VLOOKUP($A397,DICO_Complet!$A$3:$U$983,18,FALSE)=0,"",VLOOKUP($A397,DICO_Complet!$A$3:$U$983,18,FALSE))</f>
        <v/>
      </c>
    </row>
    <row r="398" spans="1:17">
      <c r="A398" s="38">
        <v>250331114313</v>
      </c>
      <c r="B398" s="47" t="s">
        <v>858</v>
      </c>
      <c r="C398" s="3" t="str">
        <f>VLOOKUP($A398,DICO_Complet!$A$3:$U$983,3,FALSE)</f>
        <v>Environment</v>
      </c>
      <c r="D398" s="3" t="str">
        <f>VLOOKUP($A398,DICO_Complet!$A$3:$U$983,4,FALSE)</f>
        <v>cardAgreement</v>
      </c>
      <c r="E398" s="2" t="str">
        <f>VLOOKUP($A398,DICO_Complet!$A$3:$U$983,5,FALSE)</f>
        <v>cardAgreementAccountId</v>
      </c>
      <c r="F398" s="2" t="str">
        <f>VLOOKUP($A398,DICO_Complet!$A$3:$U$983,6,FALSE)</f>
        <v>Max36AlphaNumericText</v>
      </c>
      <c r="G398" s="48">
        <f>VLOOKUP($A398,DICO_Complet!$A$3:$U$983,7,FALSE)</f>
        <v>0</v>
      </c>
      <c r="H398" s="48">
        <f>VLOOKUP($A398,DICO_Complet!$A$3:$U$983,8,FALSE)</f>
        <v>0</v>
      </c>
      <c r="I398" s="2" t="str">
        <f>IF(VLOOKUP($A398,DICO_Complet!$A$3:$U$983,9,FALSE)&lt;&gt;0,VLOOKUP($A398,DICO_Complet!$A$3:$U$983,9,FALSE),"")</f>
        <v/>
      </c>
      <c r="J398" s="1" t="str">
        <f>VLOOKUP($A398,DICO_Complet!$A$3:$U$983,10,FALSE)</f>
        <v>Account Id linked to the card  (Contrat porteur)</v>
      </c>
      <c r="K398" s="53" t="str">
        <f>IF(VLOOKUP($A398,DICO_Complet!$A$3:$U$983,12,FALSE)=0,"",VLOOKUP($A398,DICO_Complet!$A$3:$U$983,12,FALSE))</f>
        <v/>
      </c>
      <c r="L398" s="53" t="str">
        <f>IF(VLOOKUP($A398,DICO_Complet!$A$3:$U$983,13,FALSE)=0,"",VLOOKUP($A398,DICO_Complet!$A$3:$U$983,13,FALSE))</f>
        <v/>
      </c>
      <c r="M398" s="53" t="str">
        <f>IF(VLOOKUP($A398,DICO_Complet!$A$3:$U$983,14,FALSE)=0,"",VLOOKUP($A398,DICO_Complet!$A$3:$U$983,14,FALSE))</f>
        <v/>
      </c>
      <c r="N398" s="53" t="str">
        <f>IF(VLOOKUP($A398,DICO_Complet!$A$3:$U$983,15,FALSE)=0,"",VLOOKUP($A398,DICO_Complet!$A$3:$U$983,15,FALSE))</f>
        <v/>
      </c>
      <c r="O398" s="53" t="str">
        <f>IF(VLOOKUP($A398,DICO_Complet!$A$3:$U$983,16,FALSE)=0,"",VLOOKUP($A398,DICO_Complet!$A$3:$U$983,16,FALSE))</f>
        <v/>
      </c>
      <c r="P398" s="53" t="str">
        <f>IF(VLOOKUP($A398,DICO_Complet!$A$3:$U$983,17,FALSE)=0,"",VLOOKUP($A398,DICO_Complet!$A$3:$U$983,17,FALSE))</f>
        <v/>
      </c>
      <c r="Q398" s="53" t="str">
        <f>IF(VLOOKUP($A398,DICO_Complet!$A$3:$U$983,18,FALSE)=0,"",VLOOKUP($A398,DICO_Complet!$A$3:$U$983,18,FALSE))</f>
        <v/>
      </c>
    </row>
    <row r="399" spans="1:17">
      <c r="A399" s="38">
        <v>250410114303</v>
      </c>
      <c r="B399" s="47" t="s">
        <v>858</v>
      </c>
      <c r="C399" s="3" t="str">
        <f>VLOOKUP($A399,DICO_Complet!$A$3:$U$983,3,FALSE)</f>
        <v>Environment</v>
      </c>
      <c r="D399" s="3" t="str">
        <f>VLOOKUP($A399,DICO_Complet!$A$3:$U$983,4,FALSE)</f>
        <v>cardAgreement</v>
      </c>
      <c r="E399" s="2" t="str">
        <f>VLOOKUP($A399,DICO_Complet!$A$3:$U$983,5,FALSE)</f>
        <v>cardAgreementDeferredCalendarCode</v>
      </c>
      <c r="F399" s="2" t="str">
        <f>VLOOKUP($A399,DICO_Complet!$A$3:$U$983,6,FALSE)</f>
        <v>CardAgreementDeferredCalendarCodeset</v>
      </c>
      <c r="G399" s="48">
        <f>VLOOKUP($A399,DICO_Complet!$A$3:$U$983,7,FALSE)</f>
        <v>0</v>
      </c>
      <c r="H399" s="48">
        <f>VLOOKUP($A399,DICO_Complet!$A$3:$U$983,8,FALSE)</f>
        <v>0</v>
      </c>
      <c r="I399" s="2" t="str">
        <f>IF(VLOOKUP($A399,DICO_Complet!$A$3:$U$983,9,FALSE)&lt;&gt;0,VLOOKUP($A399,DICO_Complet!$A$3:$U$983,9,FALSE),"")</f>
        <v/>
      </c>
      <c r="J399" s="1" t="str">
        <f>VLOOKUP($A399,DICO_Complet!$A$3:$U$983,10,FALSE)</f>
        <v>Code du jour du differe (Contrat porteur)</v>
      </c>
      <c r="K399" s="53" t="str">
        <f>IF(VLOOKUP($A399,DICO_Complet!$A$3:$U$983,12,FALSE)=0,"",VLOOKUP($A399,DICO_Complet!$A$3:$U$983,12,FALSE))</f>
        <v/>
      </c>
      <c r="L399" s="53" t="str">
        <f>IF(VLOOKUP($A399,DICO_Complet!$A$3:$U$983,13,FALSE)=0,"",VLOOKUP($A399,DICO_Complet!$A$3:$U$983,13,FALSE))</f>
        <v/>
      </c>
      <c r="M399" s="53" t="str">
        <f>IF(VLOOKUP($A399,DICO_Complet!$A$3:$U$983,14,FALSE)=0,"",VLOOKUP($A399,DICO_Complet!$A$3:$U$983,14,FALSE))</f>
        <v/>
      </c>
      <c r="N399" s="53" t="str">
        <f>IF(VLOOKUP($A399,DICO_Complet!$A$3:$U$983,15,FALSE)=0,"",VLOOKUP($A399,DICO_Complet!$A$3:$U$983,15,FALSE))</f>
        <v/>
      </c>
      <c r="O399" s="53" t="str">
        <f>IF(VLOOKUP($A399,DICO_Complet!$A$3:$U$983,16,FALSE)=0,"",VLOOKUP($A399,DICO_Complet!$A$3:$U$983,16,FALSE))</f>
        <v/>
      </c>
      <c r="P399" s="53" t="str">
        <f>IF(VLOOKUP($A399,DICO_Complet!$A$3:$U$983,17,FALSE)=0,"",VLOOKUP($A399,DICO_Complet!$A$3:$U$983,17,FALSE))</f>
        <v/>
      </c>
      <c r="Q399" s="53" t="str">
        <f>IF(VLOOKUP($A399,DICO_Complet!$A$3:$U$983,18,FALSE)=0,"",VLOOKUP($A399,DICO_Complet!$A$3:$U$983,18,FALSE))</f>
        <v/>
      </c>
    </row>
    <row r="400" spans="1:17">
      <c r="A400" s="38">
        <v>250331114312</v>
      </c>
      <c r="B400" s="47" t="s">
        <v>858</v>
      </c>
      <c r="C400" s="3" t="str">
        <f>VLOOKUP($A400,DICO_Complet!$A$3:$U$983,3,FALSE)</f>
        <v>Environment</v>
      </c>
      <c r="D400" s="3" t="str">
        <f>VLOOKUP($A400,DICO_Complet!$A$3:$U$983,4,FALSE)</f>
        <v>cardAgreement</v>
      </c>
      <c r="E400" s="2" t="str">
        <f>VLOOKUP($A400,DICO_Complet!$A$3:$U$983,5,FALSE)</f>
        <v>cardAgreementEntityId</v>
      </c>
      <c r="F400" s="2" t="str">
        <f>VLOOKUP($A400,DICO_Complet!$A$3:$U$983,6,FALSE)</f>
        <v>Max36NumericText</v>
      </c>
      <c r="G400" s="48">
        <f>VLOOKUP($A400,DICO_Complet!$A$3:$U$983,7,FALSE)</f>
        <v>0</v>
      </c>
      <c r="H400" s="48">
        <f>VLOOKUP($A400,DICO_Complet!$A$3:$U$983,8,FALSE)</f>
        <v>0</v>
      </c>
      <c r="I400" s="2" t="str">
        <f>IF(VLOOKUP($A400,DICO_Complet!$A$3:$U$983,9,FALSE)&lt;&gt;0,VLOOKUP($A400,DICO_Complet!$A$3:$U$983,9,FALSE),"")</f>
        <v/>
      </c>
      <c r="J400" s="1" t="str">
        <f>VLOOKUP($A400,DICO_Complet!$A$3:$U$983,10,FALSE)</f>
        <v>Contract entity Id (Contrat porteur)</v>
      </c>
      <c r="K400" s="53" t="str">
        <f>IF(VLOOKUP($A400,DICO_Complet!$A$3:$U$983,12,FALSE)=0,"",VLOOKUP($A400,DICO_Complet!$A$3:$U$983,12,FALSE))</f>
        <v/>
      </c>
      <c r="L400" s="53" t="str">
        <f>IF(VLOOKUP($A400,DICO_Complet!$A$3:$U$983,13,FALSE)=0,"",VLOOKUP($A400,DICO_Complet!$A$3:$U$983,13,FALSE))</f>
        <v/>
      </c>
      <c r="M400" s="53" t="str">
        <f>IF(VLOOKUP($A400,DICO_Complet!$A$3:$U$983,14,FALSE)=0,"",VLOOKUP($A400,DICO_Complet!$A$3:$U$983,14,FALSE))</f>
        <v/>
      </c>
      <c r="N400" s="53" t="str">
        <f>IF(VLOOKUP($A400,DICO_Complet!$A$3:$U$983,15,FALSE)=0,"",VLOOKUP($A400,DICO_Complet!$A$3:$U$983,15,FALSE))</f>
        <v/>
      </c>
      <c r="O400" s="53" t="str">
        <f>IF(VLOOKUP($A400,DICO_Complet!$A$3:$U$983,16,FALSE)=0,"",VLOOKUP($A400,DICO_Complet!$A$3:$U$983,16,FALSE))</f>
        <v/>
      </c>
      <c r="P400" s="53" t="str">
        <f>IF(VLOOKUP($A400,DICO_Complet!$A$3:$U$983,17,FALSE)=0,"",VLOOKUP($A400,DICO_Complet!$A$3:$U$983,17,FALSE))</f>
        <v/>
      </c>
      <c r="Q400" s="53" t="str">
        <f>IF(VLOOKUP($A400,DICO_Complet!$A$3:$U$983,18,FALSE)=0,"",VLOOKUP($A400,DICO_Complet!$A$3:$U$983,18,FALSE))</f>
        <v/>
      </c>
    </row>
    <row r="401" spans="1:17">
      <c r="A401" s="38">
        <v>250428141300</v>
      </c>
      <c r="B401" s="47" t="s">
        <v>858</v>
      </c>
      <c r="C401" s="3" t="str">
        <f>VLOOKUP($A401,DICO_Complet!$A$3:$U$983,3,FALSE)</f>
        <v>Environment</v>
      </c>
      <c r="D401" s="3" t="str">
        <f>VLOOKUP($A401,DICO_Complet!$A$3:$U$983,4,FALSE)</f>
        <v>cardAgreement</v>
      </c>
      <c r="E401" s="2" t="str">
        <f>VLOOKUP($A401,DICO_Complet!$A$3:$U$983,5,FALSE)</f>
        <v>cardAgreementEntityName</v>
      </c>
      <c r="F401" s="2" t="str">
        <f>VLOOKUP($A401,DICO_Complet!$A$3:$U$983,6,FALSE)</f>
        <v>Max256Text</v>
      </c>
      <c r="G401" s="48">
        <f>VLOOKUP($A401,DICO_Complet!$A$3:$U$983,7,FALSE)</f>
        <v>0</v>
      </c>
      <c r="H401" s="48">
        <f>VLOOKUP($A401,DICO_Complet!$A$3:$U$983,8,FALSE)</f>
        <v>0</v>
      </c>
      <c r="I401" s="2" t="str">
        <f>IF(VLOOKUP($A401,DICO_Complet!$A$3:$U$983,9,FALSE)&lt;&gt;0,VLOOKUP($A401,DICO_Complet!$A$3:$U$983,9,FALSE),"")</f>
        <v/>
      </c>
      <c r="J401" s="1" t="str">
        <f>VLOOKUP($A401,DICO_Complet!$A$3:$U$983,10,FALSE)</f>
        <v>Nom de l'entite (Agence, filiale) du contrat porteur  (Contrat porteur)</v>
      </c>
      <c r="K401" s="53" t="str">
        <f>IF(VLOOKUP($A401,DICO_Complet!$A$3:$U$983,12,FALSE)=0,"",VLOOKUP($A401,DICO_Complet!$A$3:$U$983,12,FALSE))</f>
        <v/>
      </c>
      <c r="L401" s="53" t="str">
        <f>IF(VLOOKUP($A401,DICO_Complet!$A$3:$U$983,13,FALSE)=0,"",VLOOKUP($A401,DICO_Complet!$A$3:$U$983,13,FALSE))</f>
        <v/>
      </c>
      <c r="M401" s="53" t="str">
        <f>IF(VLOOKUP($A401,DICO_Complet!$A$3:$U$983,14,FALSE)=0,"",VLOOKUP($A401,DICO_Complet!$A$3:$U$983,14,FALSE))</f>
        <v/>
      </c>
      <c r="N401" s="53" t="str">
        <f>IF(VLOOKUP($A401,DICO_Complet!$A$3:$U$983,15,FALSE)=0,"",VLOOKUP($A401,DICO_Complet!$A$3:$U$983,15,FALSE))</f>
        <v/>
      </c>
      <c r="O401" s="53" t="str">
        <f>IF(VLOOKUP($A401,DICO_Complet!$A$3:$U$983,16,FALSE)=0,"",VLOOKUP($A401,DICO_Complet!$A$3:$U$983,16,FALSE))</f>
        <v/>
      </c>
      <c r="P401" s="53" t="str">
        <f>IF(VLOOKUP($A401,DICO_Complet!$A$3:$U$983,17,FALSE)=0,"",VLOOKUP($A401,DICO_Complet!$A$3:$U$983,17,FALSE))</f>
        <v/>
      </c>
      <c r="Q401" s="53" t="str">
        <f>IF(VLOOKUP($A401,DICO_Complet!$A$3:$U$983,18,FALSE)=0,"",VLOOKUP($A401,DICO_Complet!$A$3:$U$983,18,FALSE))</f>
        <v/>
      </c>
    </row>
    <row r="402" spans="1:17">
      <c r="A402" s="38">
        <v>250331114300</v>
      </c>
      <c r="B402" s="47" t="s">
        <v>858</v>
      </c>
      <c r="C402" s="3" t="str">
        <f>VLOOKUP($A402,DICO_Complet!$A$3:$U$983,3,FALSE)</f>
        <v>Environment</v>
      </c>
      <c r="D402" s="3" t="str">
        <f>VLOOKUP($A402,DICO_Complet!$A$3:$U$983,4,FALSE)</f>
        <v>cardAgreement</v>
      </c>
      <c r="E402" s="2" t="str">
        <f>VLOOKUP($A402,DICO_Complet!$A$3:$U$983,5,FALSE)</f>
        <v>cardAgreementId</v>
      </c>
      <c r="F402" s="2" t="str">
        <f>VLOOKUP($A402,DICO_Complet!$A$3:$U$983,6,FALSE)</f>
        <v>Max36NumericText</v>
      </c>
      <c r="G402" s="48">
        <f>VLOOKUP($A402,DICO_Complet!$A$3:$U$983,7,FALSE)</f>
        <v>0</v>
      </c>
      <c r="H402" s="48">
        <f>VLOOKUP($A402,DICO_Complet!$A$3:$U$983,8,FALSE)</f>
        <v>0</v>
      </c>
      <c r="I402" s="2" t="str">
        <f>IF(VLOOKUP($A402,DICO_Complet!$A$3:$U$983,9,FALSE)&lt;&gt;0,VLOOKUP($A402,DICO_Complet!$A$3:$U$983,9,FALSE),"")</f>
        <v/>
      </c>
      <c r="J402" s="1" t="str">
        <f>VLOOKUP($A402,DICO_Complet!$A$3:$U$983,10,FALSE)</f>
        <v>Contract Id (Contrat porteur)</v>
      </c>
      <c r="K402" s="53" t="str">
        <f>IF(VLOOKUP($A402,DICO_Complet!$A$3:$U$983,12,FALSE)=0,"",VLOOKUP($A402,DICO_Complet!$A$3:$U$983,12,FALSE))</f>
        <v/>
      </c>
      <c r="L402" s="53" t="str">
        <f>IF(VLOOKUP($A402,DICO_Complet!$A$3:$U$983,13,FALSE)=0,"",VLOOKUP($A402,DICO_Complet!$A$3:$U$983,13,FALSE))</f>
        <v/>
      </c>
      <c r="M402" s="53" t="str">
        <f>IF(VLOOKUP($A402,DICO_Complet!$A$3:$U$983,14,FALSE)=0,"",VLOOKUP($A402,DICO_Complet!$A$3:$U$983,14,FALSE))</f>
        <v/>
      </c>
      <c r="N402" s="53" t="str">
        <f>IF(VLOOKUP($A402,DICO_Complet!$A$3:$U$983,15,FALSE)=0,"",VLOOKUP($A402,DICO_Complet!$A$3:$U$983,15,FALSE))</f>
        <v/>
      </c>
      <c r="O402" s="53" t="str">
        <f>IF(VLOOKUP($A402,DICO_Complet!$A$3:$U$983,16,FALSE)=0,"",VLOOKUP($A402,DICO_Complet!$A$3:$U$983,16,FALSE))</f>
        <v/>
      </c>
      <c r="P402" s="53" t="str">
        <f>IF(VLOOKUP($A402,DICO_Complet!$A$3:$U$983,17,FALSE)=0,"",VLOOKUP($A402,DICO_Complet!$A$3:$U$983,17,FALSE))</f>
        <v/>
      </c>
      <c r="Q402" s="53" t="str">
        <f>IF(VLOOKUP($A402,DICO_Complet!$A$3:$U$983,18,FALSE)=0,"",VLOOKUP($A402,DICO_Complet!$A$3:$U$983,18,FALSE))</f>
        <v/>
      </c>
    </row>
    <row r="403" spans="1:17">
      <c r="A403" s="38">
        <v>250430121200</v>
      </c>
      <c r="B403" s="47" t="s">
        <v>858</v>
      </c>
      <c r="C403" s="3" t="str">
        <f>VLOOKUP($A403,DICO_Complet!$A$3:$U$983,3,FALSE)</f>
        <v>Environment</v>
      </c>
      <c r="D403" s="3" t="str">
        <f>VLOOKUP($A403,DICO_Complet!$A$3:$U$983,4,FALSE)</f>
        <v>cardAgreement</v>
      </c>
      <c r="E403" s="2" t="str">
        <f>VLOOKUP($A403,DICO_Complet!$A$3:$U$983,5,FALSE)</f>
        <v>requestId</v>
      </c>
      <c r="F403" s="2" t="str">
        <f>VLOOKUP($A403,DICO_Complet!$A$3:$U$983,6,FALSE)</f>
        <v>Max36NumericText</v>
      </c>
      <c r="G403" s="48">
        <f>VLOOKUP($A403,DICO_Complet!$A$3:$U$983,7,FALSE)</f>
        <v>0</v>
      </c>
      <c r="H403" s="48">
        <f>VLOOKUP($A403,DICO_Complet!$A$3:$U$983,8,FALSE)</f>
        <v>0</v>
      </c>
      <c r="I403" s="2" t="str">
        <f>IF(VLOOKUP($A403,DICO_Complet!$A$3:$U$983,9,FALSE)&lt;&gt;0,VLOOKUP($A403,DICO_Complet!$A$3:$U$983,9,FALSE),"")</f>
        <v/>
      </c>
      <c r="J403" s="1" t="str">
        <f>VLOOKUP($A403,DICO_Complet!$A$3:$U$983,10,FALSE)</f>
        <v>Unique ID of the Agreement</v>
      </c>
      <c r="K403" s="53" t="str">
        <f>IF(VLOOKUP($A403,DICO_Complet!$A$3:$U$983,12,FALSE)=0,"",VLOOKUP($A403,DICO_Complet!$A$3:$U$983,12,FALSE))</f>
        <v/>
      </c>
      <c r="L403" s="53" t="str">
        <f>IF(VLOOKUP($A403,DICO_Complet!$A$3:$U$983,13,FALSE)=0,"",VLOOKUP($A403,DICO_Complet!$A$3:$U$983,13,FALSE))</f>
        <v/>
      </c>
      <c r="M403" s="53" t="str">
        <f>IF(VLOOKUP($A403,DICO_Complet!$A$3:$U$983,14,FALSE)=0,"",VLOOKUP($A403,DICO_Complet!$A$3:$U$983,14,FALSE))</f>
        <v/>
      </c>
      <c r="N403" s="53" t="str">
        <f>IF(VLOOKUP($A403,DICO_Complet!$A$3:$U$983,15,FALSE)=0,"",VLOOKUP($A403,DICO_Complet!$A$3:$U$983,15,FALSE))</f>
        <v/>
      </c>
      <c r="O403" s="53" t="str">
        <f>IF(VLOOKUP($A403,DICO_Complet!$A$3:$U$983,16,FALSE)=0,"",VLOOKUP($A403,DICO_Complet!$A$3:$U$983,16,FALSE))</f>
        <v/>
      </c>
      <c r="P403" s="53" t="str">
        <f>IF(VLOOKUP($A403,DICO_Complet!$A$3:$U$983,17,FALSE)=0,"",VLOOKUP($A403,DICO_Complet!$A$3:$U$983,17,FALSE))</f>
        <v/>
      </c>
      <c r="Q403" s="53" t="str">
        <f>IF(VLOOKUP($A403,DICO_Complet!$A$3:$U$983,18,FALSE)=0,"",VLOOKUP($A403,DICO_Complet!$A$3:$U$983,18,FALSE))</f>
        <v/>
      </c>
    </row>
    <row r="404" spans="1:17">
      <c r="A404" s="38">
        <v>250331121313</v>
      </c>
      <c r="B404" s="47" t="s">
        <v>858</v>
      </c>
      <c r="C404" s="3" t="str">
        <f>VLOOKUP($A404,DICO_Complet!$A$3:$U$983,3,FALSE)</f>
        <v>Environment</v>
      </c>
      <c r="D404" s="3" t="str">
        <f>VLOOKUP($A404,DICO_Complet!$A$3:$U$983,4,FALSE)</f>
        <v>cardholder</v>
      </c>
      <c r="E404" s="2" t="str">
        <f>VLOOKUP($A404,DICO_Complet!$A$3:$U$983,5,FALSE)</f>
        <v>cardholderId</v>
      </c>
      <c r="F404" s="2" t="str">
        <f>VLOOKUP($A404,DICO_Complet!$A$3:$U$983,6,FALSE)</f>
        <v>Max40AlphaNumericText</v>
      </c>
      <c r="G404" s="48">
        <f>VLOOKUP($A404,DICO_Complet!$A$3:$U$983,7,FALSE)</f>
        <v>0</v>
      </c>
      <c r="H404" s="48">
        <f>VLOOKUP($A404,DICO_Complet!$A$3:$U$983,8,FALSE)</f>
        <v>0</v>
      </c>
      <c r="I404" s="2" t="str">
        <f>IF(VLOOKUP($A404,DICO_Complet!$A$3:$U$983,9,FALSE)&lt;&gt;0,VLOOKUP($A404,DICO_Complet!$A$3:$U$983,9,FALSE),"")</f>
        <v/>
      </c>
      <c r="J404" s="1" t="str">
        <f>VLOOKUP($A404,DICO_Complet!$A$3:$U$983,10,FALSE)</f>
        <v>Cardholder Id</v>
      </c>
      <c r="K404" s="53" t="str">
        <f>IF(VLOOKUP($A404,DICO_Complet!$A$3:$U$983,12,FALSE)=0,"",VLOOKUP($A404,DICO_Complet!$A$3:$U$983,12,FALSE))</f>
        <v/>
      </c>
      <c r="L404" s="53" t="str">
        <f>IF(VLOOKUP($A404,DICO_Complet!$A$3:$U$983,13,FALSE)=0,"",VLOOKUP($A404,DICO_Complet!$A$3:$U$983,13,FALSE))</f>
        <v/>
      </c>
      <c r="M404" s="53" t="str">
        <f>IF(VLOOKUP($A404,DICO_Complet!$A$3:$U$983,14,FALSE)=0,"",VLOOKUP($A404,DICO_Complet!$A$3:$U$983,14,FALSE))</f>
        <v/>
      </c>
      <c r="N404" s="53" t="str">
        <f>IF(VLOOKUP($A404,DICO_Complet!$A$3:$U$983,15,FALSE)=0,"",VLOOKUP($A404,DICO_Complet!$A$3:$U$983,15,FALSE))</f>
        <v/>
      </c>
      <c r="O404" s="53" t="str">
        <f>IF(VLOOKUP($A404,DICO_Complet!$A$3:$U$983,16,FALSE)=0,"",VLOOKUP($A404,DICO_Complet!$A$3:$U$983,16,FALSE))</f>
        <v/>
      </c>
      <c r="P404" s="53" t="str">
        <f>IF(VLOOKUP($A404,DICO_Complet!$A$3:$U$983,17,FALSE)=0,"",VLOOKUP($A404,DICO_Complet!$A$3:$U$983,17,FALSE))</f>
        <v/>
      </c>
      <c r="Q404" s="53" t="str">
        <f>IF(VLOOKUP($A404,DICO_Complet!$A$3:$U$983,18,FALSE)=0,"",VLOOKUP($A404,DICO_Complet!$A$3:$U$983,18,FALSE))</f>
        <v/>
      </c>
    </row>
    <row r="405" spans="1:17">
      <c r="A405" s="38">
        <v>241112000099</v>
      </c>
      <c r="B405" s="47" t="s">
        <v>858</v>
      </c>
      <c r="C405" s="3" t="str">
        <f>VLOOKUP($A405,DICO_Complet!$A$3:$U$983,3,FALSE)</f>
        <v>Environment</v>
      </c>
      <c r="D405" s="3" t="str">
        <f>VLOOKUP($A405,DICO_Complet!$A$3:$U$983,4,FALSE)</f>
        <v>cardholder</v>
      </c>
      <c r="E405" s="2" t="str">
        <f>VLOOKUP($A405,DICO_Complet!$A$3:$U$983,5,FALSE)</f>
        <v>countryCode</v>
      </c>
      <c r="F405" s="2" t="str">
        <f>VLOOKUP($A405,DICO_Complet!$A$3:$U$983,6,FALSE)</f>
        <v>ISO3NumericCountryCode</v>
      </c>
      <c r="G405" s="48">
        <f>VLOOKUP($A405,DICO_Complet!$A$3:$U$983,7,FALSE)</f>
        <v>0</v>
      </c>
      <c r="H405" s="48">
        <f>VLOOKUP($A405,DICO_Complet!$A$3:$U$983,8,FALSE)</f>
        <v>0</v>
      </c>
      <c r="I405" s="2" t="str">
        <f>IF(VLOOKUP($A405,DICO_Complet!$A$3:$U$983,9,FALSE)&lt;&gt;0,VLOOKUP($A405,DICO_Complet!$A$3:$U$983,9,FALSE),"")</f>
        <v/>
      </c>
      <c r="J405" s="1" t="str">
        <f>VLOOKUP($A405,DICO_Complet!$A$3:$U$983,10,FALSE)</f>
        <v>country code of cardholder</v>
      </c>
      <c r="K405" s="53" t="str">
        <f>IF(VLOOKUP($A405,DICO_Complet!$A$3:$U$983,12,FALSE)=0,"",VLOOKUP($A405,DICO_Complet!$A$3:$U$983,12,FALSE))</f>
        <v/>
      </c>
      <c r="L405" s="53" t="str">
        <f>IF(VLOOKUP($A405,DICO_Complet!$A$3:$U$983,13,FALSE)=0,"",VLOOKUP($A405,DICO_Complet!$A$3:$U$983,13,FALSE))</f>
        <v/>
      </c>
      <c r="M405" s="53" t="str">
        <f>IF(VLOOKUP($A405,DICO_Complet!$A$3:$U$983,14,FALSE)=0,"",VLOOKUP($A405,DICO_Complet!$A$3:$U$983,14,FALSE))</f>
        <v/>
      </c>
      <c r="N405" s="53" t="str">
        <f>IF(VLOOKUP($A405,DICO_Complet!$A$3:$U$983,15,FALSE)=0,"",VLOOKUP($A405,DICO_Complet!$A$3:$U$983,15,FALSE))</f>
        <v/>
      </c>
      <c r="O405" s="53" t="str">
        <f>IF(VLOOKUP($A405,DICO_Complet!$A$3:$U$983,16,FALSE)=0,"",VLOOKUP($A405,DICO_Complet!$A$3:$U$983,16,FALSE))</f>
        <v/>
      </c>
      <c r="P405" s="53" t="str">
        <f>IF(VLOOKUP($A405,DICO_Complet!$A$3:$U$983,17,FALSE)=0,"",VLOOKUP($A405,DICO_Complet!$A$3:$U$983,17,FALSE))</f>
        <v/>
      </c>
      <c r="Q405" s="53" t="str">
        <f>IF(VLOOKUP($A405,DICO_Complet!$A$3:$U$983,18,FALSE)=0,"",VLOOKUP($A405,DICO_Complet!$A$3:$U$983,18,FALSE))</f>
        <v/>
      </c>
    </row>
    <row r="406" spans="1:17">
      <c r="A406" s="38">
        <v>241112000100</v>
      </c>
      <c r="B406" s="47" t="s">
        <v>858</v>
      </c>
      <c r="C406" s="3" t="str">
        <f>VLOOKUP($A406,DICO_Complet!$A$3:$U$983,3,FALSE)</f>
        <v>Environment</v>
      </c>
      <c r="D406" s="3" t="str">
        <f>VLOOKUP($A406,DICO_Complet!$A$3:$U$983,4,FALSE)</f>
        <v>cardholder</v>
      </c>
      <c r="E406" s="2" t="str">
        <f>VLOOKUP($A406,DICO_Complet!$A$3:$U$983,5,FALSE)</f>
        <v>email</v>
      </c>
      <c r="F406" s="2" t="str">
        <f>VLOOKUP($A406,DICO_Complet!$A$3:$U$983,6,FALSE)</f>
        <v>Max256Text</v>
      </c>
      <c r="G406" s="48">
        <f>VLOOKUP($A406,DICO_Complet!$A$3:$U$983,7,FALSE)</f>
        <v>0</v>
      </c>
      <c r="H406" s="48">
        <f>VLOOKUP($A406,DICO_Complet!$A$3:$U$983,8,FALSE)</f>
        <v>0</v>
      </c>
      <c r="I406" s="2" t="str">
        <f>IF(VLOOKUP($A406,DICO_Complet!$A$3:$U$983,9,FALSE)&lt;&gt;0,VLOOKUP($A406,DICO_Complet!$A$3:$U$983,9,FALSE),"")</f>
        <v/>
      </c>
      <c r="J406" s="1" t="str">
        <f>VLOOKUP($A406,DICO_Complet!$A$3:$U$983,10,FALSE)</f>
        <v>email address</v>
      </c>
      <c r="K406" s="53" t="str">
        <f>IF(VLOOKUP($A406,DICO_Complet!$A$3:$U$983,12,FALSE)=0,"",VLOOKUP($A406,DICO_Complet!$A$3:$U$983,12,FALSE))</f>
        <v/>
      </c>
      <c r="L406" s="53" t="str">
        <f>IF(VLOOKUP($A406,DICO_Complet!$A$3:$U$983,13,FALSE)=0,"",VLOOKUP($A406,DICO_Complet!$A$3:$U$983,13,FALSE))</f>
        <v/>
      </c>
      <c r="M406" s="53" t="str">
        <f>IF(VLOOKUP($A406,DICO_Complet!$A$3:$U$983,14,FALSE)=0,"",VLOOKUP($A406,DICO_Complet!$A$3:$U$983,14,FALSE))</f>
        <v/>
      </c>
      <c r="N406" s="53" t="str">
        <f>IF(VLOOKUP($A406,DICO_Complet!$A$3:$U$983,15,FALSE)=0,"",VLOOKUP($A406,DICO_Complet!$A$3:$U$983,15,FALSE))</f>
        <v/>
      </c>
      <c r="O406" s="53" t="str">
        <f>IF(VLOOKUP($A406,DICO_Complet!$A$3:$U$983,16,FALSE)=0,"",VLOOKUP($A406,DICO_Complet!$A$3:$U$983,16,FALSE))</f>
        <v/>
      </c>
      <c r="P406" s="53" t="str">
        <f>IF(VLOOKUP($A406,DICO_Complet!$A$3:$U$983,17,FALSE)=0,"",VLOOKUP($A406,DICO_Complet!$A$3:$U$983,17,FALSE))</f>
        <v/>
      </c>
      <c r="Q406" s="53" t="str">
        <f>IF(VLOOKUP($A406,DICO_Complet!$A$3:$U$983,18,FALSE)=0,"",VLOOKUP($A406,DICO_Complet!$A$3:$U$983,18,FALSE))</f>
        <v/>
      </c>
    </row>
    <row r="407" spans="1:17">
      <c r="A407" s="38">
        <v>241112000101</v>
      </c>
      <c r="B407" s="47" t="s">
        <v>858</v>
      </c>
      <c r="C407" s="3" t="str">
        <f>VLOOKUP($A407,DICO_Complet!$A$3:$U$983,3,FALSE)</f>
        <v>Environment</v>
      </c>
      <c r="D407" s="3" t="str">
        <f>VLOOKUP($A407,DICO_Complet!$A$3:$U$983,4,FALSE)</f>
        <v>cardholder</v>
      </c>
      <c r="E407" s="2" t="str">
        <f>VLOOKUP($A407,DICO_Complet!$A$3:$U$983,5,FALSE)</f>
        <v>firstName</v>
      </c>
      <c r="F407" s="2" t="str">
        <f>VLOOKUP($A407,DICO_Complet!$A$3:$U$983,6,FALSE)</f>
        <v>Max70Text</v>
      </c>
      <c r="G407" s="48">
        <f>VLOOKUP($A407,DICO_Complet!$A$3:$U$983,7,FALSE)</f>
        <v>0</v>
      </c>
      <c r="H407" s="48">
        <f>VLOOKUP($A407,DICO_Complet!$A$3:$U$983,8,FALSE)</f>
        <v>0</v>
      </c>
      <c r="I407" s="2" t="str">
        <f>IF(VLOOKUP($A407,DICO_Complet!$A$3:$U$983,9,FALSE)&lt;&gt;0,VLOOKUP($A407,DICO_Complet!$A$3:$U$983,9,FALSE),"")</f>
        <v/>
      </c>
      <c r="J407" s="1" t="str">
        <f>VLOOKUP($A407,DICO_Complet!$A$3:$U$983,10,FALSE)</f>
        <v>first name</v>
      </c>
      <c r="K407" s="53" t="str">
        <f>IF(VLOOKUP($A407,DICO_Complet!$A$3:$U$983,12,FALSE)=0,"",VLOOKUP($A407,DICO_Complet!$A$3:$U$983,12,FALSE))</f>
        <v/>
      </c>
      <c r="L407" s="53" t="str">
        <f>IF(VLOOKUP($A407,DICO_Complet!$A$3:$U$983,13,FALSE)=0,"",VLOOKUP($A407,DICO_Complet!$A$3:$U$983,13,FALSE))</f>
        <v/>
      </c>
      <c r="M407" s="53" t="str">
        <f>IF(VLOOKUP($A407,DICO_Complet!$A$3:$U$983,14,FALSE)=0,"",VLOOKUP($A407,DICO_Complet!$A$3:$U$983,14,FALSE))</f>
        <v/>
      </c>
      <c r="N407" s="53" t="str">
        <f>IF(VLOOKUP($A407,DICO_Complet!$A$3:$U$983,15,FALSE)=0,"",VLOOKUP($A407,DICO_Complet!$A$3:$U$983,15,FALSE))</f>
        <v/>
      </c>
      <c r="O407" s="53" t="str">
        <f>IF(VLOOKUP($A407,DICO_Complet!$A$3:$U$983,16,FALSE)=0,"",VLOOKUP($A407,DICO_Complet!$A$3:$U$983,16,FALSE))</f>
        <v/>
      </c>
      <c r="P407" s="53" t="str">
        <f>IF(VLOOKUP($A407,DICO_Complet!$A$3:$U$983,17,FALSE)=0,"",VLOOKUP($A407,DICO_Complet!$A$3:$U$983,17,FALSE))</f>
        <v/>
      </c>
      <c r="Q407" s="53" t="str">
        <f>IF(VLOOKUP($A407,DICO_Complet!$A$3:$U$983,18,FALSE)=0,"",VLOOKUP($A407,DICO_Complet!$A$3:$U$983,18,FALSE))</f>
        <v/>
      </c>
    </row>
    <row r="408" spans="1:17">
      <c r="A408" s="38">
        <v>241112000102</v>
      </c>
      <c r="B408" s="47" t="s">
        <v>858</v>
      </c>
      <c r="C408" s="3" t="str">
        <f>VLOOKUP($A408,DICO_Complet!$A$3:$U$983,3,FALSE)</f>
        <v>Environment</v>
      </c>
      <c r="D408" s="3" t="str">
        <f>VLOOKUP($A408,DICO_Complet!$A$3:$U$983,4,FALSE)</f>
        <v>cardholder</v>
      </c>
      <c r="E408" s="2" t="str">
        <f>VLOOKUP($A408,DICO_Complet!$A$3:$U$983,5,FALSE)</f>
        <v>lastName</v>
      </c>
      <c r="F408" s="2" t="str">
        <f>VLOOKUP($A408,DICO_Complet!$A$3:$U$983,6,FALSE)</f>
        <v>Max70Text</v>
      </c>
      <c r="G408" s="48">
        <f>VLOOKUP($A408,DICO_Complet!$A$3:$U$983,7,FALSE)</f>
        <v>0</v>
      </c>
      <c r="H408" s="48">
        <f>VLOOKUP($A408,DICO_Complet!$A$3:$U$983,8,FALSE)</f>
        <v>0</v>
      </c>
      <c r="I408" s="2" t="str">
        <f>IF(VLOOKUP($A408,DICO_Complet!$A$3:$U$983,9,FALSE)&lt;&gt;0,VLOOKUP($A408,DICO_Complet!$A$3:$U$983,9,FALSE),"")</f>
        <v/>
      </c>
      <c r="J408" s="1" t="str">
        <f>VLOOKUP($A408,DICO_Complet!$A$3:$U$983,10,FALSE)</f>
        <v>last name</v>
      </c>
      <c r="K408" s="53" t="str">
        <f>IF(VLOOKUP($A408,DICO_Complet!$A$3:$U$983,12,FALSE)=0,"",VLOOKUP($A408,DICO_Complet!$A$3:$U$983,12,FALSE))</f>
        <v/>
      </c>
      <c r="L408" s="53" t="str">
        <f>IF(VLOOKUP($A408,DICO_Complet!$A$3:$U$983,13,FALSE)=0,"",VLOOKUP($A408,DICO_Complet!$A$3:$U$983,13,FALSE))</f>
        <v/>
      </c>
      <c r="M408" s="53" t="str">
        <f>IF(VLOOKUP($A408,DICO_Complet!$A$3:$U$983,14,FALSE)=0,"",VLOOKUP($A408,DICO_Complet!$A$3:$U$983,14,FALSE))</f>
        <v/>
      </c>
      <c r="N408" s="53" t="str">
        <f>IF(VLOOKUP($A408,DICO_Complet!$A$3:$U$983,15,FALSE)=0,"",VLOOKUP($A408,DICO_Complet!$A$3:$U$983,15,FALSE))</f>
        <v/>
      </c>
      <c r="O408" s="53" t="str">
        <f>IF(VLOOKUP($A408,DICO_Complet!$A$3:$U$983,16,FALSE)=0,"",VLOOKUP($A408,DICO_Complet!$A$3:$U$983,16,FALSE))</f>
        <v/>
      </c>
      <c r="P408" s="53" t="str">
        <f>IF(VLOOKUP($A408,DICO_Complet!$A$3:$U$983,17,FALSE)=0,"",VLOOKUP($A408,DICO_Complet!$A$3:$U$983,17,FALSE))</f>
        <v/>
      </c>
      <c r="Q408" s="53" t="str">
        <f>IF(VLOOKUP($A408,DICO_Complet!$A$3:$U$983,18,FALSE)=0,"",VLOOKUP($A408,DICO_Complet!$A$3:$U$983,18,FALSE))</f>
        <v/>
      </c>
    </row>
    <row r="409" spans="1:17">
      <c r="A409" s="38">
        <v>241112000103</v>
      </c>
      <c r="B409" s="47" t="s">
        <v>858</v>
      </c>
      <c r="C409" s="3" t="str">
        <f>VLOOKUP($A409,DICO_Complet!$A$3:$U$983,3,FALSE)</f>
        <v>Environment</v>
      </c>
      <c r="D409" s="3" t="str">
        <f>VLOOKUP($A409,DICO_Complet!$A$3:$U$983,4,FALSE)</f>
        <v>cardholder</v>
      </c>
      <c r="E409" s="2" t="str">
        <f>VLOOKUP($A409,DICO_Complet!$A$3:$U$983,5,FALSE)</f>
        <v>localLanguageCode</v>
      </c>
      <c r="F409" s="2" t="str">
        <f>VLOOKUP($A409,DICO_Complet!$A$3:$U$983,6,FALSE)</f>
        <v>ISOMax3ALanguageCode</v>
      </c>
      <c r="G409" s="48">
        <f>VLOOKUP($A409,DICO_Complet!$A$3:$U$983,7,FALSE)</f>
        <v>0</v>
      </c>
      <c r="H409" s="48">
        <f>VLOOKUP($A409,DICO_Complet!$A$3:$U$983,8,FALSE)</f>
        <v>0</v>
      </c>
      <c r="I409" s="2" t="str">
        <f>IF(VLOOKUP($A409,DICO_Complet!$A$3:$U$983,9,FALSE)&lt;&gt;0,VLOOKUP($A409,DICO_Complet!$A$3:$U$983,9,FALSE),"")</f>
        <v/>
      </c>
      <c r="J409" s="1" t="str">
        <f>VLOOKUP($A409,DICO_Complet!$A$3:$U$983,10,FALSE)</f>
        <v xml:space="preserve">local language code </v>
      </c>
      <c r="K409" s="53" t="str">
        <f>IF(VLOOKUP($A409,DICO_Complet!$A$3:$U$983,12,FALSE)=0,"",VLOOKUP($A409,DICO_Complet!$A$3:$U$983,12,FALSE))</f>
        <v/>
      </c>
      <c r="L409" s="53" t="str">
        <f>IF(VLOOKUP($A409,DICO_Complet!$A$3:$U$983,13,FALSE)=0,"",VLOOKUP($A409,DICO_Complet!$A$3:$U$983,13,FALSE))</f>
        <v/>
      </c>
      <c r="M409" s="53" t="str">
        <f>IF(VLOOKUP($A409,DICO_Complet!$A$3:$U$983,14,FALSE)=0,"",VLOOKUP($A409,DICO_Complet!$A$3:$U$983,14,FALSE))</f>
        <v/>
      </c>
      <c r="N409" s="53" t="str">
        <f>IF(VLOOKUP($A409,DICO_Complet!$A$3:$U$983,15,FALSE)=0,"",VLOOKUP($A409,DICO_Complet!$A$3:$U$983,15,FALSE))</f>
        <v/>
      </c>
      <c r="O409" s="53" t="str">
        <f>IF(VLOOKUP($A409,DICO_Complet!$A$3:$U$983,16,FALSE)=0,"",VLOOKUP($A409,DICO_Complet!$A$3:$U$983,16,FALSE))</f>
        <v/>
      </c>
      <c r="P409" s="53" t="str">
        <f>IF(VLOOKUP($A409,DICO_Complet!$A$3:$U$983,17,FALSE)=0,"",VLOOKUP($A409,DICO_Complet!$A$3:$U$983,17,FALSE))</f>
        <v/>
      </c>
      <c r="Q409" s="53" t="str">
        <f>IF(VLOOKUP($A409,DICO_Complet!$A$3:$U$983,18,FALSE)=0,"",VLOOKUP($A409,DICO_Complet!$A$3:$U$983,18,FALSE))</f>
        <v/>
      </c>
    </row>
    <row r="410" spans="1:17">
      <c r="A410" s="38">
        <v>241112000104</v>
      </c>
      <c r="B410" s="47" t="s">
        <v>858</v>
      </c>
      <c r="C410" s="3" t="str">
        <f>VLOOKUP($A410,DICO_Complet!$A$3:$U$983,3,FALSE)</f>
        <v>Environment</v>
      </c>
      <c r="D410" s="3" t="str">
        <f>VLOOKUP($A410,DICO_Complet!$A$3:$U$983,4,FALSE)</f>
        <v>cardholder</v>
      </c>
      <c r="E410" s="2" t="str">
        <f>VLOOKUP($A410,DICO_Complet!$A$3:$U$983,5,FALSE)</f>
        <v>middleName</v>
      </c>
      <c r="F410" s="2" t="str">
        <f>VLOOKUP($A410,DICO_Complet!$A$3:$U$983,6,FALSE)</f>
        <v>Max70Text</v>
      </c>
      <c r="G410" s="48">
        <f>VLOOKUP($A410,DICO_Complet!$A$3:$U$983,7,FALSE)</f>
        <v>0</v>
      </c>
      <c r="H410" s="48">
        <f>VLOOKUP($A410,DICO_Complet!$A$3:$U$983,8,FALSE)</f>
        <v>0</v>
      </c>
      <c r="I410" s="2" t="str">
        <f>IF(VLOOKUP($A410,DICO_Complet!$A$3:$U$983,9,FALSE)&lt;&gt;0,VLOOKUP($A410,DICO_Complet!$A$3:$U$983,9,FALSE),"")</f>
        <v/>
      </c>
      <c r="J410" s="1" t="str">
        <f>VLOOKUP($A410,DICO_Complet!$A$3:$U$983,10,FALSE)</f>
        <v>middle name</v>
      </c>
      <c r="K410" s="53" t="str">
        <f>IF(VLOOKUP($A410,DICO_Complet!$A$3:$U$983,12,FALSE)=0,"",VLOOKUP($A410,DICO_Complet!$A$3:$U$983,12,FALSE))</f>
        <v/>
      </c>
      <c r="L410" s="53" t="str">
        <f>IF(VLOOKUP($A410,DICO_Complet!$A$3:$U$983,13,FALSE)=0,"",VLOOKUP($A410,DICO_Complet!$A$3:$U$983,13,FALSE))</f>
        <v/>
      </c>
      <c r="M410" s="53" t="str">
        <f>IF(VLOOKUP($A410,DICO_Complet!$A$3:$U$983,14,FALSE)=0,"",VLOOKUP($A410,DICO_Complet!$A$3:$U$983,14,FALSE))</f>
        <v/>
      </c>
      <c r="N410" s="53" t="str">
        <f>IF(VLOOKUP($A410,DICO_Complet!$A$3:$U$983,15,FALSE)=0,"",VLOOKUP($A410,DICO_Complet!$A$3:$U$983,15,FALSE))</f>
        <v/>
      </c>
      <c r="O410" s="53" t="str">
        <f>IF(VLOOKUP($A410,DICO_Complet!$A$3:$U$983,16,FALSE)=0,"",VLOOKUP($A410,DICO_Complet!$A$3:$U$983,16,FALSE))</f>
        <v/>
      </c>
      <c r="P410" s="53" t="str">
        <f>IF(VLOOKUP($A410,DICO_Complet!$A$3:$U$983,17,FALSE)=0,"",VLOOKUP($A410,DICO_Complet!$A$3:$U$983,17,FALSE))</f>
        <v/>
      </c>
      <c r="Q410" s="53" t="str">
        <f>IF(VLOOKUP($A410,DICO_Complet!$A$3:$U$983,18,FALSE)=0,"",VLOOKUP($A410,DICO_Complet!$A$3:$U$983,18,FALSE))</f>
        <v/>
      </c>
    </row>
    <row r="411" spans="1:17">
      <c r="A411" s="38">
        <v>241112000105</v>
      </c>
      <c r="B411" s="47" t="s">
        <v>858</v>
      </c>
      <c r="C411" s="3" t="str">
        <f>VLOOKUP($A411,DICO_Complet!$A$3:$U$983,3,FALSE)</f>
        <v>Environment</v>
      </c>
      <c r="D411" s="3" t="str">
        <f>VLOOKUP($A411,DICO_Complet!$A$3:$U$983,4,FALSE)</f>
        <v>cardholder</v>
      </c>
      <c r="E411" s="2" t="str">
        <f>VLOOKUP($A411,DICO_Complet!$A$3:$U$983,5,FALSE)</f>
        <v>phoneNumber</v>
      </c>
      <c r="F411" s="2" t="str">
        <f>VLOOKUP($A411,DICO_Complet!$A$3:$U$983,6,FALSE)</f>
        <v>PhoneNumberText</v>
      </c>
      <c r="G411" s="48">
        <f>VLOOKUP($A411,DICO_Complet!$A$3:$U$983,7,FALSE)</f>
        <v>0</v>
      </c>
      <c r="H411" s="48">
        <f>VLOOKUP($A411,DICO_Complet!$A$3:$U$983,8,FALSE)</f>
        <v>0</v>
      </c>
      <c r="I411" s="2" t="str">
        <f>IF(VLOOKUP($A411,DICO_Complet!$A$3:$U$983,9,FALSE)&lt;&gt;0,VLOOKUP($A411,DICO_Complet!$A$3:$U$983,9,FALSE),"")</f>
        <v/>
      </c>
      <c r="J411" s="1" t="str">
        <f>VLOOKUP($A411,DICO_Complet!$A$3:$U$983,10,FALSE)</f>
        <v>phone number</v>
      </c>
      <c r="K411" s="53" t="str">
        <f>IF(VLOOKUP($A411,DICO_Complet!$A$3:$U$983,12,FALSE)=0,"",VLOOKUP($A411,DICO_Complet!$A$3:$U$983,12,FALSE))</f>
        <v/>
      </c>
      <c r="L411" s="53" t="str">
        <f>IF(VLOOKUP($A411,DICO_Complet!$A$3:$U$983,13,FALSE)=0,"",VLOOKUP($A411,DICO_Complet!$A$3:$U$983,13,FALSE))</f>
        <v/>
      </c>
      <c r="M411" s="53" t="str">
        <f>IF(VLOOKUP($A411,DICO_Complet!$A$3:$U$983,14,FALSE)=0,"",VLOOKUP($A411,DICO_Complet!$A$3:$U$983,14,FALSE))</f>
        <v/>
      </c>
      <c r="N411" s="53" t="str">
        <f>IF(VLOOKUP($A411,DICO_Complet!$A$3:$U$983,15,FALSE)=0,"",VLOOKUP($A411,DICO_Complet!$A$3:$U$983,15,FALSE))</f>
        <v/>
      </c>
      <c r="O411" s="53" t="str">
        <f>IF(VLOOKUP($A411,DICO_Complet!$A$3:$U$983,16,FALSE)=0,"",VLOOKUP($A411,DICO_Complet!$A$3:$U$983,16,FALSE))</f>
        <v/>
      </c>
      <c r="P411" s="53" t="str">
        <f>IF(VLOOKUP($A411,DICO_Complet!$A$3:$U$983,17,FALSE)=0,"",VLOOKUP($A411,DICO_Complet!$A$3:$U$983,17,FALSE))</f>
        <v/>
      </c>
      <c r="Q411" s="53" t="str">
        <f>IF(VLOOKUP($A411,DICO_Complet!$A$3:$U$983,18,FALSE)=0,"",VLOOKUP($A411,DICO_Complet!$A$3:$U$983,18,FALSE))</f>
        <v/>
      </c>
    </row>
    <row r="412" spans="1:17">
      <c r="A412" s="38">
        <v>241112000106</v>
      </c>
      <c r="B412" s="47" t="s">
        <v>858</v>
      </c>
      <c r="C412" s="3" t="str">
        <f>VLOOKUP($A412,DICO_Complet!$A$3:$U$983,3,FALSE)</f>
        <v>Environment</v>
      </c>
      <c r="D412" s="3" t="str">
        <f>VLOOKUP($A412,DICO_Complet!$A$3:$U$983,4,FALSE)</f>
        <v>cardholder</v>
      </c>
      <c r="E412" s="2" t="str">
        <f>VLOOKUP($A412,DICO_Complet!$A$3:$U$983,5,FALSE)</f>
        <v>postalAddress</v>
      </c>
      <c r="F412" s="2" t="str">
        <f>VLOOKUP($A412,DICO_Complet!$A$3:$U$983,6,FALSE)</f>
        <v>PostalAddressType</v>
      </c>
      <c r="G412" s="48">
        <f>VLOOKUP($A412,DICO_Complet!$A$3:$U$983,7,FALSE)</f>
        <v>0</v>
      </c>
      <c r="H412" s="48">
        <f>VLOOKUP($A412,DICO_Complet!$A$3:$U$983,8,FALSE)</f>
        <v>0</v>
      </c>
      <c r="I412" s="2" t="str">
        <f>IF(VLOOKUP($A412,DICO_Complet!$A$3:$U$983,9,FALSE)&lt;&gt;0,VLOOKUP($A412,DICO_Complet!$A$3:$U$983,9,FALSE),"")</f>
        <v/>
      </c>
      <c r="J412" s="1" t="str">
        <f>VLOOKUP($A412,DICO_Complet!$A$3:$U$983,10,FALSE)</f>
        <v>CompletePostalAddress</v>
      </c>
      <c r="K412" s="53" t="str">
        <f>IF(VLOOKUP($A412,DICO_Complet!$A$3:$U$983,12,FALSE)=0,"",VLOOKUP($A412,DICO_Complet!$A$3:$U$983,12,FALSE))</f>
        <v>RSB57_6 et RSB57_8</v>
      </c>
      <c r="L412" s="53" t="str">
        <f>IF(VLOOKUP($A412,DICO_Complet!$A$3:$U$983,13,FALSE)=0,"",VLOOKUP($A412,DICO_Complet!$A$3:$U$983,13,FALSE))</f>
        <v>[57-0006;57-0008]</v>
      </c>
      <c r="M412" s="53" t="str">
        <f>IF(VLOOKUP($A412,DICO_Complet!$A$3:$U$983,14,FALSE)=0,"",VLOOKUP($A412,DICO_Complet!$A$3:$U$983,14,FALSE))</f>
        <v/>
      </c>
      <c r="N412" s="53" t="str">
        <f>IF(VLOOKUP($A412,DICO_Complet!$A$3:$U$983,15,FALSE)=0,"",VLOOKUP($A412,DICO_Complet!$A$3:$U$983,15,FALSE))</f>
        <v/>
      </c>
      <c r="O412" s="53" t="str">
        <f>IF(VLOOKUP($A412,DICO_Complet!$A$3:$U$983,16,FALSE)=0,"",VLOOKUP($A412,DICO_Complet!$A$3:$U$983,16,FALSE))</f>
        <v/>
      </c>
      <c r="P412" s="53" t="str">
        <f>IF(VLOOKUP($A412,DICO_Complet!$A$3:$U$983,17,FALSE)=0,"",VLOOKUP($A412,DICO_Complet!$A$3:$U$983,17,FALSE))</f>
        <v/>
      </c>
      <c r="Q412" s="53" t="str">
        <f>IF(VLOOKUP($A412,DICO_Complet!$A$3:$U$983,18,FALSE)=0,"",VLOOKUP($A412,DICO_Complet!$A$3:$U$983,18,FALSE))</f>
        <v/>
      </c>
    </row>
    <row r="413" spans="1:17">
      <c r="A413" s="38">
        <v>250220103205</v>
      </c>
      <c r="B413" s="47" t="s">
        <v>858</v>
      </c>
      <c r="C413" s="3" t="str">
        <f>VLOOKUP($A413,DICO_Complet!$A$3:$U$983,3,FALSE)</f>
        <v>Environment</v>
      </c>
      <c r="D413" s="3" t="str">
        <f>VLOOKUP($A413,DICO_Complet!$A$3:$U$983,4,FALSE)</f>
        <v>cardholder</v>
      </c>
      <c r="E413" s="2" t="str">
        <f>VLOOKUP($A413,DICO_Complet!$A$3:$U$983,5,FALSE)</f>
        <v>taxCountryCode</v>
      </c>
      <c r="F413" s="2" t="str">
        <f>VLOOKUP($A413,DICO_Complet!$A$3:$U$983,6,FALSE)</f>
        <v>ISO3NumericCountryCode</v>
      </c>
      <c r="G413" s="48">
        <f>VLOOKUP($A413,DICO_Complet!$A$3:$U$983,7,FALSE)</f>
        <v>0</v>
      </c>
      <c r="H413" s="48">
        <f>VLOOKUP($A413,DICO_Complet!$A$3:$U$983,8,FALSE)</f>
        <v>0</v>
      </c>
      <c r="I413" s="2" t="str">
        <f>IF(VLOOKUP($A413,DICO_Complet!$A$3:$U$983,9,FALSE)&lt;&gt;0,VLOOKUP($A413,DICO_Complet!$A$3:$U$983,9,FALSE),"")</f>
        <v/>
      </c>
      <c r="J413" s="1" t="str">
        <f>VLOOKUP($A413,DICO_Complet!$A$3:$U$983,10,FALSE)</f>
        <v>Commercial cards taxpayer country code</v>
      </c>
      <c r="K413" s="53" t="str">
        <f>IF(VLOOKUP($A413,DICO_Complet!$A$3:$U$983,12,FALSE)=0,"",VLOOKUP($A413,DICO_Complet!$A$3:$U$983,12,FALSE))</f>
        <v/>
      </c>
      <c r="L413" s="53" t="str">
        <f>IF(VLOOKUP($A413,DICO_Complet!$A$3:$U$983,13,FALSE)=0,"",VLOOKUP($A413,DICO_Complet!$A$3:$U$983,13,FALSE))</f>
        <v>[113-26]</v>
      </c>
      <c r="M413" s="53" t="str">
        <f>IF(VLOOKUP($A413,DICO_Complet!$A$3:$U$983,14,FALSE)=0,"",VLOOKUP($A413,DICO_Complet!$A$3:$U$983,14,FALSE))</f>
        <v/>
      </c>
      <c r="N413" s="53" t="str">
        <f>IF(VLOOKUP($A413,DICO_Complet!$A$3:$U$983,15,FALSE)=0,"",VLOOKUP($A413,DICO_Complet!$A$3:$U$983,15,FALSE))</f>
        <v/>
      </c>
      <c r="O413" s="53" t="str">
        <f>IF(VLOOKUP($A413,DICO_Complet!$A$3:$U$983,16,FALSE)=0,"",VLOOKUP($A413,DICO_Complet!$A$3:$U$983,16,FALSE))</f>
        <v/>
      </c>
      <c r="P413" s="53" t="str">
        <f>IF(VLOOKUP($A413,DICO_Complet!$A$3:$U$983,17,FALSE)=0,"",VLOOKUP($A413,DICO_Complet!$A$3:$U$983,17,FALSE))</f>
        <v xml:space="preserve">DE 112 SE 45 SF 1 </v>
      </c>
      <c r="Q413" s="53" t="str">
        <f>IF(VLOOKUP($A413,DICO_Complet!$A$3:$U$983,18,FALSE)=0,"",VLOOKUP($A413,DICO_Complet!$A$3:$U$983,18,FALSE))</f>
        <v/>
      </c>
    </row>
    <row r="414" spans="1:17">
      <c r="A414" s="38">
        <v>250220103206</v>
      </c>
      <c r="B414" s="47" t="s">
        <v>858</v>
      </c>
      <c r="C414" s="3" t="str">
        <f>VLOOKUP($A414,DICO_Complet!$A$3:$U$983,3,FALSE)</f>
        <v>Environment</v>
      </c>
      <c r="D414" s="3" t="str">
        <f>VLOOKUP($A414,DICO_Complet!$A$3:$U$983,4,FALSE)</f>
        <v>cardholder</v>
      </c>
      <c r="E414" s="2" t="str">
        <f>VLOOKUP($A414,DICO_Complet!$A$3:$U$983,5,FALSE)</f>
        <v>taxRegistrationIdentication</v>
      </c>
      <c r="F414" s="2" t="str">
        <f>VLOOKUP($A414,DICO_Complet!$A$3:$U$983,6,FALSE)</f>
        <v>Max35Text</v>
      </c>
      <c r="G414" s="48">
        <f>VLOOKUP($A414,DICO_Complet!$A$3:$U$983,7,FALSE)</f>
        <v>0</v>
      </c>
      <c r="H414" s="48">
        <f>VLOOKUP($A414,DICO_Complet!$A$3:$U$983,8,FALSE)</f>
        <v>0</v>
      </c>
      <c r="I414" s="2" t="str">
        <f>IF(VLOOKUP($A414,DICO_Complet!$A$3:$U$983,9,FALSE)&lt;&gt;0,VLOOKUP($A414,DICO_Complet!$A$3:$U$983,9,FALSE),"")</f>
        <v/>
      </c>
      <c r="J414" s="1" t="str">
        <f>VLOOKUP($A414,DICO_Complet!$A$3:$U$983,10,FALSE)</f>
        <v>Commercial cards taxpayer identification number</v>
      </c>
      <c r="K414" s="53" t="str">
        <f>IF(VLOOKUP($A414,DICO_Complet!$A$3:$U$983,12,FALSE)=0,"",VLOOKUP($A414,DICO_Complet!$A$3:$U$983,12,FALSE))</f>
        <v/>
      </c>
      <c r="L414" s="53" t="str">
        <f>IF(VLOOKUP($A414,DICO_Complet!$A$3:$U$983,13,FALSE)=0,"",VLOOKUP($A414,DICO_Complet!$A$3:$U$983,13,FALSE))</f>
        <v>[113-27]</v>
      </c>
      <c r="M414" s="53" t="str">
        <f>IF(VLOOKUP($A414,DICO_Complet!$A$3:$U$983,14,FALSE)=0,"",VLOOKUP($A414,DICO_Complet!$A$3:$U$983,14,FALSE))</f>
        <v/>
      </c>
      <c r="N414" s="53" t="str">
        <f>IF(VLOOKUP($A414,DICO_Complet!$A$3:$U$983,15,FALSE)=0,"",VLOOKUP($A414,DICO_Complet!$A$3:$U$983,15,FALSE))</f>
        <v/>
      </c>
      <c r="O414" s="53" t="str">
        <f>IF(VLOOKUP($A414,DICO_Complet!$A$3:$U$983,16,FALSE)=0,"",VLOOKUP($A414,DICO_Complet!$A$3:$U$983,16,FALSE))</f>
        <v/>
      </c>
      <c r="P414" s="53" t="str">
        <f>IF(VLOOKUP($A414,DICO_Complet!$A$3:$U$983,17,FALSE)=0,"",VLOOKUP($A414,DICO_Complet!$A$3:$U$983,17,FALSE))</f>
        <v>DE 112 SE 45 SF 2</v>
      </c>
      <c r="Q414" s="53" t="str">
        <f>IF(VLOOKUP($A414,DICO_Complet!$A$3:$U$983,18,FALSE)=0,"",VLOOKUP($A414,DICO_Complet!$A$3:$U$983,18,FALSE))</f>
        <v/>
      </c>
    </row>
    <row r="415" spans="1:17">
      <c r="A415" s="38">
        <v>250220103207</v>
      </c>
      <c r="B415" s="47" t="s">
        <v>858</v>
      </c>
      <c r="C415" s="3" t="str">
        <f>VLOOKUP($A415,DICO_Complet!$A$3:$U$983,3,FALSE)</f>
        <v>Environment</v>
      </c>
      <c r="D415" s="3" t="str">
        <f>VLOOKUP($A415,DICO_Complet!$A$3:$U$983,4,FALSE)</f>
        <v>cardholder</v>
      </c>
      <c r="E415" s="2" t="str">
        <f>VLOOKUP($A415,DICO_Complet!$A$3:$U$983,5,FALSE)</f>
        <v>taxRegistrationReasonCode</v>
      </c>
      <c r="F415" s="2" t="str">
        <f>VLOOKUP($A415,DICO_Complet!$A$3:$U$983,6,FALSE)</f>
        <v>Max35Text</v>
      </c>
      <c r="G415" s="48">
        <f>VLOOKUP($A415,DICO_Complet!$A$3:$U$983,7,FALSE)</f>
        <v>0</v>
      </c>
      <c r="H415" s="48">
        <f>VLOOKUP($A415,DICO_Complet!$A$3:$U$983,8,FALSE)</f>
        <v>0</v>
      </c>
      <c r="I415" s="2" t="str">
        <f>IF(VLOOKUP($A415,DICO_Complet!$A$3:$U$983,9,FALSE)&lt;&gt;0,VLOOKUP($A415,DICO_Complet!$A$3:$U$983,9,FALSE),"")</f>
        <v/>
      </c>
      <c r="J415" s="1" t="str">
        <f>VLOOKUP($A415,DICO_Complet!$A$3:$U$983,10,FALSE)</f>
        <v>Commercial cards tax registration reason code</v>
      </c>
      <c r="K415" s="53" t="str">
        <f>IF(VLOOKUP($A415,DICO_Complet!$A$3:$U$983,12,FALSE)=0,"",VLOOKUP($A415,DICO_Complet!$A$3:$U$983,12,FALSE))</f>
        <v/>
      </c>
      <c r="L415" s="53" t="str">
        <f>IF(VLOOKUP($A415,DICO_Complet!$A$3:$U$983,13,FALSE)=0,"",VLOOKUP($A415,DICO_Complet!$A$3:$U$983,13,FALSE))</f>
        <v>[113-28]</v>
      </c>
      <c r="M415" s="53" t="str">
        <f>IF(VLOOKUP($A415,DICO_Complet!$A$3:$U$983,14,FALSE)=0,"",VLOOKUP($A415,DICO_Complet!$A$3:$U$983,14,FALSE))</f>
        <v/>
      </c>
      <c r="N415" s="53" t="str">
        <f>IF(VLOOKUP($A415,DICO_Complet!$A$3:$U$983,15,FALSE)=0,"",VLOOKUP($A415,DICO_Complet!$A$3:$U$983,15,FALSE))</f>
        <v/>
      </c>
      <c r="O415" s="53" t="str">
        <f>IF(VLOOKUP($A415,DICO_Complet!$A$3:$U$983,16,FALSE)=0,"",VLOOKUP($A415,DICO_Complet!$A$3:$U$983,16,FALSE))</f>
        <v/>
      </c>
      <c r="P415" s="53" t="str">
        <f>IF(VLOOKUP($A415,DICO_Complet!$A$3:$U$983,17,FALSE)=0,"",VLOOKUP($A415,DICO_Complet!$A$3:$U$983,17,FALSE))</f>
        <v>DE 112 SE 45 SF 3</v>
      </c>
      <c r="Q415" s="53" t="str">
        <f>IF(VLOOKUP($A415,DICO_Complet!$A$3:$U$983,18,FALSE)=0,"",VLOOKUP($A415,DICO_Complet!$A$3:$U$983,18,FALSE))</f>
        <v/>
      </c>
    </row>
    <row r="416" spans="1:17">
      <c r="A416" s="38">
        <v>250401134500</v>
      </c>
      <c r="B416" s="47" t="s">
        <v>858</v>
      </c>
      <c r="C416" s="3" t="str">
        <f>VLOOKUP($A416,DICO_Complet!$A$3:$U$983,3,FALSE)</f>
        <v>Environment</v>
      </c>
      <c r="D416" s="3" t="str">
        <f>VLOOKUP($A416,DICO_Complet!$A$3:$U$983,4,FALSE)</f>
        <v>merchant</v>
      </c>
      <c r="E416" s="2" t="str">
        <f>VLOOKUP($A416,DICO_Complet!$A$3:$U$983,5,FALSE)</f>
        <v>acceptanceChannel</v>
      </c>
      <c r="F416" s="2" t="str">
        <f>VLOOKUP($A416,DICO_Complet!$A$3:$U$983,6,FALSE)</f>
        <v>AcceptanceChannelCodeset</v>
      </c>
      <c r="G416" s="48">
        <f>VLOOKUP($A416,DICO_Complet!$A$3:$U$983,7,FALSE)</f>
        <v>0</v>
      </c>
      <c r="H416" s="48">
        <f>VLOOKUP($A416,DICO_Complet!$A$3:$U$983,8,FALSE)</f>
        <v>0</v>
      </c>
      <c r="I416" s="2" t="str">
        <f>IF(VLOOKUP($A416,DICO_Complet!$A$3:$U$983,9,FALSE)&lt;&gt;0,VLOOKUP($A416,DICO_Complet!$A$3:$U$983,9,FALSE),"")</f>
        <v/>
      </c>
      <c r="J416" s="1" t="str">
        <f>VLOOKUP($A416,DICO_Complet!$A$3:$U$983,10,FALSE)</f>
        <v>Acceptance channel</v>
      </c>
      <c r="K416" s="53" t="str">
        <f>IF(VLOOKUP($A416,DICO_Complet!$A$3:$U$983,12,FALSE)=0,"",VLOOKUP($A416,DICO_Complet!$A$3:$U$983,12,FALSE))</f>
        <v/>
      </c>
      <c r="L416" s="53" t="str">
        <f>IF(VLOOKUP($A416,DICO_Complet!$A$3:$U$983,13,FALSE)=0,"",VLOOKUP($A416,DICO_Complet!$A$3:$U$983,13,FALSE))</f>
        <v/>
      </c>
      <c r="M416" s="53" t="str">
        <f>IF(VLOOKUP($A416,DICO_Complet!$A$3:$U$983,14,FALSE)=0,"",VLOOKUP($A416,DICO_Complet!$A$3:$U$983,14,FALSE))</f>
        <v/>
      </c>
      <c r="N416" s="53" t="str">
        <f>IF(VLOOKUP($A416,DICO_Complet!$A$3:$U$983,15,FALSE)=0,"",VLOOKUP($A416,DICO_Complet!$A$3:$U$983,15,FALSE))</f>
        <v/>
      </c>
      <c r="O416" s="53" t="str">
        <f>IF(VLOOKUP($A416,DICO_Complet!$A$3:$U$983,16,FALSE)=0,"",VLOOKUP($A416,DICO_Complet!$A$3:$U$983,16,FALSE))</f>
        <v/>
      </c>
      <c r="P416" s="53" t="str">
        <f>IF(VLOOKUP($A416,DICO_Complet!$A$3:$U$983,17,FALSE)=0,"",VLOOKUP($A416,DICO_Complet!$A$3:$U$983,17,FALSE))</f>
        <v/>
      </c>
      <c r="Q416" s="53" t="str">
        <f>IF(VLOOKUP($A416,DICO_Complet!$A$3:$U$983,18,FALSE)=0,"",VLOOKUP($A416,DICO_Complet!$A$3:$U$983,18,FALSE))</f>
        <v/>
      </c>
    </row>
    <row r="417" spans="1:17">
      <c r="A417" s="38">
        <v>241112000109</v>
      </c>
      <c r="B417" s="47" t="s">
        <v>858</v>
      </c>
      <c r="C417" s="3" t="str">
        <f>VLOOKUP($A417,DICO_Complet!$A$3:$U$983,3,FALSE)</f>
        <v>Environment</v>
      </c>
      <c r="D417" s="3" t="str">
        <f>VLOOKUP($A417,DICO_Complet!$A$3:$U$983,4,FALSE)</f>
        <v>merchant</v>
      </c>
      <c r="E417" s="2" t="str">
        <f>VLOOKUP($A417,DICO_Complet!$A$3:$U$983,5,FALSE)</f>
        <v>acceptanceSystemLogicalNumber</v>
      </c>
      <c r="F417" s="2" t="str">
        <f>VLOOKUP($A417,DICO_Complet!$A$3:$U$983,6,FALSE)</f>
        <v>Max3NumericText</v>
      </c>
      <c r="G417" s="48">
        <f>VLOOKUP($A417,DICO_Complet!$A$3:$U$983,7,FALSE)</f>
        <v>0</v>
      </c>
      <c r="H417" s="48">
        <f>VLOOKUP($A417,DICO_Complet!$A$3:$U$983,8,FALSE)</f>
        <v>0</v>
      </c>
      <c r="I417" s="2" t="str">
        <f>IF(VLOOKUP($A417,DICO_Complet!$A$3:$U$983,9,FALSE)&lt;&gt;0,VLOOKUP($A417,DICO_Complet!$A$3:$U$983,9,FALSE),"")</f>
        <v/>
      </c>
      <c r="J417" s="1" t="str">
        <f>VLOOKUP($A417,DICO_Complet!$A$3:$U$983,10,FALSE)</f>
        <v>Logical Number of POS</v>
      </c>
      <c r="K417" s="53" t="str">
        <f>IF(VLOOKUP($A417,DICO_Complet!$A$3:$U$983,12,FALSE)=0,"",VLOOKUP($A417,DICO_Complet!$A$3:$U$983,12,FALSE))</f>
        <v>RSB59_203</v>
      </c>
      <c r="L417" s="53" t="str">
        <f>IF(VLOOKUP($A417,DICO_Complet!$A$3:$U$983,13,FALSE)=0,"",VLOOKUP($A417,DICO_Complet!$A$3:$U$983,13,FALSE))</f>
        <v>[59-0203]</v>
      </c>
      <c r="M417" s="53" t="str">
        <f>IF(VLOOKUP($A417,DICO_Complet!$A$3:$U$983,14,FALSE)=0,"",VLOOKUP($A417,DICO_Complet!$A$3:$U$983,14,FALSE))</f>
        <v/>
      </c>
      <c r="N417" s="53" t="str">
        <f>IF(VLOOKUP($A417,DICO_Complet!$A$3:$U$983,15,FALSE)=0,"",VLOOKUP($A417,DICO_Complet!$A$3:$U$983,15,FALSE))</f>
        <v/>
      </c>
      <c r="O417" s="53" t="str">
        <f>IF(VLOOKUP($A417,DICO_Complet!$A$3:$U$983,16,FALSE)=0,"",VLOOKUP($A417,DICO_Complet!$A$3:$U$983,16,FALSE))</f>
        <v/>
      </c>
      <c r="P417" s="53" t="str">
        <f>IF(VLOOKUP($A417,DICO_Complet!$A$3:$U$983,17,FALSE)=0,"",VLOOKUP($A417,DICO_Complet!$A$3:$U$983,17,FALSE))</f>
        <v/>
      </c>
      <c r="Q417" s="53" t="str">
        <f>IF(VLOOKUP($A417,DICO_Complet!$A$3:$U$983,18,FALSE)=0,"",VLOOKUP($A417,DICO_Complet!$A$3:$U$983,18,FALSE))</f>
        <v/>
      </c>
    </row>
    <row r="418" spans="1:17">
      <c r="A418" s="38">
        <v>250324112200</v>
      </c>
      <c r="B418" s="47" t="s">
        <v>858</v>
      </c>
      <c r="C418" s="3" t="str">
        <f>VLOOKUP($A418,DICO_Complet!$A$3:$U$983,3,FALSE)</f>
        <v>Environment</v>
      </c>
      <c r="D418" s="3" t="str">
        <f>VLOOKUP($A418,DICO_Complet!$A$3:$U$983,4,FALSE)</f>
        <v>merchant</v>
      </c>
      <c r="E418" s="2" t="str">
        <f>VLOOKUP($A418,DICO_Complet!$A$3:$U$983,5,FALSE)</f>
        <v>allowedCountry</v>
      </c>
      <c r="F418" s="2" t="str">
        <f>VLOOKUP($A418,DICO_Complet!$A$3:$U$983,6,FALSE)</f>
        <v>ISO2AlphaNumericCountryCode</v>
      </c>
      <c r="G418" s="48">
        <f>VLOOKUP($A418,DICO_Complet!$A$3:$U$983,7,FALSE)</f>
        <v>0</v>
      </c>
      <c r="H418" s="48">
        <f>VLOOKUP($A418,DICO_Complet!$A$3:$U$983,8,FALSE)</f>
        <v>0</v>
      </c>
      <c r="I418" s="2" t="str">
        <f>IF(VLOOKUP($A418,DICO_Complet!$A$3:$U$983,9,FALSE)&lt;&gt;0,VLOOKUP($A418,DICO_Complet!$A$3:$U$983,9,FALSE),"")</f>
        <v/>
      </c>
      <c r="J418" s="1" t="str">
        <f>VLOOKUP($A418,DICO_Complet!$A$3:$U$983,10,FALSE)</f>
        <v>Merchant processing allowed countries</v>
      </c>
      <c r="K418" s="53" t="str">
        <f>IF(VLOOKUP($A418,DICO_Complet!$A$3:$U$983,12,FALSE)=0,"",VLOOKUP($A418,DICO_Complet!$A$3:$U$983,12,FALSE))</f>
        <v/>
      </c>
      <c r="L418" s="53" t="str">
        <f>IF(VLOOKUP($A418,DICO_Complet!$A$3:$U$983,13,FALSE)=0,"",VLOOKUP($A418,DICO_Complet!$A$3:$U$983,13,FALSE))</f>
        <v/>
      </c>
      <c r="M418" s="53" t="str">
        <f>IF(VLOOKUP($A418,DICO_Complet!$A$3:$U$983,14,FALSE)=0,"",VLOOKUP($A418,DICO_Complet!$A$3:$U$983,14,FALSE))</f>
        <v/>
      </c>
      <c r="N418" s="53" t="str">
        <f>IF(VLOOKUP($A418,DICO_Complet!$A$3:$U$983,15,FALSE)=0,"",VLOOKUP($A418,DICO_Complet!$A$3:$U$983,15,FALSE))</f>
        <v/>
      </c>
      <c r="O418" s="53" t="str">
        <f>IF(VLOOKUP($A418,DICO_Complet!$A$3:$U$983,16,FALSE)=0,"",VLOOKUP($A418,DICO_Complet!$A$3:$U$983,16,FALSE))</f>
        <v/>
      </c>
      <c r="P418" s="53" t="str">
        <f>IF(VLOOKUP($A418,DICO_Complet!$A$3:$U$983,17,FALSE)=0,"",VLOOKUP($A418,DICO_Complet!$A$3:$U$983,17,FALSE))</f>
        <v/>
      </c>
      <c r="Q418" s="53" t="str">
        <f>IF(VLOOKUP($A418,DICO_Complet!$A$3:$U$983,18,FALSE)=0,"",VLOOKUP($A418,DICO_Complet!$A$3:$U$983,18,FALSE))</f>
        <v/>
      </c>
    </row>
    <row r="419" spans="1:17">
      <c r="A419" s="38">
        <v>250324111900</v>
      </c>
      <c r="B419" s="47" t="s">
        <v>858</v>
      </c>
      <c r="C419" s="3" t="str">
        <f>VLOOKUP($A419,DICO_Complet!$A$3:$U$983,3,FALSE)</f>
        <v>Environment</v>
      </c>
      <c r="D419" s="3" t="str">
        <f>VLOOKUP($A419,DICO_Complet!$A$3:$U$983,4,FALSE)</f>
        <v>merchant</v>
      </c>
      <c r="E419" s="2" t="str">
        <f>VLOOKUP($A419,DICO_Complet!$A$3:$U$983,5,FALSE)</f>
        <v>allowedCurrency</v>
      </c>
      <c r="F419" s="2" t="str">
        <f>VLOOKUP($A419,DICO_Complet!$A$3:$U$983,6,FALSE)</f>
        <v>ISO3AlphaNumericCurrencyCode</v>
      </c>
      <c r="G419" s="48">
        <f>VLOOKUP($A419,DICO_Complet!$A$3:$U$983,7,FALSE)</f>
        <v>0</v>
      </c>
      <c r="H419" s="48">
        <f>VLOOKUP($A419,DICO_Complet!$A$3:$U$983,8,FALSE)</f>
        <v>0</v>
      </c>
      <c r="I419" s="2" t="str">
        <f>IF(VLOOKUP($A419,DICO_Complet!$A$3:$U$983,9,FALSE)&lt;&gt;0,VLOOKUP($A419,DICO_Complet!$A$3:$U$983,9,FALSE),"")</f>
        <v/>
      </c>
      <c r="J419" s="1" t="str">
        <f>VLOOKUP($A419,DICO_Complet!$A$3:$U$983,10,FALSE)</f>
        <v>Merchant processing allowed currencies</v>
      </c>
      <c r="K419" s="53" t="str">
        <f>IF(VLOOKUP($A419,DICO_Complet!$A$3:$U$983,12,FALSE)=0,"",VLOOKUP($A419,DICO_Complet!$A$3:$U$983,12,FALSE))</f>
        <v/>
      </c>
      <c r="L419" s="53" t="str">
        <f>IF(VLOOKUP($A419,DICO_Complet!$A$3:$U$983,13,FALSE)=0,"",VLOOKUP($A419,DICO_Complet!$A$3:$U$983,13,FALSE))</f>
        <v/>
      </c>
      <c r="M419" s="53" t="str">
        <f>IF(VLOOKUP($A419,DICO_Complet!$A$3:$U$983,14,FALSE)=0,"",VLOOKUP($A419,DICO_Complet!$A$3:$U$983,14,FALSE))</f>
        <v/>
      </c>
      <c r="N419" s="53" t="str">
        <f>IF(VLOOKUP($A419,DICO_Complet!$A$3:$U$983,15,FALSE)=0,"",VLOOKUP($A419,DICO_Complet!$A$3:$U$983,15,FALSE))</f>
        <v/>
      </c>
      <c r="O419" s="53" t="str">
        <f>IF(VLOOKUP($A419,DICO_Complet!$A$3:$U$983,16,FALSE)=0,"",VLOOKUP($A419,DICO_Complet!$A$3:$U$983,16,FALSE))</f>
        <v/>
      </c>
      <c r="P419" s="53" t="str">
        <f>IF(VLOOKUP($A419,DICO_Complet!$A$3:$U$983,17,FALSE)=0,"",VLOOKUP($A419,DICO_Complet!$A$3:$U$983,17,FALSE))</f>
        <v/>
      </c>
      <c r="Q419" s="53" t="str">
        <f>IF(VLOOKUP($A419,DICO_Complet!$A$3:$U$983,18,FALSE)=0,"",VLOOKUP($A419,DICO_Complet!$A$3:$U$983,18,FALSE))</f>
        <v/>
      </c>
    </row>
    <row r="420" spans="1:17">
      <c r="A420" s="38">
        <v>250324114000</v>
      </c>
      <c r="B420" s="47" t="s">
        <v>858</v>
      </c>
      <c r="C420" s="3" t="str">
        <f>VLOOKUP($A420,DICO_Complet!$A$3:$U$983,3,FALSE)</f>
        <v>Environment</v>
      </c>
      <c r="D420" s="3" t="str">
        <f>VLOOKUP($A420,DICO_Complet!$A$3:$U$983,4,FALSE)</f>
        <v>merchant</v>
      </c>
      <c r="E420" s="2" t="str">
        <f>VLOOKUP($A420,DICO_Complet!$A$3:$U$983,5,FALSE)</f>
        <v>allowedSchemeCode</v>
      </c>
      <c r="F420" s="2" t="str">
        <f>VLOOKUP($A420,DICO_Complet!$A$3:$U$983,6,FALSE)</f>
        <v>NetworkCodeset</v>
      </c>
      <c r="G420" s="48">
        <f>VLOOKUP($A420,DICO_Complet!$A$3:$U$983,7,FALSE)</f>
        <v>0</v>
      </c>
      <c r="H420" s="48">
        <f>VLOOKUP($A420,DICO_Complet!$A$3:$U$983,8,FALSE)</f>
        <v>0</v>
      </c>
      <c r="I420" s="2" t="str">
        <f>IF(VLOOKUP($A420,DICO_Complet!$A$3:$U$983,9,FALSE)&lt;&gt;0,VLOOKUP($A420,DICO_Complet!$A$3:$U$983,9,FALSE),"")</f>
        <v/>
      </c>
      <c r="J420" s="1" t="str">
        <f>VLOOKUP($A420,DICO_Complet!$A$3:$U$983,10,FALSE)</f>
        <v>Merchant allowed schemes</v>
      </c>
      <c r="K420" s="53" t="str">
        <f>IF(VLOOKUP($A420,DICO_Complet!$A$3:$U$983,12,FALSE)=0,"",VLOOKUP($A420,DICO_Complet!$A$3:$U$983,12,FALSE))</f>
        <v/>
      </c>
      <c r="L420" s="53" t="str">
        <f>IF(VLOOKUP($A420,DICO_Complet!$A$3:$U$983,13,FALSE)=0,"",VLOOKUP($A420,DICO_Complet!$A$3:$U$983,13,FALSE))</f>
        <v/>
      </c>
      <c r="M420" s="53" t="str">
        <f>IF(VLOOKUP($A420,DICO_Complet!$A$3:$U$983,14,FALSE)=0,"",VLOOKUP($A420,DICO_Complet!$A$3:$U$983,14,FALSE))</f>
        <v/>
      </c>
      <c r="N420" s="53" t="str">
        <f>IF(VLOOKUP($A420,DICO_Complet!$A$3:$U$983,15,FALSE)=0,"",VLOOKUP($A420,DICO_Complet!$A$3:$U$983,15,FALSE))</f>
        <v/>
      </c>
      <c r="O420" s="53" t="str">
        <f>IF(VLOOKUP($A420,DICO_Complet!$A$3:$U$983,16,FALSE)=0,"",VLOOKUP($A420,DICO_Complet!$A$3:$U$983,16,FALSE))</f>
        <v/>
      </c>
      <c r="P420" s="53" t="str">
        <f>IF(VLOOKUP($A420,DICO_Complet!$A$3:$U$983,17,FALSE)=0,"",VLOOKUP($A420,DICO_Complet!$A$3:$U$983,17,FALSE))</f>
        <v/>
      </c>
      <c r="Q420" s="53" t="str">
        <f>IF(VLOOKUP($A420,DICO_Complet!$A$3:$U$983,18,FALSE)=0,"",VLOOKUP($A420,DICO_Complet!$A$3:$U$983,18,FALSE))</f>
        <v/>
      </c>
    </row>
    <row r="421" spans="1:17">
      <c r="A421" s="38">
        <v>241112000110</v>
      </c>
      <c r="B421" s="47" t="s">
        <v>858</v>
      </c>
      <c r="C421" s="3" t="str">
        <f>VLOOKUP($A421,DICO_Complet!$A$3:$U$983,3,FALSE)</f>
        <v>Environment</v>
      </c>
      <c r="D421" s="3" t="str">
        <f>VLOOKUP($A421,DICO_Complet!$A$3:$U$983,4,FALSE)</f>
        <v>merchant</v>
      </c>
      <c r="E421" s="2" t="str">
        <f>VLOOKUP($A421,DICO_Complet!$A$3:$U$983,5,FALSE)</f>
        <v>anonymousIndicator</v>
      </c>
      <c r="F421" s="2" t="str">
        <f>VLOOKUP($A421,DICO_Complet!$A$3:$U$983,6,FALSE)</f>
        <v>TrueFalseIndicator</v>
      </c>
      <c r="G421" s="48">
        <f>VLOOKUP($A421,DICO_Complet!$A$3:$U$983,7,FALSE)</f>
        <v>0</v>
      </c>
      <c r="H421" s="48">
        <f>VLOOKUP($A421,DICO_Complet!$A$3:$U$983,8,FALSE)</f>
        <v>0</v>
      </c>
      <c r="I421" s="2" t="str">
        <f>IF(VLOOKUP($A421,DICO_Complet!$A$3:$U$983,9,FALSE)&lt;&gt;0,VLOOKUP($A421,DICO_Complet!$A$3:$U$983,9,FALSE),"")</f>
        <v/>
      </c>
      <c r="J421" s="1" t="str">
        <f>VLOOKUP($A421,DICO_Complet!$A$3:$U$983,10,FALSE)</f>
        <v>Anonymous Indicator (Top)</v>
      </c>
      <c r="K421" s="53" t="str">
        <f>IF(VLOOKUP($A421,DICO_Complet!$A$3:$U$983,12,FALSE)=0,"",VLOOKUP($A421,DICO_Complet!$A$3:$U$983,12,FALSE))</f>
        <v>AUT368</v>
      </c>
      <c r="L421" s="53" t="str">
        <f>IF(VLOOKUP($A421,DICO_Complet!$A$3:$U$983,13,FALSE)=0,"",VLOOKUP($A421,DICO_Complet!$A$3:$U$983,13,FALSE))</f>
        <v/>
      </c>
      <c r="M421" s="53" t="str">
        <f>IF(VLOOKUP($A421,DICO_Complet!$A$3:$U$983,14,FALSE)=0,"",VLOOKUP($A421,DICO_Complet!$A$3:$U$983,14,FALSE))</f>
        <v/>
      </c>
      <c r="N421" s="53" t="str">
        <f>IF(VLOOKUP($A421,DICO_Complet!$A$3:$U$983,15,FALSE)=0,"",VLOOKUP($A421,DICO_Complet!$A$3:$U$983,15,FALSE))</f>
        <v/>
      </c>
      <c r="O421" s="53" t="str">
        <f>IF(VLOOKUP($A421,DICO_Complet!$A$3:$U$983,16,FALSE)=0,"",VLOOKUP($A421,DICO_Complet!$A$3:$U$983,16,FALSE))</f>
        <v/>
      </c>
      <c r="P421" s="53" t="str">
        <f>IF(VLOOKUP($A421,DICO_Complet!$A$3:$U$983,17,FALSE)=0,"",VLOOKUP($A421,DICO_Complet!$A$3:$U$983,17,FALSE))</f>
        <v/>
      </c>
      <c r="Q421" s="53" t="str">
        <f>IF(VLOOKUP($A421,DICO_Complet!$A$3:$U$983,18,FALSE)=0,"",VLOOKUP($A421,DICO_Complet!$A$3:$U$983,18,FALSE))</f>
        <v/>
      </c>
    </row>
    <row r="422" spans="1:17">
      <c r="A422" s="38">
        <v>241112000111</v>
      </c>
      <c r="B422" s="47" t="s">
        <v>858</v>
      </c>
      <c r="C422" s="3" t="str">
        <f>VLOOKUP($A422,DICO_Complet!$A$3:$U$983,3,FALSE)</f>
        <v>Environment</v>
      </c>
      <c r="D422" s="3" t="str">
        <f>VLOOKUP($A422,DICO_Complet!$A$3:$U$983,4,FALSE)</f>
        <v>merchant</v>
      </c>
      <c r="E422" s="2" t="str">
        <f>VLOOKUP($A422,DICO_Complet!$A$3:$U$983,5,FALSE)</f>
        <v>companyRegistrationNumber</v>
      </c>
      <c r="F422" s="2" t="str">
        <f>VLOOKUP($A422,DICO_Complet!$A$3:$U$983,6,FALSE)</f>
        <v>Max14AlphaNumericText</v>
      </c>
      <c r="G422" s="48">
        <f>VLOOKUP($A422,DICO_Complet!$A$3:$U$983,7,FALSE)</f>
        <v>0</v>
      </c>
      <c r="H422" s="48">
        <f>VLOOKUP($A422,DICO_Complet!$A$3:$U$983,8,FALSE)</f>
        <v>0</v>
      </c>
      <c r="I422" s="2" t="str">
        <f>IF(VLOOKUP($A422,DICO_Complet!$A$3:$U$983,9,FALSE)&lt;&gt;0,VLOOKUP($A422,DICO_Complet!$A$3:$U$983,9,FALSE),"")</f>
        <v/>
      </c>
      <c r="J422" s="1" t="str">
        <f>VLOOKUP($A422,DICO_Complet!$A$3:$U$983,10,FALSE)</f>
        <v>COMPANY REGISTRATION NUMBER</v>
      </c>
      <c r="K422" s="53" t="str">
        <f>IF(VLOOKUP($A422,DICO_Complet!$A$3:$U$983,12,FALSE)=0,"",VLOOKUP($A422,DICO_Complet!$A$3:$U$983,12,FALSE))</f>
        <v>RSB47_96</v>
      </c>
      <c r="L422" s="53" t="str">
        <f>IF(VLOOKUP($A422,DICO_Complet!$A$3:$U$983,13,FALSE)=0,"",VLOOKUP($A422,DICO_Complet!$A$3:$U$983,13,FALSE))</f>
        <v>[47-96]</v>
      </c>
      <c r="M422" s="53" t="str">
        <f>IF(VLOOKUP($A422,DICO_Complet!$A$3:$U$983,14,FALSE)=0,"",VLOOKUP($A422,DICO_Complet!$A$3:$U$983,14,FALSE))</f>
        <v>46 DF5D</v>
      </c>
      <c r="N422" s="53" t="str">
        <f>IF(VLOOKUP($A422,DICO_Complet!$A$3:$U$983,15,FALSE)=0,"",VLOOKUP($A422,DICO_Complet!$A$3:$U$983,15,FALSE))</f>
        <v/>
      </c>
      <c r="O422" s="53" t="str">
        <f>IF(VLOOKUP($A422,DICO_Complet!$A$3:$U$983,16,FALSE)=0,"",VLOOKUP($A422,DICO_Complet!$A$3:$U$983,16,FALSE))</f>
        <v/>
      </c>
      <c r="P422" s="53" t="str">
        <f>IF(VLOOKUP($A422,DICO_Complet!$A$3:$U$983,17,FALSE)=0,"",VLOOKUP($A422,DICO_Complet!$A$3:$U$983,17,FALSE))</f>
        <v/>
      </c>
      <c r="Q422" s="53" t="str">
        <f>IF(VLOOKUP($A422,DICO_Complet!$A$3:$U$983,18,FALSE)=0,"",VLOOKUP($A422,DICO_Complet!$A$3:$U$983,18,FALSE))</f>
        <v/>
      </c>
    </row>
    <row r="423" spans="1:17">
      <c r="A423" s="38">
        <v>241112000112</v>
      </c>
      <c r="B423" s="47" t="s">
        <v>858</v>
      </c>
      <c r="C423" s="3" t="str">
        <f>VLOOKUP($A423,DICO_Complet!$A$3:$U$983,3,FALSE)</f>
        <v>Environment</v>
      </c>
      <c r="D423" s="3" t="str">
        <f>VLOOKUP($A423,DICO_Complet!$A$3:$U$983,4,FALSE)</f>
        <v>merchant</v>
      </c>
      <c r="E423" s="2" t="str">
        <f>VLOOKUP($A423,DICO_Complet!$A$3:$U$983,5,FALSE)</f>
        <v>companyRegistrationNumberCategory</v>
      </c>
      <c r="F423" s="2" t="str">
        <f>VLOOKUP($A423,DICO_Complet!$A$3:$U$983,6,FALSE)</f>
        <v>CompanyRegistrationNumberCategoryCodeset</v>
      </c>
      <c r="G423" s="48">
        <f>VLOOKUP($A423,DICO_Complet!$A$3:$U$983,7,FALSE)</f>
        <v>0</v>
      </c>
      <c r="H423" s="48">
        <f>VLOOKUP($A423,DICO_Complet!$A$3:$U$983,8,FALSE)</f>
        <v>0</v>
      </c>
      <c r="I423" s="2" t="str">
        <f>IF(VLOOKUP($A423,DICO_Complet!$A$3:$U$983,9,FALSE)&lt;&gt;0,VLOOKUP($A423,DICO_Complet!$A$3:$U$983,9,FALSE),"")</f>
        <v/>
      </c>
      <c r="J423" s="1" t="str">
        <f>VLOOKUP($A423,DICO_Complet!$A$3:$U$983,10,FALSE)</f>
        <v>COMPANY REGISTRATION NUMBER Type</v>
      </c>
      <c r="K423" s="53" t="str">
        <f>IF(VLOOKUP($A423,DICO_Complet!$A$3:$U$983,12,FALSE)=0,"",VLOOKUP($A423,DICO_Complet!$A$3:$U$983,12,FALSE))</f>
        <v/>
      </c>
      <c r="L423" s="53" t="str">
        <f>IF(VLOOKUP($A423,DICO_Complet!$A$3:$U$983,13,FALSE)=0,"",VLOOKUP($A423,DICO_Complet!$A$3:$U$983,13,FALSE))</f>
        <v/>
      </c>
      <c r="M423" s="53" t="str">
        <f>IF(VLOOKUP($A423,DICO_Complet!$A$3:$U$983,14,FALSE)=0,"",VLOOKUP($A423,DICO_Complet!$A$3:$U$983,14,FALSE))</f>
        <v/>
      </c>
      <c r="N423" s="53" t="str">
        <f>IF(VLOOKUP($A423,DICO_Complet!$A$3:$U$983,15,FALSE)=0,"",VLOOKUP($A423,DICO_Complet!$A$3:$U$983,15,FALSE))</f>
        <v/>
      </c>
      <c r="O423" s="53" t="str">
        <f>IF(VLOOKUP($A423,DICO_Complet!$A$3:$U$983,16,FALSE)=0,"",VLOOKUP($A423,DICO_Complet!$A$3:$U$983,16,FALSE))</f>
        <v/>
      </c>
      <c r="P423" s="53" t="str">
        <f>IF(VLOOKUP($A423,DICO_Complet!$A$3:$U$983,17,FALSE)=0,"",VLOOKUP($A423,DICO_Complet!$A$3:$U$983,17,FALSE))</f>
        <v/>
      </c>
      <c r="Q423" s="53" t="str">
        <f>IF(VLOOKUP($A423,DICO_Complet!$A$3:$U$983,18,FALSE)=0,"",VLOOKUP($A423,DICO_Complet!$A$3:$U$983,18,FALSE))</f>
        <v/>
      </c>
    </row>
    <row r="424" spans="1:17">
      <c r="A424" s="38">
        <v>250408114900</v>
      </c>
      <c r="B424" s="47" t="s">
        <v>858</v>
      </c>
      <c r="C424" s="3" t="str">
        <f>VLOOKUP($A424,DICO_Complet!$A$3:$U$983,3,FALSE)</f>
        <v>Environment</v>
      </c>
      <c r="D424" s="3" t="str">
        <f>VLOOKUP($A424,DICO_Complet!$A$3:$U$983,4,FALSE)</f>
        <v>merchant</v>
      </c>
      <c r="E424" s="2" t="str">
        <f>VLOOKUP($A424,DICO_Complet!$A$3:$U$983,5,FALSE)</f>
        <v>contact</v>
      </c>
      <c r="F424" s="2" t="str">
        <f>VLOOKUP($A424,DICO_Complet!$A$3:$U$983,6,FALSE)</f>
        <v>ContactType</v>
      </c>
      <c r="G424" s="48">
        <f>VLOOKUP($A424,DICO_Complet!$A$3:$U$983,7,FALSE)</f>
        <v>0</v>
      </c>
      <c r="H424" s="48">
        <f>VLOOKUP($A424,DICO_Complet!$A$3:$U$983,8,FALSE)</f>
        <v>0</v>
      </c>
      <c r="I424" s="2" t="str">
        <f>IF(VLOOKUP($A424,DICO_Complet!$A$3:$U$983,9,FALSE)&lt;&gt;0,VLOOKUP($A424,DICO_Complet!$A$3:$U$983,9,FALSE),"")</f>
        <v/>
      </c>
      <c r="J424" s="1" t="str">
        <f>VLOOKUP($A424,DICO_Complet!$A$3:$U$983,10,FALSE)</f>
        <v>Merchant contact information</v>
      </c>
      <c r="K424" s="53" t="str">
        <f>IF(VLOOKUP($A424,DICO_Complet!$A$3:$U$983,12,FALSE)=0,"",VLOOKUP($A424,DICO_Complet!$A$3:$U$983,12,FALSE))</f>
        <v/>
      </c>
      <c r="L424" s="53" t="str">
        <f>IF(VLOOKUP($A424,DICO_Complet!$A$3:$U$983,13,FALSE)=0,"",VLOOKUP($A424,DICO_Complet!$A$3:$U$983,13,FALSE))</f>
        <v/>
      </c>
      <c r="M424" s="53" t="str">
        <f>IF(VLOOKUP($A424,DICO_Complet!$A$3:$U$983,14,FALSE)=0,"",VLOOKUP($A424,DICO_Complet!$A$3:$U$983,14,FALSE))</f>
        <v/>
      </c>
      <c r="N424" s="53" t="str">
        <f>IF(VLOOKUP($A424,DICO_Complet!$A$3:$U$983,15,FALSE)=0,"",VLOOKUP($A424,DICO_Complet!$A$3:$U$983,15,FALSE))</f>
        <v/>
      </c>
      <c r="O424" s="53" t="str">
        <f>IF(VLOOKUP($A424,DICO_Complet!$A$3:$U$983,16,FALSE)=0,"",VLOOKUP($A424,DICO_Complet!$A$3:$U$983,16,FALSE))</f>
        <v/>
      </c>
      <c r="P424" s="53" t="str">
        <f>IF(VLOOKUP($A424,DICO_Complet!$A$3:$U$983,17,FALSE)=0,"",VLOOKUP($A424,DICO_Complet!$A$3:$U$983,17,FALSE))</f>
        <v/>
      </c>
      <c r="Q424" s="53" t="str">
        <f>IF(VLOOKUP($A424,DICO_Complet!$A$3:$U$983,18,FALSE)=0,"",VLOOKUP($A424,DICO_Complet!$A$3:$U$983,18,FALSE))</f>
        <v/>
      </c>
    </row>
    <row r="425" spans="1:17">
      <c r="A425" s="38">
        <v>241112000113</v>
      </c>
      <c r="B425" s="47" t="s">
        <v>858</v>
      </c>
      <c r="C425" s="3" t="str">
        <f>VLOOKUP($A425,DICO_Complet!$A$3:$U$983,3,FALSE)</f>
        <v>Environment</v>
      </c>
      <c r="D425" s="3" t="str">
        <f>VLOOKUP($A425,DICO_Complet!$A$3:$U$983,4,FALSE)</f>
        <v>merchant</v>
      </c>
      <c r="E425" s="2" t="str">
        <f>VLOOKUP($A425,DICO_Complet!$A$3:$U$983,5,FALSE)</f>
        <v>cryptoCurrencyIndicator</v>
      </c>
      <c r="F425" s="2" t="str">
        <f>VLOOKUP($A425,DICO_Complet!$A$3:$U$983,6,FALSE)</f>
        <v>TrueFalseIndicator</v>
      </c>
      <c r="G425" s="48">
        <f>VLOOKUP($A425,DICO_Complet!$A$3:$U$983,7,FALSE)</f>
        <v>0</v>
      </c>
      <c r="H425" s="48">
        <f>VLOOKUP($A425,DICO_Complet!$A$3:$U$983,8,FALSE)</f>
        <v>0</v>
      </c>
      <c r="I425" s="2" t="str">
        <f>IF(VLOOKUP($A425,DICO_Complet!$A$3:$U$983,9,FALSE)&lt;&gt;0,VLOOKUP($A425,DICO_Complet!$A$3:$U$983,9,FALSE),"")</f>
        <v/>
      </c>
      <c r="J425" s="1" t="str">
        <f>VLOOKUP($A425,DICO_Complet!$A$3:$U$983,10,FALSE)</f>
        <v>Crypto Currency Indicator (Top)</v>
      </c>
      <c r="K425" s="53" t="str">
        <f>IF(VLOOKUP($A425,DICO_Complet!$A$3:$U$983,12,FALSE)=0,"",VLOOKUP($A425,DICO_Complet!$A$3:$U$983,12,FALSE))</f>
        <v>AUT368</v>
      </c>
      <c r="L425" s="53" t="str">
        <f>IF(VLOOKUP($A425,DICO_Complet!$A$3:$U$983,13,FALSE)=0,"",VLOOKUP($A425,DICO_Complet!$A$3:$U$983,13,FALSE))</f>
        <v/>
      </c>
      <c r="M425" s="53" t="str">
        <f>IF(VLOOKUP($A425,DICO_Complet!$A$3:$U$983,14,FALSE)=0,"",VLOOKUP($A425,DICO_Complet!$A$3:$U$983,14,FALSE))</f>
        <v/>
      </c>
      <c r="N425" s="53" t="str">
        <f>IF(VLOOKUP($A425,DICO_Complet!$A$3:$U$983,15,FALSE)=0,"",VLOOKUP($A425,DICO_Complet!$A$3:$U$983,15,FALSE))</f>
        <v/>
      </c>
      <c r="O425" s="53" t="str">
        <f>IF(VLOOKUP($A425,DICO_Complet!$A$3:$U$983,16,FALSE)=0,"",VLOOKUP($A425,DICO_Complet!$A$3:$U$983,16,FALSE))</f>
        <v/>
      </c>
      <c r="P425" s="53" t="str">
        <f>IF(VLOOKUP($A425,DICO_Complet!$A$3:$U$983,17,FALSE)=0,"",VLOOKUP($A425,DICO_Complet!$A$3:$U$983,17,FALSE))</f>
        <v/>
      </c>
      <c r="Q425" s="53" t="str">
        <f>IF(VLOOKUP($A425,DICO_Complet!$A$3:$U$983,18,FALSE)=0,"",VLOOKUP($A425,DICO_Complet!$A$3:$U$983,18,FALSE))</f>
        <v/>
      </c>
    </row>
    <row r="426" spans="1:17">
      <c r="A426" s="38">
        <v>241112000114</v>
      </c>
      <c r="B426" s="47" t="s">
        <v>858</v>
      </c>
      <c r="C426" s="3" t="str">
        <f>VLOOKUP($A426,DICO_Complet!$A$3:$U$983,3,FALSE)</f>
        <v>Environment</v>
      </c>
      <c r="D426" s="3" t="str">
        <f>VLOOKUP($A426,DICO_Complet!$A$3:$U$983,4,FALSE)</f>
        <v>merchant</v>
      </c>
      <c r="E426" s="2" t="str">
        <f>VLOOKUP($A426,DICO_Complet!$A$3:$U$983,5,FALSE)</f>
        <v>dynamicMerchantNameIndicator</v>
      </c>
      <c r="F426" s="2" t="str">
        <f>VLOOKUP($A426,DICO_Complet!$A$3:$U$983,6,FALSE)</f>
        <v>TrueFalseIndicator</v>
      </c>
      <c r="G426" s="48">
        <f>VLOOKUP($A426,DICO_Complet!$A$3:$U$983,7,FALSE)</f>
        <v>0</v>
      </c>
      <c r="H426" s="48">
        <f>VLOOKUP($A426,DICO_Complet!$A$3:$U$983,8,FALSE)</f>
        <v>0</v>
      </c>
      <c r="I426" s="2" t="str">
        <f>IF(VLOOKUP($A426,DICO_Complet!$A$3:$U$983,9,FALSE)&lt;&gt;0,VLOOKUP($A426,DICO_Complet!$A$3:$U$983,9,FALSE),"")</f>
        <v/>
      </c>
      <c r="J426" s="1" t="str">
        <f>VLOOKUP($A426,DICO_Complet!$A$3:$U$983,10,FALSE)</f>
        <v>Dynamic Merchant Name Indicator (Top)</v>
      </c>
      <c r="K426" s="53" t="str">
        <f>IF(VLOOKUP($A426,DICO_Complet!$A$3:$U$983,12,FALSE)=0,"",VLOOKUP($A426,DICO_Complet!$A$3:$U$983,12,FALSE))</f>
        <v>AUT368</v>
      </c>
      <c r="L426" s="53" t="str">
        <f>IF(VLOOKUP($A426,DICO_Complet!$A$3:$U$983,13,FALSE)=0,"",VLOOKUP($A426,DICO_Complet!$A$3:$U$983,13,FALSE))</f>
        <v/>
      </c>
      <c r="M426" s="53" t="str">
        <f>IF(VLOOKUP($A426,DICO_Complet!$A$3:$U$983,14,FALSE)=0,"",VLOOKUP($A426,DICO_Complet!$A$3:$U$983,14,FALSE))</f>
        <v/>
      </c>
      <c r="N426" s="53" t="str">
        <f>IF(VLOOKUP($A426,DICO_Complet!$A$3:$U$983,15,FALSE)=0,"",VLOOKUP($A426,DICO_Complet!$A$3:$U$983,15,FALSE))</f>
        <v/>
      </c>
      <c r="O426" s="53" t="str">
        <f>IF(VLOOKUP($A426,DICO_Complet!$A$3:$U$983,16,FALSE)=0,"",VLOOKUP($A426,DICO_Complet!$A$3:$U$983,16,FALSE))</f>
        <v/>
      </c>
      <c r="P426" s="53" t="str">
        <f>IF(VLOOKUP($A426,DICO_Complet!$A$3:$U$983,17,FALSE)=0,"",VLOOKUP($A426,DICO_Complet!$A$3:$U$983,17,FALSE))</f>
        <v/>
      </c>
      <c r="Q426" s="53" t="str">
        <f>IF(VLOOKUP($A426,DICO_Complet!$A$3:$U$983,18,FALSE)=0,"",VLOOKUP($A426,DICO_Complet!$A$3:$U$983,18,FALSE))</f>
        <v/>
      </c>
    </row>
    <row r="427" spans="1:17">
      <c r="A427" s="38">
        <v>250317124402</v>
      </c>
      <c r="B427" s="47" t="s">
        <v>858</v>
      </c>
      <c r="C427" s="3" t="str">
        <f>VLOOKUP($A427,DICO_Complet!$A$3:$U$983,3,FALSE)</f>
        <v>Environment</v>
      </c>
      <c r="D427" s="3" t="str">
        <f>VLOOKUP($A427,DICO_Complet!$A$3:$U$983,4,FALSE)</f>
        <v>merchant</v>
      </c>
      <c r="E427" s="2" t="str">
        <f>VLOOKUP($A427,DICO_Complet!$A$3:$U$983,5,FALSE)</f>
        <v>foreignCurrencyIndicator</v>
      </c>
      <c r="F427" s="2" t="str">
        <f>VLOOKUP($A427,DICO_Complet!$A$3:$U$983,6,FALSE)</f>
        <v>TrueFalseIndicator</v>
      </c>
      <c r="G427" s="48">
        <f>VLOOKUP($A427,DICO_Complet!$A$3:$U$983,7,FALSE)</f>
        <v>0</v>
      </c>
      <c r="H427" s="48">
        <f>VLOOKUP($A427,DICO_Complet!$A$3:$U$983,8,FALSE)</f>
        <v>0</v>
      </c>
      <c r="I427" s="2" t="str">
        <f>IF(VLOOKUP($A427,DICO_Complet!$A$3:$U$983,9,FALSE)&lt;&gt;0,VLOOKUP($A427,DICO_Complet!$A$3:$U$983,9,FALSE),"")</f>
        <v/>
      </c>
      <c r="J427" s="1" t="str">
        <f>VLOOKUP($A427,DICO_Complet!$A$3:$U$983,10,FALSE)</f>
        <v>capability to master foreign currency by merchant from contract</v>
      </c>
      <c r="K427" s="53" t="str">
        <f>IF(VLOOKUP($A427,DICO_Complet!$A$3:$U$983,12,FALSE)=0,"",VLOOKUP($A427,DICO_Complet!$A$3:$U$983,12,FALSE))</f>
        <v/>
      </c>
      <c r="L427" s="53" t="str">
        <f>IF(VLOOKUP($A427,DICO_Complet!$A$3:$U$983,13,FALSE)=0,"",VLOOKUP($A427,DICO_Complet!$A$3:$U$983,13,FALSE))</f>
        <v/>
      </c>
      <c r="M427" s="53" t="str">
        <f>IF(VLOOKUP($A427,DICO_Complet!$A$3:$U$983,14,FALSE)=0,"",VLOOKUP($A427,DICO_Complet!$A$3:$U$983,14,FALSE))</f>
        <v/>
      </c>
      <c r="N427" s="53" t="str">
        <f>IF(VLOOKUP($A427,DICO_Complet!$A$3:$U$983,15,FALSE)=0,"",VLOOKUP($A427,DICO_Complet!$A$3:$U$983,15,FALSE))</f>
        <v/>
      </c>
      <c r="O427" s="53" t="str">
        <f>IF(VLOOKUP($A427,DICO_Complet!$A$3:$U$983,16,FALSE)=0,"",VLOOKUP($A427,DICO_Complet!$A$3:$U$983,16,FALSE))</f>
        <v/>
      </c>
      <c r="P427" s="53" t="str">
        <f>IF(VLOOKUP($A427,DICO_Complet!$A$3:$U$983,17,FALSE)=0,"",VLOOKUP($A427,DICO_Complet!$A$3:$U$983,17,FALSE))</f>
        <v/>
      </c>
      <c r="Q427" s="53" t="str">
        <f>IF(VLOOKUP($A427,DICO_Complet!$A$3:$U$983,18,FALSE)=0,"",VLOOKUP($A427,DICO_Complet!$A$3:$U$983,18,FALSE))</f>
        <v/>
      </c>
    </row>
    <row r="428" spans="1:17">
      <c r="A428" s="38">
        <v>250428082400</v>
      </c>
      <c r="B428" s="47" t="s">
        <v>858</v>
      </c>
      <c r="C428" s="3" t="str">
        <f>VLOOKUP($A428,DICO_Complet!$A$3:$U$983,3,FALSE)</f>
        <v>Environment</v>
      </c>
      <c r="D428" s="3" t="str">
        <f>VLOOKUP($A428,DICO_Complet!$A$3:$U$983,4,FALSE)</f>
        <v>merchant</v>
      </c>
      <c r="E428" s="2" t="str">
        <f>VLOOKUP($A428,DICO_Complet!$A$3:$U$983,5,FALSE)</f>
        <v>genericMid</v>
      </c>
      <c r="F428" s="2" t="str">
        <f>VLOOKUP($A428,DICO_Complet!$A$3:$U$983,6,FALSE)</f>
        <v>Min7Max15NumericText</v>
      </c>
      <c r="G428" s="48">
        <f>VLOOKUP($A428,DICO_Complet!$A$3:$U$983,7,FALSE)</f>
        <v>0</v>
      </c>
      <c r="H428" s="48">
        <f>VLOOKUP($A428,DICO_Complet!$A$3:$U$983,8,FALSE)</f>
        <v>0</v>
      </c>
      <c r="I428" s="2" t="str">
        <f>IF(VLOOKUP($A428,DICO_Complet!$A$3:$U$983,9,FALSE)&lt;&gt;0,VLOOKUP($A428,DICO_Complet!$A$3:$U$983,9,FALSE),"")</f>
        <v/>
      </c>
      <c r="J428" s="1" t="str">
        <f>VLOOKUP($A428,DICO_Complet!$A$3:$U$983,10,FALSE)</f>
        <v>Generic parent MID. Permit to make a relation between several merchants and parent ID.</v>
      </c>
      <c r="K428" s="53" t="str">
        <f>IF(VLOOKUP($A428,DICO_Complet!$A$3:$U$983,12,FALSE)=0,"",VLOOKUP($A428,DICO_Complet!$A$3:$U$983,12,FALSE))</f>
        <v/>
      </c>
      <c r="L428" s="53" t="str">
        <f>IF(VLOOKUP($A428,DICO_Complet!$A$3:$U$983,13,FALSE)=0,"",VLOOKUP($A428,DICO_Complet!$A$3:$U$983,13,FALSE))</f>
        <v/>
      </c>
      <c r="M428" s="53" t="str">
        <f>IF(VLOOKUP($A428,DICO_Complet!$A$3:$U$983,14,FALSE)=0,"",VLOOKUP($A428,DICO_Complet!$A$3:$U$983,14,FALSE))</f>
        <v/>
      </c>
      <c r="N428" s="53" t="str">
        <f>IF(VLOOKUP($A428,DICO_Complet!$A$3:$U$983,15,FALSE)=0,"",VLOOKUP($A428,DICO_Complet!$A$3:$U$983,15,FALSE))</f>
        <v/>
      </c>
      <c r="O428" s="53" t="str">
        <f>IF(VLOOKUP($A428,DICO_Complet!$A$3:$U$983,16,FALSE)=0,"",VLOOKUP($A428,DICO_Complet!$A$3:$U$983,16,FALSE))</f>
        <v/>
      </c>
      <c r="P428" s="53" t="str">
        <f>IF(VLOOKUP($A428,DICO_Complet!$A$3:$U$983,17,FALSE)=0,"",VLOOKUP($A428,DICO_Complet!$A$3:$U$983,17,FALSE))</f>
        <v/>
      </c>
      <c r="Q428" s="53" t="str">
        <f>IF(VLOOKUP($A428,DICO_Complet!$A$3:$U$983,18,FALSE)=0,"",VLOOKUP($A428,DICO_Complet!$A$3:$U$983,18,FALSE))</f>
        <v/>
      </c>
    </row>
    <row r="429" spans="1:17">
      <c r="A429" s="38">
        <v>250428082300</v>
      </c>
      <c r="B429" s="47" t="s">
        <v>858</v>
      </c>
      <c r="C429" s="3" t="str">
        <f>VLOOKUP($A429,DICO_Complet!$A$3:$U$983,3,FALSE)</f>
        <v>Environment</v>
      </c>
      <c r="D429" s="3" t="str">
        <f>VLOOKUP($A429,DICO_Complet!$A$3:$U$983,4,FALSE)</f>
        <v>merchant</v>
      </c>
      <c r="E429" s="2" t="str">
        <f>VLOOKUP($A429,DICO_Complet!$A$3:$U$983,5,FALSE)</f>
        <v>genericMidIndicator</v>
      </c>
      <c r="F429" s="2" t="str">
        <f>VLOOKUP($A429,DICO_Complet!$A$3:$U$983,6,FALSE)</f>
        <v>TrueFalseIndicator</v>
      </c>
      <c r="G429" s="48">
        <f>VLOOKUP($A429,DICO_Complet!$A$3:$U$983,7,FALSE)</f>
        <v>0</v>
      </c>
      <c r="H429" s="48">
        <f>VLOOKUP($A429,DICO_Complet!$A$3:$U$983,8,FALSE)</f>
        <v>0</v>
      </c>
      <c r="I429" s="2" t="str">
        <f>IF(VLOOKUP($A429,DICO_Complet!$A$3:$U$983,9,FALSE)&lt;&gt;0,VLOOKUP($A429,DICO_Complet!$A$3:$U$983,9,FALSE),"")</f>
        <v/>
      </c>
      <c r="J429" s="1" t="str">
        <f>VLOOKUP($A429,DICO_Complet!$A$3:$U$983,10,FALSE)</f>
        <v>Indicate if a merchant is related to a generic parent MID</v>
      </c>
      <c r="K429" s="53" t="str">
        <f>IF(VLOOKUP($A429,DICO_Complet!$A$3:$U$983,12,FALSE)=0,"",VLOOKUP($A429,DICO_Complet!$A$3:$U$983,12,FALSE))</f>
        <v/>
      </c>
      <c r="L429" s="53" t="str">
        <f>IF(VLOOKUP($A429,DICO_Complet!$A$3:$U$983,13,FALSE)=0,"",VLOOKUP($A429,DICO_Complet!$A$3:$U$983,13,FALSE))</f>
        <v/>
      </c>
      <c r="M429" s="53" t="str">
        <f>IF(VLOOKUP($A429,DICO_Complet!$A$3:$U$983,14,FALSE)=0,"",VLOOKUP($A429,DICO_Complet!$A$3:$U$983,14,FALSE))</f>
        <v/>
      </c>
      <c r="N429" s="53" t="str">
        <f>IF(VLOOKUP($A429,DICO_Complet!$A$3:$U$983,15,FALSE)=0,"",VLOOKUP($A429,DICO_Complet!$A$3:$U$983,15,FALSE))</f>
        <v/>
      </c>
      <c r="O429" s="53" t="str">
        <f>IF(VLOOKUP($A429,DICO_Complet!$A$3:$U$983,16,FALSE)=0,"",VLOOKUP($A429,DICO_Complet!$A$3:$U$983,16,FALSE))</f>
        <v/>
      </c>
      <c r="P429" s="53" t="str">
        <f>IF(VLOOKUP($A429,DICO_Complet!$A$3:$U$983,17,FALSE)=0,"",VLOOKUP($A429,DICO_Complet!$A$3:$U$983,17,FALSE))</f>
        <v/>
      </c>
      <c r="Q429" s="53" t="str">
        <f>IF(VLOOKUP($A429,DICO_Complet!$A$3:$U$983,18,FALSE)=0,"",VLOOKUP($A429,DICO_Complet!$A$3:$U$983,18,FALSE))</f>
        <v/>
      </c>
    </row>
    <row r="430" spans="1:17">
      <c r="A430" s="38">
        <v>241112000116</v>
      </c>
      <c r="B430" s="47" t="s">
        <v>858</v>
      </c>
      <c r="C430" s="3" t="str">
        <f>VLOOKUP($A430,DICO_Complet!$A$3:$U$983,3,FALSE)</f>
        <v>Environment</v>
      </c>
      <c r="D430" s="3" t="str">
        <f>VLOOKUP($A430,DICO_Complet!$A$3:$U$983,4,FALSE)</f>
        <v>merchant</v>
      </c>
      <c r="E430" s="2" t="str">
        <f>VLOOKUP($A430,DICO_Complet!$A$3:$U$983,5,FALSE)</f>
        <v>governmentCountryCode</v>
      </c>
      <c r="F430" s="2" t="str">
        <f>VLOOKUP($A430,DICO_Complet!$A$3:$U$983,6,FALSE)</f>
        <v>TrueFalseIndicator</v>
      </c>
      <c r="G430" s="48">
        <f>VLOOKUP($A430,DICO_Complet!$A$3:$U$983,7,FALSE)</f>
        <v>0</v>
      </c>
      <c r="H430" s="48">
        <f>VLOOKUP($A430,DICO_Complet!$A$3:$U$983,8,FALSE)</f>
        <v>0</v>
      </c>
      <c r="I430" s="2" t="str">
        <f>IF(VLOOKUP($A430,DICO_Complet!$A$3:$U$983,9,FALSE)&lt;&gt;0,VLOOKUP($A430,DICO_Complet!$A$3:$U$983,9,FALSE),"")</f>
        <v/>
      </c>
      <c r="J430" s="1" t="str">
        <f>VLOOKUP($A430,DICO_Complet!$A$3:$U$983,10,FALSE)</f>
        <v>Gouvernment Country Code (Top)</v>
      </c>
      <c r="K430" s="53" t="str">
        <f>IF(VLOOKUP($A430,DICO_Complet!$A$3:$U$983,12,FALSE)=0,"",VLOOKUP($A430,DICO_Complet!$A$3:$U$983,12,FALSE))</f>
        <v>AUT368</v>
      </c>
      <c r="L430" s="53" t="str">
        <f>IF(VLOOKUP($A430,DICO_Complet!$A$3:$U$983,13,FALSE)=0,"",VLOOKUP($A430,DICO_Complet!$A$3:$U$983,13,FALSE))</f>
        <v/>
      </c>
      <c r="M430" s="53" t="str">
        <f>IF(VLOOKUP($A430,DICO_Complet!$A$3:$U$983,14,FALSE)=0,"",VLOOKUP($A430,DICO_Complet!$A$3:$U$983,14,FALSE))</f>
        <v/>
      </c>
      <c r="N430" s="53" t="str">
        <f>IF(VLOOKUP($A430,DICO_Complet!$A$3:$U$983,15,FALSE)=0,"",VLOOKUP($A430,DICO_Complet!$A$3:$U$983,15,FALSE))</f>
        <v/>
      </c>
      <c r="O430" s="53" t="str">
        <f>IF(VLOOKUP($A430,DICO_Complet!$A$3:$U$983,16,FALSE)=0,"",VLOOKUP($A430,DICO_Complet!$A$3:$U$983,16,FALSE))</f>
        <v/>
      </c>
      <c r="P430" s="53" t="str">
        <f>IF(VLOOKUP($A430,DICO_Complet!$A$3:$U$983,17,FALSE)=0,"",VLOOKUP($A430,DICO_Complet!$A$3:$U$983,17,FALSE))</f>
        <v/>
      </c>
      <c r="Q430" s="53" t="str">
        <f>IF(VLOOKUP($A430,DICO_Complet!$A$3:$U$983,18,FALSE)=0,"",VLOOKUP($A430,DICO_Complet!$A$3:$U$983,18,FALSE))</f>
        <v/>
      </c>
    </row>
    <row r="431" spans="1:17">
      <c r="A431" s="38">
        <v>250408114000</v>
      </c>
      <c r="B431" s="47" t="s">
        <v>858</v>
      </c>
      <c r="C431" s="3" t="str">
        <f>VLOOKUP($A431,DICO_Complet!$A$3:$U$983,3,FALSE)</f>
        <v>Environment</v>
      </c>
      <c r="D431" s="3" t="str">
        <f>VLOOKUP($A431,DICO_Complet!$A$3:$U$983,4,FALSE)</f>
        <v>merchant</v>
      </c>
      <c r="E431" s="2" t="str">
        <f>VLOOKUP($A431,DICO_Complet!$A$3:$U$983,5,FALSE)</f>
        <v>internationalBankAccountNumber</v>
      </c>
      <c r="F431" s="2" t="str">
        <f>VLOOKUP($A431,DICO_Complet!$A$3:$U$983,6,FALSE)</f>
        <v>IBANIdentifier</v>
      </c>
      <c r="G431" s="48">
        <f>VLOOKUP($A431,DICO_Complet!$A$3:$U$983,7,FALSE)</f>
        <v>0</v>
      </c>
      <c r="H431" s="48">
        <f>VLOOKUP($A431,DICO_Complet!$A$3:$U$983,8,FALSE)</f>
        <v>0</v>
      </c>
      <c r="I431" s="2" t="str">
        <f>IF(VLOOKUP($A431,DICO_Complet!$A$3:$U$983,9,FALSE)&lt;&gt;0,VLOOKUP($A431,DICO_Complet!$A$3:$U$983,9,FALSE),"")</f>
        <v/>
      </c>
      <c r="J431" s="1" t="str">
        <f>VLOOKUP($A431,DICO_Complet!$A$3:$U$983,10,FALSE)</f>
        <v>Type de compte bancaire (ou type d'IBAN) CRDT et DEBT dans un premier temps. Bank account information</v>
      </c>
      <c r="K431" s="53" t="str">
        <f>IF(VLOOKUP($A431,DICO_Complet!$A$3:$U$983,12,FALSE)=0,"",VLOOKUP($A431,DICO_Complet!$A$3:$U$983,12,FALSE))</f>
        <v/>
      </c>
      <c r="L431" s="53" t="str">
        <f>IF(VLOOKUP($A431,DICO_Complet!$A$3:$U$983,13,FALSE)=0,"",VLOOKUP($A431,DICO_Complet!$A$3:$U$983,13,FALSE))</f>
        <v/>
      </c>
      <c r="M431" s="53" t="str">
        <f>IF(VLOOKUP($A431,DICO_Complet!$A$3:$U$983,14,FALSE)=0,"",VLOOKUP($A431,DICO_Complet!$A$3:$U$983,14,FALSE))</f>
        <v/>
      </c>
      <c r="N431" s="53" t="str">
        <f>IF(VLOOKUP($A431,DICO_Complet!$A$3:$U$983,15,FALSE)=0,"",VLOOKUP($A431,DICO_Complet!$A$3:$U$983,15,FALSE))</f>
        <v/>
      </c>
      <c r="O431" s="53" t="str">
        <f>IF(VLOOKUP($A431,DICO_Complet!$A$3:$U$983,16,FALSE)=0,"",VLOOKUP($A431,DICO_Complet!$A$3:$U$983,16,FALSE))</f>
        <v/>
      </c>
      <c r="P431" s="53" t="str">
        <f>IF(VLOOKUP($A431,DICO_Complet!$A$3:$U$983,17,FALSE)=0,"",VLOOKUP($A431,DICO_Complet!$A$3:$U$983,17,FALSE))</f>
        <v/>
      </c>
      <c r="Q431" s="53" t="str">
        <f>IF(VLOOKUP($A431,DICO_Complet!$A$3:$U$983,18,FALSE)=0,"",VLOOKUP($A431,DICO_Complet!$A$3:$U$983,18,FALSE))</f>
        <v/>
      </c>
    </row>
    <row r="432" spans="1:17">
      <c r="A432" s="38">
        <v>241112000117</v>
      </c>
      <c r="B432" s="47" t="s">
        <v>858</v>
      </c>
      <c r="C432" s="3" t="str">
        <f>VLOOKUP($A432,DICO_Complet!$A$3:$U$983,3,FALSE)</f>
        <v>Environment</v>
      </c>
      <c r="D432" s="3" t="str">
        <f>VLOOKUP($A432,DICO_Complet!$A$3:$U$983,4,FALSE)</f>
        <v>merchant</v>
      </c>
      <c r="E432" s="2" t="str">
        <f>VLOOKUP($A432,DICO_Complet!$A$3:$U$983,5,FALSE)</f>
        <v>locationCategoryCode</v>
      </c>
      <c r="F432" s="2" t="str">
        <f>VLOOKUP($A432,DICO_Complet!$A$3:$U$983,6,FALSE)</f>
        <v>Max8Text</v>
      </c>
      <c r="G432" s="48">
        <f>VLOOKUP($A432,DICO_Complet!$A$3:$U$983,7,FALSE)</f>
        <v>0</v>
      </c>
      <c r="H432" s="48">
        <f>VLOOKUP($A432,DICO_Complet!$A$3:$U$983,8,FALSE)</f>
        <v>0</v>
      </c>
      <c r="I432" s="2" t="str">
        <f>IF(VLOOKUP($A432,DICO_Complet!$A$3:$U$983,9,FALSE)&lt;&gt;0,VLOOKUP($A432,DICO_Complet!$A$3:$U$983,9,FALSE),"")</f>
        <v/>
      </c>
      <c r="J432" s="1" t="str">
        <f>VLOOKUP($A432,DICO_Complet!$A$3:$U$983,10,FALSE)</f>
        <v>POS location</v>
      </c>
      <c r="K432" s="53" t="str">
        <f>IF(VLOOKUP($A432,DICO_Complet!$A$3:$U$983,12,FALSE)=0,"",VLOOKUP($A432,DICO_Complet!$A$3:$U$983,12,FALSE))</f>
        <v>RSB47_8</v>
      </c>
      <c r="L432" s="53" t="str">
        <f>IF(VLOOKUP($A432,DICO_Complet!$A$3:$U$983,13,FALSE)=0,"",VLOOKUP($A432,DICO_Complet!$A$3:$U$983,13,FALSE))</f>
        <v>[47-08]</v>
      </c>
      <c r="M432" s="53" t="str">
        <f>IF(VLOOKUP($A432,DICO_Complet!$A$3:$U$983,14,FALSE)=0,"",VLOOKUP($A432,DICO_Complet!$A$3:$U$983,14,FALSE))</f>
        <v/>
      </c>
      <c r="N432" s="53" t="str">
        <f>IF(VLOOKUP($A432,DICO_Complet!$A$3:$U$983,15,FALSE)=0,"",VLOOKUP($A432,DICO_Complet!$A$3:$U$983,15,FALSE))</f>
        <v/>
      </c>
      <c r="O432" s="53" t="str">
        <f>IF(VLOOKUP($A432,DICO_Complet!$A$3:$U$983,16,FALSE)=0,"",VLOOKUP($A432,DICO_Complet!$A$3:$U$983,16,FALSE))</f>
        <v/>
      </c>
      <c r="P432" s="53" t="str">
        <f>IF(VLOOKUP($A432,DICO_Complet!$A$3:$U$983,17,FALSE)=0,"",VLOOKUP($A432,DICO_Complet!$A$3:$U$983,17,FALSE))</f>
        <v/>
      </c>
      <c r="Q432" s="53" t="str">
        <f>IF(VLOOKUP($A432,DICO_Complet!$A$3:$U$983,18,FALSE)=0,"",VLOOKUP($A432,DICO_Complet!$A$3:$U$983,18,FALSE))</f>
        <v/>
      </c>
    </row>
    <row r="433" spans="1:17">
      <c r="A433" s="38">
        <v>241112000118</v>
      </c>
      <c r="B433" s="47" t="s">
        <v>858</v>
      </c>
      <c r="C433" s="3" t="str">
        <f>VLOOKUP($A433,DICO_Complet!$A$3:$U$983,3,FALSE)</f>
        <v>Environment</v>
      </c>
      <c r="D433" s="3" t="str">
        <f>VLOOKUP($A433,DICO_Complet!$A$3:$U$983,4,FALSE)</f>
        <v>merchant</v>
      </c>
      <c r="E433" s="2" t="str">
        <f>VLOOKUP($A433,DICO_Complet!$A$3:$U$983,5,FALSE)</f>
        <v>merchantAdditionalData</v>
      </c>
      <c r="F433" s="2" t="str">
        <f>VLOOKUP($A433,DICO_Complet!$A$3:$U$983,6,FALSE)</f>
        <v>Max200Text</v>
      </c>
      <c r="G433" s="48">
        <f>VLOOKUP($A433,DICO_Complet!$A$3:$U$983,7,FALSE)</f>
        <v>0</v>
      </c>
      <c r="H433" s="48">
        <f>VLOOKUP($A433,DICO_Complet!$A$3:$U$983,8,FALSE)</f>
        <v>0</v>
      </c>
      <c r="I433" s="2" t="str">
        <f>IF(VLOOKUP($A433,DICO_Complet!$A$3:$U$983,9,FALSE)&lt;&gt;0,VLOOKUP($A433,DICO_Complet!$A$3:$U$983,9,FALSE),"")</f>
        <v/>
      </c>
      <c r="J433" s="1" t="str">
        <f>VLOOKUP($A433,DICO_Complet!$A$3:$U$983,10,FALSE)</f>
        <v>Merchant data connected with merchantType</v>
      </c>
      <c r="K433" s="53" t="str">
        <f>IF(VLOOKUP($A433,DICO_Complet!$A$3:$U$983,12,FALSE)=0,"",VLOOKUP($A433,DICO_Complet!$A$3:$U$983,12,FALSE))</f>
        <v>AUT368</v>
      </c>
      <c r="L433" s="53" t="str">
        <f>IF(VLOOKUP($A433,DICO_Complet!$A$3:$U$983,13,FALSE)=0,"",VLOOKUP($A433,DICO_Complet!$A$3:$U$983,13,FALSE))</f>
        <v/>
      </c>
      <c r="M433" s="53" t="str">
        <f>IF(VLOOKUP($A433,DICO_Complet!$A$3:$U$983,14,FALSE)=0,"",VLOOKUP($A433,DICO_Complet!$A$3:$U$983,14,FALSE))</f>
        <v/>
      </c>
      <c r="N433" s="53" t="str">
        <f>IF(VLOOKUP($A433,DICO_Complet!$A$3:$U$983,15,FALSE)=0,"",VLOOKUP($A433,DICO_Complet!$A$3:$U$983,15,FALSE))</f>
        <v/>
      </c>
      <c r="O433" s="53" t="str">
        <f>IF(VLOOKUP($A433,DICO_Complet!$A$3:$U$983,16,FALSE)=0,"",VLOOKUP($A433,DICO_Complet!$A$3:$U$983,16,FALSE))</f>
        <v/>
      </c>
      <c r="P433" s="53" t="str">
        <f>IF(VLOOKUP($A433,DICO_Complet!$A$3:$U$983,17,FALSE)=0,"",VLOOKUP($A433,DICO_Complet!$A$3:$U$983,17,FALSE))</f>
        <v/>
      </c>
      <c r="Q433" s="53" t="str">
        <f>IF(VLOOKUP($A433,DICO_Complet!$A$3:$U$983,18,FALSE)=0,"",VLOOKUP($A433,DICO_Complet!$A$3:$U$983,18,FALSE))</f>
        <v/>
      </c>
    </row>
    <row r="434" spans="1:17">
      <c r="A434" s="38">
        <v>241112000119</v>
      </c>
      <c r="B434" s="47" t="s">
        <v>858</v>
      </c>
      <c r="C434" s="3" t="str">
        <f>VLOOKUP($A434,DICO_Complet!$A$3:$U$983,3,FALSE)</f>
        <v>Environment</v>
      </c>
      <c r="D434" s="3" t="str">
        <f>VLOOKUP($A434,DICO_Complet!$A$3:$U$983,4,FALSE)</f>
        <v>merchant</v>
      </c>
      <c r="E434" s="2" t="str">
        <f>VLOOKUP($A434,DICO_Complet!$A$3:$U$983,5,FALSE)</f>
        <v>merchantCategory</v>
      </c>
      <c r="F434" s="2" t="str">
        <f>VLOOKUP($A434,DICO_Complet!$A$3:$U$983,6,FALSE)</f>
        <v>MerchantCategoryCodeset</v>
      </c>
      <c r="G434" s="48">
        <f>VLOOKUP($A434,DICO_Complet!$A$3:$U$983,7,FALSE)</f>
        <v>0</v>
      </c>
      <c r="H434" s="48">
        <f>VLOOKUP($A434,DICO_Complet!$A$3:$U$983,8,FALSE)</f>
        <v>0</v>
      </c>
      <c r="I434" s="2" t="str">
        <f>IF(VLOOKUP($A434,DICO_Complet!$A$3:$U$983,9,FALSE)&lt;&gt;0,VLOOKUP($A434,DICO_Complet!$A$3:$U$983,9,FALSE),"")</f>
        <v/>
      </c>
      <c r="J434" s="1" t="str">
        <f>VLOOKUP($A434,DICO_Complet!$A$3:$U$983,10,FALSE)</f>
        <v>Type of Merchant</v>
      </c>
      <c r="K434" s="53" t="str">
        <f>IF(VLOOKUP($A434,DICO_Complet!$A$3:$U$983,12,FALSE)=0,"",VLOOKUP($A434,DICO_Complet!$A$3:$U$983,12,FALSE))</f>
        <v>AUT367</v>
      </c>
      <c r="L434" s="53" t="str">
        <f>IF(VLOOKUP($A434,DICO_Complet!$A$3:$U$983,13,FALSE)=0,"",VLOOKUP($A434,DICO_Complet!$A$3:$U$983,13,FALSE))</f>
        <v/>
      </c>
      <c r="M434" s="53" t="str">
        <f>IF(VLOOKUP($A434,DICO_Complet!$A$3:$U$983,14,FALSE)=0,"",VLOOKUP($A434,DICO_Complet!$A$3:$U$983,14,FALSE))</f>
        <v/>
      </c>
      <c r="N434" s="53" t="str">
        <f>IF(VLOOKUP($A434,DICO_Complet!$A$3:$U$983,15,FALSE)=0,"",VLOOKUP($A434,DICO_Complet!$A$3:$U$983,15,FALSE))</f>
        <v/>
      </c>
      <c r="O434" s="53" t="str">
        <f>IF(VLOOKUP($A434,DICO_Complet!$A$3:$U$983,16,FALSE)=0,"",VLOOKUP($A434,DICO_Complet!$A$3:$U$983,16,FALSE))</f>
        <v/>
      </c>
      <c r="P434" s="53" t="str">
        <f>IF(VLOOKUP($A434,DICO_Complet!$A$3:$U$983,17,FALSE)=0,"",VLOOKUP($A434,DICO_Complet!$A$3:$U$983,17,FALSE))</f>
        <v/>
      </c>
      <c r="Q434" s="53" t="str">
        <f>IF(VLOOKUP($A434,DICO_Complet!$A$3:$U$983,18,FALSE)=0,"",VLOOKUP($A434,DICO_Complet!$A$3:$U$983,18,FALSE))</f>
        <v/>
      </c>
    </row>
    <row r="435" spans="1:17">
      <c r="A435" s="38">
        <v>241112000120</v>
      </c>
      <c r="B435" s="47" t="s">
        <v>858</v>
      </c>
      <c r="C435" s="3" t="str">
        <f>VLOOKUP($A435,DICO_Complet!$A$3:$U$983,3,FALSE)</f>
        <v>Environment</v>
      </c>
      <c r="D435" s="3" t="str">
        <f>VLOOKUP($A435,DICO_Complet!$A$3:$U$983,4,FALSE)</f>
        <v>merchant</v>
      </c>
      <c r="E435" s="2" t="str">
        <f>VLOOKUP($A435,DICO_Complet!$A$3:$U$983,5,FALSE)</f>
        <v>dynamicMerchantNameIndicator</v>
      </c>
      <c r="F435" s="2" t="str">
        <f>VLOOKUP($A435,DICO_Complet!$A$3:$U$983,6,FALSE)</f>
        <v>ISO18245MerchantCategoryCode</v>
      </c>
      <c r="G435" s="48">
        <f>VLOOKUP($A435,DICO_Complet!$A$3:$U$983,7,FALSE)</f>
        <v>0</v>
      </c>
      <c r="H435" s="48">
        <f>VLOOKUP($A435,DICO_Complet!$A$3:$U$983,8,FALSE)</f>
        <v>0</v>
      </c>
      <c r="I435" s="2" t="str">
        <f>IF(VLOOKUP($A435,DICO_Complet!$A$3:$U$983,9,FALSE)&lt;&gt;0,VLOOKUP($A435,DICO_Complet!$A$3:$U$983,9,FALSE),"")</f>
        <v/>
      </c>
      <c r="J435" s="1" t="str">
        <f>VLOOKUP($A435,DICO_Complet!$A$3:$U$983,10,FALSE)</f>
        <v>Merchant Category Code</v>
      </c>
      <c r="K435" s="53" t="str">
        <f>IF(VLOOKUP($A435,DICO_Complet!$A$3:$U$983,12,FALSE)=0,"",VLOOKUP($A435,DICO_Complet!$A$3:$U$983,12,FALSE))</f>
        <v>ISO18</v>
      </c>
      <c r="L435" s="53" t="str">
        <f>IF(VLOOKUP($A435,DICO_Complet!$A$3:$U$983,13,FALSE)=0,"",VLOOKUP($A435,DICO_Complet!$A$3:$U$983,13,FALSE))</f>
        <v>[18]</v>
      </c>
      <c r="M435" s="53" t="str">
        <f>IF(VLOOKUP($A435,DICO_Complet!$A$3:$U$983,14,FALSE)=0,"",VLOOKUP($A435,DICO_Complet!$A$3:$U$983,14,FALSE))</f>
        <v/>
      </c>
      <c r="N435" s="53" t="str">
        <f>IF(VLOOKUP($A435,DICO_Complet!$A$3:$U$983,15,FALSE)=0,"",VLOOKUP($A435,DICO_Complet!$A$3:$U$983,15,FALSE))</f>
        <v/>
      </c>
      <c r="O435" s="53" t="str">
        <f>IF(VLOOKUP($A435,DICO_Complet!$A$3:$U$983,16,FALSE)=0,"",VLOOKUP($A435,DICO_Complet!$A$3:$U$983,16,FALSE))</f>
        <v/>
      </c>
      <c r="P435" s="53" t="str">
        <f>IF(VLOOKUP($A435,DICO_Complet!$A$3:$U$983,17,FALSE)=0,"",VLOOKUP($A435,DICO_Complet!$A$3:$U$983,17,FALSE))</f>
        <v/>
      </c>
      <c r="Q435" s="53" t="str">
        <f>IF(VLOOKUP($A435,DICO_Complet!$A$3:$U$983,18,FALSE)=0,"",VLOOKUP($A435,DICO_Complet!$A$3:$U$983,18,FALSE))</f>
        <v/>
      </c>
    </row>
    <row r="436" spans="1:17">
      <c r="A436" s="38">
        <v>241112000123</v>
      </c>
      <c r="B436" s="47" t="s">
        <v>858</v>
      </c>
      <c r="C436" s="3" t="str">
        <f>VLOOKUP($A436,DICO_Complet!$A$3:$U$983,3,FALSE)</f>
        <v>Environment</v>
      </c>
      <c r="D436" s="3" t="str">
        <f>VLOOKUP($A436,DICO_Complet!$A$3:$U$983,4,FALSE)</f>
        <v>merchant</v>
      </c>
      <c r="E436" s="2" t="str">
        <f>VLOOKUP($A436,DICO_Complet!$A$3:$U$983,5,FALSE)</f>
        <v>merchantFrenchContractNumber</v>
      </c>
      <c r="F436" s="2" t="str">
        <f>VLOOKUP($A436,DICO_Complet!$A$3:$U$983,6,FALSE)</f>
        <v>Max7NumericText</v>
      </c>
      <c r="G436" s="48">
        <f>VLOOKUP($A436,DICO_Complet!$A$3:$U$983,7,FALSE)</f>
        <v>0</v>
      </c>
      <c r="H436" s="48">
        <f>VLOOKUP($A436,DICO_Complet!$A$3:$U$983,8,FALSE)</f>
        <v>0</v>
      </c>
      <c r="I436" s="2" t="str">
        <f>IF(VLOOKUP($A436,DICO_Complet!$A$3:$U$983,9,FALSE)&lt;&gt;0,VLOOKUP($A436,DICO_Complet!$A$3:$U$983,9,FALSE),"")</f>
        <v/>
      </c>
      <c r="J436" s="1" t="str">
        <f>VLOOKUP($A436,DICO_Complet!$A$3:$U$983,10,FALSE)</f>
        <v>Merchant Contract Number</v>
      </c>
      <c r="K436" s="53" t="str">
        <f>IF(VLOOKUP($A436,DICO_Complet!$A$3:$U$983,12,FALSE)=0,"",VLOOKUP($A436,DICO_Complet!$A$3:$U$983,12,FALSE))</f>
        <v>RSB59_202</v>
      </c>
      <c r="L436" s="53" t="str">
        <f>IF(VLOOKUP($A436,DICO_Complet!$A$3:$U$983,13,FALSE)=0,"",VLOOKUP($A436,DICO_Complet!$A$3:$U$983,13,FALSE))</f>
        <v>[59-0202]</v>
      </c>
      <c r="M436" s="53" t="str">
        <f>IF(VLOOKUP($A436,DICO_Complet!$A$3:$U$983,14,FALSE)=0,"",VLOOKUP($A436,DICO_Complet!$A$3:$U$983,14,FALSE))</f>
        <v/>
      </c>
      <c r="N436" s="53" t="str">
        <f>IF(VLOOKUP($A436,DICO_Complet!$A$3:$U$983,15,FALSE)=0,"",VLOOKUP($A436,DICO_Complet!$A$3:$U$983,15,FALSE))</f>
        <v/>
      </c>
      <c r="O436" s="53" t="str">
        <f>IF(VLOOKUP($A436,DICO_Complet!$A$3:$U$983,16,FALSE)=0,"",VLOOKUP($A436,DICO_Complet!$A$3:$U$983,16,FALSE))</f>
        <v/>
      </c>
      <c r="P436" s="53" t="str">
        <f>IF(VLOOKUP($A436,DICO_Complet!$A$3:$U$983,17,FALSE)=0,"",VLOOKUP($A436,DICO_Complet!$A$3:$U$983,17,FALSE))</f>
        <v/>
      </c>
      <c r="Q436" s="53" t="str">
        <f>IF(VLOOKUP($A436,DICO_Complet!$A$3:$U$983,18,FALSE)=0,"",VLOOKUP($A436,DICO_Complet!$A$3:$U$983,18,FALSE))</f>
        <v/>
      </c>
    </row>
    <row r="437" spans="1:17">
      <c r="A437" s="38">
        <v>241112000124</v>
      </c>
      <c r="B437" s="47" t="s">
        <v>858</v>
      </c>
      <c r="C437" s="3" t="str">
        <f>VLOOKUP($A437,DICO_Complet!$A$3:$U$983,3,FALSE)</f>
        <v>Environment</v>
      </c>
      <c r="D437" s="3" t="str">
        <f>VLOOKUP($A437,DICO_Complet!$A$3:$U$983,4,FALSE)</f>
        <v>merchant</v>
      </c>
      <c r="E437" s="2" t="str">
        <f>VLOOKUP($A437,DICO_Complet!$A$3:$U$983,5,FALSE)</f>
        <v>merchantIdentification</v>
      </c>
      <c r="F437" s="2" t="str">
        <f>VLOOKUP($A437,DICO_Complet!$A$3:$U$983,6,FALSE)</f>
        <v>MerchantIdType</v>
      </c>
      <c r="G437" s="48">
        <f>VLOOKUP($A437,DICO_Complet!$A$3:$U$983,7,FALSE)</f>
        <v>0</v>
      </c>
      <c r="H437" s="48">
        <f>VLOOKUP($A437,DICO_Complet!$A$3:$U$983,8,FALSE)</f>
        <v>0</v>
      </c>
      <c r="I437" s="2" t="str">
        <f>IF(VLOOKUP($A437,DICO_Complet!$A$3:$U$983,9,FALSE)&lt;&gt;0,VLOOKUP($A437,DICO_Complet!$A$3:$U$983,9,FALSE),"")</f>
        <v/>
      </c>
      <c r="J437" s="1" t="str">
        <f>VLOOKUP($A437,DICO_Complet!$A$3:$U$983,10,FALSE)</f>
        <v>Merchant (ID, Name, Usage : Processing, CB, Visa, MC, Interal, External)</v>
      </c>
      <c r="K437" s="53" t="str">
        <f>IF(VLOOKUP($A437,DICO_Complet!$A$3:$U$983,12,FALSE)=0,"",VLOOKUP($A437,DICO_Complet!$A$3:$U$983,12,FALSE))</f>
        <v>ISO42</v>
      </c>
      <c r="L437" s="53" t="str">
        <f>IF(VLOOKUP($A437,DICO_Complet!$A$3:$U$983,13,FALSE)=0,"",VLOOKUP($A437,DICO_Complet!$A$3:$U$983,13,FALSE))</f>
        <v>[42]</v>
      </c>
      <c r="M437" s="53" t="str">
        <f>IF(VLOOKUP($A437,DICO_Complet!$A$3:$U$983,14,FALSE)=0,"",VLOOKUP($A437,DICO_Complet!$A$3:$U$983,14,FALSE))</f>
        <v>x</v>
      </c>
      <c r="N437" s="53" t="str">
        <f>IF(VLOOKUP($A437,DICO_Complet!$A$3:$U$983,15,FALSE)=0,"",VLOOKUP($A437,DICO_Complet!$A$3:$U$983,15,FALSE))</f>
        <v/>
      </c>
      <c r="O437" s="53" t="str">
        <f>IF(VLOOKUP($A437,DICO_Complet!$A$3:$U$983,16,FALSE)=0,"",VLOOKUP($A437,DICO_Complet!$A$3:$U$983,16,FALSE))</f>
        <v/>
      </c>
      <c r="P437" s="53" t="str">
        <f>IF(VLOOKUP($A437,DICO_Complet!$A$3:$U$983,17,FALSE)=0,"",VLOOKUP($A437,DICO_Complet!$A$3:$U$983,17,FALSE))</f>
        <v/>
      </c>
      <c r="Q437" s="53" t="str">
        <f>IF(VLOOKUP($A437,DICO_Complet!$A$3:$U$983,18,FALSE)=0,"",VLOOKUP($A437,DICO_Complet!$A$3:$U$983,18,FALSE))</f>
        <v/>
      </c>
    </row>
    <row r="438" spans="1:17">
      <c r="A438" s="38">
        <v>250324114800</v>
      </c>
      <c r="B438" s="47" t="s">
        <v>858</v>
      </c>
      <c r="C438" s="3" t="str">
        <f>VLOOKUP($A438,DICO_Complet!$A$3:$U$983,3,FALSE)</f>
        <v>Environment</v>
      </c>
      <c r="D438" s="3" t="str">
        <f>VLOOKUP($A438,DICO_Complet!$A$3:$U$983,4,FALSE)</f>
        <v>merchant</v>
      </c>
      <c r="E438" s="2" t="str">
        <f>VLOOKUP($A438,DICO_Complet!$A$3:$U$983,5,FALSE)</f>
        <v>merchantProcessingEndDate</v>
      </c>
      <c r="F438" s="2" t="str">
        <f>VLOOKUP($A438,DICO_Complet!$A$3:$U$983,6,FALSE)</f>
        <v>ISODateTime</v>
      </c>
      <c r="G438" s="48">
        <f>VLOOKUP($A438,DICO_Complet!$A$3:$U$983,7,FALSE)</f>
        <v>0</v>
      </c>
      <c r="H438" s="48">
        <f>VLOOKUP($A438,DICO_Complet!$A$3:$U$983,8,FALSE)</f>
        <v>0</v>
      </c>
      <c r="I438" s="2" t="str">
        <f>IF(VLOOKUP($A438,DICO_Complet!$A$3:$U$983,9,FALSE)&lt;&gt;0,VLOOKUP($A438,DICO_Complet!$A$3:$U$983,9,FALSE),"")</f>
        <v/>
      </c>
      <c r="J438" s="1" t="str">
        <f>VLOOKUP($A438,DICO_Complet!$A$3:$U$983,10,FALSE)</f>
        <v>Date de fin de l'effet du contrat</v>
      </c>
      <c r="K438" s="53" t="str">
        <f>IF(VLOOKUP($A438,DICO_Complet!$A$3:$U$983,12,FALSE)=0,"",VLOOKUP($A438,DICO_Complet!$A$3:$U$983,12,FALSE))</f>
        <v/>
      </c>
      <c r="L438" s="53" t="str">
        <f>IF(VLOOKUP($A438,DICO_Complet!$A$3:$U$983,13,FALSE)=0,"",VLOOKUP($A438,DICO_Complet!$A$3:$U$983,13,FALSE))</f>
        <v/>
      </c>
      <c r="M438" s="53" t="str">
        <f>IF(VLOOKUP($A438,DICO_Complet!$A$3:$U$983,14,FALSE)=0,"",VLOOKUP($A438,DICO_Complet!$A$3:$U$983,14,FALSE))</f>
        <v/>
      </c>
      <c r="N438" s="53" t="str">
        <f>IF(VLOOKUP($A438,DICO_Complet!$A$3:$U$983,15,FALSE)=0,"",VLOOKUP($A438,DICO_Complet!$A$3:$U$983,15,FALSE))</f>
        <v/>
      </c>
      <c r="O438" s="53" t="str">
        <f>IF(VLOOKUP($A438,DICO_Complet!$A$3:$U$983,16,FALSE)=0,"",VLOOKUP($A438,DICO_Complet!$A$3:$U$983,16,FALSE))</f>
        <v/>
      </c>
      <c r="P438" s="53" t="str">
        <f>IF(VLOOKUP($A438,DICO_Complet!$A$3:$U$983,17,FALSE)=0,"",VLOOKUP($A438,DICO_Complet!$A$3:$U$983,17,FALSE))</f>
        <v/>
      </c>
      <c r="Q438" s="53" t="str">
        <f>IF(VLOOKUP($A438,DICO_Complet!$A$3:$U$983,18,FALSE)=0,"",VLOOKUP($A438,DICO_Complet!$A$3:$U$983,18,FALSE))</f>
        <v/>
      </c>
    </row>
    <row r="439" spans="1:17">
      <c r="A439" s="38">
        <v>250324114700</v>
      </c>
      <c r="B439" s="47" t="s">
        <v>858</v>
      </c>
      <c r="C439" s="3" t="str">
        <f>VLOOKUP($A439,DICO_Complet!$A$3:$U$983,3,FALSE)</f>
        <v>Environment</v>
      </c>
      <c r="D439" s="3" t="str">
        <f>VLOOKUP($A439,DICO_Complet!$A$3:$U$983,4,FALSE)</f>
        <v>merchant</v>
      </c>
      <c r="E439" s="2" t="str">
        <f>VLOOKUP($A439,DICO_Complet!$A$3:$U$983,5,FALSE)</f>
        <v>merchantProcessingStartDate</v>
      </c>
      <c r="F439" s="2" t="str">
        <f>VLOOKUP($A439,DICO_Complet!$A$3:$U$983,6,FALSE)</f>
        <v>ISODateTime</v>
      </c>
      <c r="G439" s="48">
        <f>VLOOKUP($A439,DICO_Complet!$A$3:$U$983,7,FALSE)</f>
        <v>0</v>
      </c>
      <c r="H439" s="48">
        <f>VLOOKUP($A439,DICO_Complet!$A$3:$U$983,8,FALSE)</f>
        <v>0</v>
      </c>
      <c r="I439" s="2" t="str">
        <f>IF(VLOOKUP($A439,DICO_Complet!$A$3:$U$983,9,FALSE)&lt;&gt;0,VLOOKUP($A439,DICO_Complet!$A$3:$U$983,9,FALSE),"")</f>
        <v/>
      </c>
      <c r="J439" s="1" t="str">
        <f>VLOOKUP($A439,DICO_Complet!$A$3:$U$983,10,FALSE)</f>
        <v>Date de debut d'effet du contrat</v>
      </c>
      <c r="K439" s="53" t="str">
        <f>IF(VLOOKUP($A439,DICO_Complet!$A$3:$U$983,12,FALSE)=0,"",VLOOKUP($A439,DICO_Complet!$A$3:$U$983,12,FALSE))</f>
        <v/>
      </c>
      <c r="L439" s="53" t="str">
        <f>IF(VLOOKUP($A439,DICO_Complet!$A$3:$U$983,13,FALSE)=0,"",VLOOKUP($A439,DICO_Complet!$A$3:$U$983,13,FALSE))</f>
        <v/>
      </c>
      <c r="M439" s="53" t="str">
        <f>IF(VLOOKUP($A439,DICO_Complet!$A$3:$U$983,14,FALSE)=0,"",VLOOKUP($A439,DICO_Complet!$A$3:$U$983,14,FALSE))</f>
        <v/>
      </c>
      <c r="N439" s="53" t="str">
        <f>IF(VLOOKUP($A439,DICO_Complet!$A$3:$U$983,15,FALSE)=0,"",VLOOKUP($A439,DICO_Complet!$A$3:$U$983,15,FALSE))</f>
        <v/>
      </c>
      <c r="O439" s="53" t="str">
        <f>IF(VLOOKUP($A439,DICO_Complet!$A$3:$U$983,16,FALSE)=0,"",VLOOKUP($A439,DICO_Complet!$A$3:$U$983,16,FALSE))</f>
        <v/>
      </c>
      <c r="P439" s="53" t="str">
        <f>IF(VLOOKUP($A439,DICO_Complet!$A$3:$U$983,17,FALSE)=0,"",VLOOKUP($A439,DICO_Complet!$A$3:$U$983,17,FALSE))</f>
        <v/>
      </c>
      <c r="Q439" s="53" t="str">
        <f>IF(VLOOKUP($A439,DICO_Complet!$A$3:$U$983,18,FALSE)=0,"",VLOOKUP($A439,DICO_Complet!$A$3:$U$983,18,FALSE))</f>
        <v/>
      </c>
    </row>
    <row r="440" spans="1:17">
      <c r="A440" s="38">
        <v>250428082200</v>
      </c>
      <c r="B440" s="47" t="s">
        <v>858</v>
      </c>
      <c r="C440" s="3" t="str">
        <f>VLOOKUP($A440,DICO_Complet!$A$3:$U$983,3,FALSE)</f>
        <v>Environment</v>
      </c>
      <c r="D440" s="3" t="str">
        <f>VLOOKUP($A440,DICO_Complet!$A$3:$U$983,4,FALSE)</f>
        <v>merchant</v>
      </c>
      <c r="E440" s="2" t="str">
        <f>VLOOKUP($A440,DICO_Complet!$A$3:$U$983,5,FALSE)</f>
        <v>midManagementIndicator</v>
      </c>
      <c r="F440" s="2" t="str">
        <f>VLOOKUP($A440,DICO_Complet!$A$3:$U$983,6,FALSE)</f>
        <v>TrueFalseIndicator</v>
      </c>
      <c r="G440" s="48">
        <f>VLOOKUP($A440,DICO_Complet!$A$3:$U$983,7,FALSE)</f>
        <v>0</v>
      </c>
      <c r="H440" s="48">
        <f>VLOOKUP($A440,DICO_Complet!$A$3:$U$983,8,FALSE)</f>
        <v>0</v>
      </c>
      <c r="I440" s="2" t="str">
        <f>IF(VLOOKUP($A440,DICO_Complet!$A$3:$U$983,9,FALSE)&lt;&gt;0,VLOOKUP($A440,DICO_Complet!$A$3:$U$983,9,FALSE),"")</f>
        <v/>
      </c>
      <c r="J440" s="1" t="str">
        <f>VLOOKUP($A440,DICO_Complet!$A$3:$U$983,10,FALSE)</f>
        <v>Indicate if the processor is reponsible for the MID creation</v>
      </c>
      <c r="K440" s="53" t="str">
        <f>IF(VLOOKUP($A440,DICO_Complet!$A$3:$U$983,12,FALSE)=0,"",VLOOKUP($A440,DICO_Complet!$A$3:$U$983,12,FALSE))</f>
        <v/>
      </c>
      <c r="L440" s="53" t="str">
        <f>IF(VLOOKUP($A440,DICO_Complet!$A$3:$U$983,13,FALSE)=0,"",VLOOKUP($A440,DICO_Complet!$A$3:$U$983,13,FALSE))</f>
        <v/>
      </c>
      <c r="M440" s="53" t="str">
        <f>IF(VLOOKUP($A440,DICO_Complet!$A$3:$U$983,14,FALSE)=0,"",VLOOKUP($A440,DICO_Complet!$A$3:$U$983,14,FALSE))</f>
        <v/>
      </c>
      <c r="N440" s="53" t="str">
        <f>IF(VLOOKUP($A440,DICO_Complet!$A$3:$U$983,15,FALSE)=0,"",VLOOKUP($A440,DICO_Complet!$A$3:$U$983,15,FALSE))</f>
        <v/>
      </c>
      <c r="O440" s="53" t="str">
        <f>IF(VLOOKUP($A440,DICO_Complet!$A$3:$U$983,16,FALSE)=0,"",VLOOKUP($A440,DICO_Complet!$A$3:$U$983,16,FALSE))</f>
        <v/>
      </c>
      <c r="P440" s="53" t="str">
        <f>IF(VLOOKUP($A440,DICO_Complet!$A$3:$U$983,17,FALSE)=0,"",VLOOKUP($A440,DICO_Complet!$A$3:$U$983,17,FALSE))</f>
        <v/>
      </c>
      <c r="Q440" s="53" t="str">
        <f>IF(VLOOKUP($A440,DICO_Complet!$A$3:$U$983,18,FALSE)=0,"",VLOOKUP($A440,DICO_Complet!$A$3:$U$983,18,FALSE))</f>
        <v/>
      </c>
    </row>
    <row r="441" spans="1:17">
      <c r="A441" s="38">
        <v>241112000130</v>
      </c>
      <c r="B441" s="47" t="s">
        <v>858</v>
      </c>
      <c r="C441" s="3" t="str">
        <f>VLOOKUP($A441,DICO_Complet!$A$3:$U$983,3,FALSE)</f>
        <v>Environment</v>
      </c>
      <c r="D441" s="3" t="str">
        <f>VLOOKUP($A441,DICO_Complet!$A$3:$U$983,4,FALSE)</f>
        <v>merchant</v>
      </c>
      <c r="E441" s="2" t="str">
        <f>VLOOKUP($A441,DICO_Complet!$A$3:$U$983,5,FALSE)</f>
        <v>poiIdByAcquirer</v>
      </c>
      <c r="F441" s="2" t="str">
        <f>VLOOKUP($A441,DICO_Complet!$A$3:$U$983,6,FALSE)</f>
        <v>Max8Text</v>
      </c>
      <c r="G441" s="48">
        <f>VLOOKUP($A441,DICO_Complet!$A$3:$U$983,7,FALSE)</f>
        <v>0</v>
      </c>
      <c r="H441" s="48">
        <f>VLOOKUP($A441,DICO_Complet!$A$3:$U$983,8,FALSE)</f>
        <v>0</v>
      </c>
      <c r="I441" s="2" t="str">
        <f>IF(VLOOKUP($A441,DICO_Complet!$A$3:$U$983,9,FALSE)&lt;&gt;0,VLOOKUP($A441,DICO_Complet!$A$3:$U$983,9,FALSE),"")</f>
        <v/>
      </c>
      <c r="J441" s="1" t="str">
        <f>VLOOKUP($A441,DICO_Complet!$A$3:$U$983,10,FALSE)</f>
        <v>POINT OF INTERACTION IDENTIFIER ASSIGNED BY AN ACQUIRER</v>
      </c>
      <c r="K441" s="53" t="str">
        <f>IF(VLOOKUP($A441,DICO_Complet!$A$3:$U$983,12,FALSE)=0,"",VLOOKUP($A441,DICO_Complet!$A$3:$U$983,12,FALSE))</f>
        <v>RSB47_97</v>
      </c>
      <c r="L441" s="53" t="str">
        <f>IF(VLOOKUP($A441,DICO_Complet!$A$3:$U$983,13,FALSE)=0,"",VLOOKUP($A441,DICO_Complet!$A$3:$U$983,13,FALSE))</f>
        <v>[47-97]</v>
      </c>
      <c r="M441" s="53" t="str">
        <f>IF(VLOOKUP($A441,DICO_Complet!$A$3:$U$983,14,FALSE)=0,"",VLOOKUP($A441,DICO_Complet!$A$3:$U$983,14,FALSE))</f>
        <v/>
      </c>
      <c r="N441" s="53" t="str">
        <f>IF(VLOOKUP($A441,DICO_Complet!$A$3:$U$983,15,FALSE)=0,"",VLOOKUP($A441,DICO_Complet!$A$3:$U$983,15,FALSE))</f>
        <v/>
      </c>
      <c r="O441" s="53" t="str">
        <f>IF(VLOOKUP($A441,DICO_Complet!$A$3:$U$983,16,FALSE)=0,"",VLOOKUP($A441,DICO_Complet!$A$3:$U$983,16,FALSE))</f>
        <v/>
      </c>
      <c r="P441" s="53" t="str">
        <f>IF(VLOOKUP($A441,DICO_Complet!$A$3:$U$983,17,FALSE)=0,"",VLOOKUP($A441,DICO_Complet!$A$3:$U$983,17,FALSE))</f>
        <v/>
      </c>
      <c r="Q441" s="53" t="str">
        <f>IF(VLOOKUP($A441,DICO_Complet!$A$3:$U$983,18,FALSE)=0,"",VLOOKUP($A441,DICO_Complet!$A$3:$U$983,18,FALSE))</f>
        <v/>
      </c>
    </row>
    <row r="442" spans="1:17">
      <c r="A442" s="38">
        <v>250428082500</v>
      </c>
      <c r="B442" s="47" t="s">
        <v>858</v>
      </c>
      <c r="C442" s="3" t="str">
        <f>VLOOKUP($A442,DICO_Complet!$A$3:$U$983,3,FALSE)</f>
        <v>Environment</v>
      </c>
      <c r="D442" s="3" t="str">
        <f>VLOOKUP($A442,DICO_Complet!$A$3:$U$983,4,FALSE)</f>
        <v>merchant</v>
      </c>
      <c r="E442" s="2" t="str">
        <f>VLOOKUP($A442,DICO_Complet!$A$3:$U$983,5,FALSE)</f>
        <v>pointOfSale</v>
      </c>
      <c r="F442" s="2" t="str">
        <f>VLOOKUP($A442,DICO_Complet!$A$3:$U$983,6,FALSE)</f>
        <v>PointOfSaleType</v>
      </c>
      <c r="G442" s="48">
        <f>VLOOKUP($A442,DICO_Complet!$A$3:$U$983,7,FALSE)</f>
        <v>0</v>
      </c>
      <c r="H442" s="48">
        <f>VLOOKUP($A442,DICO_Complet!$A$3:$U$983,8,FALSE)</f>
        <v>0</v>
      </c>
      <c r="I442" s="2" t="str">
        <f>IF(VLOOKUP($A442,DICO_Complet!$A$3:$U$983,9,FALSE)&lt;&gt;0,VLOOKUP($A442,DICO_Complet!$A$3:$U$983,9,FALSE),"")</f>
        <v/>
      </c>
      <c r="J442" s="1" t="str">
        <f>VLOOKUP($A442,DICO_Complet!$A$3:$U$983,10,FALSE)</f>
        <v>Structure giving information related to the point sale (Point de vente) : ID, Name, Adress</v>
      </c>
      <c r="K442" s="53" t="str">
        <f>IF(VLOOKUP($A442,DICO_Complet!$A$3:$U$983,12,FALSE)=0,"",VLOOKUP($A442,DICO_Complet!$A$3:$U$983,12,FALSE))</f>
        <v/>
      </c>
      <c r="L442" s="53" t="str">
        <f>IF(VLOOKUP($A442,DICO_Complet!$A$3:$U$983,13,FALSE)=0,"",VLOOKUP($A442,DICO_Complet!$A$3:$U$983,13,FALSE))</f>
        <v/>
      </c>
      <c r="M442" s="53" t="str">
        <f>IF(VLOOKUP($A442,DICO_Complet!$A$3:$U$983,14,FALSE)=0,"",VLOOKUP($A442,DICO_Complet!$A$3:$U$983,14,FALSE))</f>
        <v/>
      </c>
      <c r="N442" s="53" t="str">
        <f>IF(VLOOKUP($A442,DICO_Complet!$A$3:$U$983,15,FALSE)=0,"",VLOOKUP($A442,DICO_Complet!$A$3:$U$983,15,FALSE))</f>
        <v/>
      </c>
      <c r="O442" s="53" t="str">
        <f>IF(VLOOKUP($A442,DICO_Complet!$A$3:$U$983,16,FALSE)=0,"",VLOOKUP($A442,DICO_Complet!$A$3:$U$983,16,FALSE))</f>
        <v/>
      </c>
      <c r="P442" s="53" t="str">
        <f>IF(VLOOKUP($A442,DICO_Complet!$A$3:$U$983,17,FALSE)=0,"",VLOOKUP($A442,DICO_Complet!$A$3:$U$983,17,FALSE))</f>
        <v/>
      </c>
      <c r="Q442" s="53" t="str">
        <f>IF(VLOOKUP($A442,DICO_Complet!$A$3:$U$983,18,FALSE)=0,"",VLOOKUP($A442,DICO_Complet!$A$3:$U$983,18,FALSE))</f>
        <v/>
      </c>
    </row>
    <row r="443" spans="1:17">
      <c r="A443" s="38">
        <v>241112000131</v>
      </c>
      <c r="B443" s="47" t="s">
        <v>858</v>
      </c>
      <c r="C443" s="3" t="str">
        <f>VLOOKUP($A443,DICO_Complet!$A$3:$U$983,3,FALSE)</f>
        <v>Environment</v>
      </c>
      <c r="D443" s="3" t="str">
        <f>VLOOKUP($A443,DICO_Complet!$A$3:$U$983,4,FALSE)</f>
        <v>merchant</v>
      </c>
      <c r="E443" s="2" t="str">
        <f>VLOOKUP($A443,DICO_Complet!$A$3:$U$983,5,FALSE)</f>
        <v>postalAddress</v>
      </c>
      <c r="F443" s="2" t="str">
        <f>VLOOKUP($A443,DICO_Complet!$A$3:$U$983,6,FALSE)</f>
        <v>PostalAddressType</v>
      </c>
      <c r="G443" s="48">
        <f>VLOOKUP($A443,DICO_Complet!$A$3:$U$983,7,FALSE)</f>
        <v>0</v>
      </c>
      <c r="H443" s="48">
        <f>VLOOKUP($A443,DICO_Complet!$A$3:$U$983,8,FALSE)</f>
        <v>0</v>
      </c>
      <c r="I443" s="2" t="str">
        <f>IF(VLOOKUP($A443,DICO_Complet!$A$3:$U$983,9,FALSE)&lt;&gt;0,VLOOKUP($A443,DICO_Complet!$A$3:$U$983,9,FALSE),"")</f>
        <v/>
      </c>
      <c r="J443" s="1" t="str">
        <f>VLOOKUP($A443,DICO_Complet!$A$3:$U$983,10,FALSE)</f>
        <v>Complete Postal Address</v>
      </c>
      <c r="K443" s="53" t="str">
        <f>IF(VLOOKUP($A443,DICO_Complet!$A$3:$U$983,12,FALSE)=0,"",VLOOKUP($A443,DICO_Complet!$A$3:$U$983,12,FALSE))</f>
        <v>ISO43_p2</v>
      </c>
      <c r="L443" s="53" t="str">
        <f>IF(VLOOKUP($A443,DICO_Complet!$A$3:$U$983,13,FALSE)=0,"",VLOOKUP($A443,DICO_Complet!$A$3:$U$983,13,FALSE))</f>
        <v>[43-p2]</v>
      </c>
      <c r="M443" s="53" t="str">
        <f>IF(VLOOKUP($A443,DICO_Complet!$A$3:$U$983,14,FALSE)=0,"",VLOOKUP($A443,DICO_Complet!$A$3:$U$983,14,FALSE))</f>
        <v>43 -p 2</v>
      </c>
      <c r="N443" s="53" t="str">
        <f>IF(VLOOKUP($A443,DICO_Complet!$A$3:$U$983,15,FALSE)=0,"",VLOOKUP($A443,DICO_Complet!$A$3:$U$983,15,FALSE))</f>
        <v/>
      </c>
      <c r="O443" s="53" t="str">
        <f>IF(VLOOKUP($A443,DICO_Complet!$A$3:$U$983,16,FALSE)=0,"",VLOOKUP($A443,DICO_Complet!$A$3:$U$983,16,FALSE))</f>
        <v/>
      </c>
      <c r="P443" s="53" t="str">
        <f>IF(VLOOKUP($A443,DICO_Complet!$A$3:$U$983,17,FALSE)=0,"",VLOOKUP($A443,DICO_Complet!$A$3:$U$983,17,FALSE))</f>
        <v/>
      </c>
      <c r="Q443" s="53" t="str">
        <f>IF(VLOOKUP($A443,DICO_Complet!$A$3:$U$983,18,FALSE)=0,"",VLOOKUP($A443,DICO_Complet!$A$3:$U$983,18,FALSE))</f>
        <v/>
      </c>
    </row>
    <row r="444" spans="1:17">
      <c r="A444" s="38">
        <v>250401134800</v>
      </c>
      <c r="B444" s="47" t="s">
        <v>858</v>
      </c>
      <c r="C444" s="3" t="str">
        <f>VLOOKUP($A444,DICO_Complet!$A$3:$U$983,3,FALSE)</f>
        <v>Environment</v>
      </c>
      <c r="D444" s="3" t="str">
        <f>VLOOKUP($A444,DICO_Complet!$A$3:$U$983,4,FALSE)</f>
        <v>merchant</v>
      </c>
      <c r="E444" s="2" t="str">
        <f>VLOOKUP($A444,DICO_Complet!$A$3:$U$983,5,FALSE)</f>
        <v>readingMode</v>
      </c>
      <c r="F444" s="2" t="str">
        <f>VLOOKUP($A444,DICO_Complet!$A$3:$U$983,6,FALSE)</f>
        <v>ReadingModeCodeset</v>
      </c>
      <c r="G444" s="48">
        <f>VLOOKUP($A444,DICO_Complet!$A$3:$U$983,7,FALSE)</f>
        <v>0</v>
      </c>
      <c r="H444" s="48">
        <f>VLOOKUP($A444,DICO_Complet!$A$3:$U$983,8,FALSE)</f>
        <v>0</v>
      </c>
      <c r="I444" s="2" t="str">
        <f>IF(VLOOKUP($A444,DICO_Complet!$A$3:$U$983,9,FALSE)&lt;&gt;0,VLOOKUP($A444,DICO_Complet!$A$3:$U$983,9,FALSE),"")</f>
        <v/>
      </c>
      <c r="J444" s="1" t="str">
        <f>VLOOKUP($A444,DICO_Complet!$A$3:$U$983,10,FALSE)</f>
        <v>Payment reading mode</v>
      </c>
      <c r="K444" s="53" t="str">
        <f>IF(VLOOKUP($A444,DICO_Complet!$A$3:$U$983,12,FALSE)=0,"",VLOOKUP($A444,DICO_Complet!$A$3:$U$983,12,FALSE))</f>
        <v/>
      </c>
      <c r="L444" s="53" t="str">
        <f>IF(VLOOKUP($A444,DICO_Complet!$A$3:$U$983,13,FALSE)=0,"",VLOOKUP($A444,DICO_Complet!$A$3:$U$983,13,FALSE))</f>
        <v/>
      </c>
      <c r="M444" s="53" t="str">
        <f>IF(VLOOKUP($A444,DICO_Complet!$A$3:$U$983,14,FALSE)=0,"",VLOOKUP($A444,DICO_Complet!$A$3:$U$983,14,FALSE))</f>
        <v/>
      </c>
      <c r="N444" s="53" t="str">
        <f>IF(VLOOKUP($A444,DICO_Complet!$A$3:$U$983,15,FALSE)=0,"",VLOOKUP($A444,DICO_Complet!$A$3:$U$983,15,FALSE))</f>
        <v/>
      </c>
      <c r="O444" s="53" t="str">
        <f>IF(VLOOKUP($A444,DICO_Complet!$A$3:$U$983,16,FALSE)=0,"",VLOOKUP($A444,DICO_Complet!$A$3:$U$983,16,FALSE))</f>
        <v/>
      </c>
      <c r="P444" s="53" t="str">
        <f>IF(VLOOKUP($A444,DICO_Complet!$A$3:$U$983,17,FALSE)=0,"",VLOOKUP($A444,DICO_Complet!$A$3:$U$983,17,FALSE))</f>
        <v/>
      </c>
      <c r="Q444" s="53" t="str">
        <f>IF(VLOOKUP($A444,DICO_Complet!$A$3:$U$983,18,FALSE)=0,"",VLOOKUP($A444,DICO_Complet!$A$3:$U$983,18,FALSE))</f>
        <v/>
      </c>
    </row>
    <row r="445" spans="1:17">
      <c r="A445" s="38">
        <v>250401140200</v>
      </c>
      <c r="B445" s="47" t="s">
        <v>858</v>
      </c>
      <c r="C445" s="3" t="str">
        <f>VLOOKUP($A445,DICO_Complet!$A$3:$U$983,3,FALSE)</f>
        <v>Environment</v>
      </c>
      <c r="D445" s="3" t="str">
        <f>VLOOKUP($A445,DICO_Complet!$A$3:$U$983,4,FALSE)</f>
        <v>merchant</v>
      </c>
      <c r="E445" s="2" t="str">
        <f>VLOOKUP($A445,DICO_Complet!$A$3:$U$983,5,FALSE)</f>
        <v>signName</v>
      </c>
      <c r="F445" s="2" t="str">
        <f>VLOOKUP($A445,DICO_Complet!$A$3:$U$983,6,FALSE)</f>
        <v>Max40Text</v>
      </c>
      <c r="G445" s="48">
        <f>VLOOKUP($A445,DICO_Complet!$A$3:$U$983,7,FALSE)</f>
        <v>0</v>
      </c>
      <c r="H445" s="48">
        <f>VLOOKUP($A445,DICO_Complet!$A$3:$U$983,8,FALSE)</f>
        <v>0</v>
      </c>
      <c r="I445" s="2" t="str">
        <f>IF(VLOOKUP($A445,DICO_Complet!$A$3:$U$983,9,FALSE)&lt;&gt;0,VLOOKUP($A445,DICO_Complet!$A$3:$U$983,9,FALSE),"")</f>
        <v/>
      </c>
      <c r="J445" s="1" t="str">
        <f>VLOOKUP($A445,DICO_Complet!$A$3:$U$983,10,FALSE)</f>
        <v>Sign name</v>
      </c>
      <c r="K445" s="53" t="str">
        <f>IF(VLOOKUP($A445,DICO_Complet!$A$3:$U$983,12,FALSE)=0,"",VLOOKUP($A445,DICO_Complet!$A$3:$U$983,12,FALSE))</f>
        <v/>
      </c>
      <c r="L445" s="53" t="str">
        <f>IF(VLOOKUP($A445,DICO_Complet!$A$3:$U$983,13,FALSE)=0,"",VLOOKUP($A445,DICO_Complet!$A$3:$U$983,13,FALSE))</f>
        <v/>
      </c>
      <c r="M445" s="53" t="str">
        <f>IF(VLOOKUP($A445,DICO_Complet!$A$3:$U$983,14,FALSE)=0,"",VLOOKUP($A445,DICO_Complet!$A$3:$U$983,14,FALSE))</f>
        <v/>
      </c>
      <c r="N445" s="53" t="str">
        <f>IF(VLOOKUP($A445,DICO_Complet!$A$3:$U$983,15,FALSE)=0,"",VLOOKUP($A445,DICO_Complet!$A$3:$U$983,15,FALSE))</f>
        <v/>
      </c>
      <c r="O445" s="53" t="str">
        <f>IF(VLOOKUP($A445,DICO_Complet!$A$3:$U$983,16,FALSE)=0,"",VLOOKUP($A445,DICO_Complet!$A$3:$U$983,16,FALSE))</f>
        <v/>
      </c>
      <c r="P445" s="53" t="str">
        <f>IF(VLOOKUP($A445,DICO_Complet!$A$3:$U$983,17,FALSE)=0,"",VLOOKUP($A445,DICO_Complet!$A$3:$U$983,17,FALSE))</f>
        <v/>
      </c>
      <c r="Q445" s="53" t="str">
        <f>IF(VLOOKUP($A445,DICO_Complet!$A$3:$U$983,18,FALSE)=0,"",VLOOKUP($A445,DICO_Complet!$A$3:$U$983,18,FALSE))</f>
        <v/>
      </c>
    </row>
    <row r="446" spans="1:17">
      <c r="A446" s="38">
        <v>241112000132</v>
      </c>
      <c r="B446" s="47" t="s">
        <v>858</v>
      </c>
      <c r="C446" s="3" t="str">
        <f>VLOOKUP($A446,DICO_Complet!$A$3:$U$983,3,FALSE)</f>
        <v>Environment</v>
      </c>
      <c r="D446" s="3" t="str">
        <f>VLOOKUP($A446,DICO_Complet!$A$3:$U$983,4,FALSE)</f>
        <v>merchant</v>
      </c>
      <c r="E446" s="2" t="str">
        <f>VLOOKUP($A446,DICO_Complet!$A$3:$U$983,5,FALSE)</f>
        <v>singleContractIndicator</v>
      </c>
      <c r="F446" s="2" t="str">
        <f>VLOOKUP($A446,DICO_Complet!$A$3:$U$983,6,FALSE)</f>
        <v>TrueFalseIndicator</v>
      </c>
      <c r="G446" s="48">
        <f>VLOOKUP($A446,DICO_Complet!$A$3:$U$983,7,FALSE)</f>
        <v>0</v>
      </c>
      <c r="H446" s="48">
        <f>VLOOKUP($A446,DICO_Complet!$A$3:$U$983,8,FALSE)</f>
        <v>0</v>
      </c>
      <c r="I446" s="2" t="str">
        <f>IF(VLOOKUP($A446,DICO_Complet!$A$3:$U$983,9,FALSE)&lt;&gt;0,VLOOKUP($A446,DICO_Complet!$A$3:$U$983,9,FALSE),"")</f>
        <v/>
      </c>
      <c r="J446" s="1" t="str">
        <f>VLOOKUP($A446,DICO_Complet!$A$3:$U$983,10,FALSE)</f>
        <v>Single contract Indicator (Top)</v>
      </c>
      <c r="K446" s="53" t="str">
        <f>IF(VLOOKUP($A446,DICO_Complet!$A$3:$U$983,12,FALSE)=0,"",VLOOKUP($A446,DICO_Complet!$A$3:$U$983,12,FALSE))</f>
        <v>AUT368</v>
      </c>
      <c r="L446" s="53" t="str">
        <f>IF(VLOOKUP($A446,DICO_Complet!$A$3:$U$983,13,FALSE)=0,"",VLOOKUP($A446,DICO_Complet!$A$3:$U$983,13,FALSE))</f>
        <v/>
      </c>
      <c r="M446" s="53" t="str">
        <f>IF(VLOOKUP($A446,DICO_Complet!$A$3:$U$983,14,FALSE)=0,"",VLOOKUP($A446,DICO_Complet!$A$3:$U$983,14,FALSE))</f>
        <v/>
      </c>
      <c r="N446" s="53" t="str">
        <f>IF(VLOOKUP($A446,DICO_Complet!$A$3:$U$983,15,FALSE)=0,"",VLOOKUP($A446,DICO_Complet!$A$3:$U$983,15,FALSE))</f>
        <v/>
      </c>
      <c r="O446" s="53" t="str">
        <f>IF(VLOOKUP($A446,DICO_Complet!$A$3:$U$983,16,FALSE)=0,"",VLOOKUP($A446,DICO_Complet!$A$3:$U$983,16,FALSE))</f>
        <v/>
      </c>
      <c r="P446" s="53" t="str">
        <f>IF(VLOOKUP($A446,DICO_Complet!$A$3:$U$983,17,FALSE)=0,"",VLOOKUP($A446,DICO_Complet!$A$3:$U$983,17,FALSE))</f>
        <v/>
      </c>
      <c r="Q446" s="53" t="str">
        <f>IF(VLOOKUP($A446,DICO_Complet!$A$3:$U$983,18,FALSE)=0,"",VLOOKUP($A446,DICO_Complet!$A$3:$U$983,18,FALSE))</f>
        <v/>
      </c>
    </row>
    <row r="447" spans="1:17">
      <c r="A447" s="38">
        <v>250418220146</v>
      </c>
      <c r="B447" s="47" t="s">
        <v>858</v>
      </c>
      <c r="C447" s="3" t="str">
        <f>VLOOKUP($A447,DICO_Complet!$A$3:$U$983,3,FALSE)</f>
        <v>Environment</v>
      </c>
      <c r="D447" s="3" t="str">
        <f>VLOOKUP($A447,DICO_Complet!$A$3:$U$983,4,FALSE)</f>
        <v>merchant</v>
      </c>
      <c r="E447" s="2" t="str">
        <f>VLOOKUP($A447,DICO_Complet!$A$3:$U$983,5,FALSE)</f>
        <v>temp_anonymousDynamicPlaque</v>
      </c>
      <c r="F447" s="2" t="str">
        <f>VLOOKUP($A447,DICO_Complet!$A$3:$U$983,6,FALSE)</f>
        <v>TrueFalseIndicator</v>
      </c>
      <c r="G447" s="48">
        <f>VLOOKUP($A447,DICO_Complet!$A$3:$U$983,7,FALSE)</f>
        <v>0</v>
      </c>
      <c r="H447" s="48">
        <f>VLOOKUP($A447,DICO_Complet!$A$3:$U$983,8,FALSE)</f>
        <v>0</v>
      </c>
      <c r="I447" s="2" t="str">
        <f>IF(VLOOKUP($A447,DICO_Complet!$A$3:$U$983,9,FALSE)&lt;&gt;0,VLOOKUP($A447,DICO_Complet!$A$3:$U$983,9,FALSE),"")</f>
        <v/>
      </c>
      <c r="J447" s="1" t="str">
        <f>VLOOKUP($A447,DICO_Complet!$A$3:$U$983,10,FALSE)</f>
        <v>Top ligne plaque dynamique</v>
      </c>
      <c r="K447" s="53" t="str">
        <f>IF(VLOOKUP($A447,DICO_Complet!$A$3:$U$983,12,FALSE)=0,"",VLOOKUP($A447,DICO_Complet!$A$3:$U$983,12,FALSE))</f>
        <v/>
      </c>
      <c r="L447" s="53" t="str">
        <f>IF(VLOOKUP($A447,DICO_Complet!$A$3:$U$983,13,FALSE)=0,"",VLOOKUP($A447,DICO_Complet!$A$3:$U$983,13,FALSE))</f>
        <v/>
      </c>
      <c r="M447" s="53" t="str">
        <f>IF(VLOOKUP($A447,DICO_Complet!$A$3:$U$983,14,FALSE)=0,"",VLOOKUP($A447,DICO_Complet!$A$3:$U$983,14,FALSE))</f>
        <v/>
      </c>
      <c r="N447" s="53" t="str">
        <f>IF(VLOOKUP($A447,DICO_Complet!$A$3:$U$983,15,FALSE)=0,"",VLOOKUP($A447,DICO_Complet!$A$3:$U$983,15,FALSE))</f>
        <v/>
      </c>
      <c r="O447" s="53" t="str">
        <f>IF(VLOOKUP($A447,DICO_Complet!$A$3:$U$983,16,FALSE)=0,"",VLOOKUP($A447,DICO_Complet!$A$3:$U$983,16,FALSE))</f>
        <v/>
      </c>
      <c r="P447" s="53" t="str">
        <f>IF(VLOOKUP($A447,DICO_Complet!$A$3:$U$983,17,FALSE)=0,"",VLOOKUP($A447,DICO_Complet!$A$3:$U$983,17,FALSE))</f>
        <v/>
      </c>
      <c r="Q447" s="53" t="str">
        <f>IF(VLOOKUP($A447,DICO_Complet!$A$3:$U$983,18,FALSE)=0,"",VLOOKUP($A447,DICO_Complet!$A$3:$U$983,18,FALSE))</f>
        <v>TOPLPD</v>
      </c>
    </row>
    <row r="448" spans="1:17">
      <c r="A448" s="38">
        <v>250418220151</v>
      </c>
      <c r="B448" s="47" t="s">
        <v>858</v>
      </c>
      <c r="C448" s="3" t="str">
        <f>VLOOKUP($A448,DICO_Complet!$A$3:$U$983,3,FALSE)</f>
        <v>Environment</v>
      </c>
      <c r="D448" s="3" t="str">
        <f>VLOOKUP($A448,DICO_Complet!$A$3:$U$983,4,FALSE)</f>
        <v>merchant</v>
      </c>
      <c r="E448" s="2" t="str">
        <f>VLOOKUP($A448,DICO_Complet!$A$3:$U$983,5,FALSE)</f>
        <v>temp_merchantCommunicationMedia</v>
      </c>
      <c r="F448" s="2" t="str">
        <f>VLOOKUP($A448,DICO_Complet!$A$3:$U$983,6,FALSE)</f>
        <v>temp_merchantCommunicationMediaCodeset</v>
      </c>
      <c r="G448" s="48">
        <f>VLOOKUP($A448,DICO_Complet!$A$3:$U$983,7,FALSE)</f>
        <v>0</v>
      </c>
      <c r="H448" s="48">
        <f>VLOOKUP($A448,DICO_Complet!$A$3:$U$983,8,FALSE)</f>
        <v>0</v>
      </c>
      <c r="I448" s="2" t="str">
        <f>IF(VLOOKUP($A448,DICO_Complet!$A$3:$U$983,9,FALSE)&lt;&gt;0,VLOOKUP($A448,DICO_Complet!$A$3:$U$983,9,FALSE),"")</f>
        <v/>
      </c>
      <c r="J448" s="1" t="str">
        <f>VLOOKUP($A448,DICO_Complet!$A$3:$U$983,10,FALSE)</f>
        <v>Libelle abrege media gestion doublon</v>
      </c>
      <c r="K448" s="53" t="str">
        <f>IF(VLOOKUP($A448,DICO_Complet!$A$3:$U$983,12,FALSE)=0,"",VLOOKUP($A448,DICO_Complet!$A$3:$U$983,12,FALSE))</f>
        <v/>
      </c>
      <c r="L448" s="53" t="str">
        <f>IF(VLOOKUP($A448,DICO_Complet!$A$3:$U$983,13,FALSE)=0,"",VLOOKUP($A448,DICO_Complet!$A$3:$U$983,13,FALSE))</f>
        <v/>
      </c>
      <c r="M448" s="53" t="str">
        <f>IF(VLOOKUP($A448,DICO_Complet!$A$3:$U$983,14,FALSE)=0,"",VLOOKUP($A448,DICO_Complet!$A$3:$U$983,14,FALSE))</f>
        <v/>
      </c>
      <c r="N448" s="53" t="str">
        <f>IF(VLOOKUP($A448,DICO_Complet!$A$3:$U$983,15,FALSE)=0,"",VLOOKUP($A448,DICO_Complet!$A$3:$U$983,15,FALSE))</f>
        <v/>
      </c>
      <c r="O448" s="53" t="str">
        <f>IF(VLOOKUP($A448,DICO_Complet!$A$3:$U$983,16,FALSE)=0,"",VLOOKUP($A448,DICO_Complet!$A$3:$U$983,16,FALSE))</f>
        <v/>
      </c>
      <c r="P448" s="53" t="str">
        <f>IF(VLOOKUP($A448,DICO_Complet!$A$3:$U$983,17,FALSE)=0,"",VLOOKUP($A448,DICO_Complet!$A$3:$U$983,17,FALSE))</f>
        <v/>
      </c>
      <c r="Q448" s="53" t="str">
        <f>IF(VLOOKUP($A448,DICO_Complet!$A$3:$U$983,18,FALSE)=0,"",VLOOKUP($A448,DICO_Complet!$A$3:$U$983,18,FALSE))</f>
        <v>LIABMD</v>
      </c>
    </row>
    <row r="449" spans="1:17">
      <c r="A449" s="38">
        <v>250418220152</v>
      </c>
      <c r="B449" s="47" t="s">
        <v>858</v>
      </c>
      <c r="C449" s="3" t="str">
        <f>VLOOKUP($A449,DICO_Complet!$A$3:$U$983,3,FALSE)</f>
        <v>Environment</v>
      </c>
      <c r="D449" s="3" t="str">
        <f>VLOOKUP($A449,DICO_Complet!$A$3:$U$983,4,FALSE)</f>
        <v>merchant</v>
      </c>
      <c r="E449" s="2" t="str">
        <f>VLOOKUP($A449,DICO_Complet!$A$3:$U$983,5,FALSE)</f>
        <v>temp_paymentCurrency</v>
      </c>
      <c r="F449" s="2" t="str">
        <f>VLOOKUP($A449,DICO_Complet!$A$3:$U$983,6,FALSE)</f>
        <v>ISO3AlphaNumericCurrencyCode</v>
      </c>
      <c r="G449" s="48">
        <f>VLOOKUP($A449,DICO_Complet!$A$3:$U$983,7,FALSE)</f>
        <v>0</v>
      </c>
      <c r="H449" s="48">
        <f>VLOOKUP($A449,DICO_Complet!$A$3:$U$983,8,FALSE)</f>
        <v>0</v>
      </c>
      <c r="I449" s="2" t="str">
        <f>IF(VLOOKUP($A449,DICO_Complet!$A$3:$U$983,9,FALSE)&lt;&gt;0,VLOOKUP($A449,DICO_Complet!$A$3:$U$983,9,FALSE),"")</f>
        <v/>
      </c>
      <c r="J449" s="1" t="str">
        <f>VLOOKUP($A449,DICO_Complet!$A$3:$U$983,10,FALSE)</f>
        <v>patment currency for merchant</v>
      </c>
      <c r="K449" s="53" t="str">
        <f>IF(VLOOKUP($A449,DICO_Complet!$A$3:$U$983,12,FALSE)=0,"",VLOOKUP($A449,DICO_Complet!$A$3:$U$983,12,FALSE))</f>
        <v/>
      </c>
      <c r="L449" s="53" t="str">
        <f>IF(VLOOKUP($A449,DICO_Complet!$A$3:$U$983,13,FALSE)=0,"",VLOOKUP($A449,DICO_Complet!$A$3:$U$983,13,FALSE))</f>
        <v/>
      </c>
      <c r="M449" s="53" t="str">
        <f>IF(VLOOKUP($A449,DICO_Complet!$A$3:$U$983,14,FALSE)=0,"",VLOOKUP($A449,DICO_Complet!$A$3:$U$983,14,FALSE))</f>
        <v/>
      </c>
      <c r="N449" s="53" t="str">
        <f>IF(VLOOKUP($A449,DICO_Complet!$A$3:$U$983,15,FALSE)=0,"",VLOOKUP($A449,DICO_Complet!$A$3:$U$983,15,FALSE))</f>
        <v/>
      </c>
      <c r="O449" s="53" t="str">
        <f>IF(VLOOKUP($A449,DICO_Complet!$A$3:$U$983,16,FALSE)=0,"",VLOOKUP($A449,DICO_Complet!$A$3:$U$983,16,FALSE))</f>
        <v/>
      </c>
      <c r="P449" s="53" t="str">
        <f>IF(VLOOKUP($A449,DICO_Complet!$A$3:$U$983,17,FALSE)=0,"",VLOOKUP($A449,DICO_Complet!$A$3:$U$983,17,FALSE))</f>
        <v/>
      </c>
      <c r="Q449" s="53" t="str">
        <f>IF(VLOOKUP($A449,DICO_Complet!$A$3:$U$983,18,FALSE)=0,"",VLOOKUP($A449,DICO_Complet!$A$3:$U$983,18,FALSE))</f>
        <v>xxxx</v>
      </c>
    </row>
    <row r="450" spans="1:17">
      <c r="A450" s="38">
        <v>250418220153</v>
      </c>
      <c r="B450" s="47" t="s">
        <v>858</v>
      </c>
      <c r="C450" s="3" t="str">
        <f>VLOOKUP($A450,DICO_Complet!$A$3:$U$983,3,FALSE)</f>
        <v>Environment</v>
      </c>
      <c r="D450" s="3" t="str">
        <f>VLOOKUP($A450,DICO_Complet!$A$3:$U$983,4,FALSE)</f>
        <v>merchant</v>
      </c>
      <c r="E450" s="2" t="str">
        <f>VLOOKUP($A450,DICO_Complet!$A$3:$U$983,5,FALSE)</f>
        <v>temp_productIdMasterRepository</v>
      </c>
      <c r="F450" s="2" t="str">
        <f>VLOOKUP($A450,DICO_Complet!$A$3:$U$983,6,FALSE)</f>
        <v>Max6Text</v>
      </c>
      <c r="G450" s="48">
        <f>VLOOKUP($A450,DICO_Complet!$A$3:$U$983,7,FALSE)</f>
        <v>0</v>
      </c>
      <c r="H450" s="48">
        <f>VLOOKUP($A450,DICO_Complet!$A$3:$U$983,8,FALSE)</f>
        <v>0</v>
      </c>
      <c r="I450" s="2" t="str">
        <f>IF(VLOOKUP($A450,DICO_Complet!$A$3:$U$983,9,FALSE)&lt;&gt;0,VLOOKUP($A450,DICO_Complet!$A$3:$U$983,9,FALSE),"")</f>
        <v/>
      </c>
      <c r="J450" s="1" t="str">
        <f>VLOOKUP($A450,DICO_Complet!$A$3:$U$983,10,FALSE)</f>
        <v>Code produit + flux de l'operation : Code produit metier dans le referentiel maitre</v>
      </c>
      <c r="K450" s="53" t="str">
        <f>IF(VLOOKUP($A450,DICO_Complet!$A$3:$U$983,12,FALSE)=0,"",VLOOKUP($A450,DICO_Complet!$A$3:$U$983,12,FALSE))</f>
        <v/>
      </c>
      <c r="L450" s="53" t="str">
        <f>IF(VLOOKUP($A450,DICO_Complet!$A$3:$U$983,13,FALSE)=0,"",VLOOKUP($A450,DICO_Complet!$A$3:$U$983,13,FALSE))</f>
        <v/>
      </c>
      <c r="M450" s="53" t="str">
        <f>IF(VLOOKUP($A450,DICO_Complet!$A$3:$U$983,14,FALSE)=0,"",VLOOKUP($A450,DICO_Complet!$A$3:$U$983,14,FALSE))</f>
        <v/>
      </c>
      <c r="N450" s="53" t="str">
        <f>IF(VLOOKUP($A450,DICO_Complet!$A$3:$U$983,15,FALSE)=0,"",VLOOKUP($A450,DICO_Complet!$A$3:$U$983,15,FALSE))</f>
        <v/>
      </c>
      <c r="O450" s="53" t="str">
        <f>IF(VLOOKUP($A450,DICO_Complet!$A$3:$U$983,16,FALSE)=0,"",VLOOKUP($A450,DICO_Complet!$A$3:$U$983,16,FALSE))</f>
        <v/>
      </c>
      <c r="P450" s="53" t="str">
        <f>IF(VLOOKUP($A450,DICO_Complet!$A$3:$U$983,17,FALSE)=0,"",VLOOKUP($A450,DICO_Complet!$A$3:$U$983,17,FALSE))</f>
        <v/>
      </c>
      <c r="Q450" s="53" t="str">
        <f>IF(VLOOKUP($A450,DICO_Complet!$A$3:$U$983,18,FALSE)=0,"",VLOOKUP($A450,DICO_Complet!$A$3:$U$983,18,FALSE))</f>
        <v>CTOPI2</v>
      </c>
    </row>
    <row r="451" spans="1:17">
      <c r="A451" s="38">
        <v>250418220154</v>
      </c>
      <c r="B451" s="47" t="s">
        <v>858</v>
      </c>
      <c r="C451" s="3" t="str">
        <f>VLOOKUP($A451,DICO_Complet!$A$3:$U$983,3,FALSE)</f>
        <v>Environment</v>
      </c>
      <c r="D451" s="3" t="str">
        <f>VLOOKUP($A451,DICO_Complet!$A$3:$U$983,4,FALSE)</f>
        <v>merchant</v>
      </c>
      <c r="E451" s="2" t="str">
        <f>VLOOKUP($A451,DICO_Complet!$A$3:$U$983,5,FALSE)</f>
        <v>temp_visaMarketPlaceId</v>
      </c>
      <c r="F451" s="2" t="str">
        <f>VLOOKUP($A451,DICO_Complet!$A$3:$U$983,6,FALSE)</f>
        <v>Max8Text</v>
      </c>
      <c r="G451" s="48">
        <f>VLOOKUP($A451,DICO_Complet!$A$3:$U$983,7,FALSE)</f>
        <v>0</v>
      </c>
      <c r="H451" s="48">
        <f>VLOOKUP($A451,DICO_Complet!$A$3:$U$983,8,FALSE)</f>
        <v>0</v>
      </c>
      <c r="I451" s="2" t="str">
        <f>IF(VLOOKUP($A451,DICO_Complet!$A$3:$U$983,9,FALSE)&lt;&gt;0,VLOOKUP($A451,DICO_Complet!$A$3:$U$983,9,FALSE),"")</f>
        <v/>
      </c>
      <c r="J451" s="1" t="str">
        <f>VLOOKUP($A451,DICO_Complet!$A$3:$U$983,10,FALSE)</f>
        <v>Identifiant Marketplace VISA</v>
      </c>
      <c r="K451" s="53" t="str">
        <f>IF(VLOOKUP($A451,DICO_Complet!$A$3:$U$983,12,FALSE)=0,"",VLOOKUP($A451,DICO_Complet!$A$3:$U$983,12,FALSE))</f>
        <v/>
      </c>
      <c r="L451" s="53" t="str">
        <f>IF(VLOOKUP($A451,DICO_Complet!$A$3:$U$983,13,FALSE)=0,"",VLOOKUP($A451,DICO_Complet!$A$3:$U$983,13,FALSE))</f>
        <v/>
      </c>
      <c r="M451" s="53" t="str">
        <f>IF(VLOOKUP($A451,DICO_Complet!$A$3:$U$983,14,FALSE)=0,"",VLOOKUP($A451,DICO_Complet!$A$3:$U$983,14,FALSE))</f>
        <v/>
      </c>
      <c r="N451" s="53" t="str">
        <f>IF(VLOOKUP($A451,DICO_Complet!$A$3:$U$983,15,FALSE)=0,"",VLOOKUP($A451,DICO_Complet!$A$3:$U$983,15,FALSE))</f>
        <v/>
      </c>
      <c r="O451" s="53" t="str">
        <f>IF(VLOOKUP($A451,DICO_Complet!$A$3:$U$983,16,FALSE)=0,"",VLOOKUP($A451,DICO_Complet!$A$3:$U$983,16,FALSE))</f>
        <v/>
      </c>
      <c r="P451" s="53" t="str">
        <f>IF(VLOOKUP($A451,DICO_Complet!$A$3:$U$983,17,FALSE)=0,"",VLOOKUP($A451,DICO_Complet!$A$3:$U$983,17,FALSE))</f>
        <v/>
      </c>
      <c r="Q451" s="53" t="str">
        <f>IF(VLOOKUP($A451,DICO_Complet!$A$3:$U$983,18,FALSE)=0,"",VLOOKUP($A451,DICO_Complet!$A$3:$U$983,18,FALSE))</f>
        <v>COMPVI</v>
      </c>
    </row>
    <row r="452" spans="1:17">
      <c r="A452" s="38">
        <v>250325134503</v>
      </c>
      <c r="B452" s="47" t="s">
        <v>858</v>
      </c>
      <c r="C452" s="3" t="str">
        <f>VLOOKUP($A452,DICO_Complet!$A$3:$U$983,3,FALSE)</f>
        <v>Environment</v>
      </c>
      <c r="D452" s="3" t="str">
        <f>VLOOKUP($A452,DICO_Complet!$A$3:$U$983,4,FALSE)</f>
        <v>payee</v>
      </c>
      <c r="E452" s="2" t="str">
        <f>VLOOKUP($A452,DICO_Complet!$A$3:$U$983,5,FALSE)</f>
        <v>accountNumber</v>
      </c>
      <c r="F452" s="2" t="str">
        <f>VLOOKUP($A452,DICO_Complet!$A$3:$U$983,6,FALSE)</f>
        <v>Max35AlphaNumericText</v>
      </c>
      <c r="G452" s="48">
        <f>VLOOKUP($A452,DICO_Complet!$A$3:$U$983,7,FALSE)</f>
        <v>0</v>
      </c>
      <c r="H452" s="48">
        <f>VLOOKUP($A452,DICO_Complet!$A$3:$U$983,8,FALSE)</f>
        <v>0</v>
      </c>
      <c r="I452" s="2" t="str">
        <f>IF(VLOOKUP($A452,DICO_Complet!$A$3:$U$983,9,FALSE)&lt;&gt;0,VLOOKUP($A452,DICO_Complet!$A$3:$U$983,9,FALSE),"")</f>
        <v/>
      </c>
      <c r="J452" s="1" t="str">
        <f>VLOOKUP($A452,DICO_Complet!$A$3:$U$983,10,FALSE)</f>
        <v>Account Number of Payee</v>
      </c>
      <c r="K452" s="53" t="str">
        <f>IF(VLOOKUP($A452,DICO_Complet!$A$3:$U$983,12,FALSE)=0,"",VLOOKUP($A452,DICO_Complet!$A$3:$U$983,12,FALSE))</f>
        <v/>
      </c>
      <c r="L452" s="53" t="str">
        <f>IF(VLOOKUP($A452,DICO_Complet!$A$3:$U$983,13,FALSE)=0,"",VLOOKUP($A452,DICO_Complet!$A$3:$U$983,13,FALSE))</f>
        <v>118_3014</v>
      </c>
      <c r="M452" s="53" t="str">
        <f>IF(VLOOKUP($A452,DICO_Complet!$A$3:$U$983,14,FALSE)=0,"",VLOOKUP($A452,DICO_Complet!$A$3:$U$983,14,FALSE))</f>
        <v/>
      </c>
      <c r="N452" s="53" t="str">
        <f>IF(VLOOKUP($A452,DICO_Complet!$A$3:$U$983,15,FALSE)=0,"",VLOOKUP($A452,DICO_Complet!$A$3:$U$983,15,FALSE))</f>
        <v>112_05</v>
      </c>
      <c r="O452" s="53" t="str">
        <f>IF(VLOOKUP($A452,DICO_Complet!$A$3:$U$983,16,FALSE)=0,"",VLOOKUP($A452,DICO_Complet!$A$3:$U$983,16,FALSE))</f>
        <v/>
      </c>
      <c r="P452" s="53" t="str">
        <f>IF(VLOOKUP($A452,DICO_Complet!$A$3:$U$983,17,FALSE)=0,"",VLOOKUP($A452,DICO_Complet!$A$3:$U$983,17,FALSE))</f>
        <v/>
      </c>
      <c r="Q452" s="53" t="str">
        <f>IF(VLOOKUP($A452,DICO_Complet!$A$3:$U$983,18,FALSE)=0,"",VLOOKUP($A452,DICO_Complet!$A$3:$U$983,18,FALSE))</f>
        <v/>
      </c>
    </row>
    <row r="453" spans="1:17">
      <c r="A453" s="38">
        <v>250325134502</v>
      </c>
      <c r="B453" s="47" t="s">
        <v>858</v>
      </c>
      <c r="C453" s="3" t="str">
        <f>VLOOKUP($A453,DICO_Complet!$A$3:$U$983,3,FALSE)</f>
        <v>Environment</v>
      </c>
      <c r="D453" s="3" t="str">
        <f>VLOOKUP($A453,DICO_Complet!$A$3:$U$983,4,FALSE)</f>
        <v>payee</v>
      </c>
      <c r="E453" s="2" t="str">
        <f>VLOOKUP($A453,DICO_Complet!$A$3:$U$983,5,FALSE)</f>
        <v>primaryAccountNumber</v>
      </c>
      <c r="F453" s="2" t="str">
        <f>VLOOKUP($A453,DICO_Complet!$A$3:$U$983,6,FALSE)</f>
        <v>Max19NumericText</v>
      </c>
      <c r="G453" s="48">
        <f>VLOOKUP($A453,DICO_Complet!$A$3:$U$983,7,FALSE)</f>
        <v>0</v>
      </c>
      <c r="H453" s="48">
        <f>VLOOKUP($A453,DICO_Complet!$A$3:$U$983,8,FALSE)</f>
        <v>0</v>
      </c>
      <c r="I453" s="2" t="str">
        <f>IF(VLOOKUP($A453,DICO_Complet!$A$3:$U$983,9,FALSE)&lt;&gt;0,VLOOKUP($A453,DICO_Complet!$A$3:$U$983,9,FALSE),"")</f>
        <v/>
      </c>
      <c r="J453" s="1" t="str">
        <f>VLOOKUP($A453,DICO_Complet!$A$3:$U$983,10,FALSE)</f>
        <v>Primary Account Number</v>
      </c>
      <c r="K453" s="53" t="str">
        <f>IF(VLOOKUP($A453,DICO_Complet!$A$3:$U$983,12,FALSE)=0,"",VLOOKUP($A453,DICO_Complet!$A$3:$U$983,12,FALSE))</f>
        <v/>
      </c>
      <c r="L453" s="53" t="str">
        <f>IF(VLOOKUP($A453,DICO_Complet!$A$3:$U$983,13,FALSE)=0,"",VLOOKUP($A453,DICO_Complet!$A$3:$U$983,13,FALSE))</f>
        <v>118_3001</v>
      </c>
      <c r="M453" s="53" t="str">
        <f>IF(VLOOKUP($A453,DICO_Complet!$A$3:$U$983,14,FALSE)=0,"",VLOOKUP($A453,DICO_Complet!$A$3:$U$983,14,FALSE))</f>
        <v/>
      </c>
      <c r="N453" s="53" t="str">
        <f>IF(VLOOKUP($A453,DICO_Complet!$A$3:$U$983,15,FALSE)=0,"",VLOOKUP($A453,DICO_Complet!$A$3:$U$983,15,FALSE))</f>
        <v>112_06</v>
      </c>
      <c r="O453" s="53" t="str">
        <f>IF(VLOOKUP($A453,DICO_Complet!$A$3:$U$983,16,FALSE)=0,"",VLOOKUP($A453,DICO_Complet!$A$3:$U$983,16,FALSE))</f>
        <v/>
      </c>
      <c r="P453" s="53" t="str">
        <f>IF(VLOOKUP($A453,DICO_Complet!$A$3:$U$983,17,FALSE)=0,"",VLOOKUP($A453,DICO_Complet!$A$3:$U$983,17,FALSE))</f>
        <v/>
      </c>
      <c r="Q453" s="53" t="str">
        <f>IF(VLOOKUP($A453,DICO_Complet!$A$3:$U$983,18,FALSE)=0,"",VLOOKUP($A453,DICO_Complet!$A$3:$U$983,18,FALSE))</f>
        <v/>
      </c>
    </row>
    <row r="454" spans="1:17">
      <c r="A454" s="38">
        <v>250325134504</v>
      </c>
      <c r="B454" s="47" t="s">
        <v>858</v>
      </c>
      <c r="C454" s="3" t="str">
        <f>VLOOKUP($A454,DICO_Complet!$A$3:$U$983,3,FALSE)</f>
        <v>Environment</v>
      </c>
      <c r="D454" s="3" t="str">
        <f>VLOOKUP($A454,DICO_Complet!$A$3:$U$983,4,FALSE)</f>
        <v>payer</v>
      </c>
      <c r="E454" s="2" t="str">
        <f>VLOOKUP($A454,DICO_Complet!$A$3:$U$983,5,FALSE)</f>
        <v>accountNumber</v>
      </c>
      <c r="F454" s="2" t="str">
        <f>VLOOKUP($A454,DICO_Complet!$A$3:$U$983,6,FALSE)</f>
        <v>Max35AlphaNumericText</v>
      </c>
      <c r="G454" s="48">
        <f>VLOOKUP($A454,DICO_Complet!$A$3:$U$983,7,FALSE)</f>
        <v>0</v>
      </c>
      <c r="H454" s="48">
        <f>VLOOKUP($A454,DICO_Complet!$A$3:$U$983,8,FALSE)</f>
        <v>0</v>
      </c>
      <c r="I454" s="2" t="str">
        <f>IF(VLOOKUP($A454,DICO_Complet!$A$3:$U$983,9,FALSE)&lt;&gt;0,VLOOKUP($A454,DICO_Complet!$A$3:$U$983,9,FALSE),"")</f>
        <v/>
      </c>
      <c r="J454" s="1" t="str">
        <f>VLOOKUP($A454,DICO_Complet!$A$3:$U$983,10,FALSE)</f>
        <v>Account Number of Payer</v>
      </c>
      <c r="K454" s="53" t="str">
        <f>IF(VLOOKUP($A454,DICO_Complet!$A$3:$U$983,12,FALSE)=0,"",VLOOKUP($A454,DICO_Complet!$A$3:$U$983,12,FALSE))</f>
        <v/>
      </c>
      <c r="L454" s="53" t="str">
        <f>IF(VLOOKUP($A454,DICO_Complet!$A$3:$U$983,13,FALSE)=0,"",VLOOKUP($A454,DICO_Complet!$A$3:$U$983,13,FALSE))</f>
        <v>118_2014</v>
      </c>
      <c r="M454" s="53" t="str">
        <f>IF(VLOOKUP($A454,DICO_Complet!$A$3:$U$983,14,FALSE)=0,"",VLOOKUP($A454,DICO_Complet!$A$3:$U$983,14,FALSE))</f>
        <v/>
      </c>
      <c r="N454" s="53" t="str">
        <f>IF(VLOOKUP($A454,DICO_Complet!$A$3:$U$983,15,FALSE)=0,"",VLOOKUP($A454,DICO_Complet!$A$3:$U$983,15,FALSE))</f>
        <v>112_05</v>
      </c>
      <c r="O454" s="53" t="str">
        <f>IF(VLOOKUP($A454,DICO_Complet!$A$3:$U$983,16,FALSE)=0,"",VLOOKUP($A454,DICO_Complet!$A$3:$U$983,16,FALSE))</f>
        <v/>
      </c>
      <c r="P454" s="53" t="str">
        <f>IF(VLOOKUP($A454,DICO_Complet!$A$3:$U$983,17,FALSE)=0,"",VLOOKUP($A454,DICO_Complet!$A$3:$U$983,17,FALSE))</f>
        <v/>
      </c>
      <c r="Q454" s="53" t="str">
        <f>IF(VLOOKUP($A454,DICO_Complet!$A$3:$U$983,18,FALSE)=0,"",VLOOKUP($A454,DICO_Complet!$A$3:$U$983,18,FALSE))</f>
        <v/>
      </c>
    </row>
    <row r="455" spans="1:17">
      <c r="A455" s="38">
        <v>250325134500</v>
      </c>
      <c r="B455" s="47" t="s">
        <v>858</v>
      </c>
      <c r="C455" s="3" t="str">
        <f>VLOOKUP($A455,DICO_Complet!$A$3:$U$983,3,FALSE)</f>
        <v>Environment</v>
      </c>
      <c r="D455" s="3" t="str">
        <f>VLOOKUP($A455,DICO_Complet!$A$3:$U$983,4,FALSE)</f>
        <v>payer</v>
      </c>
      <c r="E455" s="2" t="str">
        <f>VLOOKUP($A455,DICO_Complet!$A$3:$U$983,5,FALSE)</f>
        <v>financialInstitutionId</v>
      </c>
      <c r="F455" s="2" t="str">
        <f>VLOOKUP($A455,DICO_Complet!$A$3:$U$983,6,FALSE)</f>
        <v>Max35Text</v>
      </c>
      <c r="G455" s="48">
        <f>VLOOKUP($A455,DICO_Complet!$A$3:$U$983,7,FALSE)</f>
        <v>0</v>
      </c>
      <c r="H455" s="48">
        <f>VLOOKUP($A455,DICO_Complet!$A$3:$U$983,8,FALSE)</f>
        <v>0</v>
      </c>
      <c r="I455" s="2" t="str">
        <f>IF(VLOOKUP($A455,DICO_Complet!$A$3:$U$983,9,FALSE)&lt;&gt;0,VLOOKUP($A455,DICO_Complet!$A$3:$U$983,9,FALSE),"")</f>
        <v/>
      </c>
      <c r="J455" s="1" t="str">
        <f>VLOOKUP($A455,DICO_Complet!$A$3:$U$983,10,FALSE)</f>
        <v>BIC of financial institution</v>
      </c>
      <c r="K455" s="53" t="str">
        <f>IF(VLOOKUP($A455,DICO_Complet!$A$3:$U$983,12,FALSE)=0,"",VLOOKUP($A455,DICO_Complet!$A$3:$U$983,12,FALSE))</f>
        <v/>
      </c>
      <c r="L455" s="53" t="str">
        <f>IF(VLOOKUP($A455,DICO_Complet!$A$3:$U$983,13,FALSE)=0,"",VLOOKUP($A455,DICO_Complet!$A$3:$U$983,13,FALSE))</f>
        <v>118_2012</v>
      </c>
      <c r="M455" s="53" t="str">
        <f>IF(VLOOKUP($A455,DICO_Complet!$A$3:$U$983,14,FALSE)=0,"",VLOOKUP($A455,DICO_Complet!$A$3:$U$983,14,FALSE))</f>
        <v/>
      </c>
      <c r="N455" s="53" t="str">
        <f>IF(VLOOKUP($A455,DICO_Complet!$A$3:$U$983,15,FALSE)=0,"",VLOOKUP($A455,DICO_Complet!$A$3:$U$983,15,FALSE))</f>
        <v>112_09</v>
      </c>
      <c r="O455" s="53" t="str">
        <f>IF(VLOOKUP($A455,DICO_Complet!$A$3:$U$983,16,FALSE)=0,"",VLOOKUP($A455,DICO_Complet!$A$3:$U$983,16,FALSE))</f>
        <v/>
      </c>
      <c r="P455" s="53" t="str">
        <f>IF(VLOOKUP($A455,DICO_Complet!$A$3:$U$983,17,FALSE)=0,"",VLOOKUP($A455,DICO_Complet!$A$3:$U$983,17,FALSE))</f>
        <v/>
      </c>
      <c r="Q455" s="53" t="str">
        <f>IF(VLOOKUP($A455,DICO_Complet!$A$3:$U$983,18,FALSE)=0,"",VLOOKUP($A455,DICO_Complet!$A$3:$U$983,18,FALSE))</f>
        <v/>
      </c>
    </row>
    <row r="456" spans="1:17">
      <c r="A456" s="38">
        <v>250325134501</v>
      </c>
      <c r="B456" s="47" t="s">
        <v>858</v>
      </c>
      <c r="C456" s="3" t="str">
        <f>VLOOKUP($A456,DICO_Complet!$A$3:$U$983,3,FALSE)</f>
        <v>Environment</v>
      </c>
      <c r="D456" s="3" t="str">
        <f>VLOOKUP($A456,DICO_Complet!$A$3:$U$983,4,FALSE)</f>
        <v>payer</v>
      </c>
      <c r="E456" s="2" t="str">
        <f>VLOOKUP($A456,DICO_Complet!$A$3:$U$983,5,FALSE)</f>
        <v>internationalBankAccountNumber</v>
      </c>
      <c r="F456" s="2" t="str">
        <f>VLOOKUP($A456,DICO_Complet!$A$3:$U$983,6,FALSE)</f>
        <v>IBANIdentifier</v>
      </c>
      <c r="G456" s="48">
        <f>VLOOKUP($A456,DICO_Complet!$A$3:$U$983,7,FALSE)</f>
        <v>0</v>
      </c>
      <c r="H456" s="48">
        <f>VLOOKUP($A456,DICO_Complet!$A$3:$U$983,8,FALSE)</f>
        <v>0</v>
      </c>
      <c r="I456" s="2" t="str">
        <f>IF(VLOOKUP($A456,DICO_Complet!$A$3:$U$983,9,FALSE)&lt;&gt;0,VLOOKUP($A456,DICO_Complet!$A$3:$U$983,9,FALSE),"")</f>
        <v/>
      </c>
      <c r="J456" s="1" t="str">
        <f>VLOOKUP($A456,DICO_Complet!$A$3:$U$983,10,FALSE)</f>
        <v xml:space="preserve">IBAN </v>
      </c>
      <c r="K456" s="53" t="str">
        <f>IF(VLOOKUP($A456,DICO_Complet!$A$3:$U$983,12,FALSE)=0,"",VLOOKUP($A456,DICO_Complet!$A$3:$U$983,12,FALSE))</f>
        <v/>
      </c>
      <c r="L456" s="53" t="str">
        <f>IF(VLOOKUP($A456,DICO_Complet!$A$3:$U$983,13,FALSE)=0,"",VLOOKUP($A456,DICO_Complet!$A$3:$U$983,13,FALSE))</f>
        <v>118_2013</v>
      </c>
      <c r="M456" s="53" t="str">
        <f>IF(VLOOKUP($A456,DICO_Complet!$A$3:$U$983,14,FALSE)=0,"",VLOOKUP($A456,DICO_Complet!$A$3:$U$983,14,FALSE))</f>
        <v>059_1210</v>
      </c>
      <c r="N456" s="53" t="str">
        <f>IF(VLOOKUP($A456,DICO_Complet!$A$3:$U$983,15,FALSE)=0,"",VLOOKUP($A456,DICO_Complet!$A$3:$U$983,15,FALSE))</f>
        <v>59.1210</v>
      </c>
      <c r="O456" s="53" t="str">
        <f>IF(VLOOKUP($A456,DICO_Complet!$A$3:$U$983,16,FALSE)=0,"",VLOOKUP($A456,DICO_Complet!$A$3:$U$983,16,FALSE))</f>
        <v/>
      </c>
      <c r="P456" s="53" t="str">
        <f>IF(VLOOKUP($A456,DICO_Complet!$A$3:$U$983,17,FALSE)=0,"",VLOOKUP($A456,DICO_Complet!$A$3:$U$983,17,FALSE))</f>
        <v/>
      </c>
      <c r="Q456" s="53" t="str">
        <f>IF(VLOOKUP($A456,DICO_Complet!$A$3:$U$983,18,FALSE)=0,"",VLOOKUP($A456,DICO_Complet!$A$3:$U$983,18,FALSE))</f>
        <v/>
      </c>
    </row>
    <row r="457" spans="1:17">
      <c r="A457" s="38">
        <v>250422133700</v>
      </c>
      <c r="B457" s="47" t="s">
        <v>858</v>
      </c>
      <c r="C457" s="3" t="str">
        <f>VLOOKUP($A457,DICO_Complet!$A$3:$U$983,3,FALSE)</f>
        <v>Environment</v>
      </c>
      <c r="D457" s="3" t="str">
        <f>VLOOKUP($A457,DICO_Complet!$A$3:$U$983,4,FALSE)</f>
        <v>sponsoredMerchant</v>
      </c>
      <c r="E457" s="2" t="str">
        <f>VLOOKUP($A457,DICO_Complet!$A$3:$U$983,5,FALSE)</f>
        <v>finalMerchantAdress</v>
      </c>
      <c r="F457" s="2" t="str">
        <f>VLOOKUP($A457,DICO_Complet!$A$3:$U$983,6,FALSE)</f>
        <v>PostalAddressType</v>
      </c>
      <c r="G457" s="48">
        <f>VLOOKUP($A457,DICO_Complet!$A$3:$U$983,7,FALSE)</f>
        <v>0</v>
      </c>
      <c r="H457" s="48">
        <f>VLOOKUP($A457,DICO_Complet!$A$3:$U$983,8,FALSE)</f>
        <v>0</v>
      </c>
      <c r="I457" s="2" t="str">
        <f>IF(VLOOKUP($A457,DICO_Complet!$A$3:$U$983,9,FALSE)&lt;&gt;0,VLOOKUP($A457,DICO_Complet!$A$3:$U$983,9,FALSE),"")</f>
        <v/>
      </c>
      <c r="J457" s="1" t="str">
        <f>VLOOKUP($A457,DICO_Complet!$A$3:$U$983,10,FALSE)</f>
        <v>Additionnal adress data</v>
      </c>
      <c r="K457" s="53" t="str">
        <f>IF(VLOOKUP($A457,DICO_Complet!$A$3:$U$983,12,FALSE)=0,"",VLOOKUP($A457,DICO_Complet!$A$3:$U$983,12,FALSE))</f>
        <v/>
      </c>
      <c r="L457" s="53" t="str">
        <f>IF(VLOOKUP($A457,DICO_Complet!$A$3:$U$983,13,FALSE)=0,"",VLOOKUP($A457,DICO_Complet!$A$3:$U$983,13,FALSE))</f>
        <v/>
      </c>
      <c r="M457" s="53" t="str">
        <f>IF(VLOOKUP($A457,DICO_Complet!$A$3:$U$983,14,FALSE)=0,"",VLOOKUP($A457,DICO_Complet!$A$3:$U$983,14,FALSE))</f>
        <v>059_0004</v>
      </c>
      <c r="N457" s="53" t="str">
        <f>IF(VLOOKUP($A457,DICO_Complet!$A$3:$U$983,15,FALSE)=0,"",VLOOKUP($A457,DICO_Complet!$A$3:$U$983,15,FALSE))</f>
        <v/>
      </c>
      <c r="O457" s="53" t="str">
        <f>IF(VLOOKUP($A457,DICO_Complet!$A$3:$U$983,16,FALSE)=0,"",VLOOKUP($A457,DICO_Complet!$A$3:$U$983,16,FALSE))</f>
        <v/>
      </c>
      <c r="P457" s="53" t="str">
        <f>IF(VLOOKUP($A457,DICO_Complet!$A$3:$U$983,17,FALSE)=0,"",VLOOKUP($A457,DICO_Complet!$A$3:$U$983,17,FALSE))</f>
        <v/>
      </c>
      <c r="Q457" s="53" t="str">
        <f>IF(VLOOKUP($A457,DICO_Complet!$A$3:$U$983,18,FALSE)=0,"",VLOOKUP($A457,DICO_Complet!$A$3:$U$983,18,FALSE))</f>
        <v/>
      </c>
    </row>
    <row r="458" spans="1:17">
      <c r="A458" s="38">
        <v>241112000023</v>
      </c>
      <c r="B458" s="47" t="s">
        <v>858</v>
      </c>
      <c r="C458" s="3" t="str">
        <f>VLOOKUP($A458,DICO_Complet!$A$3:$U$983,3,FALSE)</f>
        <v>Environment</v>
      </c>
      <c r="D458" s="3" t="str">
        <f>VLOOKUP($A458,DICO_Complet!$A$3:$U$983,4,FALSE)</f>
        <v>sponsoredMerchant</v>
      </c>
      <c r="E458" s="2" t="str">
        <f>VLOOKUP($A458,DICO_Complet!$A$3:$U$983,5,FALSE)</f>
        <v>finalMerchantId</v>
      </c>
      <c r="F458" s="2" t="str">
        <f>VLOOKUP($A458,DICO_Complet!$A$3:$U$983,6,FALSE)</f>
        <v>Exact15Text</v>
      </c>
      <c r="G458" s="48">
        <f>VLOOKUP($A458,DICO_Complet!$A$3:$U$983,7,FALSE)</f>
        <v>0</v>
      </c>
      <c r="H458" s="48">
        <f>VLOOKUP($A458,DICO_Complet!$A$3:$U$983,8,FALSE)</f>
        <v>0</v>
      </c>
      <c r="I458" s="2" t="str">
        <f>IF(VLOOKUP($A458,DICO_Complet!$A$3:$U$983,9,FALSE)&lt;&gt;0,VLOOKUP($A458,DICO_Complet!$A$3:$U$983,9,FALSE),"")</f>
        <v/>
      </c>
      <c r="J458" s="1" t="str">
        <f>VLOOKUP($A458,DICO_Complet!$A$3:$U$983,10,FALSE)</f>
        <v>Identifier of final Merchant</v>
      </c>
      <c r="K458" s="53" t="str">
        <f>IF(VLOOKUP($A458,DICO_Complet!$A$3:$U$983,12,FALSE)=0,"",VLOOKUP($A458,DICO_Complet!$A$3:$U$983,12,FALSE))</f>
        <v>RSB57_27</v>
      </c>
      <c r="L458" s="53" t="str">
        <f>IF(VLOOKUP($A458,DICO_Complet!$A$3:$U$983,13,FALSE)=0,"",VLOOKUP($A458,DICO_Complet!$A$3:$U$983,13,FALSE))</f>
        <v>[57-0027]</v>
      </c>
      <c r="M458" s="53" t="str">
        <f>IF(VLOOKUP($A458,DICO_Complet!$A$3:$U$983,14,FALSE)=0,"",VLOOKUP($A458,DICO_Complet!$A$3:$U$983,14,FALSE))</f>
        <v/>
      </c>
      <c r="N458" s="53" t="str">
        <f>IF(VLOOKUP($A458,DICO_Complet!$A$3:$U$983,15,FALSE)=0,"",VLOOKUP($A458,DICO_Complet!$A$3:$U$983,15,FALSE))</f>
        <v/>
      </c>
      <c r="O458" s="53" t="str">
        <f>IF(VLOOKUP($A458,DICO_Complet!$A$3:$U$983,16,FALSE)=0,"",VLOOKUP($A458,DICO_Complet!$A$3:$U$983,16,FALSE))</f>
        <v>104, Usage 2 Dataset 56 Tag 256 Tag02</v>
      </c>
      <c r="P458" s="53" t="str">
        <f>IF(VLOOKUP($A458,DICO_Complet!$A$3:$U$983,17,FALSE)=0,"",VLOOKUP($A458,DICO_Complet!$A$3:$U$983,17,FALSE))</f>
        <v xml:space="preserve">MCI DE48 SE37 SF03 </v>
      </c>
      <c r="Q458" s="53" t="str">
        <f>IF(VLOOKUP($A458,DICO_Complet!$A$3:$U$983,18,FALSE)=0,"",VLOOKUP($A458,DICO_Complet!$A$3:$U$983,18,FALSE))</f>
        <v/>
      </c>
    </row>
    <row r="459" spans="1:17">
      <c r="A459" s="38">
        <v>250327121305</v>
      </c>
      <c r="B459" s="47" t="s">
        <v>858</v>
      </c>
      <c r="C459" s="3" t="str">
        <f>VLOOKUP($A459,DICO_Complet!$A$3:$U$983,3,FALSE)</f>
        <v>Environment</v>
      </c>
      <c r="D459" s="3" t="str">
        <f>VLOOKUP($A459,DICO_Complet!$A$3:$U$983,4,FALSE)</f>
        <v>sponsoredMerchant</v>
      </c>
      <c r="E459" s="2" t="str">
        <f>VLOOKUP($A459,DICO_Complet!$A$3:$U$983,5,FALSE)</f>
        <v>independantSalesOrganisationId</v>
      </c>
      <c r="F459" s="2" t="str">
        <f>VLOOKUP($A459,DICO_Complet!$A$3:$U$983,6,FALSE)</f>
        <v>Exact15Text</v>
      </c>
      <c r="G459" s="48">
        <f>VLOOKUP($A459,DICO_Complet!$A$3:$U$983,7,FALSE)</f>
        <v>0</v>
      </c>
      <c r="H459" s="48">
        <f>VLOOKUP($A459,DICO_Complet!$A$3:$U$983,8,FALSE)</f>
        <v>0</v>
      </c>
      <c r="I459" s="2" t="str">
        <f>IF(VLOOKUP($A459,DICO_Complet!$A$3:$U$983,9,FALSE)&lt;&gt;0,VLOOKUP($A459,DICO_Complet!$A$3:$U$983,9,FALSE),"")</f>
        <v/>
      </c>
      <c r="J459" s="1" t="str">
        <f>VLOOKUP($A459,DICO_Complet!$A$3:$U$983,10,FALSE)</f>
        <v xml:space="preserve">id of independant sales organisation </v>
      </c>
      <c r="K459" s="53" t="str">
        <f>IF(VLOOKUP($A459,DICO_Complet!$A$3:$U$983,12,FALSE)=0,"",VLOOKUP($A459,DICO_Complet!$A$3:$U$983,12,FALSE))</f>
        <v/>
      </c>
      <c r="L459" s="53" t="str">
        <f>IF(VLOOKUP($A459,DICO_Complet!$A$3:$U$983,13,FALSE)=0,"",VLOOKUP($A459,DICO_Complet!$A$3:$U$983,13,FALSE))</f>
        <v>RSB 57-0024</v>
      </c>
      <c r="M459" s="53" t="str">
        <f>IF(VLOOKUP($A459,DICO_Complet!$A$3:$U$983,14,FALSE)=0,"",VLOOKUP($A459,DICO_Complet!$A$3:$U$983,14,FALSE))</f>
        <v>59_ part 2</v>
      </c>
      <c r="N459" s="53" t="str">
        <f>IF(VLOOKUP($A459,DICO_Complet!$A$3:$U$983,15,FALSE)=0,"",VLOOKUP($A459,DICO_Complet!$A$3:$U$983,15,FALSE))</f>
        <v>56-0024</v>
      </c>
      <c r="O459" s="53" t="str">
        <f>IF(VLOOKUP($A459,DICO_Complet!$A$3:$U$983,16,FALSE)=0,"",VLOOKUP($A459,DICO_Complet!$A$3:$U$983,16,FALSE))</f>
        <v/>
      </c>
      <c r="P459" s="53" t="str">
        <f>IF(VLOOKUP($A459,DICO_Complet!$A$3:$U$983,17,FALSE)=0,"",VLOOKUP($A459,DICO_Complet!$A$3:$U$983,17,FALSE))</f>
        <v/>
      </c>
      <c r="Q459" s="53" t="str">
        <f>IF(VLOOKUP($A459,DICO_Complet!$A$3:$U$983,18,FALSE)=0,"",VLOOKUP($A459,DICO_Complet!$A$3:$U$983,18,FALSE))</f>
        <v/>
      </c>
    </row>
    <row r="460" spans="1:17">
      <c r="A460" s="38">
        <v>250425100302</v>
      </c>
      <c r="B460" s="47" t="s">
        <v>858</v>
      </c>
      <c r="C460" s="3" t="str">
        <f>VLOOKUP($A460,DICO_Complet!$A$3:$U$983,3,FALSE)</f>
        <v>Environment</v>
      </c>
      <c r="D460" s="3" t="str">
        <f>VLOOKUP($A460,DICO_Complet!$A$3:$U$983,4,FALSE)</f>
        <v>sponsoredMerchant</v>
      </c>
      <c r="E460" s="2" t="str">
        <f>VLOOKUP($A460,DICO_Complet!$A$3:$U$983,5,FALSE)</f>
        <v>marketPlaceForeignRetailIndicator</v>
      </c>
      <c r="F460" s="2" t="str">
        <f>VLOOKUP($A460,DICO_Complet!$A$3:$U$983,6,FALSE)</f>
        <v>Exact3AlphaNumericText</v>
      </c>
      <c r="G460" s="48">
        <f>VLOOKUP($A460,DICO_Complet!$A$3:$U$983,7,FALSE)</f>
        <v>0</v>
      </c>
      <c r="H460" s="48">
        <f>VLOOKUP($A460,DICO_Complet!$A$3:$U$983,8,FALSE)</f>
        <v>0</v>
      </c>
      <c r="I460" s="2" t="str">
        <f>IF(VLOOKUP($A460,DICO_Complet!$A$3:$U$983,9,FALSE)&lt;&gt;0,VLOOKUP($A460,DICO_Complet!$A$3:$U$983,9,FALSE),"")</f>
        <v/>
      </c>
      <c r="J460" s="1" t="str">
        <f>VLOOKUP($A460,DICO_Complet!$A$3:$U$983,10,FALSE)</f>
        <v>market place foreign indicator</v>
      </c>
      <c r="K460" s="53" t="str">
        <f>IF(VLOOKUP($A460,DICO_Complet!$A$3:$U$983,12,FALSE)=0,"",VLOOKUP($A460,DICO_Complet!$A$3:$U$983,12,FALSE))</f>
        <v/>
      </c>
      <c r="L460" s="53" t="str">
        <f>IF(VLOOKUP($A460,DICO_Complet!$A$3:$U$983,13,FALSE)=0,"",VLOOKUP($A460,DICO_Complet!$A$3:$U$983,13,FALSE))</f>
        <v/>
      </c>
      <c r="M460" s="53" t="str">
        <f>IF(VLOOKUP($A460,DICO_Complet!$A$3:$U$983,14,FALSE)=0,"",VLOOKUP($A460,DICO_Complet!$A$3:$U$983,14,FALSE))</f>
        <v>059_0030</v>
      </c>
      <c r="N460" s="53" t="str">
        <f>IF(VLOOKUP($A460,DICO_Complet!$A$3:$U$983,15,FALSE)=0,"",VLOOKUP($A460,DICO_Complet!$A$3:$U$983,15,FALSE))</f>
        <v/>
      </c>
      <c r="O460" s="53" t="str">
        <f>IF(VLOOKUP($A460,DICO_Complet!$A$3:$U$983,16,FALSE)=0,"",VLOOKUP($A460,DICO_Complet!$A$3:$U$983,16,FALSE))</f>
        <v/>
      </c>
      <c r="P460" s="53" t="str">
        <f>IF(VLOOKUP($A460,DICO_Complet!$A$3:$U$983,17,FALSE)=0,"",VLOOKUP($A460,DICO_Complet!$A$3:$U$983,17,FALSE))</f>
        <v/>
      </c>
      <c r="Q460" s="53" t="str">
        <f>IF(VLOOKUP($A460,DICO_Complet!$A$3:$U$983,18,FALSE)=0,"",VLOOKUP($A460,DICO_Complet!$A$3:$U$983,18,FALSE))</f>
        <v/>
      </c>
    </row>
    <row r="461" spans="1:17">
      <c r="A461" s="38">
        <v>250318094610</v>
      </c>
      <c r="B461" s="47" t="s">
        <v>858</v>
      </c>
      <c r="C461" s="3" t="str">
        <f>VLOOKUP($A461,DICO_Complet!$A$3:$U$983,3,FALSE)</f>
        <v>Environment</v>
      </c>
      <c r="D461" s="3" t="str">
        <f>VLOOKUP($A461,DICO_Complet!$A$3:$U$983,4,FALSE)</f>
        <v>sponsoredMerchant</v>
      </c>
      <c r="E461" s="2" t="str">
        <f>VLOOKUP($A461,DICO_Complet!$A$3:$U$983,5,FALSE)</f>
        <v>marketPlaceId</v>
      </c>
      <c r="F461" s="2" t="str">
        <f>VLOOKUP($A461,DICO_Complet!$A$3:$U$983,6,FALSE)</f>
        <v>Exact15Text</v>
      </c>
      <c r="G461" s="48">
        <f>VLOOKUP($A461,DICO_Complet!$A$3:$U$983,7,FALSE)</f>
        <v>0</v>
      </c>
      <c r="H461" s="48">
        <f>VLOOKUP($A461,DICO_Complet!$A$3:$U$983,8,FALSE)</f>
        <v>0</v>
      </c>
      <c r="I461" s="2" t="str">
        <f>IF(VLOOKUP($A461,DICO_Complet!$A$3:$U$983,9,FALSE)&lt;&gt;0,VLOOKUP($A461,DICO_Complet!$A$3:$U$983,9,FALSE),"")</f>
        <v/>
      </c>
      <c r="J461" s="1" t="str">
        <f>VLOOKUP($A461,DICO_Complet!$A$3:$U$983,10,FALSE)</f>
        <v>Identification of Market Place</v>
      </c>
      <c r="K461" s="53" t="str">
        <f>IF(VLOOKUP($A461,DICO_Complet!$A$3:$U$983,12,FALSE)=0,"",VLOOKUP($A461,DICO_Complet!$A$3:$U$983,12,FALSE))</f>
        <v/>
      </c>
      <c r="L461" s="53" t="str">
        <f>IF(VLOOKUP($A461,DICO_Complet!$A$3:$U$983,13,FALSE)=0,"",VLOOKUP($A461,DICO_Complet!$A$3:$U$983,13,FALSE))</f>
        <v/>
      </c>
      <c r="M461" s="53" t="str">
        <f>IF(VLOOKUP($A461,DICO_Complet!$A$3:$U$983,14,FALSE)=0,"",VLOOKUP($A461,DICO_Complet!$A$3:$U$983,14,FALSE))</f>
        <v/>
      </c>
      <c r="N461" s="53" t="str">
        <f>IF(VLOOKUP($A461,DICO_Complet!$A$3:$U$983,15,FALSE)=0,"",VLOOKUP($A461,DICO_Complet!$A$3:$U$983,15,FALSE))</f>
        <v>56_26</v>
      </c>
      <c r="O461" s="53" t="str">
        <f>IF(VLOOKUP($A461,DICO_Complet!$A$3:$U$983,16,FALSE)=0,"",VLOOKUP($A461,DICO_Complet!$A$3:$U$983,16,FALSE))</f>
        <v/>
      </c>
      <c r="P461" s="53" t="str">
        <f>IF(VLOOKUP($A461,DICO_Complet!$A$3:$U$983,17,FALSE)=0,"",VLOOKUP($A461,DICO_Complet!$A$3:$U$983,17,FALSE))</f>
        <v/>
      </c>
      <c r="Q461" s="53" t="str">
        <f>IF(VLOOKUP($A461,DICO_Complet!$A$3:$U$983,18,FALSE)=0,"",VLOOKUP($A461,DICO_Complet!$A$3:$U$983,18,FALSE))</f>
        <v/>
      </c>
    </row>
    <row r="462" spans="1:17">
      <c r="A462" s="38">
        <v>241112000024</v>
      </c>
      <c r="B462" s="47" t="s">
        <v>858</v>
      </c>
      <c r="C462" s="3" t="str">
        <f>VLOOKUP($A462,DICO_Complet!$A$3:$U$983,3,FALSE)</f>
        <v>Environment</v>
      </c>
      <c r="D462" s="3" t="str">
        <f>VLOOKUP($A462,DICO_Complet!$A$3:$U$983,4,FALSE)</f>
        <v>sponsoredMerchant</v>
      </c>
      <c r="E462" s="2" t="str">
        <f>VLOOKUP($A462,DICO_Complet!$A$3:$U$983,5,FALSE)</f>
        <v>paymentFacilitatorId</v>
      </c>
      <c r="F462" s="2" t="str">
        <f>VLOOKUP($A462,DICO_Complet!$A$3:$U$983,6,FALSE)</f>
        <v>Exact15Text</v>
      </c>
      <c r="G462" s="48">
        <f>VLOOKUP($A462,DICO_Complet!$A$3:$U$983,7,FALSE)</f>
        <v>0</v>
      </c>
      <c r="H462" s="48">
        <f>VLOOKUP($A462,DICO_Complet!$A$3:$U$983,8,FALSE)</f>
        <v>0</v>
      </c>
      <c r="I462" s="2" t="str">
        <f>IF(VLOOKUP($A462,DICO_Complet!$A$3:$U$983,9,FALSE)&lt;&gt;0,VLOOKUP($A462,DICO_Complet!$A$3:$U$983,9,FALSE),"")</f>
        <v/>
      </c>
      <c r="J462" s="1" t="str">
        <f>VLOOKUP($A462,DICO_Complet!$A$3:$U$983,10,FALSE)</f>
        <v>Identifier of Payment Facilitator</v>
      </c>
      <c r="K462" s="53" t="str">
        <f>IF(VLOOKUP($A462,DICO_Complet!$A$3:$U$983,12,FALSE)=0,"",VLOOKUP($A462,DICO_Complet!$A$3:$U$983,12,FALSE))</f>
        <v>RSB57_25</v>
      </c>
      <c r="L462" s="53" t="str">
        <f>IF(VLOOKUP($A462,DICO_Complet!$A$3:$U$983,13,FALSE)=0,"",VLOOKUP($A462,DICO_Complet!$A$3:$U$983,13,FALSE))</f>
        <v>[57-0025]</v>
      </c>
      <c r="M462" s="53" t="str">
        <f>IF(VLOOKUP($A462,DICO_Complet!$A$3:$U$983,14,FALSE)=0,"",VLOOKUP($A462,DICO_Complet!$A$3:$U$983,14,FALSE))</f>
        <v/>
      </c>
      <c r="N462" s="53" t="str">
        <f>IF(VLOOKUP($A462,DICO_Complet!$A$3:$U$983,15,FALSE)=0,"",VLOOKUP($A462,DICO_Complet!$A$3:$U$983,15,FALSE))</f>
        <v/>
      </c>
      <c r="O462" s="53" t="str">
        <f>IF(VLOOKUP($A462,DICO_Complet!$A$3:$U$983,16,FALSE)=0,"",VLOOKUP($A462,DICO_Complet!$A$3:$U$983,16,FALSE))</f>
        <v/>
      </c>
      <c r="P462" s="53" t="str">
        <f>IF(VLOOKUP($A462,DICO_Complet!$A$3:$U$983,17,FALSE)=0,"",VLOOKUP($A462,DICO_Complet!$A$3:$U$983,17,FALSE))</f>
        <v/>
      </c>
      <c r="Q462" s="53" t="str">
        <f>IF(VLOOKUP($A462,DICO_Complet!$A$3:$U$983,18,FALSE)=0,"",VLOOKUP($A462,DICO_Complet!$A$3:$U$983,18,FALSE))</f>
        <v/>
      </c>
    </row>
    <row r="463" spans="1:17">
      <c r="A463" s="38">
        <v>250415131000</v>
      </c>
      <c r="B463" s="47" t="s">
        <v>858</v>
      </c>
      <c r="C463" s="3" t="str">
        <f>VLOOKUP($A463,DICO_Complet!$A$3:$U$983,3,FALSE)</f>
        <v>Environment</v>
      </c>
      <c r="D463" s="3" t="str">
        <f>VLOOKUP($A463,DICO_Complet!$A$3:$U$983,4,FALSE)</f>
        <v>terminal</v>
      </c>
      <c r="E463" s="2" t="str">
        <f>VLOOKUP($A463,DICO_Complet!$A$3:$U$983,5,FALSE)</f>
        <v>acceptanceSystemApplicationId</v>
      </c>
      <c r="F463" s="2" t="str">
        <f>VLOOKUP($A463,DICO_Complet!$A$3:$U$983,6,FALSE)</f>
        <v>Max40Text</v>
      </c>
      <c r="G463" s="48">
        <f>VLOOKUP($A463,DICO_Complet!$A$3:$U$983,7,FALSE)</f>
        <v>0</v>
      </c>
      <c r="H463" s="48">
        <f>VLOOKUP($A463,DICO_Complet!$A$3:$U$983,8,FALSE)</f>
        <v>0</v>
      </c>
      <c r="I463" s="2" t="str">
        <f>IF(VLOOKUP($A463,DICO_Complet!$A$3:$U$983,9,FALSE)&lt;&gt;0,VLOOKUP($A463,DICO_Complet!$A$3:$U$983,9,FALSE),"")</f>
        <v/>
      </c>
      <c r="J463" s="1" t="str">
        <f>VLOOKUP($A463,DICO_Complet!$A$3:$U$983,10,FALSE)</f>
        <v>Card Acceptor Application Type</v>
      </c>
      <c r="K463" s="53" t="str">
        <f>IF(VLOOKUP($A463,DICO_Complet!$A$3:$U$983,12,FALSE)=0,"",VLOOKUP($A463,DICO_Complet!$A$3:$U$983,12,FALSE))</f>
        <v>59-020B</v>
      </c>
      <c r="L463" s="53" t="str">
        <f>IF(VLOOKUP($A463,DICO_Complet!$A$3:$U$983,13,FALSE)=0,"",VLOOKUP($A463,DICO_Complet!$A$3:$U$983,13,FALSE))</f>
        <v/>
      </c>
      <c r="M463" s="53" t="str">
        <f>IF(VLOOKUP($A463,DICO_Complet!$A$3:$U$983,14,FALSE)=0,"",VLOOKUP($A463,DICO_Complet!$A$3:$U$983,14,FALSE))</f>
        <v/>
      </c>
      <c r="N463" s="53" t="str">
        <f>IF(VLOOKUP($A463,DICO_Complet!$A$3:$U$983,15,FALSE)=0,"",VLOOKUP($A463,DICO_Complet!$A$3:$U$983,15,FALSE))</f>
        <v>59-020B</v>
      </c>
      <c r="O463" s="53" t="str">
        <f>IF(VLOOKUP($A463,DICO_Complet!$A$3:$U$983,16,FALSE)=0,"",VLOOKUP($A463,DICO_Complet!$A$3:$U$983,16,FALSE))</f>
        <v/>
      </c>
      <c r="P463" s="53" t="str">
        <f>IF(VLOOKUP($A463,DICO_Complet!$A$3:$U$983,17,FALSE)=0,"",VLOOKUP($A463,DICO_Complet!$A$3:$U$983,17,FALSE))</f>
        <v/>
      </c>
      <c r="Q463" s="53" t="str">
        <f>IF(VLOOKUP($A463,DICO_Complet!$A$3:$U$983,18,FALSE)=0,"",VLOOKUP($A463,DICO_Complet!$A$3:$U$983,18,FALSE))</f>
        <v/>
      </c>
    </row>
    <row r="464" spans="1:17">
      <c r="A464" s="38">
        <v>250331155400</v>
      </c>
      <c r="B464" s="47" t="s">
        <v>858</v>
      </c>
      <c r="C464" s="3" t="str">
        <f>VLOOKUP($A464,DICO_Complet!$A$3:$U$983,3,FALSE)</f>
        <v>Environment</v>
      </c>
      <c r="D464" s="3" t="str">
        <f>VLOOKUP($A464,DICO_Complet!$A$3:$U$983,4,FALSE)</f>
        <v>terminal</v>
      </c>
      <c r="E464" s="2" t="str">
        <f>VLOOKUP($A464,DICO_Complet!$A$3:$U$983,5,FALSE)</f>
        <v>acceptanceSystemComponentsIdentifier</v>
      </c>
      <c r="F464" s="2" t="str">
        <f>VLOOKUP($A464,DICO_Complet!$A$3:$U$983,6,FALSE)</f>
        <v>Exact12NumericText</v>
      </c>
      <c r="G464" s="48">
        <f>VLOOKUP($A464,DICO_Complet!$A$3:$U$983,7,FALSE)</f>
        <v>0</v>
      </c>
      <c r="H464" s="48">
        <f>VLOOKUP($A464,DICO_Complet!$A$3:$U$983,8,FALSE)</f>
        <v>0</v>
      </c>
      <c r="I464" s="2" t="str">
        <f>IF(VLOOKUP($A464,DICO_Complet!$A$3:$U$983,9,FALSE)&lt;&gt;0,VLOOKUP($A464,DICO_Complet!$A$3:$U$983,9,FALSE),"")</f>
        <v/>
      </c>
      <c r="J464" s="1" t="str">
        <f>VLOOKUP($A464,DICO_Complet!$A$3:$U$983,10,FALSE)</f>
        <v xml:space="preserve">Acceptance System Components Identifier </v>
      </c>
      <c r="K464" s="53" t="str">
        <f>IF(VLOOKUP($A464,DICO_Complet!$A$3:$U$983,12,FALSE)=0,"",VLOOKUP($A464,DICO_Complet!$A$3:$U$983,12,FALSE))</f>
        <v/>
      </c>
      <c r="L464" s="53" t="str">
        <f>IF(VLOOKUP($A464,DICO_Complet!$A$3:$U$983,13,FALSE)=0,"",VLOOKUP($A464,DICO_Complet!$A$3:$U$983,13,FALSE))</f>
        <v/>
      </c>
      <c r="M464" s="53" t="str">
        <f>IF(VLOOKUP($A464,DICO_Complet!$A$3:$U$983,14,FALSE)=0,"",VLOOKUP($A464,DICO_Complet!$A$3:$U$983,14,FALSE))</f>
        <v>46.DF50</v>
      </c>
      <c r="N464" s="53" t="str">
        <f>IF(VLOOKUP($A464,DICO_Complet!$A$3:$U$983,15,FALSE)=0,"",VLOOKUP($A464,DICO_Complet!$A$3:$U$983,15,FALSE))</f>
        <v/>
      </c>
      <c r="O464" s="53" t="str">
        <f>IF(VLOOKUP($A464,DICO_Complet!$A$3:$U$983,16,FALSE)=0,"",VLOOKUP($A464,DICO_Complet!$A$3:$U$983,16,FALSE))</f>
        <v/>
      </c>
      <c r="P464" s="53" t="str">
        <f>IF(VLOOKUP($A464,DICO_Complet!$A$3:$U$983,17,FALSE)=0,"",VLOOKUP($A464,DICO_Complet!$A$3:$U$983,17,FALSE))</f>
        <v/>
      </c>
      <c r="Q464" s="53" t="str">
        <f>IF(VLOOKUP($A464,DICO_Complet!$A$3:$U$983,18,FALSE)=0,"",VLOOKUP($A464,DICO_Complet!$A$3:$U$983,18,FALSE))</f>
        <v/>
      </c>
    </row>
    <row r="465" spans="1:17">
      <c r="A465" s="38">
        <v>250331155407</v>
      </c>
      <c r="B465" s="47" t="s">
        <v>858</v>
      </c>
      <c r="C465" s="3" t="str">
        <f>VLOOKUP($A465,DICO_Complet!$A$3:$U$983,3,FALSE)</f>
        <v>Environment</v>
      </c>
      <c r="D465" s="3" t="str">
        <f>VLOOKUP($A465,DICO_Complet!$A$3:$U$983,4,FALSE)</f>
        <v>terminal</v>
      </c>
      <c r="E465" s="2" t="str">
        <f>VLOOKUP($A465,DICO_Complet!$A$3:$U$983,5,FALSE)</f>
        <v>acceptanceSystemIdentifierAssignedByAnAcquirer</v>
      </c>
      <c r="F465" s="2" t="str">
        <f>VLOOKUP($A465,DICO_Complet!$A$3:$U$983,6,FALSE)</f>
        <v>Exact8AlphaNumericText</v>
      </c>
      <c r="G465" s="48">
        <f>VLOOKUP($A465,DICO_Complet!$A$3:$U$983,7,FALSE)</f>
        <v>0</v>
      </c>
      <c r="H465" s="48">
        <f>VLOOKUP($A465,DICO_Complet!$A$3:$U$983,8,FALSE)</f>
        <v>0</v>
      </c>
      <c r="I465" s="2" t="str">
        <f>IF(VLOOKUP($A465,DICO_Complet!$A$3:$U$983,9,FALSE)&lt;&gt;0,VLOOKUP($A465,DICO_Complet!$A$3:$U$983,9,FALSE),"")</f>
        <v/>
      </c>
      <c r="J465" s="1" t="str">
        <f>VLOOKUP($A465,DICO_Complet!$A$3:$U$983,10,FALSE)</f>
        <v>Acceptance system identifier assigned by an acquirer</v>
      </c>
      <c r="K465" s="53" t="str">
        <f>IF(VLOOKUP($A465,DICO_Complet!$A$3:$U$983,12,FALSE)=0,"",VLOOKUP($A465,DICO_Complet!$A$3:$U$983,12,FALSE))</f>
        <v/>
      </c>
      <c r="L465" s="53" t="str">
        <f>IF(VLOOKUP($A465,DICO_Complet!$A$3:$U$983,13,FALSE)=0,"",VLOOKUP($A465,DICO_Complet!$A$3:$U$983,13,FALSE))</f>
        <v/>
      </c>
      <c r="M465" s="53" t="str">
        <f>IF(VLOOKUP($A465,DICO_Complet!$A$3:$U$983,14,FALSE)=0,"",VLOOKUP($A465,DICO_Complet!$A$3:$U$983,14,FALSE))</f>
        <v>46.DF5E</v>
      </c>
      <c r="N465" s="53" t="str">
        <f>IF(VLOOKUP($A465,DICO_Complet!$A$3:$U$983,15,FALSE)=0,"",VLOOKUP($A465,DICO_Complet!$A$3:$U$983,15,FALSE))</f>
        <v/>
      </c>
      <c r="O465" s="53" t="str">
        <f>IF(VLOOKUP($A465,DICO_Complet!$A$3:$U$983,16,FALSE)=0,"",VLOOKUP($A465,DICO_Complet!$A$3:$U$983,16,FALSE))</f>
        <v/>
      </c>
      <c r="P465" s="53" t="str">
        <f>IF(VLOOKUP($A465,DICO_Complet!$A$3:$U$983,17,FALSE)=0,"",VLOOKUP($A465,DICO_Complet!$A$3:$U$983,17,FALSE))</f>
        <v/>
      </c>
      <c r="Q465" s="53" t="str">
        <f>IF(VLOOKUP($A465,DICO_Complet!$A$3:$U$983,18,FALSE)=0,"",VLOOKUP($A465,DICO_Complet!$A$3:$U$983,18,FALSE))</f>
        <v/>
      </c>
    </row>
    <row r="466" spans="1:17">
      <c r="A466" s="38">
        <v>250422151300</v>
      </c>
      <c r="B466" s="47" t="s">
        <v>858</v>
      </c>
      <c r="C466" s="3" t="str">
        <f>VLOOKUP($A466,DICO_Complet!$A$3:$U$983,3,FALSE)</f>
        <v>Environment</v>
      </c>
      <c r="D466" s="3" t="str">
        <f>VLOOKUP($A466,DICO_Complet!$A$3:$U$983,4,FALSE)</f>
        <v>terminal</v>
      </c>
      <c r="E466" s="2" t="str">
        <f>VLOOKUP($A466,DICO_Complet!$A$3:$U$983,5,FALSE)</f>
        <v>applicationStatus</v>
      </c>
      <c r="F466" s="2" t="str">
        <f>VLOOKUP($A466,DICO_Complet!$A$3:$U$983,6,FALSE)</f>
        <v>ApplicationStatusCodeset</v>
      </c>
      <c r="G466" s="48">
        <f>VLOOKUP($A466,DICO_Complet!$A$3:$U$983,7,FALSE)</f>
        <v>0</v>
      </c>
      <c r="H466" s="48">
        <f>VLOOKUP($A466,DICO_Complet!$A$3:$U$983,8,FALSE)</f>
        <v>0</v>
      </c>
      <c r="I466" s="2" t="str">
        <f>IF(VLOOKUP($A466,DICO_Complet!$A$3:$U$983,9,FALSE)&lt;&gt;0,VLOOKUP($A466,DICO_Complet!$A$3:$U$983,9,FALSE),"")</f>
        <v/>
      </c>
      <c r="J466" s="1" t="str">
        <f>VLOOKUP($A466,DICO_Complet!$A$3:$U$983,10,FALSE)</f>
        <v>Application status</v>
      </c>
      <c r="K466" s="53" t="str">
        <f>IF(VLOOKUP($A466,DICO_Complet!$A$3:$U$983,12,FALSE)=0,"",VLOOKUP($A466,DICO_Complet!$A$3:$U$983,12,FALSE))</f>
        <v/>
      </c>
      <c r="L466" s="53" t="str">
        <f>IF(VLOOKUP($A466,DICO_Complet!$A$3:$U$983,13,FALSE)=0,"",VLOOKUP($A466,DICO_Complet!$A$3:$U$983,13,FALSE))</f>
        <v/>
      </c>
      <c r="M466" s="53" t="str">
        <f>IF(VLOOKUP($A466,DICO_Complet!$A$3:$U$983,14,FALSE)=0,"",VLOOKUP($A466,DICO_Complet!$A$3:$U$983,14,FALSE))</f>
        <v>46_DF54</v>
      </c>
      <c r="N466" s="53" t="str">
        <f>IF(VLOOKUP($A466,DICO_Complet!$A$3:$U$983,15,FALSE)=0,"",VLOOKUP($A466,DICO_Complet!$A$3:$U$983,15,FALSE))</f>
        <v/>
      </c>
      <c r="O466" s="53" t="str">
        <f>IF(VLOOKUP($A466,DICO_Complet!$A$3:$U$983,16,FALSE)=0,"",VLOOKUP($A466,DICO_Complet!$A$3:$U$983,16,FALSE))</f>
        <v/>
      </c>
      <c r="P466" s="53" t="str">
        <f>IF(VLOOKUP($A466,DICO_Complet!$A$3:$U$983,17,FALSE)=0,"",VLOOKUP($A466,DICO_Complet!$A$3:$U$983,17,FALSE))</f>
        <v/>
      </c>
      <c r="Q466" s="53" t="str">
        <f>IF(VLOOKUP($A466,DICO_Complet!$A$3:$U$983,18,FALSE)=0,"",VLOOKUP($A466,DICO_Complet!$A$3:$U$983,18,FALSE))</f>
        <v/>
      </c>
    </row>
    <row r="467" spans="1:17">
      <c r="A467" s="38">
        <v>241112000133</v>
      </c>
      <c r="B467" s="47" t="s">
        <v>858</v>
      </c>
      <c r="C467" s="3" t="str">
        <f>VLOOKUP($A467,DICO_Complet!$A$3:$U$983,3,FALSE)</f>
        <v>Environment</v>
      </c>
      <c r="D467" s="3" t="str">
        <f>VLOOKUP($A467,DICO_Complet!$A$3:$U$983,4,FALSE)</f>
        <v>terminal</v>
      </c>
      <c r="E467" s="2" t="str">
        <f>VLOOKUP($A467,DICO_Complet!$A$3:$U$983,5,FALSE)</f>
        <v>approvalCodeLength</v>
      </c>
      <c r="F467" s="2" t="str">
        <f>VLOOKUP($A467,DICO_Complet!$A$3:$U$983,6,FALSE)</f>
        <v>Exact1NumericText</v>
      </c>
      <c r="G467" s="48">
        <f>VLOOKUP($A467,DICO_Complet!$A$3:$U$983,7,FALSE)</f>
        <v>0</v>
      </c>
      <c r="H467" s="48">
        <f>VLOOKUP($A467,DICO_Complet!$A$3:$U$983,8,FALSE)</f>
        <v>0</v>
      </c>
      <c r="I467" s="2" t="str">
        <f>IF(VLOOKUP($A467,DICO_Complet!$A$3:$U$983,9,FALSE)&lt;&gt;0,VLOOKUP($A467,DICO_Complet!$A$3:$U$983,9,FALSE),"")</f>
        <v/>
      </c>
      <c r="J467" s="1" t="str">
        <f>VLOOKUP($A467,DICO_Complet!$A$3:$U$983,10,FALSE)</f>
        <v xml:space="preserve">Maximum length of the authorisation number </v>
      </c>
      <c r="K467" s="53" t="str">
        <f>IF(VLOOKUP($A467,DICO_Complet!$A$3:$U$983,12,FALSE)=0,"",VLOOKUP($A467,DICO_Complet!$A$3:$U$983,12,FALSE))</f>
        <v>ISO27</v>
      </c>
      <c r="L467" s="53" t="str">
        <f>IF(VLOOKUP($A467,DICO_Complet!$A$3:$U$983,13,FALSE)=0,"",VLOOKUP($A467,DICO_Complet!$A$3:$U$983,13,FALSE))</f>
        <v>[27]</v>
      </c>
      <c r="M467" s="53" t="str">
        <f>IF(VLOOKUP($A467,DICO_Complet!$A$3:$U$983,14,FALSE)=0,"",VLOOKUP($A467,DICO_Complet!$A$3:$U$983,14,FALSE))</f>
        <v/>
      </c>
      <c r="N467" s="53" t="str">
        <f>IF(VLOOKUP($A467,DICO_Complet!$A$3:$U$983,15,FALSE)=0,"",VLOOKUP($A467,DICO_Complet!$A$3:$U$983,15,FALSE))</f>
        <v/>
      </c>
      <c r="O467" s="53" t="str">
        <f>IF(VLOOKUP($A467,DICO_Complet!$A$3:$U$983,16,FALSE)=0,"",VLOOKUP($A467,DICO_Complet!$A$3:$U$983,16,FALSE))</f>
        <v/>
      </c>
      <c r="P467" s="53" t="str">
        <f>IF(VLOOKUP($A467,DICO_Complet!$A$3:$U$983,17,FALSE)=0,"",VLOOKUP($A467,DICO_Complet!$A$3:$U$983,17,FALSE))</f>
        <v/>
      </c>
      <c r="Q467" s="53" t="str">
        <f>IF(VLOOKUP($A467,DICO_Complet!$A$3:$U$983,18,FALSE)=0,"",VLOOKUP($A467,DICO_Complet!$A$3:$U$983,18,FALSE))</f>
        <v/>
      </c>
    </row>
    <row r="468" spans="1:17">
      <c r="A468" s="38">
        <v>250331155402</v>
      </c>
      <c r="B468" s="47" t="s">
        <v>858</v>
      </c>
      <c r="C468" s="3" t="str">
        <f>VLOOKUP($A468,DICO_Complet!$A$3:$U$983,3,FALSE)</f>
        <v>Environment</v>
      </c>
      <c r="D468" s="3" t="str">
        <f>VLOOKUP($A468,DICO_Complet!$A$3:$U$983,4,FALSE)</f>
        <v>terminal</v>
      </c>
      <c r="E468" s="2" t="str">
        <f>VLOOKUP($A468,DICO_Complet!$A$3:$U$983,5,FALSE)</f>
        <v>cardAcceptorArchitectureCategory</v>
      </c>
      <c r="F468" s="2" t="str">
        <f>VLOOKUP($A468,DICO_Complet!$A$3:$U$983,6,FALSE)</f>
        <v>CardAcceptorArchitectureCategoryCodeset</v>
      </c>
      <c r="G468" s="48">
        <f>VLOOKUP($A468,DICO_Complet!$A$3:$U$983,7,FALSE)</f>
        <v>0</v>
      </c>
      <c r="H468" s="48">
        <f>VLOOKUP($A468,DICO_Complet!$A$3:$U$983,8,FALSE)</f>
        <v>0</v>
      </c>
      <c r="I468" s="2" t="str">
        <f>IF(VLOOKUP($A468,DICO_Complet!$A$3:$U$983,9,FALSE)&lt;&gt;0,VLOOKUP($A468,DICO_Complet!$A$3:$U$983,9,FALSE),"")</f>
        <v/>
      </c>
      <c r="J468" s="1" t="str">
        <f>VLOOKUP($A468,DICO_Complet!$A$3:$U$983,10,FALSE)</f>
        <v>Card acceptor architecture type</v>
      </c>
      <c r="K468" s="53" t="str">
        <f>IF(VLOOKUP($A468,DICO_Complet!$A$3:$U$983,12,FALSE)=0,"",VLOOKUP($A468,DICO_Complet!$A$3:$U$983,12,FALSE))</f>
        <v/>
      </c>
      <c r="L468" s="53" t="str">
        <f>IF(VLOOKUP($A468,DICO_Complet!$A$3:$U$983,13,FALSE)=0,"",VLOOKUP($A468,DICO_Complet!$A$3:$U$983,13,FALSE))</f>
        <v/>
      </c>
      <c r="M468" s="53" t="str">
        <f>IF(VLOOKUP($A468,DICO_Complet!$A$3:$U$983,14,FALSE)=0,"",VLOOKUP($A468,DICO_Complet!$A$3:$U$983,14,FALSE))</f>
        <v>46.DF52</v>
      </c>
      <c r="N468" s="53" t="str">
        <f>IF(VLOOKUP($A468,DICO_Complet!$A$3:$U$983,15,FALSE)=0,"",VLOOKUP($A468,DICO_Complet!$A$3:$U$983,15,FALSE))</f>
        <v/>
      </c>
      <c r="O468" s="53" t="str">
        <f>IF(VLOOKUP($A468,DICO_Complet!$A$3:$U$983,16,FALSE)=0,"",VLOOKUP($A468,DICO_Complet!$A$3:$U$983,16,FALSE))</f>
        <v/>
      </c>
      <c r="P468" s="53" t="str">
        <f>IF(VLOOKUP($A468,DICO_Complet!$A$3:$U$983,17,FALSE)=0,"",VLOOKUP($A468,DICO_Complet!$A$3:$U$983,17,FALSE))</f>
        <v/>
      </c>
      <c r="Q468" s="53" t="str">
        <f>IF(VLOOKUP($A468,DICO_Complet!$A$3:$U$983,18,FALSE)=0,"",VLOOKUP($A468,DICO_Complet!$A$3:$U$983,18,FALSE))</f>
        <v/>
      </c>
    </row>
    <row r="469" spans="1:17">
      <c r="A469" s="38">
        <v>250331155401</v>
      </c>
      <c r="B469" s="47" t="s">
        <v>858</v>
      </c>
      <c r="C469" s="3" t="str">
        <f>VLOOKUP($A469,DICO_Complet!$A$3:$U$983,3,FALSE)</f>
        <v>Environment</v>
      </c>
      <c r="D469" s="3" t="str">
        <f>VLOOKUP($A469,DICO_Complet!$A$3:$U$983,4,FALSE)</f>
        <v>terminal</v>
      </c>
      <c r="E469" s="2" t="str">
        <f>VLOOKUP($A469,DICO_Complet!$A$3:$U$983,5,FALSE)</f>
        <v>cardAcceptorLogicalNumber</v>
      </c>
      <c r="F469" s="2" t="str">
        <f>VLOOKUP($A469,DICO_Complet!$A$3:$U$983,6,FALSE)</f>
        <v>Exact3AlphaNumericText</v>
      </c>
      <c r="G469" s="48">
        <f>VLOOKUP($A469,DICO_Complet!$A$3:$U$983,7,FALSE)</f>
        <v>0</v>
      </c>
      <c r="H469" s="48">
        <f>VLOOKUP($A469,DICO_Complet!$A$3:$U$983,8,FALSE)</f>
        <v>0</v>
      </c>
      <c r="I469" s="2" t="str">
        <f>IF(VLOOKUP($A469,DICO_Complet!$A$3:$U$983,9,FALSE)&lt;&gt;0,VLOOKUP($A469,DICO_Complet!$A$3:$U$983,9,FALSE),"")</f>
        <v/>
      </c>
      <c r="J469" s="1" t="str">
        <f>VLOOKUP($A469,DICO_Complet!$A$3:$U$983,10,FALSE)</f>
        <v>Card acceptor logical number</v>
      </c>
      <c r="K469" s="53" t="str">
        <f>IF(VLOOKUP($A469,DICO_Complet!$A$3:$U$983,12,FALSE)=0,"",VLOOKUP($A469,DICO_Complet!$A$3:$U$983,12,FALSE))</f>
        <v/>
      </c>
      <c r="L469" s="53" t="str">
        <f>IF(VLOOKUP($A469,DICO_Complet!$A$3:$U$983,13,FALSE)=0,"",VLOOKUP($A469,DICO_Complet!$A$3:$U$983,13,FALSE))</f>
        <v/>
      </c>
      <c r="M469" s="53" t="str">
        <f>IF(VLOOKUP($A469,DICO_Complet!$A$3:$U$983,14,FALSE)=0,"",VLOOKUP($A469,DICO_Complet!$A$3:$U$983,14,FALSE))</f>
        <v>46.DF51</v>
      </c>
      <c r="N469" s="53" t="str">
        <f>IF(VLOOKUP($A469,DICO_Complet!$A$3:$U$983,15,FALSE)=0,"",VLOOKUP($A469,DICO_Complet!$A$3:$U$983,15,FALSE))</f>
        <v/>
      </c>
      <c r="O469" s="53" t="str">
        <f>IF(VLOOKUP($A469,DICO_Complet!$A$3:$U$983,16,FALSE)=0,"",VLOOKUP($A469,DICO_Complet!$A$3:$U$983,16,FALSE))</f>
        <v/>
      </c>
      <c r="P469" s="53" t="str">
        <f>IF(VLOOKUP($A469,DICO_Complet!$A$3:$U$983,17,FALSE)=0,"",VLOOKUP($A469,DICO_Complet!$A$3:$U$983,17,FALSE))</f>
        <v/>
      </c>
      <c r="Q469" s="53" t="str">
        <f>IF(VLOOKUP($A469,DICO_Complet!$A$3:$U$983,18,FALSE)=0,"",VLOOKUP($A469,DICO_Complet!$A$3:$U$983,18,FALSE))</f>
        <v/>
      </c>
    </row>
    <row r="470" spans="1:17">
      <c r="A470" s="38">
        <v>250331125900</v>
      </c>
      <c r="B470" s="47" t="s">
        <v>858</v>
      </c>
      <c r="C470" s="3" t="str">
        <f>VLOOKUP($A470,DICO_Complet!$A$3:$U$983,3,FALSE)</f>
        <v>Environment</v>
      </c>
      <c r="D470" s="3" t="str">
        <f>VLOOKUP($A470,DICO_Complet!$A$3:$U$983,4,FALSE)</f>
        <v>terminal</v>
      </c>
      <c r="E470" s="2" t="str">
        <f>VLOOKUP($A470,DICO_Complet!$A$3:$U$983,5,FALSE)</f>
        <v>cardholderAuthenticationCapabilities</v>
      </c>
      <c r="F470" s="2" t="str">
        <f>VLOOKUP($A470,DICO_Complet!$A$3:$U$983,6,FALSE)</f>
        <v>CardholderAuthenticationCapabilitiesCodeset</v>
      </c>
      <c r="G470" s="48">
        <f>VLOOKUP($A470,DICO_Complet!$A$3:$U$983,7,FALSE)</f>
        <v>0</v>
      </c>
      <c r="H470" s="48">
        <f>VLOOKUP($A470,DICO_Complet!$A$3:$U$983,8,FALSE)</f>
        <v>0</v>
      </c>
      <c r="I470" s="2" t="str">
        <f>IF(VLOOKUP($A470,DICO_Complet!$A$3:$U$983,9,FALSE)&lt;&gt;0,VLOOKUP($A470,DICO_Complet!$A$3:$U$983,9,FALSE),"")</f>
        <v/>
      </c>
      <c r="J470" s="1" t="str">
        <f>VLOOKUP($A470,DICO_Complet!$A$3:$U$983,10,FALSE)</f>
        <v>Cardholder authentication capability</v>
      </c>
      <c r="K470" s="53" t="str">
        <f>IF(VLOOKUP($A470,DICO_Complet!$A$3:$U$983,12,FALSE)=0,"",VLOOKUP($A470,DICO_Complet!$A$3:$U$983,12,FALSE))</f>
        <v/>
      </c>
      <c r="L470" s="53" t="str">
        <f>IF(VLOOKUP($A470,DICO_Complet!$A$3:$U$983,13,FALSE)=0,"",VLOOKUP($A470,DICO_Complet!$A$3:$U$983,13,FALSE))</f>
        <v/>
      </c>
      <c r="M470" s="53" t="str">
        <f>IF(VLOOKUP($A470,DICO_Complet!$A$3:$U$983,14,FALSE)=0,"",VLOOKUP($A470,DICO_Complet!$A$3:$U$983,14,FALSE))</f>
        <v>21 part 2</v>
      </c>
      <c r="N470" s="53" t="str">
        <f>IF(VLOOKUP($A470,DICO_Complet!$A$3:$U$983,15,FALSE)=0,"",VLOOKUP($A470,DICO_Complet!$A$3:$U$983,15,FALSE))</f>
        <v/>
      </c>
      <c r="O470" s="53" t="str">
        <f>IF(VLOOKUP($A470,DICO_Complet!$A$3:$U$983,16,FALSE)=0,"",VLOOKUP($A470,DICO_Complet!$A$3:$U$983,16,FALSE))</f>
        <v/>
      </c>
      <c r="P470" s="53" t="str">
        <f>IF(VLOOKUP($A470,DICO_Complet!$A$3:$U$983,17,FALSE)=0,"",VLOOKUP($A470,DICO_Complet!$A$3:$U$983,17,FALSE))</f>
        <v/>
      </c>
      <c r="Q470" s="53" t="str">
        <f>IF(VLOOKUP($A470,DICO_Complet!$A$3:$U$983,18,FALSE)=0,"",VLOOKUP($A470,DICO_Complet!$A$3:$U$983,18,FALSE))</f>
        <v/>
      </c>
    </row>
    <row r="471" spans="1:17">
      <c r="A471" s="38">
        <v>250331125901</v>
      </c>
      <c r="B471" s="47" t="s">
        <v>858</v>
      </c>
      <c r="C471" s="3" t="str">
        <f>VLOOKUP($A471,DICO_Complet!$A$3:$U$983,3,FALSE)</f>
        <v>Environment</v>
      </c>
      <c r="D471" s="3" t="str">
        <f>VLOOKUP($A471,DICO_Complet!$A$3:$U$983,4,FALSE)</f>
        <v>terminal</v>
      </c>
      <c r="E471" s="2" t="str">
        <f>VLOOKUP($A471,DICO_Complet!$A$3:$U$983,5,FALSE)</f>
        <v>cardholderPickUpCapabilities</v>
      </c>
      <c r="F471" s="2" t="str">
        <f>VLOOKUP($A471,DICO_Complet!$A$3:$U$983,6,FALSE)</f>
        <v>CardholderPickUpCapabilitiesCodeset</v>
      </c>
      <c r="G471" s="48">
        <f>VLOOKUP($A471,DICO_Complet!$A$3:$U$983,7,FALSE)</f>
        <v>0</v>
      </c>
      <c r="H471" s="48">
        <f>VLOOKUP($A471,DICO_Complet!$A$3:$U$983,8,FALSE)</f>
        <v>0</v>
      </c>
      <c r="I471" s="2" t="str">
        <f>IF(VLOOKUP($A471,DICO_Complet!$A$3:$U$983,9,FALSE)&lt;&gt;0,VLOOKUP($A471,DICO_Complet!$A$3:$U$983,9,FALSE),"")</f>
        <v/>
      </c>
      <c r="J471" s="1" t="str">
        <f>VLOOKUP($A471,DICO_Complet!$A$3:$U$983,10,FALSE)</f>
        <v>Cardholder pick-up capability</v>
      </c>
      <c r="K471" s="53" t="str">
        <f>IF(VLOOKUP($A471,DICO_Complet!$A$3:$U$983,12,FALSE)=0,"",VLOOKUP($A471,DICO_Complet!$A$3:$U$983,12,FALSE))</f>
        <v/>
      </c>
      <c r="L471" s="53" t="str">
        <f>IF(VLOOKUP($A471,DICO_Complet!$A$3:$U$983,13,FALSE)=0,"",VLOOKUP($A471,DICO_Complet!$A$3:$U$983,13,FALSE))</f>
        <v/>
      </c>
      <c r="M471" s="53" t="str">
        <f>IF(VLOOKUP($A471,DICO_Complet!$A$3:$U$983,14,FALSE)=0,"",VLOOKUP($A471,DICO_Complet!$A$3:$U$983,14,FALSE))</f>
        <v>21 part 3</v>
      </c>
      <c r="N471" s="53" t="str">
        <f>IF(VLOOKUP($A471,DICO_Complet!$A$3:$U$983,15,FALSE)=0,"",VLOOKUP($A471,DICO_Complet!$A$3:$U$983,15,FALSE))</f>
        <v/>
      </c>
      <c r="O471" s="53" t="str">
        <f>IF(VLOOKUP($A471,DICO_Complet!$A$3:$U$983,16,FALSE)=0,"",VLOOKUP($A471,DICO_Complet!$A$3:$U$983,16,FALSE))</f>
        <v/>
      </c>
      <c r="P471" s="53" t="str">
        <f>IF(VLOOKUP($A471,DICO_Complet!$A$3:$U$983,17,FALSE)=0,"",VLOOKUP($A471,DICO_Complet!$A$3:$U$983,17,FALSE))</f>
        <v/>
      </c>
      <c r="Q471" s="53" t="str">
        <f>IF(VLOOKUP($A471,DICO_Complet!$A$3:$U$983,18,FALSE)=0,"",VLOOKUP($A471,DICO_Complet!$A$3:$U$983,18,FALSE))</f>
        <v/>
      </c>
    </row>
    <row r="472" spans="1:17">
      <c r="A472" s="38">
        <v>241112000134</v>
      </c>
      <c r="B472" s="47" t="s">
        <v>858</v>
      </c>
      <c r="C472" s="3" t="str">
        <f>VLOOKUP($A472,DICO_Complet!$A$3:$U$983,3,FALSE)</f>
        <v>Environment</v>
      </c>
      <c r="D472" s="3" t="str">
        <f>VLOOKUP($A472,DICO_Complet!$A$3:$U$983,4,FALSE)</f>
        <v>terminal</v>
      </c>
      <c r="E472" s="2" t="str">
        <f>VLOOKUP($A472,DICO_Complet!$A$3:$U$983,5,FALSE)</f>
        <v>cardReadingCapabilities</v>
      </c>
      <c r="F472" s="2" t="str">
        <f>VLOOKUP($A472,DICO_Complet!$A$3:$U$983,6,FALSE)</f>
        <v>CardReadingCapabilitiesCodeset</v>
      </c>
      <c r="G472" s="48">
        <f>VLOOKUP($A472,DICO_Complet!$A$3:$U$983,7,FALSE)</f>
        <v>0</v>
      </c>
      <c r="H472" s="48">
        <f>VLOOKUP($A472,DICO_Complet!$A$3:$U$983,8,FALSE)</f>
        <v>0</v>
      </c>
      <c r="I472" s="2" t="str">
        <f>IF(VLOOKUP($A472,DICO_Complet!$A$3:$U$983,9,FALSE)&lt;&gt;0,VLOOKUP($A472,DICO_Complet!$A$3:$U$983,9,FALSE),"")</f>
        <v/>
      </c>
      <c r="J472" s="1" t="str">
        <f>VLOOKUP($A472,DICO_Complet!$A$3:$U$983,10,FALSE)</f>
        <v>Card Reading Capabilities</v>
      </c>
      <c r="K472" s="53" t="str">
        <f>IF(VLOOKUP($A472,DICO_Complet!$A$3:$U$983,12,FALSE)=0,"",VLOOKUP($A472,DICO_Complet!$A$3:$U$983,12,FALSE))</f>
        <v>RSB47_3</v>
      </c>
      <c r="L472" s="53" t="str">
        <f>IF(VLOOKUP($A472,DICO_Complet!$A$3:$U$983,13,FALSE)=0,"",VLOOKUP($A472,DICO_Complet!$A$3:$U$983,13,FALSE))</f>
        <v>[47-03]</v>
      </c>
      <c r="M472" s="53" t="str">
        <f>IF(VLOOKUP($A472,DICO_Complet!$A$3:$U$983,14,FALSE)=0,"",VLOOKUP($A472,DICO_Complet!$A$3:$U$983,14,FALSE))</f>
        <v>21 part 1 (614)</v>
      </c>
      <c r="N472" s="53" t="str">
        <f>IF(VLOOKUP($A472,DICO_Complet!$A$3:$U$983,15,FALSE)=0,"",VLOOKUP($A472,DICO_Complet!$A$3:$U$983,15,FALSE))</f>
        <v/>
      </c>
      <c r="O472" s="53" t="str">
        <f>IF(VLOOKUP($A472,DICO_Complet!$A$3:$U$983,16,FALSE)=0,"",VLOOKUP($A472,DICO_Complet!$A$3:$U$983,16,FALSE))</f>
        <v/>
      </c>
      <c r="P472" s="53" t="str">
        <f>IF(VLOOKUP($A472,DICO_Complet!$A$3:$U$983,17,FALSE)=0,"",VLOOKUP($A472,DICO_Complet!$A$3:$U$983,17,FALSE))</f>
        <v/>
      </c>
      <c r="Q472" s="53" t="str">
        <f>IF(VLOOKUP($A472,DICO_Complet!$A$3:$U$983,18,FALSE)=0,"",VLOOKUP($A472,DICO_Complet!$A$3:$U$983,18,FALSE))</f>
        <v/>
      </c>
    </row>
    <row r="473" spans="1:17">
      <c r="A473" s="38">
        <v>250331125902</v>
      </c>
      <c r="B473" s="47" t="s">
        <v>858</v>
      </c>
      <c r="C473" s="3" t="str">
        <f>VLOOKUP($A473,DICO_Complet!$A$3:$U$983,3,FALSE)</f>
        <v>Environment</v>
      </c>
      <c r="D473" s="3" t="str">
        <f>VLOOKUP($A473,DICO_Complet!$A$3:$U$983,4,FALSE)</f>
        <v>terminal</v>
      </c>
      <c r="E473" s="2" t="str">
        <f>VLOOKUP($A473,DICO_Complet!$A$3:$U$983,5,FALSE)</f>
        <v>cardWriteCapabilities</v>
      </c>
      <c r="F473" s="2" t="str">
        <f>VLOOKUP($A473,DICO_Complet!$A$3:$U$983,6,FALSE)</f>
        <v>CardWriteCapabilitiesCodeset</v>
      </c>
      <c r="G473" s="48">
        <f>VLOOKUP($A473,DICO_Complet!$A$3:$U$983,7,FALSE)</f>
        <v>0</v>
      </c>
      <c r="H473" s="48">
        <f>VLOOKUP($A473,DICO_Complet!$A$3:$U$983,8,FALSE)</f>
        <v>0</v>
      </c>
      <c r="I473" s="2" t="str">
        <f>IF(VLOOKUP($A473,DICO_Complet!$A$3:$U$983,9,FALSE)&lt;&gt;0,VLOOKUP($A473,DICO_Complet!$A$3:$U$983,9,FALSE),"")</f>
        <v/>
      </c>
      <c r="J473" s="1" t="str">
        <f>VLOOKUP($A473,DICO_Complet!$A$3:$U$983,10,FALSE)</f>
        <v>Card write capability</v>
      </c>
      <c r="K473" s="53" t="str">
        <f>IF(VLOOKUP($A473,DICO_Complet!$A$3:$U$983,12,FALSE)=0,"",VLOOKUP($A473,DICO_Complet!$A$3:$U$983,12,FALSE))</f>
        <v/>
      </c>
      <c r="L473" s="53" t="str">
        <f>IF(VLOOKUP($A473,DICO_Complet!$A$3:$U$983,13,FALSE)=0,"",VLOOKUP($A473,DICO_Complet!$A$3:$U$983,13,FALSE))</f>
        <v/>
      </c>
      <c r="M473" s="53" t="str">
        <f>IF(VLOOKUP($A473,DICO_Complet!$A$3:$U$983,14,FALSE)=0,"",VLOOKUP($A473,DICO_Complet!$A$3:$U$983,14,FALSE))</f>
        <v>21 part 4</v>
      </c>
      <c r="N473" s="53" t="str">
        <f>IF(VLOOKUP($A473,DICO_Complet!$A$3:$U$983,15,FALSE)=0,"",VLOOKUP($A473,DICO_Complet!$A$3:$U$983,15,FALSE))</f>
        <v/>
      </c>
      <c r="O473" s="53" t="str">
        <f>IF(VLOOKUP($A473,DICO_Complet!$A$3:$U$983,16,FALSE)=0,"",VLOOKUP($A473,DICO_Complet!$A$3:$U$983,16,FALSE))</f>
        <v/>
      </c>
      <c r="P473" s="53" t="str">
        <f>IF(VLOOKUP($A473,DICO_Complet!$A$3:$U$983,17,FALSE)=0,"",VLOOKUP($A473,DICO_Complet!$A$3:$U$983,17,FALSE))</f>
        <v/>
      </c>
      <c r="Q473" s="53" t="str">
        <f>IF(VLOOKUP($A473,DICO_Complet!$A$3:$U$983,18,FALSE)=0,"",VLOOKUP($A473,DICO_Complet!$A$3:$U$983,18,FALSE))</f>
        <v/>
      </c>
    </row>
    <row r="474" spans="1:17">
      <c r="A474" s="38">
        <v>241112000136</v>
      </c>
      <c r="B474" s="47" t="s">
        <v>858</v>
      </c>
      <c r="C474" s="3" t="str">
        <f>VLOOKUP($A474,DICO_Complet!$A$3:$U$983,3,FALSE)</f>
        <v>Environment</v>
      </c>
      <c r="D474" s="3" t="str">
        <f>VLOOKUP($A474,DICO_Complet!$A$3:$U$983,4,FALSE)</f>
        <v>terminal</v>
      </c>
      <c r="E474" s="2" t="str">
        <f>VLOOKUP($A474,DICO_Complet!$A$3:$U$983,5,FALSE)</f>
        <v>countryCode</v>
      </c>
      <c r="F474" s="2" t="str">
        <f>VLOOKUP($A474,DICO_Complet!$A$3:$U$983,6,FALSE)</f>
        <v>ISO3NumericCountryCode</v>
      </c>
      <c r="G474" s="48">
        <f>VLOOKUP($A474,DICO_Complet!$A$3:$U$983,7,FALSE)</f>
        <v>0</v>
      </c>
      <c r="H474" s="48">
        <f>VLOOKUP($A474,DICO_Complet!$A$3:$U$983,8,FALSE)</f>
        <v>0</v>
      </c>
      <c r="I474" s="2" t="str">
        <f>IF(VLOOKUP($A474,DICO_Complet!$A$3:$U$983,9,FALSE)&lt;&gt;0,VLOOKUP($A474,DICO_Complet!$A$3:$U$983,9,FALSE),"")</f>
        <v/>
      </c>
      <c r="J474" s="1" t="str">
        <f>VLOOKUP($A474,DICO_Complet!$A$3:$U$983,10,FALSE)</f>
        <v>Acceptance System Country Code</v>
      </c>
      <c r="K474" s="53" t="str">
        <f>IF(VLOOKUP($A474,DICO_Complet!$A$3:$U$983,12,FALSE)=0,"",VLOOKUP($A474,DICO_Complet!$A$3:$U$983,12,FALSE))</f>
        <v>RSB55_9F1A / RSB59_205</v>
      </c>
      <c r="L474" s="53" t="str">
        <f>IF(VLOOKUP($A474,DICO_Complet!$A$3:$U$983,13,FALSE)=0,"",VLOOKUP($A474,DICO_Complet!$A$3:$U$983,13,FALSE))</f>
        <v>[55-9F1A;59-0205]</v>
      </c>
      <c r="M474" s="53" t="str">
        <f>IF(VLOOKUP($A474,DICO_Complet!$A$3:$U$983,14,FALSE)=0,"",VLOOKUP($A474,DICO_Complet!$A$3:$U$983,14,FALSE))</f>
        <v>47_18</v>
      </c>
      <c r="N474" s="53" t="str">
        <f>IF(VLOOKUP($A474,DICO_Complet!$A$3:$U$983,15,FALSE)=0,"",VLOOKUP($A474,DICO_Complet!$A$3:$U$983,15,FALSE))</f>
        <v/>
      </c>
      <c r="O474" s="53" t="str">
        <f>IF(VLOOKUP($A474,DICO_Complet!$A$3:$U$983,16,FALSE)=0,"",VLOOKUP($A474,DICO_Complet!$A$3:$U$983,16,FALSE))</f>
        <v/>
      </c>
      <c r="P474" s="53" t="str">
        <f>IF(VLOOKUP($A474,DICO_Complet!$A$3:$U$983,17,FALSE)=0,"",VLOOKUP($A474,DICO_Complet!$A$3:$U$983,17,FALSE))</f>
        <v/>
      </c>
      <c r="Q474" s="53" t="str">
        <f>IF(VLOOKUP($A474,DICO_Complet!$A$3:$U$983,18,FALSE)=0,"",VLOOKUP($A474,DICO_Complet!$A$3:$U$983,18,FALSE))</f>
        <v/>
      </c>
    </row>
    <row r="475" spans="1:17">
      <c r="A475" s="38">
        <v>241112000137</v>
      </c>
      <c r="B475" s="47" t="s">
        <v>858</v>
      </c>
      <c r="C475" s="3" t="str">
        <f>VLOOKUP($A475,DICO_Complet!$A$3:$U$983,3,FALSE)</f>
        <v>Environment</v>
      </c>
      <c r="D475" s="3" t="str">
        <f>VLOOKUP($A475,DICO_Complet!$A$3:$U$983,4,FALSE)</f>
        <v>terminal</v>
      </c>
      <c r="E475" s="2" t="str">
        <f>VLOOKUP($A475,DICO_Complet!$A$3:$U$983,5,FALSE)</f>
        <v>ipAddress</v>
      </c>
      <c r="F475" s="2" t="str">
        <f>VLOOKUP($A475,DICO_Complet!$A$3:$U$983,6,FALSE)</f>
        <v>Min4Max45Text</v>
      </c>
      <c r="G475" s="48">
        <f>VLOOKUP($A475,DICO_Complet!$A$3:$U$983,7,FALSE)</f>
        <v>0</v>
      </c>
      <c r="H475" s="48">
        <f>VLOOKUP($A475,DICO_Complet!$A$3:$U$983,8,FALSE)</f>
        <v>0</v>
      </c>
      <c r="I475" s="2" t="str">
        <f>IF(VLOOKUP($A475,DICO_Complet!$A$3:$U$983,9,FALSE)&lt;&gt;0,VLOOKUP($A475,DICO_Complet!$A$3:$U$983,9,FALSE),"")</f>
        <v/>
      </c>
      <c r="J475" s="1" t="str">
        <f>VLOOKUP($A475,DICO_Complet!$A$3:$U$983,10,FALSE)</f>
        <v>IP Address</v>
      </c>
      <c r="K475" s="53" t="str">
        <f>IF(VLOOKUP($A475,DICO_Complet!$A$3:$U$983,12,FALSE)=0,"",VLOOKUP($A475,DICO_Complet!$A$3:$U$983,12,FALSE))</f>
        <v>RSB57_10</v>
      </c>
      <c r="L475" s="53" t="str">
        <f>IF(VLOOKUP($A475,DICO_Complet!$A$3:$U$983,13,FALSE)=0,"",VLOOKUP($A475,DICO_Complet!$A$3:$U$983,13,FALSE))</f>
        <v>[57-0010]</v>
      </c>
      <c r="M475" s="53" t="str">
        <f>IF(VLOOKUP($A475,DICO_Complet!$A$3:$U$983,14,FALSE)=0,"",VLOOKUP($A475,DICO_Complet!$A$3:$U$983,14,FALSE))</f>
        <v/>
      </c>
      <c r="N475" s="53" t="str">
        <f>IF(VLOOKUP($A475,DICO_Complet!$A$3:$U$983,15,FALSE)=0,"",VLOOKUP($A475,DICO_Complet!$A$3:$U$983,15,FALSE))</f>
        <v/>
      </c>
      <c r="O475" s="53" t="str">
        <f>IF(VLOOKUP($A475,DICO_Complet!$A$3:$U$983,16,FALSE)=0,"",VLOOKUP($A475,DICO_Complet!$A$3:$U$983,16,FALSE))</f>
        <v/>
      </c>
      <c r="P475" s="53" t="str">
        <f>IF(VLOOKUP($A475,DICO_Complet!$A$3:$U$983,17,FALSE)=0,"",VLOOKUP($A475,DICO_Complet!$A$3:$U$983,17,FALSE))</f>
        <v/>
      </c>
      <c r="Q475" s="53" t="str">
        <f>IF(VLOOKUP($A475,DICO_Complet!$A$3:$U$983,18,FALSE)=0,"",VLOOKUP($A475,DICO_Complet!$A$3:$U$983,18,FALSE))</f>
        <v/>
      </c>
    </row>
    <row r="476" spans="1:17">
      <c r="A476" s="38">
        <v>241112000138</v>
      </c>
      <c r="B476" s="47" t="s">
        <v>858</v>
      </c>
      <c r="C476" s="3" t="str">
        <f>VLOOKUP($A476,DICO_Complet!$A$3:$U$983,3,FALSE)</f>
        <v>Environment</v>
      </c>
      <c r="D476" s="3" t="str">
        <f>VLOOKUP($A476,DICO_Complet!$A$3:$U$983,4,FALSE)</f>
        <v>terminal</v>
      </c>
      <c r="E476" s="2" t="str">
        <f>VLOOKUP($A476,DICO_Complet!$A$3:$U$983,5,FALSE)</f>
        <v>iTpsa</v>
      </c>
      <c r="F476" s="2" t="str">
        <f>VLOOKUP($A476,DICO_Complet!$A$3:$U$983,6,FALSE)</f>
        <v>Exact12NumericText</v>
      </c>
      <c r="G476" s="48">
        <f>VLOOKUP($A476,DICO_Complet!$A$3:$U$983,7,FALSE)</f>
        <v>0</v>
      </c>
      <c r="H476" s="48">
        <f>VLOOKUP($A476,DICO_Complet!$A$3:$U$983,8,FALSE)</f>
        <v>0</v>
      </c>
      <c r="I476" s="2" t="str">
        <f>IF(VLOOKUP($A476,DICO_Complet!$A$3:$U$983,9,FALSE)&lt;&gt;0,VLOOKUP($A476,DICO_Complet!$A$3:$U$983,9,FALSE),"")</f>
        <v/>
      </c>
      <c r="J476" s="1" t="str">
        <f>VLOOKUP($A476,DICO_Complet!$A$3:$U$983,10,FALSE)</f>
        <v>Acceptance system terminal application identifier</v>
      </c>
      <c r="K476" s="53" t="str">
        <f>IF(VLOOKUP($A476,DICO_Complet!$A$3:$U$983,12,FALSE)=0,"",VLOOKUP($A476,DICO_Complet!$A$3:$U$983,12,FALSE))</f>
        <v>RSB59_201</v>
      </c>
      <c r="L476" s="53" t="str">
        <f>IF(VLOOKUP($A476,DICO_Complet!$A$3:$U$983,13,FALSE)=0,"",VLOOKUP($A476,DICO_Complet!$A$3:$U$983,13,FALSE))</f>
        <v>[59-0201]</v>
      </c>
      <c r="M476" s="53" t="str">
        <f>IF(VLOOKUP($A476,DICO_Complet!$A$3:$U$983,14,FALSE)=0,"",VLOOKUP($A476,DICO_Complet!$A$3:$U$983,14,FALSE))</f>
        <v/>
      </c>
      <c r="N476" s="53" t="str">
        <f>IF(VLOOKUP($A476,DICO_Complet!$A$3:$U$983,15,FALSE)=0,"",VLOOKUP($A476,DICO_Complet!$A$3:$U$983,15,FALSE))</f>
        <v/>
      </c>
      <c r="O476" s="53" t="str">
        <f>IF(VLOOKUP($A476,DICO_Complet!$A$3:$U$983,16,FALSE)=0,"",VLOOKUP($A476,DICO_Complet!$A$3:$U$983,16,FALSE))</f>
        <v/>
      </c>
      <c r="P476" s="53" t="str">
        <f>IF(VLOOKUP($A476,DICO_Complet!$A$3:$U$983,17,FALSE)=0,"",VLOOKUP($A476,DICO_Complet!$A$3:$U$983,17,FALSE))</f>
        <v/>
      </c>
      <c r="Q476" s="53" t="str">
        <f>IF(VLOOKUP($A476,DICO_Complet!$A$3:$U$983,18,FALSE)=0,"",VLOOKUP($A476,DICO_Complet!$A$3:$U$983,18,FALSE))</f>
        <v/>
      </c>
    </row>
    <row r="477" spans="1:17">
      <c r="A477" s="38">
        <v>241112000139</v>
      </c>
      <c r="B477" s="47" t="s">
        <v>858</v>
      </c>
      <c r="C477" s="3" t="str">
        <f>VLOOKUP($A477,DICO_Complet!$A$3:$U$983,3,FALSE)</f>
        <v>Environment</v>
      </c>
      <c r="D477" s="3" t="str">
        <f>VLOOKUP($A477,DICO_Complet!$A$3:$U$983,4,FALSE)</f>
        <v>terminal</v>
      </c>
      <c r="E477" s="2" t="str">
        <f>VLOOKUP($A477,DICO_Complet!$A$3:$U$983,5,FALSE)</f>
        <v>iTpta</v>
      </c>
      <c r="F477" s="2" t="str">
        <f>VLOOKUP($A477,DICO_Complet!$A$3:$U$983,6,FALSE)</f>
        <v>Exact12NumericText</v>
      </c>
      <c r="G477" s="48">
        <f>VLOOKUP($A477,DICO_Complet!$A$3:$U$983,7,FALSE)</f>
        <v>0</v>
      </c>
      <c r="H477" s="48">
        <f>VLOOKUP($A477,DICO_Complet!$A$3:$U$983,8,FALSE)</f>
        <v>0</v>
      </c>
      <c r="I477" s="2" t="str">
        <f>IF(VLOOKUP($A477,DICO_Complet!$A$3:$U$983,9,FALSE)&lt;&gt;0,VLOOKUP($A477,DICO_Complet!$A$3:$U$983,9,FALSE),"")</f>
        <v/>
      </c>
      <c r="J477" s="1" t="str">
        <f>VLOOKUP($A477,DICO_Complet!$A$3:$U$983,10,FALSE)</f>
        <v>Identifier of the point of acceptance terminal application</v>
      </c>
      <c r="K477" s="53" t="str">
        <f>IF(VLOOKUP($A477,DICO_Complet!$A$3:$U$983,12,FALSE)=0,"",VLOOKUP($A477,DICO_Complet!$A$3:$U$983,12,FALSE))</f>
        <v>RSB59_215</v>
      </c>
      <c r="L477" s="53" t="str">
        <f>IF(VLOOKUP($A477,DICO_Complet!$A$3:$U$983,13,FALSE)=0,"",VLOOKUP($A477,DICO_Complet!$A$3:$U$983,13,FALSE))</f>
        <v>[59-0215]</v>
      </c>
      <c r="M477" s="53" t="str">
        <f>IF(VLOOKUP($A477,DICO_Complet!$A$3:$U$983,14,FALSE)=0,"",VLOOKUP($A477,DICO_Complet!$A$3:$U$983,14,FALSE))</f>
        <v/>
      </c>
      <c r="N477" s="53" t="str">
        <f>IF(VLOOKUP($A477,DICO_Complet!$A$3:$U$983,15,FALSE)=0,"",VLOOKUP($A477,DICO_Complet!$A$3:$U$983,15,FALSE))</f>
        <v/>
      </c>
      <c r="O477" s="53" t="str">
        <f>IF(VLOOKUP($A477,DICO_Complet!$A$3:$U$983,16,FALSE)=0,"",VLOOKUP($A477,DICO_Complet!$A$3:$U$983,16,FALSE))</f>
        <v/>
      </c>
      <c r="P477" s="53" t="str">
        <f>IF(VLOOKUP($A477,DICO_Complet!$A$3:$U$983,17,FALSE)=0,"",VLOOKUP($A477,DICO_Complet!$A$3:$U$983,17,FALSE))</f>
        <v/>
      </c>
      <c r="Q477" s="53" t="str">
        <f>IF(VLOOKUP($A477,DICO_Complet!$A$3:$U$983,18,FALSE)=0,"",VLOOKUP($A477,DICO_Complet!$A$3:$U$983,18,FALSE))</f>
        <v/>
      </c>
    </row>
    <row r="478" spans="1:17">
      <c r="A478" s="38">
        <v>250408145000</v>
      </c>
      <c r="B478" s="47" t="s">
        <v>858</v>
      </c>
      <c r="C478" s="3" t="str">
        <f>VLOOKUP($A478,DICO_Complet!$A$3:$U$983,3,FALSE)</f>
        <v>Environment</v>
      </c>
      <c r="D478" s="3" t="str">
        <f>VLOOKUP($A478,DICO_Complet!$A$3:$U$983,4,FALSE)</f>
        <v>terminal</v>
      </c>
      <c r="E478" s="2" t="str">
        <f>VLOOKUP($A478,DICO_Complet!$A$3:$U$983,5,FALSE)</f>
        <v>kernelId</v>
      </c>
      <c r="F478" s="2" t="str">
        <f>VLOOKUP($A478,DICO_Complet!$A$3:$U$983,6,FALSE)</f>
        <v>Max8HexBinaryText</v>
      </c>
      <c r="G478" s="48">
        <f>VLOOKUP($A478,DICO_Complet!$A$3:$U$983,7,FALSE)</f>
        <v>0</v>
      </c>
      <c r="H478" s="48">
        <f>VLOOKUP($A478,DICO_Complet!$A$3:$U$983,8,FALSE)</f>
        <v>0</v>
      </c>
      <c r="I478" s="2" t="str">
        <f>IF(VLOOKUP($A478,DICO_Complet!$A$3:$U$983,9,FALSE)&lt;&gt;0,VLOOKUP($A478,DICO_Complet!$A$3:$U$983,9,FALSE),"")</f>
        <v/>
      </c>
      <c r="J478" s="1" t="str">
        <f>VLOOKUP($A478,DICO_Complet!$A$3:$U$983,10,FALSE)</f>
        <v>terminal kernel identifier</v>
      </c>
      <c r="K478" s="53" t="str">
        <f>IF(VLOOKUP($A478,DICO_Complet!$A$3:$U$983,12,FALSE)=0,"",VLOOKUP($A478,DICO_Complet!$A$3:$U$983,12,FALSE))</f>
        <v/>
      </c>
      <c r="L478" s="53" t="str">
        <f>IF(VLOOKUP($A478,DICO_Complet!$A$3:$U$983,13,FALSE)=0,"",VLOOKUP($A478,DICO_Complet!$A$3:$U$983,13,FALSE))</f>
        <v>55-96</v>
      </c>
      <c r="M478" s="53" t="str">
        <f>IF(VLOOKUP($A478,DICO_Complet!$A$3:$U$983,14,FALSE)=0,"",VLOOKUP($A478,DICO_Complet!$A$3:$U$983,14,FALSE))</f>
        <v/>
      </c>
      <c r="N478" s="53" t="str">
        <f>IF(VLOOKUP($A478,DICO_Complet!$A$3:$U$983,15,FALSE)=0,"",VLOOKUP($A478,DICO_Complet!$A$3:$U$983,15,FALSE))</f>
        <v/>
      </c>
      <c r="O478" s="53" t="str">
        <f>IF(VLOOKUP($A478,DICO_Complet!$A$3:$U$983,16,FALSE)=0,"",VLOOKUP($A478,DICO_Complet!$A$3:$U$983,16,FALSE))</f>
        <v/>
      </c>
      <c r="P478" s="53" t="str">
        <f>IF(VLOOKUP($A478,DICO_Complet!$A$3:$U$983,17,FALSE)=0,"",VLOOKUP($A478,DICO_Complet!$A$3:$U$983,17,FALSE))</f>
        <v/>
      </c>
      <c r="Q478" s="53" t="str">
        <f>IF(VLOOKUP($A478,DICO_Complet!$A$3:$U$983,18,FALSE)=0,"",VLOOKUP($A478,DICO_Complet!$A$3:$U$983,18,FALSE))</f>
        <v/>
      </c>
    </row>
    <row r="479" spans="1:17">
      <c r="A479" s="38">
        <v>250331125903</v>
      </c>
      <c r="B479" s="47" t="s">
        <v>858</v>
      </c>
      <c r="C479" s="3" t="str">
        <f>VLOOKUP($A479,DICO_Complet!$A$3:$U$983,3,FALSE)</f>
        <v>Environment</v>
      </c>
      <c r="D479" s="3" t="str">
        <f>VLOOKUP($A479,DICO_Complet!$A$3:$U$983,4,FALSE)</f>
        <v>terminal</v>
      </c>
      <c r="E479" s="2" t="str">
        <f>VLOOKUP($A479,DICO_Complet!$A$3:$U$983,5,FALSE)</f>
        <v>messageDisplayPrintCapabilities</v>
      </c>
      <c r="F479" s="2" t="str">
        <f>VLOOKUP($A479,DICO_Complet!$A$3:$U$983,6,FALSE)</f>
        <v>MessageDisplayPrintCapabilitiesCodeset</v>
      </c>
      <c r="G479" s="48">
        <f>VLOOKUP($A479,DICO_Complet!$A$3:$U$983,7,FALSE)</f>
        <v>0</v>
      </c>
      <c r="H479" s="48">
        <f>VLOOKUP($A479,DICO_Complet!$A$3:$U$983,8,FALSE)</f>
        <v>0</v>
      </c>
      <c r="I479" s="2" t="str">
        <f>IF(VLOOKUP($A479,DICO_Complet!$A$3:$U$983,9,FALSE)&lt;&gt;0,VLOOKUP($A479,DICO_Complet!$A$3:$U$983,9,FALSE),"")</f>
        <v/>
      </c>
      <c r="J479" s="1" t="str">
        <f>VLOOKUP($A479,DICO_Complet!$A$3:$U$983,10,FALSE)</f>
        <v>Message display/print capability</v>
      </c>
      <c r="K479" s="53" t="str">
        <f>IF(VLOOKUP($A479,DICO_Complet!$A$3:$U$983,12,FALSE)=0,"",VLOOKUP($A479,DICO_Complet!$A$3:$U$983,12,FALSE))</f>
        <v/>
      </c>
      <c r="L479" s="53" t="str">
        <f>IF(VLOOKUP($A479,DICO_Complet!$A$3:$U$983,13,FALSE)=0,"",VLOOKUP($A479,DICO_Complet!$A$3:$U$983,13,FALSE))</f>
        <v/>
      </c>
      <c r="M479" s="53" t="str">
        <f>IF(VLOOKUP($A479,DICO_Complet!$A$3:$U$983,14,FALSE)=0,"",VLOOKUP($A479,DICO_Complet!$A$3:$U$983,14,FALSE))</f>
        <v>21 part 5</v>
      </c>
      <c r="N479" s="53" t="str">
        <f>IF(VLOOKUP($A479,DICO_Complet!$A$3:$U$983,15,FALSE)=0,"",VLOOKUP($A479,DICO_Complet!$A$3:$U$983,15,FALSE))</f>
        <v/>
      </c>
      <c r="O479" s="53" t="str">
        <f>IF(VLOOKUP($A479,DICO_Complet!$A$3:$U$983,16,FALSE)=0,"",VLOOKUP($A479,DICO_Complet!$A$3:$U$983,16,FALSE))</f>
        <v/>
      </c>
      <c r="P479" s="53" t="str">
        <f>IF(VLOOKUP($A479,DICO_Complet!$A$3:$U$983,17,FALSE)=0,"",VLOOKUP($A479,DICO_Complet!$A$3:$U$983,17,FALSE))</f>
        <v/>
      </c>
      <c r="Q479" s="53" t="str">
        <f>IF(VLOOKUP($A479,DICO_Complet!$A$3:$U$983,18,FALSE)=0,"",VLOOKUP($A479,DICO_Complet!$A$3:$U$983,18,FALSE))</f>
        <v/>
      </c>
    </row>
    <row r="480" spans="1:17">
      <c r="A480" s="38">
        <v>250414091401</v>
      </c>
      <c r="B480" s="47" t="s">
        <v>858</v>
      </c>
      <c r="C480" s="3" t="str">
        <f>VLOOKUP($A480,DICO_Complet!$A$3:$U$983,3,FALSE)</f>
        <v>Environment</v>
      </c>
      <c r="D480" s="3" t="str">
        <f>VLOOKUP($A480,DICO_Complet!$A$3:$U$983,4,FALSE)</f>
        <v>terminal</v>
      </c>
      <c r="E480" s="2" t="str">
        <f>VLOOKUP($A480,DICO_Complet!$A$3:$U$983,5,FALSE)</f>
        <v>pciPedApprovalLevel</v>
      </c>
      <c r="F480" s="2" t="str">
        <f>VLOOKUP($A480,DICO_Complet!$A$3:$U$983,6,FALSE)</f>
        <v>Exact3AlphaNumericText</v>
      </c>
      <c r="G480" s="48">
        <f>VLOOKUP($A480,DICO_Complet!$A$3:$U$983,7,FALSE)</f>
        <v>0</v>
      </c>
      <c r="H480" s="48">
        <f>VLOOKUP($A480,DICO_Complet!$A$3:$U$983,8,FALSE)</f>
        <v>0</v>
      </c>
      <c r="I480" s="2" t="str">
        <f>IF(VLOOKUP($A480,DICO_Complet!$A$3:$U$983,9,FALSE)&lt;&gt;0,VLOOKUP($A480,DICO_Complet!$A$3:$U$983,9,FALSE),"")</f>
        <v/>
      </c>
      <c r="J480" s="1" t="str">
        <f>VLOOKUP($A480,DICO_Complet!$A$3:$U$983,10,FALSE)</f>
        <v>PCI PED approval level</v>
      </c>
      <c r="K480" s="53" t="str">
        <f>IF(VLOOKUP($A480,DICO_Complet!$A$3:$U$983,12,FALSE)=0,"",VLOOKUP($A480,DICO_Complet!$A$3:$U$983,12,FALSE))</f>
        <v/>
      </c>
      <c r="L480" s="53" t="str">
        <f>IF(VLOOKUP($A480,DICO_Complet!$A$3:$U$983,13,FALSE)=0,"",VLOOKUP($A480,DICO_Complet!$A$3:$U$983,13,FALSE))</f>
        <v/>
      </c>
      <c r="M480" s="53" t="str">
        <f>IF(VLOOKUP($A480,DICO_Complet!$A$3:$U$983,14,FALSE)=0,"",VLOOKUP($A480,DICO_Complet!$A$3:$U$983,14,FALSE))</f>
        <v>46 DF97</v>
      </c>
      <c r="N480" s="53" t="str">
        <f>IF(VLOOKUP($A480,DICO_Complet!$A$3:$U$983,15,FALSE)=0,"",VLOOKUP($A480,DICO_Complet!$A$3:$U$983,15,FALSE))</f>
        <v/>
      </c>
      <c r="O480" s="53" t="str">
        <f>IF(VLOOKUP($A480,DICO_Complet!$A$3:$U$983,16,FALSE)=0,"",VLOOKUP($A480,DICO_Complet!$A$3:$U$983,16,FALSE))</f>
        <v/>
      </c>
      <c r="P480" s="53" t="str">
        <f>IF(VLOOKUP($A480,DICO_Complet!$A$3:$U$983,17,FALSE)=0,"",VLOOKUP($A480,DICO_Complet!$A$3:$U$983,17,FALSE))</f>
        <v/>
      </c>
      <c r="Q480" s="53" t="str">
        <f>IF(VLOOKUP($A480,DICO_Complet!$A$3:$U$983,18,FALSE)=0,"",VLOOKUP($A480,DICO_Complet!$A$3:$U$983,18,FALSE))</f>
        <v/>
      </c>
    </row>
    <row r="481" spans="1:17">
      <c r="A481" s="38">
        <v>241112000140</v>
      </c>
      <c r="B481" s="47" t="s">
        <v>858</v>
      </c>
      <c r="C481" s="3" t="str">
        <f>VLOOKUP($A481,DICO_Complet!$A$3:$U$983,3,FALSE)</f>
        <v>Environment</v>
      </c>
      <c r="D481" s="3" t="str">
        <f>VLOOKUP($A481,DICO_Complet!$A$3:$U$983,4,FALSE)</f>
        <v>terminal</v>
      </c>
      <c r="E481" s="2" t="str">
        <f>VLOOKUP($A481,DICO_Complet!$A$3:$U$983,5,FALSE)</f>
        <v>pinLengthCapabilities</v>
      </c>
      <c r="F481" s="2" t="str">
        <f>VLOOKUP($A481,DICO_Complet!$A$3:$U$983,6,FALSE)</f>
        <v>4Or6NumericText</v>
      </c>
      <c r="G481" s="48">
        <f>VLOOKUP($A481,DICO_Complet!$A$3:$U$983,7,FALSE)</f>
        <v>0</v>
      </c>
      <c r="H481" s="48">
        <f>VLOOKUP($A481,DICO_Complet!$A$3:$U$983,8,FALSE)</f>
        <v>0</v>
      </c>
      <c r="I481" s="2" t="str">
        <f>IF(VLOOKUP($A481,DICO_Complet!$A$3:$U$983,9,FALSE)&lt;&gt;0,VLOOKUP($A481,DICO_Complet!$A$3:$U$983,9,FALSE),"")</f>
        <v/>
      </c>
      <c r="J481" s="1" t="str">
        <f>VLOOKUP($A481,DICO_Complet!$A$3:$U$983,10,FALSE)</f>
        <v>PIN lenght Capabilities</v>
      </c>
      <c r="K481" s="53" t="str">
        <f>IF(VLOOKUP($A481,DICO_Complet!$A$3:$U$983,12,FALSE)=0,"",VLOOKUP($A481,DICO_Complet!$A$3:$U$983,12,FALSE))</f>
        <v>RSB26</v>
      </c>
      <c r="L481" s="53" t="str">
        <f>IF(VLOOKUP($A481,DICO_Complet!$A$3:$U$983,13,FALSE)=0,"",VLOOKUP($A481,DICO_Complet!$A$3:$U$983,13,FALSE))</f>
        <v>[26]</v>
      </c>
      <c r="M481" s="53" t="str">
        <f>IF(VLOOKUP($A481,DICO_Complet!$A$3:$U$983,14,FALSE)=0,"",VLOOKUP($A481,DICO_Complet!$A$3:$U$983,14,FALSE))</f>
        <v/>
      </c>
      <c r="N481" s="53" t="str">
        <f>IF(VLOOKUP($A481,DICO_Complet!$A$3:$U$983,15,FALSE)=0,"",VLOOKUP($A481,DICO_Complet!$A$3:$U$983,15,FALSE))</f>
        <v/>
      </c>
      <c r="O481" s="53" t="str">
        <f>IF(VLOOKUP($A481,DICO_Complet!$A$3:$U$983,16,FALSE)=0,"",VLOOKUP($A481,DICO_Complet!$A$3:$U$983,16,FALSE))</f>
        <v/>
      </c>
      <c r="P481" s="53" t="str">
        <f>IF(VLOOKUP($A481,DICO_Complet!$A$3:$U$983,17,FALSE)=0,"",VLOOKUP($A481,DICO_Complet!$A$3:$U$983,17,FALSE))</f>
        <v/>
      </c>
      <c r="Q481" s="53" t="str">
        <f>IF(VLOOKUP($A481,DICO_Complet!$A$3:$U$983,18,FALSE)=0,"",VLOOKUP($A481,DICO_Complet!$A$3:$U$983,18,FALSE))</f>
        <v/>
      </c>
    </row>
    <row r="482" spans="1:17">
      <c r="A482" s="38">
        <v>250331125904</v>
      </c>
      <c r="B482" s="47" t="s">
        <v>858</v>
      </c>
      <c r="C482" s="3" t="str">
        <f>VLOOKUP($A482,DICO_Complet!$A$3:$U$983,3,FALSE)</f>
        <v>Environment</v>
      </c>
      <c r="D482" s="3" t="str">
        <f>VLOOKUP($A482,DICO_Complet!$A$3:$U$983,4,FALSE)</f>
        <v>terminal</v>
      </c>
      <c r="E482" s="2" t="str">
        <f>VLOOKUP($A482,DICO_Complet!$A$3:$U$983,5,FALSE)</f>
        <v>pinReadingCapabilities</v>
      </c>
      <c r="F482" s="2" t="str">
        <f>VLOOKUP($A482,DICO_Complet!$A$3:$U$983,6,FALSE)</f>
        <v>PinReadingCapabilitiesCodeset</v>
      </c>
      <c r="G482" s="48">
        <f>VLOOKUP($A482,DICO_Complet!$A$3:$U$983,7,FALSE)</f>
        <v>0</v>
      </c>
      <c r="H482" s="48">
        <f>VLOOKUP($A482,DICO_Complet!$A$3:$U$983,8,FALSE)</f>
        <v>0</v>
      </c>
      <c r="I482" s="2" t="str">
        <f>IF(VLOOKUP($A482,DICO_Complet!$A$3:$U$983,9,FALSE)&lt;&gt;0,VLOOKUP($A482,DICO_Complet!$A$3:$U$983,9,FALSE),"")</f>
        <v/>
      </c>
      <c r="J482" s="1" t="str">
        <f>VLOOKUP($A482,DICO_Complet!$A$3:$U$983,10,FALSE)</f>
        <v>PIN reading capability</v>
      </c>
      <c r="K482" s="53" t="str">
        <f>IF(VLOOKUP($A482,DICO_Complet!$A$3:$U$983,12,FALSE)=0,"",VLOOKUP($A482,DICO_Complet!$A$3:$U$983,12,FALSE))</f>
        <v/>
      </c>
      <c r="L482" s="53" t="str">
        <f>IF(VLOOKUP($A482,DICO_Complet!$A$3:$U$983,13,FALSE)=0,"",VLOOKUP($A482,DICO_Complet!$A$3:$U$983,13,FALSE))</f>
        <v/>
      </c>
      <c r="M482" s="53" t="str">
        <f>IF(VLOOKUP($A482,DICO_Complet!$A$3:$U$983,14,FALSE)=0,"",VLOOKUP($A482,DICO_Complet!$A$3:$U$983,14,FALSE))</f>
        <v>21 part 6</v>
      </c>
      <c r="N482" s="53" t="str">
        <f>IF(VLOOKUP($A482,DICO_Complet!$A$3:$U$983,15,FALSE)=0,"",VLOOKUP($A482,DICO_Complet!$A$3:$U$983,15,FALSE))</f>
        <v/>
      </c>
      <c r="O482" s="53" t="str">
        <f>IF(VLOOKUP($A482,DICO_Complet!$A$3:$U$983,16,FALSE)=0,"",VLOOKUP($A482,DICO_Complet!$A$3:$U$983,16,FALSE))</f>
        <v/>
      </c>
      <c r="P482" s="53" t="str">
        <f>IF(VLOOKUP($A482,DICO_Complet!$A$3:$U$983,17,FALSE)=0,"",VLOOKUP($A482,DICO_Complet!$A$3:$U$983,17,FALSE))</f>
        <v/>
      </c>
      <c r="Q482" s="53" t="str">
        <f>IF(VLOOKUP($A482,DICO_Complet!$A$3:$U$983,18,FALSE)=0,"",VLOOKUP($A482,DICO_Complet!$A$3:$U$983,18,FALSE))</f>
        <v/>
      </c>
    </row>
    <row r="483" spans="1:17">
      <c r="A483" s="38">
        <v>250331155405</v>
      </c>
      <c r="B483" s="47" t="s">
        <v>858</v>
      </c>
      <c r="C483" s="3" t="str">
        <f>VLOOKUP($A483,DICO_Complet!$A$3:$U$983,3,FALSE)</f>
        <v>Environment</v>
      </c>
      <c r="D483" s="3" t="str">
        <f>VLOOKUP($A483,DICO_Complet!$A$3:$U$983,4,FALSE)</f>
        <v>terminal</v>
      </c>
      <c r="E483" s="2" t="str">
        <f>VLOOKUP($A483,DICO_Complet!$A$3:$U$983,5,FALSE)</f>
        <v>poiAssignedByAnAcquirer</v>
      </c>
      <c r="F483" s="2" t="str">
        <f>VLOOKUP($A483,DICO_Complet!$A$3:$U$983,6,FALSE)</f>
        <v>Exact8AlphaNumericText</v>
      </c>
      <c r="G483" s="48">
        <f>VLOOKUP($A483,DICO_Complet!$A$3:$U$983,7,FALSE)</f>
        <v>0</v>
      </c>
      <c r="H483" s="48">
        <f>VLOOKUP($A483,DICO_Complet!$A$3:$U$983,8,FALSE)</f>
        <v>0</v>
      </c>
      <c r="I483" s="2" t="str">
        <f>IF(VLOOKUP($A483,DICO_Complet!$A$3:$U$983,9,FALSE)&lt;&gt;0,VLOOKUP($A483,DICO_Complet!$A$3:$U$983,9,FALSE),"")</f>
        <v/>
      </c>
      <c r="J483" s="1" t="str">
        <f>VLOOKUP($A483,DICO_Complet!$A$3:$U$983,10,FALSE)</f>
        <v>Point of interaction identifier assigned by an acquirer</v>
      </c>
      <c r="K483" s="53" t="str">
        <f>IF(VLOOKUP($A483,DICO_Complet!$A$3:$U$983,12,FALSE)=0,"",VLOOKUP($A483,DICO_Complet!$A$3:$U$983,12,FALSE))</f>
        <v/>
      </c>
      <c r="L483" s="53" t="str">
        <f>IF(VLOOKUP($A483,DICO_Complet!$A$3:$U$983,13,FALSE)=0,"",VLOOKUP($A483,DICO_Complet!$A$3:$U$983,13,FALSE))</f>
        <v/>
      </c>
      <c r="M483" s="53" t="str">
        <f>IF(VLOOKUP($A483,DICO_Complet!$A$3:$U$983,14,FALSE)=0,"",VLOOKUP($A483,DICO_Complet!$A$3:$U$983,14,FALSE))</f>
        <v>46.DF5C</v>
      </c>
      <c r="N483" s="53" t="str">
        <f>IF(VLOOKUP($A483,DICO_Complet!$A$3:$U$983,15,FALSE)=0,"",VLOOKUP($A483,DICO_Complet!$A$3:$U$983,15,FALSE))</f>
        <v/>
      </c>
      <c r="O483" s="53" t="str">
        <f>IF(VLOOKUP($A483,DICO_Complet!$A$3:$U$983,16,FALSE)=0,"",VLOOKUP($A483,DICO_Complet!$A$3:$U$983,16,FALSE))</f>
        <v/>
      </c>
      <c r="P483" s="53" t="str">
        <f>IF(VLOOKUP($A483,DICO_Complet!$A$3:$U$983,17,FALSE)=0,"",VLOOKUP($A483,DICO_Complet!$A$3:$U$983,17,FALSE))</f>
        <v/>
      </c>
      <c r="Q483" s="53" t="str">
        <f>IF(VLOOKUP($A483,DICO_Complet!$A$3:$U$983,18,FALSE)=0,"",VLOOKUP($A483,DICO_Complet!$A$3:$U$983,18,FALSE))</f>
        <v/>
      </c>
    </row>
    <row r="484" spans="1:17">
      <c r="A484" s="38">
        <v>241112000141</v>
      </c>
      <c r="B484" s="47" t="s">
        <v>858</v>
      </c>
      <c r="C484" s="3" t="str">
        <f>VLOOKUP($A484,DICO_Complet!$A$3:$U$983,3,FALSE)</f>
        <v>Environment</v>
      </c>
      <c r="D484" s="3" t="str">
        <f>VLOOKUP($A484,DICO_Complet!$A$3:$U$983,4,FALSE)</f>
        <v>terminal</v>
      </c>
      <c r="E484" s="2" t="str">
        <f>VLOOKUP($A484,DICO_Complet!$A$3:$U$983,5,FALSE)</f>
        <v>poiInformation</v>
      </c>
      <c r="F484" s="2" t="str">
        <f>VLOOKUP($A484,DICO_Complet!$A$3:$U$983,6,FALSE)</f>
        <v>POIInformationCodeset</v>
      </c>
      <c r="G484" s="48">
        <f>VLOOKUP($A484,DICO_Complet!$A$3:$U$983,7,FALSE)</f>
        <v>0</v>
      </c>
      <c r="H484" s="48">
        <f>VLOOKUP($A484,DICO_Complet!$A$3:$U$983,8,FALSE)</f>
        <v>0</v>
      </c>
      <c r="I484" s="2" t="str">
        <f>IF(VLOOKUP($A484,DICO_Complet!$A$3:$U$983,9,FALSE)&lt;&gt;0,VLOOKUP($A484,DICO_Complet!$A$3:$U$983,9,FALSE),"")</f>
        <v/>
      </c>
      <c r="J484" s="1" t="str">
        <f>VLOOKUP($A484,DICO_Complet!$A$3:$U$983,10,FALSE)</f>
        <v>point of interaction information</v>
      </c>
      <c r="K484" s="53" t="str">
        <f>IF(VLOOKUP($A484,DICO_Complet!$A$3:$U$983,12,FALSE)=0,"",VLOOKUP($A484,DICO_Complet!$A$3:$U$983,12,FALSE))</f>
        <v>RSB47_31</v>
      </c>
      <c r="L484" s="53" t="str">
        <f>IF(VLOOKUP($A484,DICO_Complet!$A$3:$U$983,13,FALSE)=0,"",VLOOKUP($A484,DICO_Complet!$A$3:$U$983,13,FALSE))</f>
        <v>[47-31]</v>
      </c>
      <c r="M484" s="53" t="str">
        <f>IF(VLOOKUP($A484,DICO_Complet!$A$3:$U$983,14,FALSE)=0,"",VLOOKUP($A484,DICO_Complet!$A$3:$U$983,14,FALSE))</f>
        <v/>
      </c>
      <c r="N484" s="53" t="str">
        <f>IF(VLOOKUP($A484,DICO_Complet!$A$3:$U$983,15,FALSE)=0,"",VLOOKUP($A484,DICO_Complet!$A$3:$U$983,15,FALSE))</f>
        <v/>
      </c>
      <c r="O484" s="53" t="str">
        <f>IF(VLOOKUP($A484,DICO_Complet!$A$3:$U$983,16,FALSE)=0,"",VLOOKUP($A484,DICO_Complet!$A$3:$U$983,16,FALSE))</f>
        <v/>
      </c>
      <c r="P484" s="53" t="str">
        <f>IF(VLOOKUP($A484,DICO_Complet!$A$3:$U$983,17,FALSE)=0,"",VLOOKUP($A484,DICO_Complet!$A$3:$U$983,17,FALSE))</f>
        <v/>
      </c>
      <c r="Q484" s="53" t="str">
        <f>IF(VLOOKUP($A484,DICO_Complet!$A$3:$U$983,18,FALSE)=0,"",VLOOKUP($A484,DICO_Complet!$A$3:$U$983,18,FALSE))</f>
        <v/>
      </c>
    </row>
    <row r="485" spans="1:17">
      <c r="A485" s="38">
        <v>241112000142</v>
      </c>
      <c r="B485" s="47" t="s">
        <v>858</v>
      </c>
      <c r="C485" s="3" t="str">
        <f>VLOOKUP($A485,DICO_Complet!$A$3:$U$983,3,FALSE)</f>
        <v>Environment</v>
      </c>
      <c r="D485" s="3" t="str">
        <f>VLOOKUP($A485,DICO_Complet!$A$3:$U$983,4,FALSE)</f>
        <v>terminal</v>
      </c>
      <c r="E485" s="2" t="str">
        <f>VLOOKUP($A485,DICO_Complet!$A$3:$U$983,5,FALSE)</f>
        <v>poiLogicalNumber</v>
      </c>
      <c r="F485" s="2" t="str">
        <f>VLOOKUP($A485,DICO_Complet!$A$3:$U$983,6,FALSE)</f>
        <v>Exact3AlphaNumericText</v>
      </c>
      <c r="G485" s="48">
        <f>VLOOKUP($A485,DICO_Complet!$A$3:$U$983,7,FALSE)</f>
        <v>0</v>
      </c>
      <c r="H485" s="48">
        <f>VLOOKUP($A485,DICO_Complet!$A$3:$U$983,8,FALSE)</f>
        <v>0</v>
      </c>
      <c r="I485" s="2" t="str">
        <f>IF(VLOOKUP($A485,DICO_Complet!$A$3:$U$983,9,FALSE)&lt;&gt;0,VLOOKUP($A485,DICO_Complet!$A$3:$U$983,9,FALSE),"")</f>
        <v/>
      </c>
      <c r="J485" s="1" t="str">
        <f>VLOOKUP($A485,DICO_Complet!$A$3:$U$983,10,FALSE)</f>
        <v>Logical number</v>
      </c>
      <c r="K485" s="53" t="str">
        <f>IF(VLOOKUP($A485,DICO_Complet!$A$3:$U$983,12,FALSE)=0,"",VLOOKUP($A485,DICO_Complet!$A$3:$U$983,12,FALSE))</f>
        <v>RSB59_204</v>
      </c>
      <c r="L485" s="53" t="str">
        <f>IF(VLOOKUP($A485,DICO_Complet!$A$3:$U$983,13,FALSE)=0,"",VLOOKUP($A485,DICO_Complet!$A$3:$U$983,13,FALSE))</f>
        <v>[59-0204]</v>
      </c>
      <c r="M485" s="53" t="str">
        <f>IF(VLOOKUP($A485,DICO_Complet!$A$3:$U$983,14,FALSE)=0,"",VLOOKUP($A485,DICO_Complet!$A$3:$U$983,14,FALSE))</f>
        <v/>
      </c>
      <c r="N485" s="53" t="str">
        <f>IF(VLOOKUP($A485,DICO_Complet!$A$3:$U$983,15,FALSE)=0,"",VLOOKUP($A485,DICO_Complet!$A$3:$U$983,15,FALSE))</f>
        <v/>
      </c>
      <c r="O485" s="53" t="str">
        <f>IF(VLOOKUP($A485,DICO_Complet!$A$3:$U$983,16,FALSE)=0,"",VLOOKUP($A485,DICO_Complet!$A$3:$U$983,16,FALSE))</f>
        <v/>
      </c>
      <c r="P485" s="53" t="str">
        <f>IF(VLOOKUP($A485,DICO_Complet!$A$3:$U$983,17,FALSE)=0,"",VLOOKUP($A485,DICO_Complet!$A$3:$U$983,17,FALSE))</f>
        <v/>
      </c>
      <c r="Q485" s="53" t="str">
        <f>IF(VLOOKUP($A485,DICO_Complet!$A$3:$U$983,18,FALSE)=0,"",VLOOKUP($A485,DICO_Complet!$A$3:$U$983,18,FALSE))</f>
        <v/>
      </c>
    </row>
    <row r="486" spans="1:17">
      <c r="A486" s="38">
        <v>241112000143</v>
      </c>
      <c r="B486" s="47" t="s">
        <v>858</v>
      </c>
      <c r="C486" s="3" t="str">
        <f>VLOOKUP($A486,DICO_Complet!$A$3:$U$983,3,FALSE)</f>
        <v>Environment</v>
      </c>
      <c r="D486" s="3" t="str">
        <f>VLOOKUP($A486,DICO_Complet!$A$3:$U$983,4,FALSE)</f>
        <v>terminal</v>
      </c>
      <c r="E486" s="2" t="str">
        <f>VLOOKUP($A486,DICO_Complet!$A$3:$U$983,5,FALSE)</f>
        <v>serialNumber</v>
      </c>
      <c r="F486" s="2" t="str">
        <f>VLOOKUP($A486,DICO_Complet!$A$3:$U$983,6,FALSE)</f>
        <v>Max35Text</v>
      </c>
      <c r="G486" s="48">
        <f>VLOOKUP($A486,DICO_Complet!$A$3:$U$983,7,FALSE)</f>
        <v>0</v>
      </c>
      <c r="H486" s="48">
        <f>VLOOKUP($A486,DICO_Complet!$A$3:$U$983,8,FALSE)</f>
        <v>0</v>
      </c>
      <c r="I486" s="2" t="str">
        <f>IF(VLOOKUP($A486,DICO_Complet!$A$3:$U$983,9,FALSE)&lt;&gt;0,VLOOKUP($A486,DICO_Complet!$A$3:$U$983,9,FALSE),"")</f>
        <v/>
      </c>
      <c r="J486" s="1" t="str">
        <f>VLOOKUP($A486,DICO_Complet!$A$3:$U$983,10,FALSE)</f>
        <v>Serial Number</v>
      </c>
      <c r="K486" s="53" t="str">
        <f>IF(VLOOKUP($A486,DICO_Complet!$A$3:$U$983,12,FALSE)=0,"",VLOOKUP($A486,DICO_Complet!$A$3:$U$983,12,FALSE))</f>
        <v>RSB57_19</v>
      </c>
      <c r="L486" s="53" t="str">
        <f>IF(VLOOKUP($A486,DICO_Complet!$A$3:$U$983,13,FALSE)=0,"",VLOOKUP($A486,DICO_Complet!$A$3:$U$983,13,FALSE))</f>
        <v>[57-0019]</v>
      </c>
      <c r="M486" s="53" t="str">
        <f>IF(VLOOKUP($A486,DICO_Complet!$A$3:$U$983,14,FALSE)=0,"",VLOOKUP($A486,DICO_Complet!$A$3:$U$983,14,FALSE))</f>
        <v>46_DF95</v>
      </c>
      <c r="N486" s="53" t="str">
        <f>IF(VLOOKUP($A486,DICO_Complet!$A$3:$U$983,15,FALSE)=0,"",VLOOKUP($A486,DICO_Complet!$A$3:$U$983,15,FALSE))</f>
        <v/>
      </c>
      <c r="O486" s="53" t="str">
        <f>IF(VLOOKUP($A486,DICO_Complet!$A$3:$U$983,16,FALSE)=0,"",VLOOKUP($A486,DICO_Complet!$A$3:$U$983,16,FALSE))</f>
        <v/>
      </c>
      <c r="P486" s="53" t="str">
        <f>IF(VLOOKUP($A486,DICO_Complet!$A$3:$U$983,17,FALSE)=0,"",VLOOKUP($A486,DICO_Complet!$A$3:$U$983,17,FALSE))</f>
        <v/>
      </c>
      <c r="Q486" s="53" t="str">
        <f>IF(VLOOKUP($A486,DICO_Complet!$A$3:$U$983,18,FALSE)=0,"",VLOOKUP($A486,DICO_Complet!$A$3:$U$983,18,FALSE))</f>
        <v/>
      </c>
    </row>
    <row r="487" spans="1:17">
      <c r="A487" s="38">
        <v>250425201712</v>
      </c>
      <c r="B487" s="47" t="s">
        <v>858</v>
      </c>
      <c r="C487" s="3" t="str">
        <f>VLOOKUP($A487,DICO_Complet!$A$3:$U$983,3,FALSE)</f>
        <v>Environment</v>
      </c>
      <c r="D487" s="3" t="str">
        <f>VLOOKUP($A487,DICO_Complet!$A$3:$U$983,4,FALSE)</f>
        <v>terminal</v>
      </c>
      <c r="E487" s="2" t="str">
        <f>VLOOKUP($A487,DICO_Complet!$A$3:$U$983,5,FALSE)</f>
        <v>temp_lastCaptureDate</v>
      </c>
      <c r="F487" s="2" t="str">
        <f>VLOOKUP($A487,DICO_Complet!$A$3:$U$983,6,FALSE)</f>
        <v>ISODateTime</v>
      </c>
      <c r="G487" s="48">
        <f>VLOOKUP($A487,DICO_Complet!$A$3:$U$983,7,FALSE)</f>
        <v>0</v>
      </c>
      <c r="H487" s="48">
        <f>VLOOKUP($A487,DICO_Complet!$A$3:$U$983,8,FALSE)</f>
        <v>0</v>
      </c>
      <c r="I487" s="2" t="str">
        <f>IF(VLOOKUP($A487,DICO_Complet!$A$3:$U$983,9,FALSE)&lt;&gt;0,VLOOKUP($A487,DICO_Complet!$A$3:$U$983,9,FALSE),"")</f>
        <v/>
      </c>
      <c r="J487" s="1" t="str">
        <f>VLOOKUP($A487,DICO_Complet!$A$3:$U$983,10,FALSE)</f>
        <v>Last data capture timestamp</v>
      </c>
      <c r="K487" s="53" t="str">
        <f>IF(VLOOKUP($A487,DICO_Complet!$A$3:$U$983,12,FALSE)=0,"",VLOOKUP($A487,DICO_Complet!$A$3:$U$983,12,FALSE))</f>
        <v/>
      </c>
      <c r="L487" s="53" t="str">
        <f>IF(VLOOKUP($A487,DICO_Complet!$A$3:$U$983,13,FALSE)=0,"",VLOOKUP($A487,DICO_Complet!$A$3:$U$983,13,FALSE))</f>
        <v/>
      </c>
      <c r="M487" s="53" t="str">
        <f>IF(VLOOKUP($A487,DICO_Complet!$A$3:$U$983,14,FALSE)=0,"",VLOOKUP($A487,DICO_Complet!$A$3:$U$983,14,FALSE))</f>
        <v>46 DF60_1</v>
      </c>
      <c r="N487" s="53" t="str">
        <f>IF(VLOOKUP($A487,DICO_Complet!$A$3:$U$983,15,FALSE)=0,"",VLOOKUP($A487,DICO_Complet!$A$3:$U$983,15,FALSE))</f>
        <v/>
      </c>
      <c r="O487" s="53" t="str">
        <f>IF(VLOOKUP($A487,DICO_Complet!$A$3:$U$983,16,FALSE)=0,"",VLOOKUP($A487,DICO_Complet!$A$3:$U$983,16,FALSE))</f>
        <v/>
      </c>
      <c r="P487" s="53" t="str">
        <f>IF(VLOOKUP($A487,DICO_Complet!$A$3:$U$983,17,FALSE)=0,"",VLOOKUP($A487,DICO_Complet!$A$3:$U$983,17,FALSE))</f>
        <v/>
      </c>
      <c r="Q487" s="53" t="str">
        <f>IF(VLOOKUP($A487,DICO_Complet!$A$3:$U$983,18,FALSE)=0,"",VLOOKUP($A487,DICO_Complet!$A$3:$U$983,18,FALSE))</f>
        <v/>
      </c>
    </row>
    <row r="488" spans="1:17">
      <c r="A488" s="38">
        <v>250425201713</v>
      </c>
      <c r="B488" s="47" t="s">
        <v>858</v>
      </c>
      <c r="C488" s="3" t="str">
        <f>VLOOKUP($A488,DICO_Complet!$A$3:$U$983,3,FALSE)</f>
        <v>Environment</v>
      </c>
      <c r="D488" s="3" t="str">
        <f>VLOOKUP($A488,DICO_Complet!$A$3:$U$983,4,FALSE)</f>
        <v>terminal</v>
      </c>
      <c r="E488" s="2" t="str">
        <f>VLOOKUP($A488,DICO_Complet!$A$3:$U$983,5,FALSE)</f>
        <v>temp_lastParameterDownloadingDate</v>
      </c>
      <c r="F488" s="2" t="str">
        <f>VLOOKUP($A488,DICO_Complet!$A$3:$U$983,6,FALSE)</f>
        <v>ISODateTime</v>
      </c>
      <c r="G488" s="48">
        <f>VLOOKUP($A488,DICO_Complet!$A$3:$U$983,7,FALSE)</f>
        <v>0</v>
      </c>
      <c r="H488" s="48">
        <f>VLOOKUP($A488,DICO_Complet!$A$3:$U$983,8,FALSE)</f>
        <v>0</v>
      </c>
      <c r="I488" s="2" t="str">
        <f>IF(VLOOKUP($A488,DICO_Complet!$A$3:$U$983,9,FALSE)&lt;&gt;0,VLOOKUP($A488,DICO_Complet!$A$3:$U$983,9,FALSE),"")</f>
        <v/>
      </c>
      <c r="J488" s="1" t="str">
        <f>VLOOKUP($A488,DICO_Complet!$A$3:$U$983,10,FALSE)</f>
        <v>Last parameters downloading timestamp</v>
      </c>
      <c r="K488" s="53" t="str">
        <f>IF(VLOOKUP($A488,DICO_Complet!$A$3:$U$983,12,FALSE)=0,"",VLOOKUP($A488,DICO_Complet!$A$3:$U$983,12,FALSE))</f>
        <v/>
      </c>
      <c r="L488" s="53" t="str">
        <f>IF(VLOOKUP($A488,DICO_Complet!$A$3:$U$983,13,FALSE)=0,"",VLOOKUP($A488,DICO_Complet!$A$3:$U$983,13,FALSE))</f>
        <v/>
      </c>
      <c r="M488" s="53" t="str">
        <f>IF(VLOOKUP($A488,DICO_Complet!$A$3:$U$983,14,FALSE)=0,"",VLOOKUP($A488,DICO_Complet!$A$3:$U$983,14,FALSE))</f>
        <v>46 DF60_2</v>
      </c>
      <c r="N488" s="53" t="str">
        <f>IF(VLOOKUP($A488,DICO_Complet!$A$3:$U$983,15,FALSE)=0,"",VLOOKUP($A488,DICO_Complet!$A$3:$U$983,15,FALSE))</f>
        <v/>
      </c>
      <c r="O488" s="53" t="str">
        <f>IF(VLOOKUP($A488,DICO_Complet!$A$3:$U$983,16,FALSE)=0,"",VLOOKUP($A488,DICO_Complet!$A$3:$U$983,16,FALSE))</f>
        <v/>
      </c>
      <c r="P488" s="53" t="str">
        <f>IF(VLOOKUP($A488,DICO_Complet!$A$3:$U$983,17,FALSE)=0,"",VLOOKUP($A488,DICO_Complet!$A$3:$U$983,17,FALSE))</f>
        <v/>
      </c>
      <c r="Q488" s="53" t="str">
        <f>IF(VLOOKUP($A488,DICO_Complet!$A$3:$U$983,18,FALSE)=0,"",VLOOKUP($A488,DICO_Complet!$A$3:$U$983,18,FALSE))</f>
        <v/>
      </c>
    </row>
    <row r="489" spans="1:17">
      <c r="A489" s="38">
        <v>250425201714</v>
      </c>
      <c r="B489" s="47" t="s">
        <v>858</v>
      </c>
      <c r="C489" s="3" t="str">
        <f>VLOOKUP($A489,DICO_Complet!$A$3:$U$983,3,FALSE)</f>
        <v>Environment</v>
      </c>
      <c r="D489" s="3" t="str">
        <f>VLOOKUP($A489,DICO_Complet!$A$3:$U$983,4,FALSE)</f>
        <v>terminal</v>
      </c>
      <c r="E489" s="2" t="str">
        <f>VLOOKUP($A489,DICO_Complet!$A$3:$U$983,5,FALSE)</f>
        <v>temp_lastSoftwareUpdateDate</v>
      </c>
      <c r="F489" s="2" t="str">
        <f>VLOOKUP($A489,DICO_Complet!$A$3:$U$983,6,FALSE)</f>
        <v>ISODateTime</v>
      </c>
      <c r="G489" s="48">
        <f>VLOOKUP($A489,DICO_Complet!$A$3:$U$983,7,FALSE)</f>
        <v>0</v>
      </c>
      <c r="H489" s="48">
        <f>VLOOKUP($A489,DICO_Complet!$A$3:$U$983,8,FALSE)</f>
        <v>0</v>
      </c>
      <c r="I489" s="2" t="str">
        <f>IF(VLOOKUP($A489,DICO_Complet!$A$3:$U$983,9,FALSE)&lt;&gt;0,VLOOKUP($A489,DICO_Complet!$A$3:$U$983,9,FALSE),"")</f>
        <v/>
      </c>
      <c r="J489" s="1" t="str">
        <f>VLOOKUP($A489,DICO_Complet!$A$3:$U$983,10,FALSE)</f>
        <v>Last software downloading timestamp</v>
      </c>
      <c r="K489" s="53" t="str">
        <f>IF(VLOOKUP($A489,DICO_Complet!$A$3:$U$983,12,FALSE)=0,"",VLOOKUP($A489,DICO_Complet!$A$3:$U$983,12,FALSE))</f>
        <v/>
      </c>
      <c r="L489" s="53" t="str">
        <f>IF(VLOOKUP($A489,DICO_Complet!$A$3:$U$983,13,FALSE)=0,"",VLOOKUP($A489,DICO_Complet!$A$3:$U$983,13,FALSE))</f>
        <v/>
      </c>
      <c r="M489" s="53" t="str">
        <f>IF(VLOOKUP($A489,DICO_Complet!$A$3:$U$983,14,FALSE)=0,"",VLOOKUP($A489,DICO_Complet!$A$3:$U$983,14,FALSE))</f>
        <v>46 DF60_3</v>
      </c>
      <c r="N489" s="53" t="str">
        <f>IF(VLOOKUP($A489,DICO_Complet!$A$3:$U$983,15,FALSE)=0,"",VLOOKUP($A489,DICO_Complet!$A$3:$U$983,15,FALSE))</f>
        <v/>
      </c>
      <c r="O489" s="53" t="str">
        <f>IF(VLOOKUP($A489,DICO_Complet!$A$3:$U$983,16,FALSE)=0,"",VLOOKUP($A489,DICO_Complet!$A$3:$U$983,16,FALSE))</f>
        <v/>
      </c>
      <c r="P489" s="53" t="str">
        <f>IF(VLOOKUP($A489,DICO_Complet!$A$3:$U$983,17,FALSE)=0,"",VLOOKUP($A489,DICO_Complet!$A$3:$U$983,17,FALSE))</f>
        <v/>
      </c>
      <c r="Q489" s="53" t="str">
        <f>IF(VLOOKUP($A489,DICO_Complet!$A$3:$U$983,18,FALSE)=0,"",VLOOKUP($A489,DICO_Complet!$A$3:$U$983,18,FALSE))</f>
        <v/>
      </c>
    </row>
    <row r="490" spans="1:17">
      <c r="A490" s="38">
        <v>241112000144</v>
      </c>
      <c r="B490" s="47" t="s">
        <v>858</v>
      </c>
      <c r="C490" s="3" t="str">
        <f>VLOOKUP($A490,DICO_Complet!$A$3:$U$983,3,FALSE)</f>
        <v>Environment</v>
      </c>
      <c r="D490" s="3" t="str">
        <f>VLOOKUP($A490,DICO_Complet!$A$3:$U$983,4,FALSE)</f>
        <v>terminal</v>
      </c>
      <c r="E490" s="2" t="str">
        <f>VLOOKUP($A490,DICO_Complet!$A$3:$U$983,5,FALSE)</f>
        <v>terminalCapabilities</v>
      </c>
      <c r="F490" s="2" t="str">
        <f>VLOOKUP($A490,DICO_Complet!$A$3:$U$983,6,FALSE)</f>
        <v>Exact3HexBinaryText</v>
      </c>
      <c r="G490" s="48">
        <f>VLOOKUP($A490,DICO_Complet!$A$3:$U$983,7,FALSE)</f>
        <v>0</v>
      </c>
      <c r="H490" s="48">
        <f>VLOOKUP($A490,DICO_Complet!$A$3:$U$983,8,FALSE)</f>
        <v>0</v>
      </c>
      <c r="I490" s="2" t="str">
        <f>IF(VLOOKUP($A490,DICO_Complet!$A$3:$U$983,9,FALSE)&lt;&gt;0,VLOOKUP($A490,DICO_Complet!$A$3:$U$983,9,FALSE),"")</f>
        <v/>
      </c>
      <c r="J490" s="1" t="str">
        <f>VLOOKUP($A490,DICO_Complet!$A$3:$U$983,10,FALSE)</f>
        <v>Terminal Capabilities</v>
      </c>
      <c r="K490" s="53" t="str">
        <f>IF(VLOOKUP($A490,DICO_Complet!$A$3:$U$983,12,FALSE)=0,"",VLOOKUP($A490,DICO_Complet!$A$3:$U$983,12,FALSE))</f>
        <v>RSB55_9F33</v>
      </c>
      <c r="L490" s="53" t="str">
        <f>IF(VLOOKUP($A490,DICO_Complet!$A$3:$U$983,13,FALSE)=0,"",VLOOKUP($A490,DICO_Complet!$A$3:$U$983,13,FALSE))</f>
        <v>[55-9F33]</v>
      </c>
      <c r="M490" s="53" t="str">
        <f>IF(VLOOKUP($A490,DICO_Complet!$A$3:$U$983,14,FALSE)=0,"",VLOOKUP($A490,DICO_Complet!$A$3:$U$983,14,FALSE))</f>
        <v/>
      </c>
      <c r="N490" s="53" t="str">
        <f>IF(VLOOKUP($A490,DICO_Complet!$A$3:$U$983,15,FALSE)=0,"",VLOOKUP($A490,DICO_Complet!$A$3:$U$983,15,FALSE))</f>
        <v/>
      </c>
      <c r="O490" s="53" t="str">
        <f>IF(VLOOKUP($A490,DICO_Complet!$A$3:$U$983,16,FALSE)=0,"",VLOOKUP($A490,DICO_Complet!$A$3:$U$983,16,FALSE))</f>
        <v/>
      </c>
      <c r="P490" s="53" t="str">
        <f>IF(VLOOKUP($A490,DICO_Complet!$A$3:$U$983,17,FALSE)=0,"",VLOOKUP($A490,DICO_Complet!$A$3:$U$983,17,FALSE))</f>
        <v/>
      </c>
      <c r="Q490" s="53" t="str">
        <f>IF(VLOOKUP($A490,DICO_Complet!$A$3:$U$983,18,FALSE)=0,"",VLOOKUP($A490,DICO_Complet!$A$3:$U$983,18,FALSE))</f>
        <v/>
      </c>
    </row>
    <row r="491" spans="1:17">
      <c r="A491" s="38">
        <v>241112000145</v>
      </c>
      <c r="B491" s="47" t="s">
        <v>858</v>
      </c>
      <c r="C491" s="3" t="str">
        <f>VLOOKUP($A491,DICO_Complet!$A$3:$U$983,3,FALSE)</f>
        <v>Environment</v>
      </c>
      <c r="D491" s="3" t="str">
        <f>VLOOKUP($A491,DICO_Complet!$A$3:$U$983,4,FALSE)</f>
        <v>terminal</v>
      </c>
      <c r="E491" s="2" t="str">
        <f>VLOOKUP($A491,DICO_Complet!$A$3:$U$983,5,FALSE)</f>
        <v>terminalCategory</v>
      </c>
      <c r="F491" s="2" t="str">
        <f>VLOOKUP($A491,DICO_Complet!$A$3:$U$983,6,FALSE)</f>
        <v>Exact2NumericText</v>
      </c>
      <c r="G491" s="48">
        <f>VLOOKUP($A491,DICO_Complet!$A$3:$U$983,7,FALSE)</f>
        <v>0</v>
      </c>
      <c r="H491" s="48">
        <f>VLOOKUP($A491,DICO_Complet!$A$3:$U$983,8,FALSE)</f>
        <v>0</v>
      </c>
      <c r="I491" s="2" t="str">
        <f>IF(VLOOKUP($A491,DICO_Complet!$A$3:$U$983,9,FALSE)&lt;&gt;0,VLOOKUP($A491,DICO_Complet!$A$3:$U$983,9,FALSE),"")</f>
        <v/>
      </c>
      <c r="J491" s="1" t="str">
        <f>VLOOKUP($A491,DICO_Complet!$A$3:$U$983,10,FALSE)</f>
        <v>Terminal Type</v>
      </c>
      <c r="K491" s="53" t="str">
        <f>IF(VLOOKUP($A491,DICO_Complet!$A$3:$U$983,12,FALSE)=0,"",VLOOKUP($A491,DICO_Complet!$A$3:$U$983,12,FALSE))</f>
        <v>RSB55_9F35</v>
      </c>
      <c r="L491" s="53" t="str">
        <f>IF(VLOOKUP($A491,DICO_Complet!$A$3:$U$983,13,FALSE)=0,"",VLOOKUP($A491,DICO_Complet!$A$3:$U$983,13,FALSE))</f>
        <v>[55-9F35]</v>
      </c>
      <c r="M491" s="53" t="str">
        <f>IF(VLOOKUP($A491,DICO_Complet!$A$3:$U$983,14,FALSE)=0,"",VLOOKUP($A491,DICO_Complet!$A$3:$U$983,14,FALSE))</f>
        <v/>
      </c>
      <c r="N491" s="53" t="str">
        <f>IF(VLOOKUP($A491,DICO_Complet!$A$3:$U$983,15,FALSE)=0,"",VLOOKUP($A491,DICO_Complet!$A$3:$U$983,15,FALSE))</f>
        <v/>
      </c>
      <c r="O491" s="53" t="str">
        <f>IF(VLOOKUP($A491,DICO_Complet!$A$3:$U$983,16,FALSE)=0,"",VLOOKUP($A491,DICO_Complet!$A$3:$U$983,16,FALSE))</f>
        <v/>
      </c>
      <c r="P491" s="53" t="str">
        <f>IF(VLOOKUP($A491,DICO_Complet!$A$3:$U$983,17,FALSE)=0,"",VLOOKUP($A491,DICO_Complet!$A$3:$U$983,17,FALSE))</f>
        <v/>
      </c>
      <c r="Q491" s="53" t="str">
        <f>IF(VLOOKUP($A491,DICO_Complet!$A$3:$U$983,18,FALSE)=0,"",VLOOKUP($A491,DICO_Complet!$A$3:$U$983,18,FALSE))</f>
        <v/>
      </c>
    </row>
    <row r="492" spans="1:17">
      <c r="A492" s="38">
        <v>241112000146</v>
      </c>
      <c r="B492" s="47" t="s">
        <v>858</v>
      </c>
      <c r="C492" s="3" t="str">
        <f>VLOOKUP($A492,DICO_Complet!$A$3:$U$983,3,FALSE)</f>
        <v>Environment</v>
      </c>
      <c r="D492" s="3" t="str">
        <f>VLOOKUP($A492,DICO_Complet!$A$3:$U$983,4,FALSE)</f>
        <v>terminal</v>
      </c>
      <c r="E492" s="2" t="str">
        <f>VLOOKUP($A492,DICO_Complet!$A$3:$U$983,5,FALSE)</f>
        <v>terminalId</v>
      </c>
      <c r="F492" s="2" t="str">
        <f>VLOOKUP($A492,DICO_Complet!$A$3:$U$983,6,FALSE)</f>
        <v>Exact8Text</v>
      </c>
      <c r="G492" s="48">
        <f>VLOOKUP($A492,DICO_Complet!$A$3:$U$983,7,FALSE)</f>
        <v>0</v>
      </c>
      <c r="H492" s="48">
        <f>VLOOKUP($A492,DICO_Complet!$A$3:$U$983,8,FALSE)</f>
        <v>0</v>
      </c>
      <c r="I492" s="2" t="str">
        <f>IF(VLOOKUP($A492,DICO_Complet!$A$3:$U$983,9,FALSE)&lt;&gt;0,VLOOKUP($A492,DICO_Complet!$A$3:$U$983,9,FALSE),"")</f>
        <v/>
      </c>
      <c r="J492" s="1" t="str">
        <f>VLOOKUP($A492,DICO_Complet!$A$3:$U$983,10,FALSE)</f>
        <v>Terminal identifier</v>
      </c>
      <c r="K492" s="53" t="str">
        <f>IF(VLOOKUP($A492,DICO_Complet!$A$3:$U$983,12,FALSE)=0,"",VLOOKUP($A492,DICO_Complet!$A$3:$U$983,12,FALSE))</f>
        <v>ISO41 / T080</v>
      </c>
      <c r="L492" s="53" t="str">
        <f>IF(VLOOKUP($A492,DICO_Complet!$A$3:$U$983,13,FALSE)=0,"",VLOOKUP($A492,DICO_Complet!$A$3:$U$983,13,FALSE))</f>
        <v>[41]</v>
      </c>
      <c r="M492" s="53" t="str">
        <f>IF(VLOOKUP($A492,DICO_Complet!$A$3:$U$983,14,FALSE)=0,"",VLOOKUP($A492,DICO_Complet!$A$3:$U$983,14,FALSE))</f>
        <v/>
      </c>
      <c r="N492" s="53" t="str">
        <f>IF(VLOOKUP($A492,DICO_Complet!$A$3:$U$983,15,FALSE)=0,"",VLOOKUP($A492,DICO_Complet!$A$3:$U$983,15,FALSE))</f>
        <v/>
      </c>
      <c r="O492" s="53" t="str">
        <f>IF(VLOOKUP($A492,DICO_Complet!$A$3:$U$983,16,FALSE)=0,"",VLOOKUP($A492,DICO_Complet!$A$3:$U$983,16,FALSE))</f>
        <v/>
      </c>
      <c r="P492" s="53" t="str">
        <f>IF(VLOOKUP($A492,DICO_Complet!$A$3:$U$983,17,FALSE)=0,"",VLOOKUP($A492,DICO_Complet!$A$3:$U$983,17,FALSE))</f>
        <v/>
      </c>
      <c r="Q492" s="53" t="str">
        <f>IF(VLOOKUP($A492,DICO_Complet!$A$3:$U$983,18,FALSE)=0,"",VLOOKUP($A492,DICO_Complet!$A$3:$U$983,18,FALSE))</f>
        <v/>
      </c>
    </row>
    <row r="493" spans="1:17">
      <c r="A493" s="38">
        <v>241112000147</v>
      </c>
      <c r="B493" s="47" t="s">
        <v>858</v>
      </c>
      <c r="C493" s="3" t="str">
        <f>VLOOKUP($A493,DICO_Complet!$A$3:$U$983,3,FALSE)</f>
        <v>Environment</v>
      </c>
      <c r="D493" s="3" t="str">
        <f>VLOOKUP($A493,DICO_Complet!$A$3:$U$983,4,FALSE)</f>
        <v>terminal</v>
      </c>
      <c r="E493" s="2" t="str">
        <f>VLOOKUP($A493,DICO_Complet!$A$3:$U$983,5,FALSE)</f>
        <v>terminalIdsa</v>
      </c>
      <c r="F493" s="2" t="str">
        <f>VLOOKUP($A493,DICO_Complet!$A$3:$U$983,6,FALSE)</f>
        <v>Exact8AlphaNumericText</v>
      </c>
      <c r="G493" s="48">
        <f>VLOOKUP($A493,DICO_Complet!$A$3:$U$983,7,FALSE)</f>
        <v>0</v>
      </c>
      <c r="H493" s="48">
        <f>VLOOKUP($A493,DICO_Complet!$A$3:$U$983,8,FALSE)</f>
        <v>0</v>
      </c>
      <c r="I493" s="2" t="str">
        <f>IF(VLOOKUP($A493,DICO_Complet!$A$3:$U$983,9,FALSE)&lt;&gt;0,VLOOKUP($A493,DICO_Complet!$A$3:$U$983,9,FALSE),"")</f>
        <v/>
      </c>
      <c r="J493" s="1" t="str">
        <f>VLOOKUP($A493,DICO_Complet!$A$3:$U$983,10,FALSE)</f>
        <v>ACCEPTANCE SYSTEM IDENTIFIER ASSIGNED BY AN ACQUIRER</v>
      </c>
      <c r="K493" s="53" t="str">
        <f>IF(VLOOKUP($A493,DICO_Complet!$A$3:$U$983,12,FALSE)=0,"",VLOOKUP($A493,DICO_Complet!$A$3:$U$983,12,FALSE))</f>
        <v>RSB47_A0</v>
      </c>
      <c r="L493" s="53" t="str">
        <f>IF(VLOOKUP($A493,DICO_Complet!$A$3:$U$983,13,FALSE)=0,"",VLOOKUP($A493,DICO_Complet!$A$3:$U$983,13,FALSE))</f>
        <v>[47-A0]</v>
      </c>
      <c r="M493" s="53" t="str">
        <f>IF(VLOOKUP($A493,DICO_Complet!$A$3:$U$983,14,FALSE)=0,"",VLOOKUP($A493,DICO_Complet!$A$3:$U$983,14,FALSE))</f>
        <v/>
      </c>
      <c r="N493" s="53" t="str">
        <f>IF(VLOOKUP($A493,DICO_Complet!$A$3:$U$983,15,FALSE)=0,"",VLOOKUP($A493,DICO_Complet!$A$3:$U$983,15,FALSE))</f>
        <v/>
      </c>
      <c r="O493" s="53" t="str">
        <f>IF(VLOOKUP($A493,DICO_Complet!$A$3:$U$983,16,FALSE)=0,"",VLOOKUP($A493,DICO_Complet!$A$3:$U$983,16,FALSE))</f>
        <v/>
      </c>
      <c r="P493" s="53" t="str">
        <f>IF(VLOOKUP($A493,DICO_Complet!$A$3:$U$983,17,FALSE)=0,"",VLOOKUP($A493,DICO_Complet!$A$3:$U$983,17,FALSE))</f>
        <v/>
      </c>
      <c r="Q493" s="53" t="str">
        <f>IF(VLOOKUP($A493,DICO_Complet!$A$3:$U$983,18,FALSE)=0,"",VLOOKUP($A493,DICO_Complet!$A$3:$U$983,18,FALSE))</f>
        <v/>
      </c>
    </row>
    <row r="494" spans="1:17">
      <c r="A494" s="38">
        <v>250423112000</v>
      </c>
      <c r="B494" s="47" t="s">
        <v>858</v>
      </c>
      <c r="C494" s="3" t="str">
        <f>VLOOKUP($A494,DICO_Complet!$A$3:$U$983,3,FALSE)</f>
        <v>Environment</v>
      </c>
      <c r="D494" s="3" t="str">
        <f>VLOOKUP($A494,DICO_Complet!$A$3:$U$983,4,FALSE)</f>
        <v>token</v>
      </c>
      <c r="E494" s="2" t="str">
        <f>VLOOKUP($A494,DICO_Complet!$A$3:$U$983,5,FALSE)</f>
        <v>primaryAccountNumberToken</v>
      </c>
      <c r="F494" s="2" t="str">
        <f>VLOOKUP($A494,DICO_Complet!$A$3:$U$983,6,FALSE)</f>
        <v>Max36NumericText</v>
      </c>
      <c r="G494" s="48">
        <f>VLOOKUP($A494,DICO_Complet!$A$3:$U$983,7,FALSE)</f>
        <v>0</v>
      </c>
      <c r="H494" s="48">
        <f>VLOOKUP($A494,DICO_Complet!$A$3:$U$983,8,FALSE)</f>
        <v>0</v>
      </c>
      <c r="I494" s="2" t="str">
        <f>IF(VLOOKUP($A494,DICO_Complet!$A$3:$U$983,9,FALSE)&lt;&gt;0,VLOOKUP($A494,DICO_Complet!$A$3:$U$983,9,FALSE),"")</f>
        <v/>
      </c>
      <c r="J494" s="1" t="str">
        <f>VLOOKUP($A494,DICO_Complet!$A$3:$U$983,10,FALSE)</f>
        <v>Primary Account Number Token/ID</v>
      </c>
      <c r="K494" s="53" t="str">
        <f>IF(VLOOKUP($A494,DICO_Complet!$A$3:$U$983,12,FALSE)=0,"",VLOOKUP($A494,DICO_Complet!$A$3:$U$983,12,FALSE))</f>
        <v/>
      </c>
      <c r="L494" s="53" t="str">
        <f>IF(VLOOKUP($A494,DICO_Complet!$A$3:$U$983,13,FALSE)=0,"",VLOOKUP($A494,DICO_Complet!$A$3:$U$983,13,FALSE))</f>
        <v/>
      </c>
      <c r="M494" s="53" t="str">
        <f>IF(VLOOKUP($A494,DICO_Complet!$A$3:$U$983,14,FALSE)=0,"",VLOOKUP($A494,DICO_Complet!$A$3:$U$983,14,FALSE))</f>
        <v/>
      </c>
      <c r="N494" s="53" t="str">
        <f>IF(VLOOKUP($A494,DICO_Complet!$A$3:$U$983,15,FALSE)=0,"",VLOOKUP($A494,DICO_Complet!$A$3:$U$983,15,FALSE))</f>
        <v/>
      </c>
      <c r="O494" s="53" t="str">
        <f>IF(VLOOKUP($A494,DICO_Complet!$A$3:$U$983,16,FALSE)=0,"",VLOOKUP($A494,DICO_Complet!$A$3:$U$983,16,FALSE))</f>
        <v/>
      </c>
      <c r="P494" s="53" t="str">
        <f>IF(VLOOKUP($A494,DICO_Complet!$A$3:$U$983,17,FALSE)=0,"",VLOOKUP($A494,DICO_Complet!$A$3:$U$983,17,FALSE))</f>
        <v/>
      </c>
      <c r="Q494" s="53" t="str">
        <f>IF(VLOOKUP($A494,DICO_Complet!$A$3:$U$983,18,FALSE)=0,"",VLOOKUP($A494,DICO_Complet!$A$3:$U$983,18,FALSE))</f>
        <v/>
      </c>
    </row>
    <row r="495" spans="1:17">
      <c r="A495" s="38">
        <v>241112000148</v>
      </c>
      <c r="B495" s="47" t="s">
        <v>858</v>
      </c>
      <c r="C495" s="3" t="str">
        <f>VLOOKUP($A495,DICO_Complet!$A$3:$U$983,3,FALSE)</f>
        <v>Environment</v>
      </c>
      <c r="D495" s="3" t="str">
        <f>VLOOKUP($A495,DICO_Complet!$A$3:$U$983,4,FALSE)</f>
        <v>token</v>
      </c>
      <c r="E495" s="2" t="str">
        <f>VLOOKUP($A495,DICO_Complet!$A$3:$U$983,5,FALSE)</f>
        <v>tokenAssuranceMethod</v>
      </c>
      <c r="F495" s="2" t="str">
        <f>VLOOKUP($A495,DICO_Complet!$A$3:$U$983,6,FALSE)</f>
        <v>Max2NumericText</v>
      </c>
      <c r="G495" s="48">
        <f>VLOOKUP($A495,DICO_Complet!$A$3:$U$983,7,FALSE)</f>
        <v>0</v>
      </c>
      <c r="H495" s="48">
        <f>VLOOKUP($A495,DICO_Complet!$A$3:$U$983,8,FALSE)</f>
        <v>0</v>
      </c>
      <c r="I495" s="2" t="str">
        <f>IF(VLOOKUP($A495,DICO_Complet!$A$3:$U$983,9,FALSE)&lt;&gt;0,VLOOKUP($A495,DICO_Complet!$A$3:$U$983,9,FALSE),"")</f>
        <v/>
      </c>
      <c r="J495" s="1" t="str">
        <f>VLOOKUP($A495,DICO_Complet!$A$3:$U$983,10,FALSE)</f>
        <v>Value that allows a Token Service Provider to indicate the identification and verification
performed representing the binding of the payment token to the underlying PAN and cardholder</v>
      </c>
      <c r="K495" s="53" t="str">
        <f>IF(VLOOKUP($A495,DICO_Complet!$A$3:$U$983,12,FALSE)=0,"",VLOOKUP($A495,DICO_Complet!$A$3:$U$983,12,FALSE))</f>
        <v>RSB105_04</v>
      </c>
      <c r="L495" s="53" t="str">
        <f>IF(VLOOKUP($A495,DICO_Complet!$A$3:$U$983,13,FALSE)=0,"",VLOOKUP($A495,DICO_Complet!$A$3:$U$983,13,FALSE))</f>
        <v>[105-04]</v>
      </c>
      <c r="M495" s="53" t="str">
        <f>IF(VLOOKUP($A495,DICO_Complet!$A$3:$U$983,14,FALSE)=0,"",VLOOKUP($A495,DICO_Complet!$A$3:$U$983,14,FALSE))</f>
        <v/>
      </c>
      <c r="N495" s="53" t="str">
        <f>IF(VLOOKUP($A495,DICO_Complet!$A$3:$U$983,15,FALSE)=0,"",VLOOKUP($A495,DICO_Complet!$A$3:$U$983,15,FALSE))</f>
        <v/>
      </c>
      <c r="O495" s="53" t="str">
        <f>IF(VLOOKUP($A495,DICO_Complet!$A$3:$U$983,16,FALSE)=0,"",VLOOKUP($A495,DICO_Complet!$A$3:$U$983,16,FALSE))</f>
        <v/>
      </c>
      <c r="P495" s="53" t="str">
        <f>IF(VLOOKUP($A495,DICO_Complet!$A$3:$U$983,17,FALSE)=0,"",VLOOKUP($A495,DICO_Complet!$A$3:$U$983,17,FALSE))</f>
        <v/>
      </c>
      <c r="Q495" s="53" t="str">
        <f>IF(VLOOKUP($A495,DICO_Complet!$A$3:$U$983,18,FALSE)=0,"",VLOOKUP($A495,DICO_Complet!$A$3:$U$983,18,FALSE))</f>
        <v/>
      </c>
    </row>
    <row r="496" spans="1:17">
      <c r="A496" s="38">
        <v>241112000149</v>
      </c>
      <c r="B496" s="47" t="s">
        <v>858</v>
      </c>
      <c r="C496" s="3" t="str">
        <f>VLOOKUP($A496,DICO_Complet!$A$3:$U$983,3,FALSE)</f>
        <v>Environment</v>
      </c>
      <c r="D496" s="3" t="str">
        <f>VLOOKUP($A496,DICO_Complet!$A$3:$U$983,4,FALSE)</f>
        <v>token</v>
      </c>
      <c r="E496" s="2" t="str">
        <f>VLOOKUP($A496,DICO_Complet!$A$3:$U$983,5,FALSE)</f>
        <v>tokenProgramIndicator</v>
      </c>
      <c r="F496" s="2" t="str">
        <f>VLOOKUP($A496,DICO_Complet!$A$3:$U$983,6,FALSE)</f>
        <v>Exact1Text</v>
      </c>
      <c r="G496" s="48">
        <f>VLOOKUP($A496,DICO_Complet!$A$3:$U$983,7,FALSE)</f>
        <v>0</v>
      </c>
      <c r="H496" s="48">
        <f>VLOOKUP($A496,DICO_Complet!$A$3:$U$983,8,FALSE)</f>
        <v>0</v>
      </c>
      <c r="I496" s="2" t="str">
        <f>IF(VLOOKUP($A496,DICO_Complet!$A$3:$U$983,9,FALSE)&lt;&gt;0,VLOOKUP($A496,DICO_Complet!$A$3:$U$983,9,FALSE),"")</f>
        <v/>
      </c>
      <c r="J496" s="1" t="str">
        <f>VLOOKUP($A496,DICO_Complet!$A$3:$U$983,10,FALSE)</f>
        <v>value that can identify transactions eligible for token services.</v>
      </c>
      <c r="K496" s="53" t="str">
        <f>IF(VLOOKUP($A496,DICO_Complet!$A$3:$U$983,12,FALSE)=0,"",VLOOKUP($A496,DICO_Complet!$A$3:$U$983,12,FALSE))</f>
        <v>RSB108_0359</v>
      </c>
      <c r="L496" s="53" t="str">
        <f>IF(VLOOKUP($A496,DICO_Complet!$A$3:$U$983,13,FALSE)=0,"",VLOOKUP($A496,DICO_Complet!$A$3:$U$983,13,FALSE))</f>
        <v>[108-0359]</v>
      </c>
      <c r="M496" s="53" t="str">
        <f>IF(VLOOKUP($A496,DICO_Complet!$A$3:$U$983,14,FALSE)=0,"",VLOOKUP($A496,DICO_Complet!$A$3:$U$983,14,FALSE))</f>
        <v/>
      </c>
      <c r="N496" s="53" t="str">
        <f>IF(VLOOKUP($A496,DICO_Complet!$A$3:$U$983,15,FALSE)=0,"",VLOOKUP($A496,DICO_Complet!$A$3:$U$983,15,FALSE))</f>
        <v/>
      </c>
      <c r="O496" s="53" t="str">
        <f>IF(VLOOKUP($A496,DICO_Complet!$A$3:$U$983,16,FALSE)=0,"",VLOOKUP($A496,DICO_Complet!$A$3:$U$983,16,FALSE))</f>
        <v/>
      </c>
      <c r="P496" s="53" t="str">
        <f>IF(VLOOKUP($A496,DICO_Complet!$A$3:$U$983,17,FALSE)=0,"",VLOOKUP($A496,DICO_Complet!$A$3:$U$983,17,FALSE))</f>
        <v/>
      </c>
      <c r="Q496" s="53" t="str">
        <f>IF(VLOOKUP($A496,DICO_Complet!$A$3:$U$983,18,FALSE)=0,"",VLOOKUP($A496,DICO_Complet!$A$3:$U$983,18,FALSE))</f>
        <v/>
      </c>
    </row>
    <row r="497" spans="1:17">
      <c r="A497" s="38">
        <v>241112000150</v>
      </c>
      <c r="B497" s="47" t="s">
        <v>858</v>
      </c>
      <c r="C497" s="3" t="str">
        <f>VLOOKUP($A497,DICO_Complet!$A$3:$U$983,3,FALSE)</f>
        <v>Environment</v>
      </c>
      <c r="D497" s="3" t="str">
        <f>VLOOKUP($A497,DICO_Complet!$A$3:$U$983,4,FALSE)</f>
        <v>token</v>
      </c>
      <c r="E497" s="2" t="str">
        <f>VLOOKUP($A497,DICO_Complet!$A$3:$U$983,5,FALSE)</f>
        <v>tokenRequestorIdentification</v>
      </c>
      <c r="F497" s="2" t="str">
        <f>VLOOKUP($A497,DICO_Complet!$A$3:$U$983,6,FALSE)</f>
        <v>Max35Text</v>
      </c>
      <c r="G497" s="48">
        <f>VLOOKUP($A497,DICO_Complet!$A$3:$U$983,7,FALSE)</f>
        <v>0</v>
      </c>
      <c r="H497" s="48">
        <f>VLOOKUP($A497,DICO_Complet!$A$3:$U$983,8,FALSE)</f>
        <v>0</v>
      </c>
      <c r="I497" s="2" t="str">
        <f>IF(VLOOKUP($A497,DICO_Complet!$A$3:$U$983,9,FALSE)&lt;&gt;0,VLOOKUP($A497,DICO_Complet!$A$3:$U$983,9,FALSE),"")</f>
        <v/>
      </c>
      <c r="J497" s="1" t="str">
        <f>VLOOKUP($A497,DICO_Complet!$A$3:$U$983,10,FALSE)</f>
        <v xml:space="preserve"> Identifier of a token provider requestor</v>
      </c>
      <c r="K497" s="53" t="str">
        <f>IF(VLOOKUP($A497,DICO_Complet!$A$3:$U$983,12,FALSE)=0,"",VLOOKUP($A497,DICO_Complet!$A$3:$U$983,12,FALSE))</f>
        <v>RSB105_03</v>
      </c>
      <c r="L497" s="53" t="str">
        <f>IF(VLOOKUP($A497,DICO_Complet!$A$3:$U$983,13,FALSE)=0,"",VLOOKUP($A497,DICO_Complet!$A$3:$U$983,13,FALSE))</f>
        <v>[105-03]</v>
      </c>
      <c r="M497" s="53" t="str">
        <f>IF(VLOOKUP($A497,DICO_Complet!$A$3:$U$983,14,FALSE)=0,"",VLOOKUP($A497,DICO_Complet!$A$3:$U$983,14,FALSE))</f>
        <v/>
      </c>
      <c r="N497" s="53" t="str">
        <f>IF(VLOOKUP($A497,DICO_Complet!$A$3:$U$983,15,FALSE)=0,"",VLOOKUP($A497,DICO_Complet!$A$3:$U$983,15,FALSE))</f>
        <v/>
      </c>
      <c r="O497" s="53" t="str">
        <f>IF(VLOOKUP($A497,DICO_Complet!$A$3:$U$983,16,FALSE)=0,"",VLOOKUP($A497,DICO_Complet!$A$3:$U$983,16,FALSE))</f>
        <v/>
      </c>
      <c r="P497" s="53" t="str">
        <f>IF(VLOOKUP($A497,DICO_Complet!$A$3:$U$983,17,FALSE)=0,"",VLOOKUP($A497,DICO_Complet!$A$3:$U$983,17,FALSE))</f>
        <v/>
      </c>
      <c r="Q497" s="53" t="str">
        <f>IF(VLOOKUP($A497,DICO_Complet!$A$3:$U$983,18,FALSE)=0,"",VLOOKUP($A497,DICO_Complet!$A$3:$U$983,18,FALSE))</f>
        <v/>
      </c>
    </row>
    <row r="498" spans="1:17">
      <c r="A498" s="38">
        <v>241112000151</v>
      </c>
      <c r="B498" s="47" t="s">
        <v>858</v>
      </c>
      <c r="C498" s="3" t="str">
        <f>VLOOKUP($A498,DICO_Complet!$A$3:$U$983,3,FALSE)</f>
        <v>Environment</v>
      </c>
      <c r="D498" s="3" t="str">
        <f>VLOOKUP($A498,DICO_Complet!$A$3:$U$983,4,FALSE)</f>
        <v>token</v>
      </c>
      <c r="E498" s="2" t="str">
        <f>VLOOKUP($A498,DICO_Complet!$A$3:$U$983,5,FALSE)</f>
        <v>trustedMerchantExemptionIndicator</v>
      </c>
      <c r="F498" s="2" t="str">
        <f>VLOOKUP($A498,DICO_Complet!$A$3:$U$983,6,FALSE)</f>
        <v>Exact1AlphaNumericText</v>
      </c>
      <c r="G498" s="48">
        <f>VLOOKUP($A498,DICO_Complet!$A$3:$U$983,7,FALSE)</f>
        <v>0</v>
      </c>
      <c r="H498" s="48">
        <f>VLOOKUP($A498,DICO_Complet!$A$3:$U$983,8,FALSE)</f>
        <v>0</v>
      </c>
      <c r="I498" s="2" t="str">
        <f>IF(VLOOKUP($A498,DICO_Complet!$A$3:$U$983,9,FALSE)&lt;&gt;0,VLOOKUP($A498,DICO_Complet!$A$3:$U$983,9,FALSE),"")</f>
        <v/>
      </c>
      <c r="J498" s="1" t="str">
        <f>VLOOKUP($A498,DICO_Complet!$A$3:$U$983,10,FALSE)</f>
        <v>Trusted merchant exemption indicator</v>
      </c>
      <c r="K498" s="53" t="str">
        <f>IF(VLOOKUP($A498,DICO_Complet!$A$3:$U$983,12,FALSE)=0,"",VLOOKUP($A498,DICO_Complet!$A$3:$U$983,12,FALSE))</f>
        <v>RSB119_0002</v>
      </c>
      <c r="L498" s="53" t="str">
        <f>IF(VLOOKUP($A498,DICO_Complet!$A$3:$U$983,13,FALSE)=0,"",VLOOKUP($A498,DICO_Complet!$A$3:$U$983,13,FALSE))</f>
        <v>[119-0002]</v>
      </c>
      <c r="M498" s="53" t="str">
        <f>IF(VLOOKUP($A498,DICO_Complet!$A$3:$U$983,14,FALSE)=0,"",VLOOKUP($A498,DICO_Complet!$A$3:$U$983,14,FALSE))</f>
        <v/>
      </c>
      <c r="N498" s="53" t="str">
        <f>IF(VLOOKUP($A498,DICO_Complet!$A$3:$U$983,15,FALSE)=0,"",VLOOKUP($A498,DICO_Complet!$A$3:$U$983,15,FALSE))</f>
        <v/>
      </c>
      <c r="O498" s="53" t="str">
        <f>IF(VLOOKUP($A498,DICO_Complet!$A$3:$U$983,16,FALSE)=0,"",VLOOKUP($A498,DICO_Complet!$A$3:$U$983,16,FALSE))</f>
        <v/>
      </c>
      <c r="P498" s="53" t="str">
        <f>IF(VLOOKUP($A498,DICO_Complet!$A$3:$U$983,17,FALSE)=0,"",VLOOKUP($A498,DICO_Complet!$A$3:$U$983,17,FALSE))</f>
        <v/>
      </c>
      <c r="Q498" s="53" t="str">
        <f>IF(VLOOKUP($A498,DICO_Complet!$A$3:$U$983,18,FALSE)=0,"",VLOOKUP($A498,DICO_Complet!$A$3:$U$983,18,FALSE))</f>
        <v/>
      </c>
    </row>
    <row r="499" spans="1:17">
      <c r="A499" s="38">
        <v>250414121804</v>
      </c>
      <c r="B499" s="47" t="s">
        <v>858</v>
      </c>
      <c r="C499" s="3" t="str">
        <f>VLOOKUP($A499,DICO_Complet!$A$3:$U$983,3,FALSE)</f>
        <v>Environment</v>
      </c>
      <c r="D499" s="3" t="str">
        <f>VLOOKUP($A499,DICO_Complet!$A$3:$U$983,4,FALSE)</f>
        <v>wallet</v>
      </c>
      <c r="E499" s="2" t="str">
        <f>VLOOKUP($A499,DICO_Complet!$A$3:$U$983,5,FALSE)</f>
        <v>digitalWalletName</v>
      </c>
      <c r="F499" s="2" t="str">
        <f>VLOOKUP($A499,DICO_Complet!$A$3:$U$983,6,FALSE)</f>
        <v>DigitalWalletNameCodeset</v>
      </c>
      <c r="G499" s="48">
        <f>VLOOKUP($A499,DICO_Complet!$A$3:$U$983,7,FALSE)</f>
        <v>0</v>
      </c>
      <c r="H499" s="48">
        <f>VLOOKUP($A499,DICO_Complet!$A$3:$U$983,8,FALSE)</f>
        <v>0</v>
      </c>
      <c r="I499" s="2" t="str">
        <f>IF(VLOOKUP($A499,DICO_Complet!$A$3:$U$983,9,FALSE)&lt;&gt;0,VLOOKUP($A499,DICO_Complet!$A$3:$U$983,9,FALSE),"")</f>
        <v/>
      </c>
      <c r="J499" s="1" t="str">
        <f>VLOOKUP($A499,DICO_Complet!$A$3:$U$983,10,FALSE)</f>
        <v>digital wallet name</v>
      </c>
      <c r="K499" s="53" t="str">
        <f>IF(VLOOKUP($A499,DICO_Complet!$A$3:$U$983,12,FALSE)=0,"",VLOOKUP($A499,DICO_Complet!$A$3:$U$983,12,FALSE))</f>
        <v/>
      </c>
      <c r="L499" s="53" t="str">
        <f>IF(VLOOKUP($A499,DICO_Complet!$A$3:$U$983,13,FALSE)=0,"",VLOOKUP($A499,DICO_Complet!$A$3:$U$983,13,FALSE))</f>
        <v/>
      </c>
      <c r="M499" s="53" t="str">
        <f>IF(VLOOKUP($A499,DICO_Complet!$A$3:$U$983,14,FALSE)=0,"",VLOOKUP($A499,DICO_Complet!$A$3:$U$983,14,FALSE))</f>
        <v>58_0415</v>
      </c>
      <c r="N499" s="53" t="str">
        <f>IF(VLOOKUP($A499,DICO_Complet!$A$3:$U$983,15,FALSE)=0,"",VLOOKUP($A499,DICO_Complet!$A$3:$U$983,15,FALSE))</f>
        <v/>
      </c>
      <c r="O499" s="53" t="str">
        <f>IF(VLOOKUP($A499,DICO_Complet!$A$3:$U$983,16,FALSE)=0,"",VLOOKUP($A499,DICO_Complet!$A$3:$U$983,16,FALSE))</f>
        <v/>
      </c>
      <c r="P499" s="53" t="str">
        <f>IF(VLOOKUP($A499,DICO_Complet!$A$3:$U$983,17,FALSE)=0,"",VLOOKUP($A499,DICO_Complet!$A$3:$U$983,17,FALSE))</f>
        <v/>
      </c>
      <c r="Q499" s="53" t="str">
        <f>IF(VLOOKUP($A499,DICO_Complet!$A$3:$U$983,18,FALSE)=0,"",VLOOKUP($A499,DICO_Complet!$A$3:$U$983,18,FALSE))</f>
        <v/>
      </c>
    </row>
    <row r="500" spans="1:17">
      <c r="A500" s="38">
        <v>241112000152</v>
      </c>
      <c r="B500" s="47" t="s">
        <v>858</v>
      </c>
      <c r="C500" s="3" t="str">
        <f>VLOOKUP($A500,DICO_Complet!$A$3:$U$983,3,FALSE)</f>
        <v>Environment</v>
      </c>
      <c r="D500" s="3" t="str">
        <f>VLOOKUP($A500,DICO_Complet!$A$3:$U$983,4,FALSE)</f>
        <v>wallet</v>
      </c>
      <c r="E500" s="2" t="str">
        <f>VLOOKUP($A500,DICO_Complet!$A$3:$U$983,5,FALSE)</f>
        <v>walletId</v>
      </c>
      <c r="F500" s="2" t="str">
        <f>VLOOKUP($A500,DICO_Complet!$A$3:$U$983,6,FALSE)</f>
        <v>Max3NumericText</v>
      </c>
      <c r="G500" s="48">
        <f>VLOOKUP($A500,DICO_Complet!$A$3:$U$983,7,FALSE)</f>
        <v>0</v>
      </c>
      <c r="H500" s="48">
        <f>VLOOKUP($A500,DICO_Complet!$A$3:$U$983,8,FALSE)</f>
        <v>0</v>
      </c>
      <c r="I500" s="2" t="str">
        <f>IF(VLOOKUP($A500,DICO_Complet!$A$3:$U$983,9,FALSE)&lt;&gt;0,VLOOKUP($A500,DICO_Complet!$A$3:$U$983,9,FALSE),"")</f>
        <v/>
      </c>
      <c r="J500" s="1" t="str">
        <f>VLOOKUP($A500,DICO_Complet!$A$3:$U$983,10,FALSE)</f>
        <v>Wallet Identifier</v>
      </c>
      <c r="K500" s="53" t="str">
        <f>IF(VLOOKUP($A500,DICO_Complet!$A$3:$U$983,12,FALSE)=0,"",VLOOKUP($A500,DICO_Complet!$A$3:$U$983,12,FALSE))</f>
        <v>RSB57_12_p2</v>
      </c>
      <c r="L500" s="53" t="str">
        <f>IF(VLOOKUP($A500,DICO_Complet!$A$3:$U$983,13,FALSE)=0,"",VLOOKUP($A500,DICO_Complet!$A$3:$U$983,13,FALSE))</f>
        <v>[57-0012-p2]</v>
      </c>
      <c r="M500" s="53" t="str">
        <f>IF(VLOOKUP($A500,DICO_Complet!$A$3:$U$983,14,FALSE)=0,"",VLOOKUP($A500,DICO_Complet!$A$3:$U$983,14,FALSE))</f>
        <v/>
      </c>
      <c r="N500" s="53" t="str">
        <f>IF(VLOOKUP($A500,DICO_Complet!$A$3:$U$983,15,FALSE)=0,"",VLOOKUP($A500,DICO_Complet!$A$3:$U$983,15,FALSE))</f>
        <v/>
      </c>
      <c r="O500" s="53" t="str">
        <f>IF(VLOOKUP($A500,DICO_Complet!$A$3:$U$983,16,FALSE)=0,"",VLOOKUP($A500,DICO_Complet!$A$3:$U$983,16,FALSE))</f>
        <v/>
      </c>
      <c r="P500" s="53" t="str">
        <f>IF(VLOOKUP($A500,DICO_Complet!$A$3:$U$983,17,FALSE)=0,"",VLOOKUP($A500,DICO_Complet!$A$3:$U$983,17,FALSE))</f>
        <v/>
      </c>
      <c r="Q500" s="53" t="str">
        <f>IF(VLOOKUP($A500,DICO_Complet!$A$3:$U$983,18,FALSE)=0,"",VLOOKUP($A500,DICO_Complet!$A$3:$U$983,18,FALSE))</f>
        <v/>
      </c>
    </row>
    <row r="501" spans="1:17">
      <c r="A501" s="38">
        <v>241112000153</v>
      </c>
      <c r="B501" s="47" t="s">
        <v>858</v>
      </c>
      <c r="C501" s="3" t="str">
        <f>VLOOKUP($A501,DICO_Complet!$A$3:$U$983,3,FALSE)</f>
        <v>Environment</v>
      </c>
      <c r="D501" s="3" t="str">
        <f>VLOOKUP($A501,DICO_Complet!$A$3:$U$983,4,FALSE)</f>
        <v>wallet</v>
      </c>
      <c r="E501" s="2" t="str">
        <f>VLOOKUP($A501,DICO_Complet!$A$3:$U$983,5,FALSE)</f>
        <v>walletNomenclature</v>
      </c>
      <c r="F501" s="2" t="str">
        <f>VLOOKUP($A501,DICO_Complet!$A$3:$U$983,6,FALSE)</f>
        <v>WalletNomenclatureCodeset</v>
      </c>
      <c r="G501" s="48">
        <f>VLOOKUP($A501,DICO_Complet!$A$3:$U$983,7,FALSE)</f>
        <v>0</v>
      </c>
      <c r="H501" s="48">
        <f>VLOOKUP($A501,DICO_Complet!$A$3:$U$983,8,FALSE)</f>
        <v>0</v>
      </c>
      <c r="I501" s="2" t="str">
        <f>IF(VLOOKUP($A501,DICO_Complet!$A$3:$U$983,9,FALSE)&lt;&gt;0,VLOOKUP($A501,DICO_Complet!$A$3:$U$983,9,FALSE),"")</f>
        <v/>
      </c>
      <c r="J501" s="1" t="str">
        <f>VLOOKUP($A501,DICO_Complet!$A$3:$U$983,10,FALSE)</f>
        <v>Wallet Type</v>
      </c>
      <c r="K501" s="53" t="str">
        <f>IF(VLOOKUP($A501,DICO_Complet!$A$3:$U$983,12,FALSE)=0,"",VLOOKUP($A501,DICO_Complet!$A$3:$U$983,12,FALSE))</f>
        <v>RSB57_12_p1</v>
      </c>
      <c r="L501" s="53" t="str">
        <f>IF(VLOOKUP($A501,DICO_Complet!$A$3:$U$983,13,FALSE)=0,"",VLOOKUP($A501,DICO_Complet!$A$3:$U$983,13,FALSE))</f>
        <v>[57-0012-p]</v>
      </c>
      <c r="M501" s="53" t="str">
        <f>IF(VLOOKUP($A501,DICO_Complet!$A$3:$U$983,14,FALSE)=0,"",VLOOKUP($A501,DICO_Complet!$A$3:$U$983,14,FALSE))</f>
        <v/>
      </c>
      <c r="N501" s="53" t="str">
        <f>IF(VLOOKUP($A501,DICO_Complet!$A$3:$U$983,15,FALSE)=0,"",VLOOKUP($A501,DICO_Complet!$A$3:$U$983,15,FALSE))</f>
        <v/>
      </c>
      <c r="O501" s="53" t="str">
        <f>IF(VLOOKUP($A501,DICO_Complet!$A$3:$U$983,16,FALSE)=0,"",VLOOKUP($A501,DICO_Complet!$A$3:$U$983,16,FALSE))</f>
        <v/>
      </c>
      <c r="P501" s="53" t="str">
        <f>IF(VLOOKUP($A501,DICO_Complet!$A$3:$U$983,17,FALSE)=0,"",VLOOKUP($A501,DICO_Complet!$A$3:$U$983,17,FALSE))</f>
        <v/>
      </c>
      <c r="Q501" s="53" t="str">
        <f>IF(VLOOKUP($A501,DICO_Complet!$A$3:$U$983,18,FALSE)=0,"",VLOOKUP($A501,DICO_Complet!$A$3:$U$983,18,FALSE))</f>
        <v/>
      </c>
    </row>
    <row r="502" spans="1:17">
      <c r="A502" s="38">
        <v>250317120004</v>
      </c>
      <c r="B502" s="47" t="s">
        <v>858</v>
      </c>
      <c r="C502" s="3" t="str">
        <f>VLOOKUP($A502,DICO_Complet!$A$3:$U$983,3,FALSE)</f>
        <v>Header</v>
      </c>
      <c r="D502" s="3" t="str">
        <f>VLOOKUP($A502,DICO_Complet!$A$3:$U$983,4,FALSE)</f>
        <v>headerFunctionalInfo</v>
      </c>
      <c r="E502" s="2" t="str">
        <f>VLOOKUP($A502,DICO_Complet!$A$3:$U$983,5,FALSE)</f>
        <v>datetime</v>
      </c>
      <c r="F502" s="2" t="str">
        <f>VLOOKUP($A502,DICO_Complet!$A$3:$U$983,6,FALSE)</f>
        <v>ISODateTime</v>
      </c>
      <c r="G502" s="48">
        <f>VLOOKUP($A502,DICO_Complet!$A$3:$U$983,7,FALSE)</f>
        <v>0</v>
      </c>
      <c r="H502" s="48">
        <f>VLOOKUP($A502,DICO_Complet!$A$3:$U$983,8,FALSE)</f>
        <v>0</v>
      </c>
      <c r="I502" s="2" t="str">
        <f>IF(VLOOKUP($A502,DICO_Complet!$A$3:$U$983,9,FALSE)&lt;&gt;0,VLOOKUP($A502,DICO_Complet!$A$3:$U$983,9,FALSE),"")</f>
        <v/>
      </c>
      <c r="J502" s="1" t="str">
        <f>VLOOKUP($A502,DICO_Complet!$A$3:$U$983,10,FALSE)</f>
        <v>Event/Stream  generation date</v>
      </c>
      <c r="K502" s="53" t="str">
        <f>IF(VLOOKUP($A502,DICO_Complet!$A$3:$U$983,12,FALSE)=0,"",VLOOKUP($A502,DICO_Complet!$A$3:$U$983,12,FALSE))</f>
        <v/>
      </c>
      <c r="L502" s="53" t="str">
        <f>IF(VLOOKUP($A502,DICO_Complet!$A$3:$U$983,13,FALSE)=0,"",VLOOKUP($A502,DICO_Complet!$A$3:$U$983,13,FALSE))</f>
        <v/>
      </c>
      <c r="M502" s="53" t="str">
        <f>IF(VLOOKUP($A502,DICO_Complet!$A$3:$U$983,14,FALSE)=0,"",VLOOKUP($A502,DICO_Complet!$A$3:$U$983,14,FALSE))</f>
        <v/>
      </c>
      <c r="N502" s="53" t="str">
        <f>IF(VLOOKUP($A502,DICO_Complet!$A$3:$U$983,15,FALSE)=0,"",VLOOKUP($A502,DICO_Complet!$A$3:$U$983,15,FALSE))</f>
        <v/>
      </c>
      <c r="O502" s="53" t="str">
        <f>IF(VLOOKUP($A502,DICO_Complet!$A$3:$U$983,16,FALSE)=0,"",VLOOKUP($A502,DICO_Complet!$A$3:$U$983,16,FALSE))</f>
        <v/>
      </c>
      <c r="P502" s="53" t="str">
        <f>IF(VLOOKUP($A502,DICO_Complet!$A$3:$U$983,17,FALSE)=0,"",VLOOKUP($A502,DICO_Complet!$A$3:$U$983,17,FALSE))</f>
        <v/>
      </c>
      <c r="Q502" s="53" t="str">
        <f>IF(VLOOKUP($A502,DICO_Complet!$A$3:$U$983,18,FALSE)=0,"",VLOOKUP($A502,DICO_Complet!$A$3:$U$983,18,FALSE))</f>
        <v/>
      </c>
    </row>
    <row r="503" spans="1:17">
      <c r="A503" s="38">
        <v>250317120005</v>
      </c>
      <c r="B503" s="47" t="s">
        <v>858</v>
      </c>
      <c r="C503" s="3" t="str">
        <f>VLOOKUP($A503,DICO_Complet!$A$3:$U$983,3,FALSE)</f>
        <v>Header</v>
      </c>
      <c r="D503" s="3" t="str">
        <f>VLOOKUP($A503,DICO_Complet!$A$3:$U$983,4,FALSE)</f>
        <v>headerFunctionalInfo</v>
      </c>
      <c r="E503" s="2" t="str">
        <f>VLOOKUP($A503,DICO_Complet!$A$3:$U$983,5,FALSE)</f>
        <v>messageDescription</v>
      </c>
      <c r="F503" s="2" t="str">
        <f>VLOOKUP($A503,DICO_Complet!$A$3:$U$983,6,FALSE)</f>
        <v>Max255Text</v>
      </c>
      <c r="G503" s="48">
        <f>VLOOKUP($A503,DICO_Complet!$A$3:$U$983,7,FALSE)</f>
        <v>0</v>
      </c>
      <c r="H503" s="48">
        <f>VLOOKUP($A503,DICO_Complet!$A$3:$U$983,8,FALSE)</f>
        <v>0</v>
      </c>
      <c r="I503" s="2" t="str">
        <f>IF(VLOOKUP($A503,DICO_Complet!$A$3:$U$983,9,FALSE)&lt;&gt;0,VLOOKUP($A503,DICO_Complet!$A$3:$U$983,9,FALSE),"")</f>
        <v/>
      </c>
      <c r="J503" s="1" t="str">
        <f>VLOOKUP($A503,DICO_Complet!$A$3:$U$983,10,FALSE)</f>
        <v>Free description</v>
      </c>
      <c r="K503" s="53" t="str">
        <f>IF(VLOOKUP($A503,DICO_Complet!$A$3:$U$983,12,FALSE)=0,"",VLOOKUP($A503,DICO_Complet!$A$3:$U$983,12,FALSE))</f>
        <v/>
      </c>
      <c r="L503" s="53" t="str">
        <f>IF(VLOOKUP($A503,DICO_Complet!$A$3:$U$983,13,FALSE)=0,"",VLOOKUP($A503,DICO_Complet!$A$3:$U$983,13,FALSE))</f>
        <v/>
      </c>
      <c r="M503" s="53" t="str">
        <f>IF(VLOOKUP($A503,DICO_Complet!$A$3:$U$983,14,FALSE)=0,"",VLOOKUP($A503,DICO_Complet!$A$3:$U$983,14,FALSE))</f>
        <v/>
      </c>
      <c r="N503" s="53" t="str">
        <f>IF(VLOOKUP($A503,DICO_Complet!$A$3:$U$983,15,FALSE)=0,"",VLOOKUP($A503,DICO_Complet!$A$3:$U$983,15,FALSE))</f>
        <v/>
      </c>
      <c r="O503" s="53" t="str">
        <f>IF(VLOOKUP($A503,DICO_Complet!$A$3:$U$983,16,FALSE)=0,"",VLOOKUP($A503,DICO_Complet!$A$3:$U$983,16,FALSE))</f>
        <v/>
      </c>
      <c r="P503" s="53" t="str">
        <f>IF(VLOOKUP($A503,DICO_Complet!$A$3:$U$983,17,FALSE)=0,"",VLOOKUP($A503,DICO_Complet!$A$3:$U$983,17,FALSE))</f>
        <v/>
      </c>
      <c r="Q503" s="53" t="str">
        <f>IF(VLOOKUP($A503,DICO_Complet!$A$3:$U$983,18,FALSE)=0,"",VLOOKUP($A503,DICO_Complet!$A$3:$U$983,18,FALSE))</f>
        <v/>
      </c>
    </row>
    <row r="504" spans="1:17">
      <c r="A504" s="38">
        <v>241112000154</v>
      </c>
      <c r="B504" s="47" t="s">
        <v>858</v>
      </c>
      <c r="C504" s="3" t="str">
        <f>VLOOKUP($A504,DICO_Complet!$A$3:$U$983,3,FALSE)</f>
        <v>Header</v>
      </c>
      <c r="D504" s="3" t="str">
        <f>VLOOKUP($A504,DICO_Complet!$A$3:$U$983,4,FALSE)</f>
        <v>headerFunctionalInfo</v>
      </c>
      <c r="E504" s="2" t="str">
        <f>VLOOKUP($A504,DICO_Complet!$A$3:$U$983,5,FALSE)</f>
        <v>messageFunction</v>
      </c>
      <c r="F504" s="2" t="str">
        <f>VLOOKUP($A504,DICO_Complet!$A$3:$U$983,6,FALSE)</f>
        <v>MessageFunctionCodeset</v>
      </c>
      <c r="G504" s="48">
        <f>VLOOKUP($A504,DICO_Complet!$A$3:$U$983,7,FALSE)</f>
        <v>0</v>
      </c>
      <c r="H504" s="48">
        <f>VLOOKUP($A504,DICO_Complet!$A$3:$U$983,8,FALSE)</f>
        <v>0</v>
      </c>
      <c r="I504" s="2" t="str">
        <f>IF(VLOOKUP($A504,DICO_Complet!$A$3:$U$983,9,FALSE)&lt;&gt;0,VLOOKUP($A504,DICO_Complet!$A$3:$U$983,9,FALSE),"")</f>
        <v/>
      </c>
      <c r="J504" s="1" t="str">
        <f>VLOOKUP($A504,DICO_Complet!$A$3:$U$983,10,FALSE)</f>
        <v>Message Function</v>
      </c>
      <c r="K504" s="53" t="str">
        <f>IF(VLOOKUP($A504,DICO_Complet!$A$3:$U$983,12,FALSE)=0,"",VLOOKUP($A504,DICO_Complet!$A$3:$U$983,12,FALSE))</f>
        <v>T121 ou FRD10</v>
      </c>
      <c r="L504" s="53" t="str">
        <f>IF(VLOOKUP($A504,DICO_Complet!$A$3:$U$983,13,FALSE)=0,"",VLOOKUP($A504,DICO_Complet!$A$3:$U$983,13,FALSE))</f>
        <v/>
      </c>
      <c r="M504" s="53" t="str">
        <f>IF(VLOOKUP($A504,DICO_Complet!$A$3:$U$983,14,FALSE)=0,"",VLOOKUP($A504,DICO_Complet!$A$3:$U$983,14,FALSE))</f>
        <v/>
      </c>
      <c r="N504" s="53" t="str">
        <f>IF(VLOOKUP($A504,DICO_Complet!$A$3:$U$983,15,FALSE)=0,"",VLOOKUP($A504,DICO_Complet!$A$3:$U$983,15,FALSE))</f>
        <v/>
      </c>
      <c r="O504" s="53" t="str">
        <f>IF(VLOOKUP($A504,DICO_Complet!$A$3:$U$983,16,FALSE)=0,"",VLOOKUP($A504,DICO_Complet!$A$3:$U$983,16,FALSE))</f>
        <v/>
      </c>
      <c r="P504" s="53" t="str">
        <f>IF(VLOOKUP($A504,DICO_Complet!$A$3:$U$983,17,FALSE)=0,"",VLOOKUP($A504,DICO_Complet!$A$3:$U$983,17,FALSE))</f>
        <v/>
      </c>
      <c r="Q504" s="53" t="str">
        <f>IF(VLOOKUP($A504,DICO_Complet!$A$3:$U$983,18,FALSE)=0,"",VLOOKUP($A504,DICO_Complet!$A$3:$U$983,18,FALSE))</f>
        <v/>
      </c>
    </row>
    <row r="505" spans="1:17">
      <c r="A505" s="38">
        <v>241112000155</v>
      </c>
      <c r="B505" s="47" t="s">
        <v>858</v>
      </c>
      <c r="C505" s="3" t="str">
        <f>VLOOKUP($A505,DICO_Complet!$A$3:$U$983,3,FALSE)</f>
        <v>Header</v>
      </c>
      <c r="D505" s="3" t="str">
        <f>VLOOKUP($A505,DICO_Complet!$A$3:$U$983,4,FALSE)</f>
        <v>headerFunctionalInfo</v>
      </c>
      <c r="E505" s="2" t="str">
        <f>VLOOKUP($A505,DICO_Complet!$A$3:$U$983,5,FALSE)</f>
        <v>protocolVersion</v>
      </c>
      <c r="F505" s="2" t="str">
        <f>VLOOKUP($A505,DICO_Complet!$A$3:$U$983,6,FALSE)</f>
        <v>AdditionalDataType</v>
      </c>
      <c r="G505" s="48">
        <f>VLOOKUP($A505,DICO_Complet!$A$3:$U$983,7,FALSE)</f>
        <v>0</v>
      </c>
      <c r="H505" s="48">
        <f>VLOOKUP($A505,DICO_Complet!$A$3:$U$983,8,FALSE)</f>
        <v>0</v>
      </c>
      <c r="I505" s="2" t="str">
        <f>IF(VLOOKUP($A505,DICO_Complet!$A$3:$U$983,9,FALSE)&lt;&gt;0,VLOOKUP($A505,DICO_Complet!$A$3:$U$983,9,FALSE),"")</f>
        <v/>
      </c>
      <c r="J505" s="1" t="str">
        <f>VLOOKUP($A505,DICO_Complet!$A$3:$U$983,10,FALSE)</f>
        <v>Message Protocol Version</v>
      </c>
      <c r="K505" s="53" t="str">
        <f>IF(VLOOKUP($A505,DICO_Complet!$A$3:$U$983,12,FALSE)=0,"",VLOOKUP($A505,DICO_Complet!$A$3:$U$983,12,FALSE))</f>
        <v>T021</v>
      </c>
      <c r="L505" s="53" t="str">
        <f>IF(VLOOKUP($A505,DICO_Complet!$A$3:$U$983,13,FALSE)=0,"",VLOOKUP($A505,DICO_Complet!$A$3:$U$983,13,FALSE))</f>
        <v/>
      </c>
      <c r="M505" s="53" t="str">
        <f>IF(VLOOKUP($A505,DICO_Complet!$A$3:$U$983,14,FALSE)=0,"",VLOOKUP($A505,DICO_Complet!$A$3:$U$983,14,FALSE))</f>
        <v/>
      </c>
      <c r="N505" s="53" t="str">
        <f>IF(VLOOKUP($A505,DICO_Complet!$A$3:$U$983,15,FALSE)=0,"",VLOOKUP($A505,DICO_Complet!$A$3:$U$983,15,FALSE))</f>
        <v/>
      </c>
      <c r="O505" s="53" t="str">
        <f>IF(VLOOKUP($A505,DICO_Complet!$A$3:$U$983,16,FALSE)=0,"",VLOOKUP($A505,DICO_Complet!$A$3:$U$983,16,FALSE))</f>
        <v/>
      </c>
      <c r="P505" s="53" t="str">
        <f>IF(VLOOKUP($A505,DICO_Complet!$A$3:$U$983,17,FALSE)=0,"",VLOOKUP($A505,DICO_Complet!$A$3:$U$983,17,FALSE))</f>
        <v/>
      </c>
      <c r="Q505" s="53" t="str">
        <f>IF(VLOOKUP($A505,DICO_Complet!$A$3:$U$983,18,FALSE)=0,"",VLOOKUP($A505,DICO_Complet!$A$3:$U$983,18,FALSE))</f>
        <v/>
      </c>
    </row>
    <row r="506" spans="1:17">
      <c r="A506" s="38">
        <v>241112000156</v>
      </c>
      <c r="B506" s="47" t="s">
        <v>858</v>
      </c>
      <c r="C506" s="3" t="str">
        <f>VLOOKUP($A506,DICO_Complet!$A$3:$U$983,3,FALSE)</f>
        <v>Header</v>
      </c>
      <c r="D506" s="3" t="str">
        <f>VLOOKUP($A506,DICO_Complet!$A$3:$U$983,4,FALSE)</f>
        <v>headerFunctionalInfo</v>
      </c>
      <c r="E506" s="2" t="str">
        <f>VLOOKUP($A506,DICO_Complet!$A$3:$U$983,5,FALSE)</f>
        <v>recipientPartyResponseCode</v>
      </c>
      <c r="F506" s="2" t="str">
        <f>VLOOKUP($A506,DICO_Complet!$A$3:$U$983,6,FALSE)</f>
        <v>Exact5NumericText</v>
      </c>
      <c r="G506" s="48">
        <f>VLOOKUP($A506,DICO_Complet!$A$3:$U$983,7,FALSE)</f>
        <v>0</v>
      </c>
      <c r="H506" s="48">
        <f>VLOOKUP($A506,DICO_Complet!$A$3:$U$983,8,FALSE)</f>
        <v>0</v>
      </c>
      <c r="I506" s="2" t="str">
        <f>IF(VLOOKUP($A506,DICO_Complet!$A$3:$U$983,9,FALSE)&lt;&gt;0,VLOOKUP($A506,DICO_Complet!$A$3:$U$983,9,FALSE),"")</f>
        <v/>
      </c>
      <c r="J506" s="1" t="str">
        <f>VLOOKUP($A506,DICO_Complet!$A$3:$U$983,10,FALSE)</f>
        <v>Estreem internal response code</v>
      </c>
      <c r="K506" s="53" t="str">
        <f>IF(VLOOKUP($A506,DICO_Complet!$A$3:$U$983,12,FALSE)=0,"",VLOOKUP($A506,DICO_Complet!$A$3:$U$983,12,FALSE))</f>
        <v>T130</v>
      </c>
      <c r="L506" s="53" t="str">
        <f>IF(VLOOKUP($A506,DICO_Complet!$A$3:$U$983,13,FALSE)=0,"",VLOOKUP($A506,DICO_Complet!$A$3:$U$983,13,FALSE))</f>
        <v/>
      </c>
      <c r="M506" s="53" t="str">
        <f>IF(VLOOKUP($A506,DICO_Complet!$A$3:$U$983,14,FALSE)=0,"",VLOOKUP($A506,DICO_Complet!$A$3:$U$983,14,FALSE))</f>
        <v/>
      </c>
      <c r="N506" s="53" t="str">
        <f>IF(VLOOKUP($A506,DICO_Complet!$A$3:$U$983,15,FALSE)=0,"",VLOOKUP($A506,DICO_Complet!$A$3:$U$983,15,FALSE))</f>
        <v/>
      </c>
      <c r="O506" s="53" t="str">
        <f>IF(VLOOKUP($A506,DICO_Complet!$A$3:$U$983,16,FALSE)=0,"",VLOOKUP($A506,DICO_Complet!$A$3:$U$983,16,FALSE))</f>
        <v/>
      </c>
      <c r="P506" s="53" t="str">
        <f>IF(VLOOKUP($A506,DICO_Complet!$A$3:$U$983,17,FALSE)=0,"",VLOOKUP($A506,DICO_Complet!$A$3:$U$983,17,FALSE))</f>
        <v/>
      </c>
      <c r="Q506" s="53" t="str">
        <f>IF(VLOOKUP($A506,DICO_Complet!$A$3:$U$983,18,FALSE)=0,"",VLOOKUP($A506,DICO_Complet!$A$3:$U$983,18,FALSE))</f>
        <v/>
      </c>
    </row>
    <row r="507" spans="1:17">
      <c r="A507" s="38">
        <v>250317120006</v>
      </c>
      <c r="B507" s="47" t="s">
        <v>858</v>
      </c>
      <c r="C507" s="3" t="str">
        <f>VLOOKUP($A507,DICO_Complet!$A$3:$U$983,3,FALSE)</f>
        <v>Header</v>
      </c>
      <c r="D507" s="3" t="str">
        <f>VLOOKUP($A507,DICO_Complet!$A$3:$U$983,4,FALSE)</f>
        <v>headerFunctionalInfo</v>
      </c>
      <c r="E507" s="2" t="str">
        <f>VLOOKUP($A507,DICO_Complet!$A$3:$U$983,5,FALSE)</f>
        <v>vacationNumber</v>
      </c>
      <c r="F507" s="2" t="str">
        <f>VLOOKUP($A507,DICO_Complet!$A$3:$U$983,6,FALSE)</f>
        <v>Max5NumericText</v>
      </c>
      <c r="G507" s="48">
        <f>VLOOKUP($A507,DICO_Complet!$A$3:$U$983,7,FALSE)</f>
        <v>0</v>
      </c>
      <c r="H507" s="48">
        <f>VLOOKUP($A507,DICO_Complet!$A$3:$U$983,8,FALSE)</f>
        <v>0</v>
      </c>
      <c r="I507" s="2" t="str">
        <f>IF(VLOOKUP($A507,DICO_Complet!$A$3:$U$983,9,FALSE)&lt;&gt;0,VLOOKUP($A507,DICO_Complet!$A$3:$U$983,9,FALSE),"")</f>
        <v/>
      </c>
      <c r="J507" s="1" t="str">
        <f>VLOOKUP($A507,DICO_Complet!$A$3:$U$983,10,FALSE)</f>
        <v>Vacation reference number within which the corresponding CRE will be submittted.</v>
      </c>
      <c r="K507" s="53" t="str">
        <f>IF(VLOOKUP($A507,DICO_Complet!$A$3:$U$983,12,FALSE)=0,"",VLOOKUP($A507,DICO_Complet!$A$3:$U$983,12,FALSE))</f>
        <v/>
      </c>
      <c r="L507" s="53" t="str">
        <f>IF(VLOOKUP($A507,DICO_Complet!$A$3:$U$983,13,FALSE)=0,"",VLOOKUP($A507,DICO_Complet!$A$3:$U$983,13,FALSE))</f>
        <v/>
      </c>
      <c r="M507" s="53" t="str">
        <f>IF(VLOOKUP($A507,DICO_Complet!$A$3:$U$983,14,FALSE)=0,"",VLOOKUP($A507,DICO_Complet!$A$3:$U$983,14,FALSE))</f>
        <v/>
      </c>
      <c r="N507" s="53" t="str">
        <f>IF(VLOOKUP($A507,DICO_Complet!$A$3:$U$983,15,FALSE)=0,"",VLOOKUP($A507,DICO_Complet!$A$3:$U$983,15,FALSE))</f>
        <v/>
      </c>
      <c r="O507" s="53" t="str">
        <f>IF(VLOOKUP($A507,DICO_Complet!$A$3:$U$983,16,FALSE)=0,"",VLOOKUP($A507,DICO_Complet!$A$3:$U$983,16,FALSE))</f>
        <v/>
      </c>
      <c r="P507" s="53" t="str">
        <f>IF(VLOOKUP($A507,DICO_Complet!$A$3:$U$983,17,FALSE)=0,"",VLOOKUP($A507,DICO_Complet!$A$3:$U$983,17,FALSE))</f>
        <v/>
      </c>
      <c r="Q507" s="53" t="str">
        <f>IF(VLOOKUP($A507,DICO_Complet!$A$3:$U$983,18,FALSE)=0,"",VLOOKUP($A507,DICO_Complet!$A$3:$U$983,18,FALSE))</f>
        <v/>
      </c>
    </row>
    <row r="508" spans="1:17">
      <c r="A508" s="38">
        <v>241112000231</v>
      </c>
      <c r="B508" s="47" t="s">
        <v>858</v>
      </c>
      <c r="C508" s="3" t="str">
        <f>VLOOKUP($A508,DICO_Complet!$A$3:$U$983,3,FALSE)</f>
        <v>Transaction</v>
      </c>
      <c r="D508" s="3" t="str">
        <f>VLOOKUP($A508,DICO_Complet!$A$3:$U$983,4,FALSE)</f>
        <v>additionalResponseData</v>
      </c>
      <c r="E508" s="2" t="str">
        <f>VLOOKUP($A508,DICO_Complet!$A$3:$U$983,5,FALSE)</f>
        <v>acceptorAdvice</v>
      </c>
      <c r="F508" s="2" t="str">
        <f>VLOOKUP($A508,DICO_Complet!$A$3:$U$983,6,FALSE)</f>
        <v>Exact2NumericText</v>
      </c>
      <c r="G508" s="48">
        <f>VLOOKUP($A508,DICO_Complet!$A$3:$U$983,7,FALSE)</f>
        <v>0</v>
      </c>
      <c r="H508" s="48">
        <f>VLOOKUP($A508,DICO_Complet!$A$3:$U$983,8,FALSE)</f>
        <v>0</v>
      </c>
      <c r="I508" s="2" t="str">
        <f>IF(VLOOKUP($A508,DICO_Complet!$A$3:$U$983,9,FALSE)&lt;&gt;0,VLOOKUP($A508,DICO_Complet!$A$3:$U$983,9,FALSE),"")</f>
        <v/>
      </c>
      <c r="J508" s="1" t="str">
        <f>VLOOKUP($A508,DICO_Complet!$A$3:$U$983,10,FALSE)</f>
        <v>Acceptor advice</v>
      </c>
      <c r="K508" s="53" t="str">
        <f>IF(VLOOKUP($A508,DICO_Complet!$A$3:$U$983,12,FALSE)=0,"",VLOOKUP($A508,DICO_Complet!$A$3:$U$983,12,FALSE))</f>
        <v>RSB119_0801</v>
      </c>
      <c r="L508" s="53" t="str">
        <f>IF(VLOOKUP($A508,DICO_Complet!$A$3:$U$983,13,FALSE)=0,"",VLOOKUP($A508,DICO_Complet!$A$3:$U$983,13,FALSE))</f>
        <v>[119-0801]</v>
      </c>
      <c r="M508" s="53" t="str">
        <f>IF(VLOOKUP($A508,DICO_Complet!$A$3:$U$983,14,FALSE)=0,"",VLOOKUP($A508,DICO_Complet!$A$3:$U$983,14,FALSE))</f>
        <v/>
      </c>
      <c r="N508" s="53" t="str">
        <f>IF(VLOOKUP($A508,DICO_Complet!$A$3:$U$983,15,FALSE)=0,"",VLOOKUP($A508,DICO_Complet!$A$3:$U$983,15,FALSE))</f>
        <v/>
      </c>
      <c r="O508" s="53" t="str">
        <f>IF(VLOOKUP($A508,DICO_Complet!$A$3:$U$983,16,FALSE)=0,"",VLOOKUP($A508,DICO_Complet!$A$3:$U$983,16,FALSE))</f>
        <v/>
      </c>
      <c r="P508" s="53" t="str">
        <f>IF(VLOOKUP($A508,DICO_Complet!$A$3:$U$983,17,FALSE)=0,"",VLOOKUP($A508,DICO_Complet!$A$3:$U$983,17,FALSE))</f>
        <v/>
      </c>
      <c r="Q508" s="53" t="str">
        <f>IF(VLOOKUP($A508,DICO_Complet!$A$3:$U$983,18,FALSE)=0,"",VLOOKUP($A508,DICO_Complet!$A$3:$U$983,18,FALSE))</f>
        <v/>
      </c>
    </row>
    <row r="509" spans="1:17">
      <c r="A509" s="38">
        <v>250220103201</v>
      </c>
      <c r="B509" s="47" t="s">
        <v>858</v>
      </c>
      <c r="C509" s="3" t="str">
        <f>VLOOKUP($A509,DICO_Complet!$A$3:$U$983,3,FALSE)</f>
        <v>Transaction</v>
      </c>
      <c r="D509" s="3" t="str">
        <f>VLOOKUP($A509,DICO_Complet!$A$3:$U$983,4,FALSE)</f>
        <v>additionalResponseData</v>
      </c>
      <c r="E509" s="2" t="str">
        <f>VLOOKUP($A509,DICO_Complet!$A$3:$U$983,5,FALSE)</f>
        <v>accountFundingSource</v>
      </c>
      <c r="F509" s="2" t="str">
        <f>VLOOKUP($A509,DICO_Complet!$A$3:$U$983,6,FALSE)</f>
        <v>AccountFundingSourceCodeset</v>
      </c>
      <c r="G509" s="48">
        <f>VLOOKUP($A509,DICO_Complet!$A$3:$U$983,7,FALSE)</f>
        <v>0</v>
      </c>
      <c r="H509" s="48">
        <f>VLOOKUP($A509,DICO_Complet!$A$3:$U$983,8,FALSE)</f>
        <v>0</v>
      </c>
      <c r="I509" s="2" t="str">
        <f>IF(VLOOKUP($A509,DICO_Complet!$A$3:$U$983,9,FALSE)&lt;&gt;0,VLOOKUP($A509,DICO_Complet!$A$3:$U$983,9,FALSE),"")</f>
        <v/>
      </c>
      <c r="J509" s="1" t="str">
        <f>VLOOKUP($A509,DICO_Complet!$A$3:$U$983,10,FALSE)</f>
        <v>Account Funding Source</v>
      </c>
      <c r="K509" s="53" t="str">
        <f>IF(VLOOKUP($A509,DICO_Complet!$A$3:$U$983,12,FALSE)=0,"",VLOOKUP($A509,DICO_Complet!$A$3:$U$983,12,FALSE))</f>
        <v/>
      </c>
      <c r="L509" s="53" t="str">
        <f>IF(VLOOKUP($A509,DICO_Complet!$A$3:$U$983,13,FALSE)=0,"",VLOOKUP($A509,DICO_Complet!$A$3:$U$983,13,FALSE))</f>
        <v>[112-1001-p1]</v>
      </c>
      <c r="M509" s="53" t="str">
        <f>IF(VLOOKUP($A509,DICO_Complet!$A$3:$U$983,14,FALSE)=0,"",VLOOKUP($A509,DICO_Complet!$A$3:$U$983,14,FALSE))</f>
        <v/>
      </c>
      <c r="N509" s="53" t="str">
        <f>IF(VLOOKUP($A509,DICO_Complet!$A$3:$U$983,15,FALSE)=0,"",VLOOKUP($A509,DICO_Complet!$A$3:$U$983,15,FALSE))</f>
        <v/>
      </c>
      <c r="O509" s="53" t="str">
        <f>IF(VLOOKUP($A509,DICO_Complet!$A$3:$U$983,16,FALSE)=0,"",VLOOKUP($A509,DICO_Complet!$A$3:$U$983,16,FALSE))</f>
        <v>field 111 Dataset ID 56 Tag 80</v>
      </c>
      <c r="P509" s="53" t="str">
        <f>IF(VLOOKUP($A509,DICO_Complet!$A$3:$U$983,17,FALSE)=0,"",VLOOKUP($A509,DICO_Complet!$A$3:$U$983,17,FALSE))</f>
        <v/>
      </c>
      <c r="Q509" s="53" t="str">
        <f>IF(VLOOKUP($A509,DICO_Complet!$A$3:$U$983,18,FALSE)=0,"",VLOOKUP($A509,DICO_Complet!$A$3:$U$983,18,FALSE))</f>
        <v/>
      </c>
    </row>
    <row r="510" spans="1:17">
      <c r="A510" s="38">
        <v>250212174500</v>
      </c>
      <c r="B510" s="47" t="s">
        <v>858</v>
      </c>
      <c r="C510" s="3" t="str">
        <f>VLOOKUP($A510,DICO_Complet!$A$3:$U$983,3,FALSE)</f>
        <v>Transaction</v>
      </c>
      <c r="D510" s="3" t="str">
        <f>VLOOKUP($A510,DICO_Complet!$A$3:$U$983,4,FALSE)</f>
        <v>additionalResponseData</v>
      </c>
      <c r="E510" s="2" t="str">
        <f>VLOOKUP($A510,DICO_Complet!$A$3:$U$983,5,FALSE)</f>
        <v>accountNameRequestResult</v>
      </c>
      <c r="F510" s="2" t="str">
        <f>VLOOKUP($A510,DICO_Complet!$A$3:$U$983,6,FALSE)</f>
        <v>VFNCodeset</v>
      </c>
      <c r="G510" s="48">
        <f>VLOOKUP($A510,DICO_Complet!$A$3:$U$983,7,FALSE)</f>
        <v>0</v>
      </c>
      <c r="H510" s="48">
        <f>VLOOKUP($A510,DICO_Complet!$A$3:$U$983,8,FALSE)</f>
        <v>0</v>
      </c>
      <c r="I510" s="2" t="str">
        <f>IF(VLOOKUP($A510,DICO_Complet!$A$3:$U$983,9,FALSE)&lt;&gt;0,VLOOKUP($A510,DICO_Complet!$A$3:$U$983,9,FALSE),"")</f>
        <v/>
      </c>
      <c r="J510" s="1" t="str">
        <f>VLOOKUP($A510,DICO_Complet!$A$3:$U$983,10,FALSE)</f>
        <v>Account Name Request Result</v>
      </c>
      <c r="K510" s="53" t="str">
        <f>IF(VLOOKUP($A510,DICO_Complet!$A$3:$U$983,12,FALSE)=0,"",VLOOKUP($A510,DICO_Complet!$A$3:$U$983,12,FALSE))</f>
        <v>RSB119_25</v>
      </c>
      <c r="L510" s="53" t="str">
        <f>IF(VLOOKUP($A510,DICO_Complet!$A$3:$U$983,13,FALSE)=0,"",VLOOKUP($A510,DICO_Complet!$A$3:$U$983,13,FALSE))</f>
        <v>[119-0025]</v>
      </c>
      <c r="M510" s="53" t="str">
        <f>IF(VLOOKUP($A510,DICO_Complet!$A$3:$U$983,14,FALSE)=0,"",VLOOKUP($A510,DICO_Complet!$A$3:$U$983,14,FALSE))</f>
        <v/>
      </c>
      <c r="N510" s="53" t="str">
        <f>IF(VLOOKUP($A510,DICO_Complet!$A$3:$U$983,15,FALSE)=0,"",VLOOKUP($A510,DICO_Complet!$A$3:$U$983,15,FALSE))</f>
        <v/>
      </c>
      <c r="O510" s="53" t="str">
        <f>IF(VLOOKUP($A510,DICO_Complet!$A$3:$U$983,16,FALSE)=0,"",VLOOKUP($A510,DICO_Complet!$A$3:$U$983,16,FALSE))</f>
        <v>34 / ID 4 / Tag C0</v>
      </c>
      <c r="P510" s="53" t="str">
        <f>IF(VLOOKUP($A510,DICO_Complet!$A$3:$U$983,17,FALSE)=0,"",VLOOKUP($A510,DICO_Complet!$A$3:$U$983,17,FALSE))</f>
        <v>DE 108 SE 08 SF01, DE 108 SE 08 SF02</v>
      </c>
      <c r="Q510" s="53" t="str">
        <f>IF(VLOOKUP($A510,DICO_Complet!$A$3:$U$983,18,FALSE)=0,"",VLOOKUP($A510,DICO_Complet!$A$3:$U$983,18,FALSE))</f>
        <v/>
      </c>
    </row>
    <row r="511" spans="1:17">
      <c r="A511" s="38">
        <v>250414121802</v>
      </c>
      <c r="B511" s="47" t="s">
        <v>858</v>
      </c>
      <c r="C511" s="3" t="str">
        <f>VLOOKUP($A511,DICO_Complet!$A$3:$U$983,3,FALSE)</f>
        <v>Transaction</v>
      </c>
      <c r="D511" s="3" t="str">
        <f>VLOOKUP($A511,DICO_Complet!$A$3:$U$983,4,FALSE)</f>
        <v>additionalResponseData</v>
      </c>
      <c r="E511" s="2" t="str">
        <f>VLOOKUP($A511,DICO_Complet!$A$3:$U$983,5,FALSE)</f>
        <v>additionalAuthenticationMethod</v>
      </c>
      <c r="F511" s="2" t="str">
        <f>VLOOKUP($A511,DICO_Complet!$A$3:$U$983,6,FALSE)</f>
        <v>AdditionalAuthenticationMethodCodeset</v>
      </c>
      <c r="G511" s="48">
        <f>VLOOKUP($A511,DICO_Complet!$A$3:$U$983,7,FALSE)</f>
        <v>0</v>
      </c>
      <c r="H511" s="48">
        <f>VLOOKUP($A511,DICO_Complet!$A$3:$U$983,8,FALSE)</f>
        <v>0</v>
      </c>
      <c r="I511" s="2" t="str">
        <f>IF(VLOOKUP($A511,DICO_Complet!$A$3:$U$983,9,FALSE)&lt;&gt;0,VLOOKUP($A511,DICO_Complet!$A$3:$U$983,9,FALSE),"")</f>
        <v/>
      </c>
      <c r="J511" s="1" t="str">
        <f>VLOOKUP($A511,DICO_Complet!$A$3:$U$983,10,FALSE)</f>
        <v>Additional Authentication Method</v>
      </c>
      <c r="K511" s="53" t="str">
        <f>IF(VLOOKUP($A511,DICO_Complet!$A$3:$U$983,12,FALSE)=0,"",VLOOKUP($A511,DICO_Complet!$A$3:$U$983,12,FALSE))</f>
        <v/>
      </c>
      <c r="L511" s="53" t="str">
        <f>IF(VLOOKUP($A511,DICO_Complet!$A$3:$U$983,13,FALSE)=0,"",VLOOKUP($A511,DICO_Complet!$A$3:$U$983,13,FALSE))</f>
        <v/>
      </c>
      <c r="M511" s="53" t="str">
        <f>IF(VLOOKUP($A511,DICO_Complet!$A$3:$U$983,14,FALSE)=0,"",VLOOKUP($A511,DICO_Complet!$A$3:$U$983,14,FALSE))</f>
        <v>58_0414_p3.1</v>
      </c>
      <c r="N511" s="53" t="str">
        <f>IF(VLOOKUP($A511,DICO_Complet!$A$3:$U$983,15,FALSE)=0,"",VLOOKUP($A511,DICO_Complet!$A$3:$U$983,15,FALSE))</f>
        <v/>
      </c>
      <c r="O511" s="53" t="str">
        <f>IF(VLOOKUP($A511,DICO_Complet!$A$3:$U$983,16,FALSE)=0,"",VLOOKUP($A511,DICO_Complet!$A$3:$U$983,16,FALSE))</f>
        <v/>
      </c>
      <c r="P511" s="53" t="str">
        <f>IF(VLOOKUP($A511,DICO_Complet!$A$3:$U$983,17,FALSE)=0,"",VLOOKUP($A511,DICO_Complet!$A$3:$U$983,17,FALSE))</f>
        <v/>
      </c>
      <c r="Q511" s="53" t="str">
        <f>IF(VLOOKUP($A511,DICO_Complet!$A$3:$U$983,18,FALSE)=0,"",VLOOKUP($A511,DICO_Complet!$A$3:$U$983,18,FALSE))</f>
        <v/>
      </c>
    </row>
    <row r="512" spans="1:17">
      <c r="A512" s="38">
        <v>250414121803</v>
      </c>
      <c r="B512" s="47" t="s">
        <v>858</v>
      </c>
      <c r="C512" s="3" t="str">
        <f>VLOOKUP($A512,DICO_Complet!$A$3:$U$983,3,FALSE)</f>
        <v>Transaction</v>
      </c>
      <c r="D512" s="3" t="str">
        <f>VLOOKUP($A512,DICO_Complet!$A$3:$U$983,4,FALSE)</f>
        <v>additionalResponseData</v>
      </c>
      <c r="E512" s="2" t="str">
        <f>VLOOKUP($A512,DICO_Complet!$A$3:$U$983,5,FALSE)</f>
        <v>additionalAuthenticationReasonCode</v>
      </c>
      <c r="F512" s="2" t="str">
        <f>VLOOKUP($A512,DICO_Complet!$A$3:$U$983,6,FALSE)</f>
        <v>AdditionalAuthenticationReasonCodeCodeset</v>
      </c>
      <c r="G512" s="48">
        <f>VLOOKUP($A512,DICO_Complet!$A$3:$U$983,7,FALSE)</f>
        <v>0</v>
      </c>
      <c r="H512" s="48">
        <f>VLOOKUP($A512,DICO_Complet!$A$3:$U$983,8,FALSE)</f>
        <v>0</v>
      </c>
      <c r="I512" s="2" t="str">
        <f>IF(VLOOKUP($A512,DICO_Complet!$A$3:$U$983,9,FALSE)&lt;&gt;0,VLOOKUP($A512,DICO_Complet!$A$3:$U$983,9,FALSE),"")</f>
        <v/>
      </c>
      <c r="J512" s="1" t="str">
        <f>VLOOKUP($A512,DICO_Complet!$A$3:$U$983,10,FALSE)</f>
        <v>Additional Authentication Reason Code</v>
      </c>
      <c r="K512" s="53" t="str">
        <f>IF(VLOOKUP($A512,DICO_Complet!$A$3:$U$983,12,FALSE)=0,"",VLOOKUP($A512,DICO_Complet!$A$3:$U$983,12,FALSE))</f>
        <v/>
      </c>
      <c r="L512" s="53" t="str">
        <f>IF(VLOOKUP($A512,DICO_Complet!$A$3:$U$983,13,FALSE)=0,"",VLOOKUP($A512,DICO_Complet!$A$3:$U$983,13,FALSE))</f>
        <v/>
      </c>
      <c r="M512" s="53" t="str">
        <f>IF(VLOOKUP($A512,DICO_Complet!$A$3:$U$983,14,FALSE)=0,"",VLOOKUP($A512,DICO_Complet!$A$3:$U$983,14,FALSE))</f>
        <v>58_0414 part 3.2</v>
      </c>
      <c r="N512" s="53" t="str">
        <f>IF(VLOOKUP($A512,DICO_Complet!$A$3:$U$983,15,FALSE)=0,"",VLOOKUP($A512,DICO_Complet!$A$3:$U$983,15,FALSE))</f>
        <v/>
      </c>
      <c r="O512" s="53" t="str">
        <f>IF(VLOOKUP($A512,DICO_Complet!$A$3:$U$983,16,FALSE)=0,"",VLOOKUP($A512,DICO_Complet!$A$3:$U$983,16,FALSE))</f>
        <v/>
      </c>
      <c r="P512" s="53" t="str">
        <f>IF(VLOOKUP($A512,DICO_Complet!$A$3:$U$983,17,FALSE)=0,"",VLOOKUP($A512,DICO_Complet!$A$3:$U$983,17,FALSE))</f>
        <v/>
      </c>
      <c r="Q512" s="53" t="str">
        <f>IF(VLOOKUP($A512,DICO_Complet!$A$3:$U$983,18,FALSE)=0,"",VLOOKUP($A512,DICO_Complet!$A$3:$U$983,18,FALSE))</f>
        <v/>
      </c>
    </row>
    <row r="513" spans="1:17">
      <c r="A513" s="38">
        <v>250414121800</v>
      </c>
      <c r="B513" s="47" t="s">
        <v>858</v>
      </c>
      <c r="C513" s="3" t="str">
        <f>VLOOKUP($A513,DICO_Complet!$A$3:$U$983,3,FALSE)</f>
        <v>Transaction</v>
      </c>
      <c r="D513" s="3" t="str">
        <f>VLOOKUP($A513,DICO_Complet!$A$3:$U$983,4,FALSE)</f>
        <v>additionalResponseData</v>
      </c>
      <c r="E513" s="2" t="str">
        <f>VLOOKUP($A513,DICO_Complet!$A$3:$U$983,5,FALSE)</f>
        <v>additionalElectronicCommerceDataElementsNomenclature</v>
      </c>
      <c r="F513" s="2" t="str">
        <f>VLOOKUP($A513,DICO_Complet!$A$3:$U$983,6,FALSE)</f>
        <v>AdditionalElectronicCommerceDataElementsCodeset</v>
      </c>
      <c r="G513" s="48">
        <f>VLOOKUP($A513,DICO_Complet!$A$3:$U$983,7,FALSE)</f>
        <v>0</v>
      </c>
      <c r="H513" s="48">
        <f>VLOOKUP($A513,DICO_Complet!$A$3:$U$983,8,FALSE)</f>
        <v>0</v>
      </c>
      <c r="I513" s="2" t="str">
        <f>IF(VLOOKUP($A513,DICO_Complet!$A$3:$U$983,9,FALSE)&lt;&gt;0,VLOOKUP($A513,DICO_Complet!$A$3:$U$983,9,FALSE),"")</f>
        <v/>
      </c>
      <c r="J513" s="1" t="str">
        <f>VLOOKUP($A513,DICO_Complet!$A$3:$U$983,10,FALSE)</f>
        <v>Nomenclature</v>
      </c>
      <c r="K513" s="53" t="str">
        <f>IF(VLOOKUP($A513,DICO_Complet!$A$3:$U$983,12,FALSE)=0,"",VLOOKUP($A513,DICO_Complet!$A$3:$U$983,12,FALSE))</f>
        <v/>
      </c>
      <c r="L513" s="53" t="str">
        <f>IF(VLOOKUP($A513,DICO_Complet!$A$3:$U$983,13,FALSE)=0,"",VLOOKUP($A513,DICO_Complet!$A$3:$U$983,13,FALSE))</f>
        <v/>
      </c>
      <c r="M513" s="53" t="str">
        <f>IF(VLOOKUP($A513,DICO_Complet!$A$3:$U$983,14,FALSE)=0,"",VLOOKUP($A513,DICO_Complet!$A$3:$U$983,14,FALSE))</f>
        <v>58_0414 part 1</v>
      </c>
      <c r="N513" s="53" t="str">
        <f>IF(VLOOKUP($A513,DICO_Complet!$A$3:$U$983,15,FALSE)=0,"",VLOOKUP($A513,DICO_Complet!$A$3:$U$983,15,FALSE))</f>
        <v/>
      </c>
      <c r="O513" s="53" t="str">
        <f>IF(VLOOKUP($A513,DICO_Complet!$A$3:$U$983,16,FALSE)=0,"",VLOOKUP($A513,DICO_Complet!$A$3:$U$983,16,FALSE))</f>
        <v/>
      </c>
      <c r="P513" s="53" t="str">
        <f>IF(VLOOKUP($A513,DICO_Complet!$A$3:$U$983,17,FALSE)=0,"",VLOOKUP($A513,DICO_Complet!$A$3:$U$983,17,FALSE))</f>
        <v/>
      </c>
      <c r="Q513" s="53" t="str">
        <f>IF(VLOOKUP($A513,DICO_Complet!$A$3:$U$983,18,FALSE)=0,"",VLOOKUP($A513,DICO_Complet!$A$3:$U$983,18,FALSE))</f>
        <v/>
      </c>
    </row>
    <row r="514" spans="1:17">
      <c r="A514" s="38">
        <v>250203172500</v>
      </c>
      <c r="B514" s="47" t="s">
        <v>858</v>
      </c>
      <c r="C514" s="3" t="str">
        <f>VLOOKUP($A514,DICO_Complet!$A$3:$U$983,3,FALSE)</f>
        <v>Transaction</v>
      </c>
      <c r="D514" s="3" t="str">
        <f>VLOOKUP($A514,DICO_Complet!$A$3:$U$983,4,FALSE)</f>
        <v>additionalResponseData</v>
      </c>
      <c r="E514" s="2" t="str">
        <f>VLOOKUP($A514,DICO_Complet!$A$3:$U$983,5,FALSE)</f>
        <v>addServiceReportData</v>
      </c>
      <c r="F514" s="2" t="str">
        <f>VLOOKUP($A514,DICO_Complet!$A$3:$U$983,6,FALSE)</f>
        <v>AddServiceReportDataCodeset</v>
      </c>
      <c r="G514" s="48">
        <f>VLOOKUP($A514,DICO_Complet!$A$3:$U$983,7,FALSE)</f>
        <v>0</v>
      </c>
      <c r="H514" s="48">
        <f>VLOOKUP($A514,DICO_Complet!$A$3:$U$983,8,FALSE)</f>
        <v>0</v>
      </c>
      <c r="I514" s="2" t="str">
        <f>IF(VLOOKUP($A514,DICO_Complet!$A$3:$U$983,9,FALSE)&lt;&gt;0,VLOOKUP($A514,DICO_Complet!$A$3:$U$983,9,FALSE),"")</f>
        <v/>
      </c>
      <c r="J514" s="1" t="str">
        <f>VLOOKUP($A514,DICO_Complet!$A$3:$U$983,10,FALSE)</f>
        <v>Partie 2 du champ CBAE 44_AE</v>
      </c>
      <c r="K514" s="53" t="str">
        <f>IF(VLOOKUP($A514,DICO_Complet!$A$3:$U$983,12,FALSE)=0,"",VLOOKUP($A514,DICO_Complet!$A$3:$U$983,12,FALSE))</f>
        <v>RSB44_AE_p2</v>
      </c>
      <c r="L514" s="53" t="str">
        <f>IF(VLOOKUP($A514,DICO_Complet!$A$3:$U$983,13,FALSE)=0,"",VLOOKUP($A514,DICO_Complet!$A$3:$U$983,13,FALSE))</f>
        <v>[44-AE-p2]</v>
      </c>
      <c r="M514" s="53" t="str">
        <f>IF(VLOOKUP($A514,DICO_Complet!$A$3:$U$983,14,FALSE)=0,"",VLOOKUP($A514,DICO_Complet!$A$3:$U$983,14,FALSE))</f>
        <v/>
      </c>
      <c r="N514" s="53" t="str">
        <f>IF(VLOOKUP($A514,DICO_Complet!$A$3:$U$983,15,FALSE)=0,"",VLOOKUP($A514,DICO_Complet!$A$3:$U$983,15,FALSE))</f>
        <v/>
      </c>
      <c r="O514" s="53" t="str">
        <f>IF(VLOOKUP($A514,DICO_Complet!$A$3:$U$983,16,FALSE)=0,"",VLOOKUP($A514,DICO_Complet!$A$3:$U$983,16,FALSE))</f>
        <v/>
      </c>
      <c r="P514" s="53" t="str">
        <f>IF(VLOOKUP($A514,DICO_Complet!$A$3:$U$983,17,FALSE)=0,"",VLOOKUP($A514,DICO_Complet!$A$3:$U$983,17,FALSE))</f>
        <v/>
      </c>
      <c r="Q514" s="53" t="str">
        <f>IF(VLOOKUP($A514,DICO_Complet!$A$3:$U$983,18,FALSE)=0,"",VLOOKUP($A514,DICO_Complet!$A$3:$U$983,18,FALSE))</f>
        <v/>
      </c>
    </row>
    <row r="515" spans="1:17">
      <c r="A515" s="38">
        <v>250203170300</v>
      </c>
      <c r="B515" s="47" t="s">
        <v>858</v>
      </c>
      <c r="C515" s="3" t="str">
        <f>VLOOKUP($A515,DICO_Complet!$A$3:$U$983,3,FALSE)</f>
        <v>Transaction</v>
      </c>
      <c r="D515" s="3" t="str">
        <f>VLOOKUP($A515,DICO_Complet!$A$3:$U$983,4,FALSE)</f>
        <v>additionalResponseData</v>
      </c>
      <c r="E515" s="2" t="str">
        <f>VLOOKUP($A515,DICO_Complet!$A$3:$U$983,5,FALSE)</f>
        <v>addServiceReportId</v>
      </c>
      <c r="F515" s="2" t="str">
        <f>VLOOKUP($A515,DICO_Complet!$A$3:$U$983,6,FALSE)</f>
        <v>AddServiceReportIDCodeset</v>
      </c>
      <c r="G515" s="48">
        <f>VLOOKUP($A515,DICO_Complet!$A$3:$U$983,7,FALSE)</f>
        <v>0</v>
      </c>
      <c r="H515" s="48">
        <f>VLOOKUP($A515,DICO_Complet!$A$3:$U$983,8,FALSE)</f>
        <v>0</v>
      </c>
      <c r="I515" s="2" t="str">
        <f>IF(VLOOKUP($A515,DICO_Complet!$A$3:$U$983,9,FALSE)&lt;&gt;0,VLOOKUP($A515,DICO_Complet!$A$3:$U$983,9,FALSE),"")</f>
        <v/>
      </c>
      <c r="J515" s="1" t="str">
        <f>VLOOKUP($A515,DICO_Complet!$A$3:$U$983,10,FALSE)</f>
        <v>Partie 1 du champ CBAE 44_AE</v>
      </c>
      <c r="K515" s="53" t="str">
        <f>IF(VLOOKUP($A515,DICO_Complet!$A$3:$U$983,12,FALSE)=0,"",VLOOKUP($A515,DICO_Complet!$A$3:$U$983,12,FALSE))</f>
        <v>RSB44_AE_p1</v>
      </c>
      <c r="L515" s="53" t="str">
        <f>IF(VLOOKUP($A515,DICO_Complet!$A$3:$U$983,13,FALSE)=0,"",VLOOKUP($A515,DICO_Complet!$A$3:$U$983,13,FALSE))</f>
        <v>[44-AE-p1]</v>
      </c>
      <c r="M515" s="53" t="str">
        <f>IF(VLOOKUP($A515,DICO_Complet!$A$3:$U$983,14,FALSE)=0,"",VLOOKUP($A515,DICO_Complet!$A$3:$U$983,14,FALSE))</f>
        <v/>
      </c>
      <c r="N515" s="53" t="str">
        <f>IF(VLOOKUP($A515,DICO_Complet!$A$3:$U$983,15,FALSE)=0,"",VLOOKUP($A515,DICO_Complet!$A$3:$U$983,15,FALSE))</f>
        <v/>
      </c>
      <c r="O515" s="53" t="str">
        <f>IF(VLOOKUP($A515,DICO_Complet!$A$3:$U$983,16,FALSE)=0,"",VLOOKUP($A515,DICO_Complet!$A$3:$U$983,16,FALSE))</f>
        <v/>
      </c>
      <c r="P515" s="53" t="str">
        <f>IF(VLOOKUP($A515,DICO_Complet!$A$3:$U$983,17,FALSE)=0,"",VLOOKUP($A515,DICO_Complet!$A$3:$U$983,17,FALSE))</f>
        <v/>
      </c>
      <c r="Q515" s="53" t="str">
        <f>IF(VLOOKUP($A515,DICO_Complet!$A$3:$U$983,18,FALSE)=0,"",VLOOKUP($A515,DICO_Complet!$A$3:$U$983,18,FALSE))</f>
        <v/>
      </c>
    </row>
    <row r="516" spans="1:17">
      <c r="A516" s="38">
        <v>241112000232</v>
      </c>
      <c r="B516" s="47" t="s">
        <v>858</v>
      </c>
      <c r="C516" s="3" t="str">
        <f>VLOOKUP($A516,DICO_Complet!$A$3:$U$983,3,FALSE)</f>
        <v>Transaction</v>
      </c>
      <c r="D516" s="3" t="str">
        <f>VLOOKUP($A516,DICO_Complet!$A$3:$U$983,4,FALSE)</f>
        <v>additionalResponseData</v>
      </c>
      <c r="E516" s="2" t="str">
        <f>VLOOKUP($A516,DICO_Complet!$A$3:$U$983,5,FALSE)</f>
        <v>applicationCryptogramProcessingInformation</v>
      </c>
      <c r="F516" s="2" t="str">
        <f>VLOOKUP($A516,DICO_Complet!$A$3:$U$983,6,FALSE)</f>
        <v>ApplicationCryptogramProcessingInformationCodeset</v>
      </c>
      <c r="G516" s="48">
        <f>VLOOKUP($A516,DICO_Complet!$A$3:$U$983,7,FALSE)</f>
        <v>0</v>
      </c>
      <c r="H516" s="48">
        <f>VLOOKUP($A516,DICO_Complet!$A$3:$U$983,8,FALSE)</f>
        <v>0</v>
      </c>
      <c r="I516" s="2" t="str">
        <f>IF(VLOOKUP($A516,DICO_Complet!$A$3:$U$983,9,FALSE)&lt;&gt;0,VLOOKUP($A516,DICO_Complet!$A$3:$U$983,9,FALSE),"")</f>
        <v/>
      </c>
      <c r="J516" s="1" t="str">
        <f>VLOOKUP($A516,DICO_Complet!$A$3:$U$983,10,FALSE)</f>
        <v>Appication cryptogram verification results</v>
      </c>
      <c r="K516" s="53" t="str">
        <f>IF(VLOOKUP($A516,DICO_Complet!$A$3:$U$983,12,FALSE)=0,"",VLOOKUP($A516,DICO_Complet!$A$3:$U$983,12,FALSE))</f>
        <v>RSB44_CB</v>
      </c>
      <c r="L516" s="53" t="str">
        <f>IF(VLOOKUP($A516,DICO_Complet!$A$3:$U$983,13,FALSE)=0,"",VLOOKUP($A516,DICO_Complet!$A$3:$U$983,13,FALSE))</f>
        <v>[44-CB]</v>
      </c>
      <c r="M516" s="53" t="str">
        <f>IF(VLOOKUP($A516,DICO_Complet!$A$3:$U$983,14,FALSE)=0,"",VLOOKUP($A516,DICO_Complet!$A$3:$U$983,14,FALSE))</f>
        <v/>
      </c>
      <c r="N516" s="53" t="str">
        <f>IF(VLOOKUP($A516,DICO_Complet!$A$3:$U$983,15,FALSE)=0,"",VLOOKUP($A516,DICO_Complet!$A$3:$U$983,15,FALSE))</f>
        <v/>
      </c>
      <c r="O516" s="53" t="str">
        <f>IF(VLOOKUP($A516,DICO_Complet!$A$3:$U$983,16,FALSE)=0,"",VLOOKUP($A516,DICO_Complet!$A$3:$U$983,16,FALSE))</f>
        <v/>
      </c>
      <c r="P516" s="53" t="str">
        <f>IF(VLOOKUP($A516,DICO_Complet!$A$3:$U$983,17,FALSE)=0,"",VLOOKUP($A516,DICO_Complet!$A$3:$U$983,17,FALSE))</f>
        <v/>
      </c>
      <c r="Q516" s="53" t="str">
        <f>IF(VLOOKUP($A516,DICO_Complet!$A$3:$U$983,18,FALSE)=0,"",VLOOKUP($A516,DICO_Complet!$A$3:$U$983,18,FALSE))</f>
        <v/>
      </c>
    </row>
    <row r="517" spans="1:17">
      <c r="A517" s="38">
        <v>250220103202</v>
      </c>
      <c r="B517" s="47" t="s">
        <v>858</v>
      </c>
      <c r="C517" s="3" t="str">
        <f>VLOOKUP($A517,DICO_Complet!$A$3:$U$983,3,FALSE)</f>
        <v>Transaction</v>
      </c>
      <c r="D517" s="3" t="str">
        <f>VLOOKUP($A517,DICO_Complet!$A$3:$U$983,4,FALSE)</f>
        <v>additionalResponseData</v>
      </c>
      <c r="E517" s="2" t="str">
        <f>VLOOKUP($A517,DICO_Complet!$A$3:$U$983,5,FALSE)</f>
        <v>appliedAuthorisationCharacteristicsIndicator</v>
      </c>
      <c r="F517" s="2" t="str">
        <f>VLOOKUP($A517,DICO_Complet!$A$3:$U$983,6,FALSE)</f>
        <v>Exact1AlphaNumericText</v>
      </c>
      <c r="G517" s="48">
        <f>VLOOKUP($A517,DICO_Complet!$A$3:$U$983,7,FALSE)</f>
        <v>0</v>
      </c>
      <c r="H517" s="48">
        <f>VLOOKUP($A517,DICO_Complet!$A$3:$U$983,8,FALSE)</f>
        <v>0</v>
      </c>
      <c r="I517" s="2" t="str">
        <f>IF(VLOOKUP($A517,DICO_Complet!$A$3:$U$983,9,FALSE)&lt;&gt;0,VLOOKUP($A517,DICO_Complet!$A$3:$U$983,9,FALSE),"")</f>
        <v/>
      </c>
      <c r="J517" s="1" t="str">
        <f>VLOOKUP($A517,DICO_Complet!$A$3:$U$983,10,FALSE)</f>
        <v>Applied authorisation Characteristics Indicator</v>
      </c>
      <c r="K517" s="53" t="str">
        <f>IF(VLOOKUP($A517,DICO_Complet!$A$3:$U$983,12,FALSE)=0,"",VLOOKUP($A517,DICO_Complet!$A$3:$U$983,12,FALSE))</f>
        <v/>
      </c>
      <c r="L517" s="53" t="str">
        <f>IF(VLOOKUP($A517,DICO_Complet!$A$3:$U$983,13,FALSE)=0,"",VLOOKUP($A517,DICO_Complet!$A$3:$U$983,13,FALSE))</f>
        <v>[112-1001-p2]</v>
      </c>
      <c r="M517" s="53" t="str">
        <f>IF(VLOOKUP($A517,DICO_Complet!$A$3:$U$983,14,FALSE)=0,"",VLOOKUP($A517,DICO_Complet!$A$3:$U$983,14,FALSE))</f>
        <v>59_1001 part 2</v>
      </c>
      <c r="N517" s="53" t="str">
        <f>IF(VLOOKUP($A517,DICO_Complet!$A$3:$U$983,15,FALSE)=0,"",VLOOKUP($A517,DICO_Complet!$A$3:$U$983,15,FALSE))</f>
        <v/>
      </c>
      <c r="O517" s="53" t="str">
        <f>IF(VLOOKUP($A517,DICO_Complet!$A$3:$U$983,16,FALSE)=0,"",VLOOKUP($A517,DICO_Complet!$A$3:$U$983,16,FALSE))</f>
        <v>field 111 Dataset ID 56 Tag 82</v>
      </c>
      <c r="P517" s="53" t="str">
        <f>IF(VLOOKUP($A517,DICO_Complet!$A$3:$U$983,17,FALSE)=0,"",VLOOKUP($A517,DICO_Complet!$A$3:$U$983,17,FALSE))</f>
        <v/>
      </c>
      <c r="Q517" s="53" t="str">
        <f>IF(VLOOKUP($A517,DICO_Complet!$A$3:$U$983,18,FALSE)=0,"",VLOOKUP($A517,DICO_Complet!$A$3:$U$983,18,FALSE))</f>
        <v/>
      </c>
    </row>
    <row r="518" spans="1:17">
      <c r="A518" s="38">
        <v>250425153913</v>
      </c>
      <c r="B518" s="47" t="s">
        <v>858</v>
      </c>
      <c r="C518" s="3" t="str">
        <f>VLOOKUP($A518,DICO_Complet!$A$3:$U$983,3,FALSE)</f>
        <v>Transaction</v>
      </c>
      <c r="D518" s="3" t="str">
        <f>VLOOKUP($A518,DICO_Complet!$A$3:$U$983,4,FALSE)</f>
        <v>additionalResponseData</v>
      </c>
      <c r="E518" s="2" t="str">
        <f>VLOOKUP($A518,DICO_Complet!$A$3:$U$983,5,FALSE)</f>
        <v>appliedCardholderIDMethod</v>
      </c>
      <c r="F518" s="2" t="str">
        <f>VLOOKUP($A518,DICO_Complet!$A$3:$U$983,6,FALSE)</f>
        <v>Exact1AlphaNumericText</v>
      </c>
      <c r="G518" s="48">
        <f>VLOOKUP($A518,DICO_Complet!$A$3:$U$983,7,FALSE)</f>
        <v>0</v>
      </c>
      <c r="H518" s="48">
        <f>VLOOKUP($A518,DICO_Complet!$A$3:$U$983,8,FALSE)</f>
        <v>0</v>
      </c>
      <c r="I518" s="2" t="str">
        <f>IF(VLOOKUP($A518,DICO_Complet!$A$3:$U$983,9,FALSE)&lt;&gt;0,VLOOKUP($A518,DICO_Complet!$A$3:$U$983,9,FALSE),"")</f>
        <v/>
      </c>
      <c r="J518" s="1" t="str">
        <f>VLOOKUP($A518,DICO_Complet!$A$3:$U$983,10,FALSE)</f>
        <v>Applied cardholder ID method</v>
      </c>
      <c r="K518" s="53" t="str">
        <f>IF(VLOOKUP($A518,DICO_Complet!$A$3:$U$983,12,FALSE)=0,"",VLOOKUP($A518,DICO_Complet!$A$3:$U$983,12,FALSE))</f>
        <v/>
      </c>
      <c r="L518" s="53" t="str">
        <f>IF(VLOOKUP($A518,DICO_Complet!$A$3:$U$983,13,FALSE)=0,"",VLOOKUP($A518,DICO_Complet!$A$3:$U$983,13,FALSE))</f>
        <v/>
      </c>
      <c r="M518" s="53" t="str">
        <f>IF(VLOOKUP($A518,DICO_Complet!$A$3:$U$983,14,FALSE)=0,"",VLOOKUP($A518,DICO_Complet!$A$3:$U$983,14,FALSE))</f>
        <v>59_1001 part 8</v>
      </c>
      <c r="N518" s="53" t="str">
        <f>IF(VLOOKUP($A518,DICO_Complet!$A$3:$U$983,15,FALSE)=0,"",VLOOKUP($A518,DICO_Complet!$A$3:$U$983,15,FALSE))</f>
        <v/>
      </c>
      <c r="O518" s="53" t="str">
        <f>IF(VLOOKUP($A518,DICO_Complet!$A$3:$U$983,16,FALSE)=0,"",VLOOKUP($A518,DICO_Complet!$A$3:$U$983,16,FALSE))</f>
        <v/>
      </c>
      <c r="P518" s="53" t="str">
        <f>IF(VLOOKUP($A518,DICO_Complet!$A$3:$U$983,17,FALSE)=0,"",VLOOKUP($A518,DICO_Complet!$A$3:$U$983,17,FALSE))</f>
        <v/>
      </c>
      <c r="Q518" s="53" t="str">
        <f>IF(VLOOKUP($A518,DICO_Complet!$A$3:$U$983,18,FALSE)=0,"",VLOOKUP($A518,DICO_Complet!$A$3:$U$983,18,FALSE))</f>
        <v/>
      </c>
    </row>
    <row r="519" spans="1:17">
      <c r="A519" s="38">
        <v>250220103203</v>
      </c>
      <c r="B519" s="47" t="s">
        <v>858</v>
      </c>
      <c r="C519" s="3" t="str">
        <f>VLOOKUP($A519,DICO_Complet!$A$3:$U$983,3,FALSE)</f>
        <v>Transaction</v>
      </c>
      <c r="D519" s="3" t="str">
        <f>VLOOKUP($A519,DICO_Complet!$A$3:$U$983,4,FALSE)</f>
        <v>additionalResponseData</v>
      </c>
      <c r="E519" s="2" t="str">
        <f>VLOOKUP($A519,DICO_Complet!$A$3:$U$983,5,FALSE)</f>
        <v>appliedMarketSpecificDataIndicator</v>
      </c>
      <c r="F519" s="2" t="str">
        <f>VLOOKUP($A519,DICO_Complet!$A$3:$U$983,6,FALSE)</f>
        <v>Exact1AlphaNumericText</v>
      </c>
      <c r="G519" s="48">
        <f>VLOOKUP($A519,DICO_Complet!$A$3:$U$983,7,FALSE)</f>
        <v>0</v>
      </c>
      <c r="H519" s="48">
        <f>VLOOKUP($A519,DICO_Complet!$A$3:$U$983,8,FALSE)</f>
        <v>0</v>
      </c>
      <c r="I519" s="2" t="str">
        <f>IF(VLOOKUP($A519,DICO_Complet!$A$3:$U$983,9,FALSE)&lt;&gt;0,VLOOKUP($A519,DICO_Complet!$A$3:$U$983,9,FALSE),"")</f>
        <v/>
      </c>
      <c r="J519" s="1" t="str">
        <f>VLOOKUP($A519,DICO_Complet!$A$3:$U$983,10,FALSE)</f>
        <v>Applied Market Specific Data Indicator</v>
      </c>
      <c r="K519" s="53" t="str">
        <f>IF(VLOOKUP($A519,DICO_Complet!$A$3:$U$983,12,FALSE)=0,"",VLOOKUP($A519,DICO_Complet!$A$3:$U$983,12,FALSE))</f>
        <v/>
      </c>
      <c r="L519" s="53" t="str">
        <f>IF(VLOOKUP($A519,DICO_Complet!$A$3:$U$983,13,FALSE)=0,"",VLOOKUP($A519,DICO_Complet!$A$3:$U$983,13,FALSE))</f>
        <v>[112-1001-p3]</v>
      </c>
      <c r="M519" s="53" t="str">
        <f>IF(VLOOKUP($A519,DICO_Complet!$A$3:$U$983,14,FALSE)=0,"",VLOOKUP($A519,DICO_Complet!$A$3:$U$983,14,FALSE))</f>
        <v/>
      </c>
      <c r="N519" s="53" t="str">
        <f>IF(VLOOKUP($A519,DICO_Complet!$A$3:$U$983,15,FALSE)=0,"",VLOOKUP($A519,DICO_Complet!$A$3:$U$983,15,FALSE))</f>
        <v/>
      </c>
      <c r="O519" s="53" t="str">
        <f>IF(VLOOKUP($A519,DICO_Complet!$A$3:$U$983,16,FALSE)=0,"",VLOOKUP($A519,DICO_Complet!$A$3:$U$983,16,FALSE))</f>
        <v>field 111 Dataset ID 56 Tag 84</v>
      </c>
      <c r="P519" s="53" t="str">
        <f>IF(VLOOKUP($A519,DICO_Complet!$A$3:$U$983,17,FALSE)=0,"",VLOOKUP($A519,DICO_Complet!$A$3:$U$983,17,FALSE))</f>
        <v/>
      </c>
      <c r="Q519" s="53" t="str">
        <f>IF(VLOOKUP($A519,DICO_Complet!$A$3:$U$983,18,FALSE)=0,"",VLOOKUP($A519,DICO_Complet!$A$3:$U$983,18,FALSE))</f>
        <v/>
      </c>
    </row>
    <row r="520" spans="1:17">
      <c r="A520" s="38">
        <v>250203163000</v>
      </c>
      <c r="B520" s="47" t="s">
        <v>858</v>
      </c>
      <c r="C520" s="3" t="str">
        <f>VLOOKUP($A520,DICO_Complet!$A$3:$U$983,3,FALSE)</f>
        <v>Transaction</v>
      </c>
      <c r="D520" s="3" t="str">
        <f>VLOOKUP($A520,DICO_Complet!$A$3:$U$983,4,FALSE)</f>
        <v>additionalResponseData</v>
      </c>
      <c r="E520" s="2" t="str">
        <f>VLOOKUP($A520,DICO_Complet!$A$3:$U$983,5,FALSE)</f>
        <v>cardAuthenticationResultsCode</v>
      </c>
      <c r="F520" s="2" t="str">
        <f>VLOOKUP($A520,DICO_Complet!$A$3:$U$983,6,FALSE)</f>
        <v>VFNCodeset</v>
      </c>
      <c r="G520" s="48">
        <f>VLOOKUP($A520,DICO_Complet!$A$3:$U$983,7,FALSE)</f>
        <v>0</v>
      </c>
      <c r="H520" s="48">
        <f>VLOOKUP($A520,DICO_Complet!$A$3:$U$983,8,FALSE)</f>
        <v>0</v>
      </c>
      <c r="I520" s="2" t="str">
        <f>IF(VLOOKUP($A520,DICO_Complet!$A$3:$U$983,9,FALSE)&lt;&gt;0,VLOOKUP($A520,DICO_Complet!$A$3:$U$983,9,FALSE),"")</f>
        <v/>
      </c>
      <c r="J520" s="1" t="str">
        <f>VLOOKUP($A520,DICO_Complet!$A$3:$U$983,10,FALSE)</f>
        <v xml:space="preserve">Champ retourne par Visa dans le Field 44.8 </v>
      </c>
      <c r="K520" s="53" t="str">
        <f>IF(VLOOKUP($A520,DICO_Complet!$A$3:$U$983,12,FALSE)=0,"",VLOOKUP($A520,DICO_Complet!$A$3:$U$983,12,FALSE))</f>
        <v/>
      </c>
      <c r="L520" s="53" t="str">
        <f>IF(VLOOKUP($A520,DICO_Complet!$A$3:$U$983,13,FALSE)=0,"",VLOOKUP($A520,DICO_Complet!$A$3:$U$983,13,FALSE))</f>
        <v/>
      </c>
      <c r="M520" s="53" t="str">
        <f>IF(VLOOKUP($A520,DICO_Complet!$A$3:$U$983,14,FALSE)=0,"",VLOOKUP($A520,DICO_Complet!$A$3:$U$983,14,FALSE))</f>
        <v/>
      </c>
      <c r="N520" s="53" t="str">
        <f>IF(VLOOKUP($A520,DICO_Complet!$A$3:$U$983,15,FALSE)=0,"",VLOOKUP($A520,DICO_Complet!$A$3:$U$983,15,FALSE))</f>
        <v/>
      </c>
      <c r="O520" s="53" t="str">
        <f>IF(VLOOKUP($A520,DICO_Complet!$A$3:$U$983,16,FALSE)=0,"",VLOOKUP($A520,DICO_Complet!$A$3:$U$983,16,FALSE))</f>
        <v/>
      </c>
      <c r="P520" s="53" t="str">
        <f>IF(VLOOKUP($A520,DICO_Complet!$A$3:$U$983,17,FALSE)=0,"",VLOOKUP($A520,DICO_Complet!$A$3:$U$983,17,FALSE))</f>
        <v/>
      </c>
      <c r="Q520" s="53" t="str">
        <f>IF(VLOOKUP($A520,DICO_Complet!$A$3:$U$983,18,FALSE)=0,"",VLOOKUP($A520,DICO_Complet!$A$3:$U$983,18,FALSE))</f>
        <v/>
      </c>
    </row>
    <row r="521" spans="1:17">
      <c r="A521" s="38">
        <v>241112000233</v>
      </c>
      <c r="B521" s="47" t="s">
        <v>858</v>
      </c>
      <c r="C521" s="3" t="str">
        <f>VLOOKUP($A521,DICO_Complet!$A$3:$U$983,3,FALSE)</f>
        <v>Transaction</v>
      </c>
      <c r="D521" s="3" t="str">
        <f>VLOOKUP($A521,DICO_Complet!$A$3:$U$983,4,FALSE)</f>
        <v>additionalResponseData</v>
      </c>
      <c r="E521" s="2" t="str">
        <f>VLOOKUP($A521,DICO_Complet!$A$3:$U$983,5,FALSE)</f>
        <v>cardholderAddressCheckingInformation</v>
      </c>
      <c r="F521" s="2" t="str">
        <f>VLOOKUP($A521,DICO_Complet!$A$3:$U$983,6,FALSE)</f>
        <v>CardholderAddressCheckingInformationCodeset</v>
      </c>
      <c r="G521" s="48">
        <f>VLOOKUP($A521,DICO_Complet!$A$3:$U$983,7,FALSE)</f>
        <v>0</v>
      </c>
      <c r="H521" s="48">
        <f>VLOOKUP($A521,DICO_Complet!$A$3:$U$983,8,FALSE)</f>
        <v>0</v>
      </c>
      <c r="I521" s="2" t="str">
        <f>IF(VLOOKUP($A521,DICO_Complet!$A$3:$U$983,9,FALSE)&lt;&gt;0,VLOOKUP($A521,DICO_Complet!$A$3:$U$983,9,FALSE),"")</f>
        <v/>
      </c>
      <c r="J521" s="1" t="str">
        <f>VLOOKUP($A521,DICO_Complet!$A$3:$U$983,10,FALSE)</f>
        <v>Cardholder address checking information</v>
      </c>
      <c r="K521" s="53" t="str">
        <f>IF(VLOOKUP($A521,DICO_Complet!$A$3:$U$983,12,FALSE)=0,"",VLOOKUP($A521,DICO_Complet!$A$3:$U$983,12,FALSE))</f>
        <v>RSB44_CC</v>
      </c>
      <c r="L521" s="53" t="str">
        <f>IF(VLOOKUP($A521,DICO_Complet!$A$3:$U$983,13,FALSE)=0,"",VLOOKUP($A521,DICO_Complet!$A$3:$U$983,13,FALSE))</f>
        <v>[44-CC]</v>
      </c>
      <c r="M521" s="53" t="str">
        <f>IF(VLOOKUP($A521,DICO_Complet!$A$3:$U$983,14,FALSE)=0,"",VLOOKUP($A521,DICO_Complet!$A$3:$U$983,14,FALSE))</f>
        <v/>
      </c>
      <c r="N521" s="53" t="str">
        <f>IF(VLOOKUP($A521,DICO_Complet!$A$3:$U$983,15,FALSE)=0,"",VLOOKUP($A521,DICO_Complet!$A$3:$U$983,15,FALSE))</f>
        <v/>
      </c>
      <c r="O521" s="53" t="str">
        <f>IF(VLOOKUP($A521,DICO_Complet!$A$3:$U$983,16,FALSE)=0,"",VLOOKUP($A521,DICO_Complet!$A$3:$U$983,16,FALSE))</f>
        <v/>
      </c>
      <c r="P521" s="53" t="str">
        <f>IF(VLOOKUP($A521,DICO_Complet!$A$3:$U$983,17,FALSE)=0,"",VLOOKUP($A521,DICO_Complet!$A$3:$U$983,17,FALSE))</f>
        <v/>
      </c>
      <c r="Q521" s="53" t="str">
        <f>IF(VLOOKUP($A521,DICO_Complet!$A$3:$U$983,18,FALSE)=0,"",VLOOKUP($A521,DICO_Complet!$A$3:$U$983,18,FALSE))</f>
        <v/>
      </c>
    </row>
    <row r="522" spans="1:17">
      <c r="A522" s="38">
        <v>250214100500</v>
      </c>
      <c r="B522" s="47" t="s">
        <v>858</v>
      </c>
      <c r="C522" s="3" t="str">
        <f>VLOOKUP($A522,DICO_Complet!$A$3:$U$983,3,FALSE)</f>
        <v>Transaction</v>
      </c>
      <c r="D522" s="3" t="str">
        <f>VLOOKUP($A522,DICO_Complet!$A$3:$U$983,4,FALSE)</f>
        <v>additionalResponseData</v>
      </c>
      <c r="E522" s="2" t="str">
        <f>VLOOKUP($A522,DICO_Complet!$A$3:$U$983,5,FALSE)</f>
        <v>cardholderBillingCurrencyCode</v>
      </c>
      <c r="F522" s="2" t="str">
        <f>VLOOKUP($A522,DICO_Complet!$A$3:$U$983,6,FALSE)</f>
        <v>ISO3NumericCurrencyCode</v>
      </c>
      <c r="G522" s="48">
        <f>VLOOKUP($A522,DICO_Complet!$A$3:$U$983,7,FALSE)</f>
        <v>0</v>
      </c>
      <c r="H522" s="48">
        <f>VLOOKUP($A522,DICO_Complet!$A$3:$U$983,8,FALSE)</f>
        <v>0</v>
      </c>
      <c r="I522" s="2" t="str">
        <f>IF(VLOOKUP($A522,DICO_Complet!$A$3:$U$983,9,FALSE)&lt;&gt;0,VLOOKUP($A522,DICO_Complet!$A$3:$U$983,9,FALSE),"")</f>
        <v/>
      </c>
      <c r="J522" s="1" t="str">
        <f>VLOOKUP($A522,DICO_Complet!$A$3:$U$983,10,FALSE)</f>
        <v>To define the currency code of the cardholder</v>
      </c>
      <c r="K522" s="53" t="str">
        <f>IF(VLOOKUP($A522,DICO_Complet!$A$3:$U$983,12,FALSE)=0,"",VLOOKUP($A522,DICO_Complet!$A$3:$U$983,12,FALSE))</f>
        <v/>
      </c>
      <c r="L522" s="53" t="str">
        <f>IF(VLOOKUP($A522,DICO_Complet!$A$3:$U$983,13,FALSE)=0,"",VLOOKUP($A522,DICO_Complet!$A$3:$U$983,13,FALSE))</f>
        <v/>
      </c>
      <c r="M522" s="53" t="str">
        <f>IF(VLOOKUP($A522,DICO_Complet!$A$3:$U$983,14,FALSE)=0,"",VLOOKUP($A522,DICO_Complet!$A$3:$U$983,14,FALSE))</f>
        <v/>
      </c>
      <c r="N522" s="53" t="str">
        <f>IF(VLOOKUP($A522,DICO_Complet!$A$3:$U$983,15,FALSE)=0,"",VLOOKUP($A522,DICO_Complet!$A$3:$U$983,15,FALSE))</f>
        <v/>
      </c>
      <c r="O522" s="53" t="str">
        <f>IF(VLOOKUP($A522,DICO_Complet!$A$3:$U$983,16,FALSE)=0,"",VLOOKUP($A522,DICO_Complet!$A$3:$U$983,16,FALSE))</f>
        <v/>
      </c>
      <c r="P522" s="53" t="str">
        <f>IF(VLOOKUP($A522,DICO_Complet!$A$3:$U$983,17,FALSE)=0,"",VLOOKUP($A522,DICO_Complet!$A$3:$U$983,17,FALSE))</f>
        <v/>
      </c>
      <c r="Q522" s="53" t="str">
        <f>IF(VLOOKUP($A522,DICO_Complet!$A$3:$U$983,18,FALSE)=0,"",VLOOKUP($A522,DICO_Complet!$A$3:$U$983,18,FALSE))</f>
        <v/>
      </c>
    </row>
    <row r="523" spans="1:17">
      <c r="A523" s="38">
        <v>250214101000</v>
      </c>
      <c r="B523" s="47" t="s">
        <v>858</v>
      </c>
      <c r="C523" s="3" t="str">
        <f>VLOOKUP($A523,DICO_Complet!$A$3:$U$983,3,FALSE)</f>
        <v>Transaction</v>
      </c>
      <c r="D523" s="3" t="str">
        <f>VLOOKUP($A523,DICO_Complet!$A$3:$U$983,4,FALSE)</f>
        <v>additionalResponseData</v>
      </c>
      <c r="E523" s="2" t="str">
        <f>VLOOKUP($A523,DICO_Complet!$A$3:$U$983,5,FALSE)</f>
        <v>cardholderBillingCurrencyUnits</v>
      </c>
      <c r="F523" s="2" t="str">
        <f>VLOOKUP($A523,DICO_Complet!$A$3:$U$983,6,FALSE)</f>
        <v>Exact1Text</v>
      </c>
      <c r="G523" s="48">
        <f>VLOOKUP($A523,DICO_Complet!$A$3:$U$983,7,FALSE)</f>
        <v>0</v>
      </c>
      <c r="H523" s="48">
        <f>VLOOKUP($A523,DICO_Complet!$A$3:$U$983,8,FALSE)</f>
        <v>0</v>
      </c>
      <c r="I523" s="2" t="str">
        <f>IF(VLOOKUP($A523,DICO_Complet!$A$3:$U$983,9,FALSE)&lt;&gt;0,VLOOKUP($A523,DICO_Complet!$A$3:$U$983,9,FALSE),"")</f>
        <v/>
      </c>
      <c r="J523" s="1" t="str">
        <f>VLOOKUP($A523,DICO_Complet!$A$3:$U$983,10,FALSE)</f>
        <v>Minor units of the card billing currency</v>
      </c>
      <c r="K523" s="53" t="str">
        <f>IF(VLOOKUP($A523,DICO_Complet!$A$3:$U$983,12,FALSE)=0,"",VLOOKUP($A523,DICO_Complet!$A$3:$U$983,12,FALSE))</f>
        <v/>
      </c>
      <c r="L523" s="53" t="str">
        <f>IF(VLOOKUP($A523,DICO_Complet!$A$3:$U$983,13,FALSE)=0,"",VLOOKUP($A523,DICO_Complet!$A$3:$U$983,13,FALSE))</f>
        <v/>
      </c>
      <c r="M523" s="53" t="str">
        <f>IF(VLOOKUP($A523,DICO_Complet!$A$3:$U$983,14,FALSE)=0,"",VLOOKUP($A523,DICO_Complet!$A$3:$U$983,14,FALSE))</f>
        <v/>
      </c>
      <c r="N523" s="53" t="str">
        <f>IF(VLOOKUP($A523,DICO_Complet!$A$3:$U$983,15,FALSE)=0,"",VLOOKUP($A523,DICO_Complet!$A$3:$U$983,15,FALSE))</f>
        <v/>
      </c>
      <c r="O523" s="53" t="str">
        <f>IF(VLOOKUP($A523,DICO_Complet!$A$3:$U$983,16,FALSE)=0,"",VLOOKUP($A523,DICO_Complet!$A$3:$U$983,16,FALSE))</f>
        <v/>
      </c>
      <c r="P523" s="53" t="str">
        <f>IF(VLOOKUP($A523,DICO_Complet!$A$3:$U$983,17,FALSE)=0,"",VLOOKUP($A523,DICO_Complet!$A$3:$U$983,17,FALSE))</f>
        <v/>
      </c>
      <c r="Q523" s="53" t="str">
        <f>IF(VLOOKUP($A523,DICO_Complet!$A$3:$U$983,18,FALSE)=0,"",VLOOKUP($A523,DICO_Complet!$A$3:$U$983,18,FALSE))</f>
        <v/>
      </c>
    </row>
    <row r="524" spans="1:17">
      <c r="A524" s="38">
        <v>250214100200</v>
      </c>
      <c r="B524" s="47" t="s">
        <v>858</v>
      </c>
      <c r="C524" s="3" t="str">
        <f>VLOOKUP($A524,DICO_Complet!$A$3:$U$983,3,FALSE)</f>
        <v>Transaction</v>
      </c>
      <c r="D524" s="3" t="str">
        <f>VLOOKUP($A524,DICO_Complet!$A$3:$U$983,4,FALSE)</f>
        <v>additionalResponseData</v>
      </c>
      <c r="E524" s="2" t="str">
        <f>VLOOKUP($A524,DICO_Complet!$A$3:$U$983,5,FALSE)</f>
        <v>cardTypeCode</v>
      </c>
      <c r="F524" s="2" t="str">
        <f>VLOOKUP($A524,DICO_Complet!$A$3:$U$983,6,FALSE)</f>
        <v>CardTypeCodeset</v>
      </c>
      <c r="G524" s="48">
        <f>VLOOKUP($A524,DICO_Complet!$A$3:$U$983,7,FALSE)</f>
        <v>0</v>
      </c>
      <c r="H524" s="48">
        <f>VLOOKUP($A524,DICO_Complet!$A$3:$U$983,8,FALSE)</f>
        <v>0</v>
      </c>
      <c r="I524" s="2" t="str">
        <f>IF(VLOOKUP($A524,DICO_Complet!$A$3:$U$983,9,FALSE)&lt;&gt;0,VLOOKUP($A524,DICO_Complet!$A$3:$U$983,9,FALSE),"")</f>
        <v/>
      </c>
      <c r="J524" s="1" t="str">
        <f>VLOOKUP($A524,DICO_Complet!$A$3:$U$983,10,FALSE)</f>
        <v>To define the card type : Debit, Credit, Prepaid or Unknown</v>
      </c>
      <c r="K524" s="53" t="str">
        <f>IF(VLOOKUP($A524,DICO_Complet!$A$3:$U$983,12,FALSE)=0,"",VLOOKUP($A524,DICO_Complet!$A$3:$U$983,12,FALSE))</f>
        <v/>
      </c>
      <c r="L524" s="53" t="str">
        <f>IF(VLOOKUP($A524,DICO_Complet!$A$3:$U$983,13,FALSE)=0,"",VLOOKUP($A524,DICO_Complet!$A$3:$U$983,13,FALSE))</f>
        <v/>
      </c>
      <c r="M524" s="53" t="str">
        <f>IF(VLOOKUP($A524,DICO_Complet!$A$3:$U$983,14,FALSE)=0,"",VLOOKUP($A524,DICO_Complet!$A$3:$U$983,14,FALSE))</f>
        <v/>
      </c>
      <c r="N524" s="53" t="str">
        <f>IF(VLOOKUP($A524,DICO_Complet!$A$3:$U$983,15,FALSE)=0,"",VLOOKUP($A524,DICO_Complet!$A$3:$U$983,15,FALSE))</f>
        <v/>
      </c>
      <c r="O524" s="53" t="str">
        <f>IF(VLOOKUP($A524,DICO_Complet!$A$3:$U$983,16,FALSE)=0,"",VLOOKUP($A524,DICO_Complet!$A$3:$U$983,16,FALSE))</f>
        <v/>
      </c>
      <c r="P524" s="53" t="str">
        <f>IF(VLOOKUP($A524,DICO_Complet!$A$3:$U$983,17,FALSE)=0,"",VLOOKUP($A524,DICO_Complet!$A$3:$U$983,17,FALSE))</f>
        <v/>
      </c>
      <c r="Q524" s="53" t="str">
        <f>IF(VLOOKUP($A524,DICO_Complet!$A$3:$U$983,18,FALSE)=0,"",VLOOKUP($A524,DICO_Complet!$A$3:$U$983,18,FALSE))</f>
        <v/>
      </c>
    </row>
    <row r="525" spans="1:17">
      <c r="A525" s="38">
        <v>241112000234</v>
      </c>
      <c r="B525" s="47" t="s">
        <v>858</v>
      </c>
      <c r="C525" s="3" t="str">
        <f>VLOOKUP($A525,DICO_Complet!$A$3:$U$983,3,FALSE)</f>
        <v>Transaction</v>
      </c>
      <c r="D525" s="3" t="str">
        <f>VLOOKUP($A525,DICO_Complet!$A$3:$U$983,4,FALSE)</f>
        <v>additionalResponseData</v>
      </c>
      <c r="E525" s="2" t="str">
        <f>VLOOKUP($A525,DICO_Complet!$A$3:$U$983,5,FALSE)</f>
        <v>cryptogramProcessingInformation</v>
      </c>
      <c r="F525" s="2" t="str">
        <f>VLOOKUP($A525,DICO_Complet!$A$3:$U$983,6,FALSE)</f>
        <v>CryptogramProcessingInformationCodeset</v>
      </c>
      <c r="G525" s="48">
        <f>VLOOKUP($A525,DICO_Complet!$A$3:$U$983,7,FALSE)</f>
        <v>0</v>
      </c>
      <c r="H525" s="48">
        <f>VLOOKUP($A525,DICO_Complet!$A$3:$U$983,8,FALSE)</f>
        <v>0</v>
      </c>
      <c r="I525" s="2" t="str">
        <f>IF(VLOOKUP($A525,DICO_Complet!$A$3:$U$983,9,FALSE)&lt;&gt;0,VLOOKUP($A525,DICO_Complet!$A$3:$U$983,9,FALSE),"")</f>
        <v/>
      </c>
      <c r="J525" s="1" t="str">
        <f>VLOOKUP($A525,DICO_Complet!$A$3:$U$983,10,FALSE)</f>
        <v>Track or equivalent data cryptogram processing information</v>
      </c>
      <c r="K525" s="53" t="str">
        <f>IF(VLOOKUP($A525,DICO_Complet!$A$3:$U$983,12,FALSE)=0,"",VLOOKUP($A525,DICO_Complet!$A$3:$U$983,12,FALSE))</f>
        <v>RSB44_CA</v>
      </c>
      <c r="L525" s="53" t="str">
        <f>IF(VLOOKUP($A525,DICO_Complet!$A$3:$U$983,13,FALSE)=0,"",VLOOKUP($A525,DICO_Complet!$A$3:$U$983,13,FALSE))</f>
        <v>[44-CA]</v>
      </c>
      <c r="M525" s="53" t="str">
        <f>IF(VLOOKUP($A525,DICO_Complet!$A$3:$U$983,14,FALSE)=0,"",VLOOKUP($A525,DICO_Complet!$A$3:$U$983,14,FALSE))</f>
        <v/>
      </c>
      <c r="N525" s="53" t="str">
        <f>IF(VLOOKUP($A525,DICO_Complet!$A$3:$U$983,15,FALSE)=0,"",VLOOKUP($A525,DICO_Complet!$A$3:$U$983,15,FALSE))</f>
        <v/>
      </c>
      <c r="O525" s="53" t="str">
        <f>IF(VLOOKUP($A525,DICO_Complet!$A$3:$U$983,16,FALSE)=0,"",VLOOKUP($A525,DICO_Complet!$A$3:$U$983,16,FALSE))</f>
        <v/>
      </c>
      <c r="P525" s="53" t="str">
        <f>IF(VLOOKUP($A525,DICO_Complet!$A$3:$U$983,17,FALSE)=0,"",VLOOKUP($A525,DICO_Complet!$A$3:$U$983,17,FALSE))</f>
        <v/>
      </c>
      <c r="Q525" s="53" t="str">
        <f>IF(VLOOKUP($A525,DICO_Complet!$A$3:$U$983,18,FALSE)=0,"",VLOOKUP($A525,DICO_Complet!$A$3:$U$983,18,FALSE))</f>
        <v/>
      </c>
    </row>
    <row r="526" spans="1:17">
      <c r="A526" s="38">
        <v>250214102900</v>
      </c>
      <c r="B526" s="47" t="s">
        <v>858</v>
      </c>
      <c r="C526" s="3" t="str">
        <f>VLOOKUP($A526,DICO_Complet!$A$3:$U$983,3,FALSE)</f>
        <v>Transaction</v>
      </c>
      <c r="D526" s="3" t="str">
        <f>VLOOKUP($A526,DICO_Complet!$A$3:$U$983,4,FALSE)</f>
        <v>additionalResponseData</v>
      </c>
      <c r="E526" s="2" t="str">
        <f>VLOOKUP($A526,DICO_Complet!$A$3:$U$983,5,FALSE)</f>
        <v>destinationCurrencyCode</v>
      </c>
      <c r="F526" s="2" t="str">
        <f>VLOOKUP($A526,DICO_Complet!$A$3:$U$983,6,FALSE)</f>
        <v>ISO3NumericCurrencyCode</v>
      </c>
      <c r="G526" s="48">
        <f>VLOOKUP($A526,DICO_Complet!$A$3:$U$983,7,FALSE)</f>
        <v>0</v>
      </c>
      <c r="H526" s="48">
        <f>VLOOKUP($A526,DICO_Complet!$A$3:$U$983,8,FALSE)</f>
        <v>0</v>
      </c>
      <c r="I526" s="2" t="str">
        <f>IF(VLOOKUP($A526,DICO_Complet!$A$3:$U$983,9,FALSE)&lt;&gt;0,VLOOKUP($A526,DICO_Complet!$A$3:$U$983,9,FALSE),"")</f>
        <v/>
      </c>
      <c r="J526" s="1" t="str">
        <f>VLOOKUP($A526,DICO_Complet!$A$3:$U$983,10,FALSE)</f>
        <v>Recipient issuer currency code</v>
      </c>
      <c r="K526" s="53" t="str">
        <f>IF(VLOOKUP($A526,DICO_Complet!$A$3:$U$983,12,FALSE)=0,"",VLOOKUP($A526,DICO_Complet!$A$3:$U$983,12,FALSE))</f>
        <v/>
      </c>
      <c r="L526" s="53" t="str">
        <f>IF(VLOOKUP($A526,DICO_Complet!$A$3:$U$983,13,FALSE)=0,"",VLOOKUP($A526,DICO_Complet!$A$3:$U$983,13,FALSE))</f>
        <v/>
      </c>
      <c r="M526" s="53" t="str">
        <f>IF(VLOOKUP($A526,DICO_Complet!$A$3:$U$983,14,FALSE)=0,"",VLOOKUP($A526,DICO_Complet!$A$3:$U$983,14,FALSE))</f>
        <v/>
      </c>
      <c r="N526" s="53" t="str">
        <f>IF(VLOOKUP($A526,DICO_Complet!$A$3:$U$983,15,FALSE)=0,"",VLOOKUP($A526,DICO_Complet!$A$3:$U$983,15,FALSE))</f>
        <v/>
      </c>
      <c r="O526" s="53" t="str">
        <f>IF(VLOOKUP($A526,DICO_Complet!$A$3:$U$983,16,FALSE)=0,"",VLOOKUP($A526,DICO_Complet!$A$3:$U$983,16,FALSE))</f>
        <v/>
      </c>
      <c r="P526" s="53" t="str">
        <f>IF(VLOOKUP($A526,DICO_Complet!$A$3:$U$983,17,FALSE)=0,"",VLOOKUP($A526,DICO_Complet!$A$3:$U$983,17,FALSE))</f>
        <v/>
      </c>
      <c r="Q526" s="53" t="str">
        <f>IF(VLOOKUP($A526,DICO_Complet!$A$3:$U$983,18,FALSE)=0,"",VLOOKUP($A526,DICO_Complet!$A$3:$U$983,18,FALSE))</f>
        <v/>
      </c>
    </row>
    <row r="527" spans="1:17">
      <c r="A527" s="38">
        <v>250214103100</v>
      </c>
      <c r="B527" s="47" t="s">
        <v>858</v>
      </c>
      <c r="C527" s="3" t="str">
        <f>VLOOKUP($A527,DICO_Complet!$A$3:$U$983,3,FALSE)</f>
        <v>Transaction</v>
      </c>
      <c r="D527" s="3" t="str">
        <f>VLOOKUP($A527,DICO_Complet!$A$3:$U$983,4,FALSE)</f>
        <v>additionalResponseData</v>
      </c>
      <c r="E527" s="2" t="str">
        <f>VLOOKUP($A527,DICO_Complet!$A$3:$U$983,5,FALSE)</f>
        <v>destinationCurrencyUnits</v>
      </c>
      <c r="F527" s="2" t="str">
        <f>VLOOKUP($A527,DICO_Complet!$A$3:$U$983,6,FALSE)</f>
        <v>Exact1AlphaNumericText</v>
      </c>
      <c r="G527" s="48">
        <f>VLOOKUP($A527,DICO_Complet!$A$3:$U$983,7,FALSE)</f>
        <v>0</v>
      </c>
      <c r="H527" s="48">
        <f>VLOOKUP($A527,DICO_Complet!$A$3:$U$983,8,FALSE)</f>
        <v>0</v>
      </c>
      <c r="I527" s="2" t="str">
        <f>IF(VLOOKUP($A527,DICO_Complet!$A$3:$U$983,9,FALSE)&lt;&gt;0,VLOOKUP($A527,DICO_Complet!$A$3:$U$983,9,FALSE),"")</f>
        <v/>
      </c>
      <c r="J527" s="1" t="str">
        <f>VLOOKUP($A527,DICO_Complet!$A$3:$U$983,10,FALSE)</f>
        <v>Recipient issuer currency code minor units</v>
      </c>
      <c r="K527" s="53" t="str">
        <f>IF(VLOOKUP($A527,DICO_Complet!$A$3:$U$983,12,FALSE)=0,"",VLOOKUP($A527,DICO_Complet!$A$3:$U$983,12,FALSE))</f>
        <v/>
      </c>
      <c r="L527" s="53" t="str">
        <f>IF(VLOOKUP($A527,DICO_Complet!$A$3:$U$983,13,FALSE)=0,"",VLOOKUP($A527,DICO_Complet!$A$3:$U$983,13,FALSE))</f>
        <v/>
      </c>
      <c r="M527" s="53" t="str">
        <f>IF(VLOOKUP($A527,DICO_Complet!$A$3:$U$983,14,FALSE)=0,"",VLOOKUP($A527,DICO_Complet!$A$3:$U$983,14,FALSE))</f>
        <v/>
      </c>
      <c r="N527" s="53" t="str">
        <f>IF(VLOOKUP($A527,DICO_Complet!$A$3:$U$983,15,FALSE)=0,"",VLOOKUP($A527,DICO_Complet!$A$3:$U$983,15,FALSE))</f>
        <v/>
      </c>
      <c r="O527" s="53" t="str">
        <f>IF(VLOOKUP($A527,DICO_Complet!$A$3:$U$983,16,FALSE)=0,"",VLOOKUP($A527,DICO_Complet!$A$3:$U$983,16,FALSE))</f>
        <v/>
      </c>
      <c r="P527" s="53" t="str">
        <f>IF(VLOOKUP($A527,DICO_Complet!$A$3:$U$983,17,FALSE)=0,"",VLOOKUP($A527,DICO_Complet!$A$3:$U$983,17,FALSE))</f>
        <v/>
      </c>
      <c r="Q527" s="53" t="str">
        <f>IF(VLOOKUP($A527,DICO_Complet!$A$3:$U$983,18,FALSE)=0,"",VLOOKUP($A527,DICO_Complet!$A$3:$U$983,18,FALSE))</f>
        <v/>
      </c>
    </row>
    <row r="528" spans="1:17">
      <c r="A528" s="38">
        <v>250212174502</v>
      </c>
      <c r="B528" s="47" t="s">
        <v>858</v>
      </c>
      <c r="C528" s="3" t="str">
        <f>VLOOKUP($A528,DICO_Complet!$A$3:$U$983,3,FALSE)</f>
        <v>Transaction</v>
      </c>
      <c r="D528" s="3" t="str">
        <f>VLOOKUP($A528,DICO_Complet!$A$3:$U$983,4,FALSE)</f>
        <v>additionalResponseData</v>
      </c>
      <c r="E528" s="2" t="str">
        <f>VLOOKUP($A528,DICO_Complet!$A$3:$U$983,5,FALSE)</f>
        <v>emailAddressVerificationResult</v>
      </c>
      <c r="F528" s="2" t="str">
        <f>VLOOKUP($A528,DICO_Complet!$A$3:$U$983,6,FALSE)</f>
        <v>VFNCodeset</v>
      </c>
      <c r="G528" s="48">
        <f>VLOOKUP($A528,DICO_Complet!$A$3:$U$983,7,FALSE)</f>
        <v>0</v>
      </c>
      <c r="H528" s="48">
        <f>VLOOKUP($A528,DICO_Complet!$A$3:$U$983,8,FALSE)</f>
        <v>0</v>
      </c>
      <c r="I528" s="2" t="str">
        <f>IF(VLOOKUP($A528,DICO_Complet!$A$3:$U$983,9,FALSE)&lt;&gt;0,VLOOKUP($A528,DICO_Complet!$A$3:$U$983,9,FALSE),"")</f>
        <v/>
      </c>
      <c r="J528" s="1" t="str">
        <f>VLOOKUP($A528,DICO_Complet!$A$3:$U$983,10,FALSE)</f>
        <v>Email address verification Result</v>
      </c>
      <c r="K528" s="53" t="str">
        <f>IF(VLOOKUP($A528,DICO_Complet!$A$3:$U$983,12,FALSE)=0,"",VLOOKUP($A528,DICO_Complet!$A$3:$U$983,12,FALSE))</f>
        <v>RSB119_34</v>
      </c>
      <c r="L528" s="53" t="str">
        <f>IF(VLOOKUP($A528,DICO_Complet!$A$3:$U$983,13,FALSE)=0,"",VLOOKUP($A528,DICO_Complet!$A$3:$U$983,13,FALSE))</f>
        <v>[119-0034]</v>
      </c>
      <c r="M528" s="53" t="str">
        <f>IF(VLOOKUP($A528,DICO_Complet!$A$3:$U$983,14,FALSE)=0,"",VLOOKUP($A528,DICO_Complet!$A$3:$U$983,14,FALSE))</f>
        <v/>
      </c>
      <c r="N528" s="53" t="str">
        <f>IF(VLOOKUP($A528,DICO_Complet!$A$3:$U$983,15,FALSE)=0,"",VLOOKUP($A528,DICO_Complet!$A$3:$U$983,15,FALSE))</f>
        <v/>
      </c>
      <c r="O528" s="53" t="str">
        <f>IF(VLOOKUP($A528,DICO_Complet!$A$3:$U$983,16,FALSE)=0,"",VLOOKUP($A528,DICO_Complet!$A$3:$U$983,16,FALSE))</f>
        <v>123 / 2 / ID 67 / Tag 85</v>
      </c>
      <c r="P528" s="53" t="str">
        <f>IF(VLOOKUP($A528,DICO_Complet!$A$3:$U$983,17,FALSE)=0,"",VLOOKUP($A528,DICO_Complet!$A$3:$U$983,17,FALSE))</f>
        <v/>
      </c>
      <c r="Q528" s="53" t="str">
        <f>IF(VLOOKUP($A528,DICO_Complet!$A$3:$U$983,18,FALSE)=0,"",VLOOKUP($A528,DICO_Complet!$A$3:$U$983,18,FALSE))</f>
        <v/>
      </c>
    </row>
    <row r="529" spans="1:17">
      <c r="A529" s="38">
        <v>250203161100</v>
      </c>
      <c r="B529" s="47" t="s">
        <v>858</v>
      </c>
      <c r="C529" s="3" t="str">
        <f>VLOOKUP($A529,DICO_Complet!$A$3:$U$983,3,FALSE)</f>
        <v>Transaction</v>
      </c>
      <c r="D529" s="3" t="str">
        <f>VLOOKUP($A529,DICO_Complet!$A$3:$U$983,4,FALSE)</f>
        <v>additionalResponseData</v>
      </c>
      <c r="E529" s="2" t="str">
        <f>VLOOKUP($A529,DICO_Complet!$A$3:$U$983,5,FALSE)</f>
        <v>expenseThreshold</v>
      </c>
      <c r="F529" s="2" t="str">
        <f>VLOOKUP($A529,DICO_Complet!$A$3:$U$983,6,FALSE)</f>
        <v>VFNCodeset</v>
      </c>
      <c r="G529" s="48">
        <f>VLOOKUP($A529,DICO_Complet!$A$3:$U$983,7,FALSE)</f>
        <v>0</v>
      </c>
      <c r="H529" s="48">
        <f>VLOOKUP($A529,DICO_Complet!$A$3:$U$983,8,FALSE)</f>
        <v>0</v>
      </c>
      <c r="I529" s="2" t="str">
        <f>IF(VLOOKUP($A529,DICO_Complet!$A$3:$U$983,9,FALSE)&lt;&gt;0,VLOOKUP($A529,DICO_Complet!$A$3:$U$983,9,FALSE),"")</f>
        <v/>
      </c>
      <c r="J529" s="1" t="str">
        <f>VLOOKUP($A529,DICO_Complet!$A$3:$U$983,10,FALSE)</f>
        <v>Champ retourne par Visa dans le Field 59.604</v>
      </c>
      <c r="K529" s="53" t="str">
        <f>IF(VLOOKUP($A529,DICO_Complet!$A$3:$U$983,12,FALSE)=0,"",VLOOKUP($A529,DICO_Complet!$A$3:$U$983,12,FALSE))</f>
        <v/>
      </c>
      <c r="L529" s="53" t="str">
        <f>IF(VLOOKUP($A529,DICO_Complet!$A$3:$U$983,13,FALSE)=0,"",VLOOKUP($A529,DICO_Complet!$A$3:$U$983,13,FALSE))</f>
        <v/>
      </c>
      <c r="M529" s="53" t="str">
        <f>IF(VLOOKUP($A529,DICO_Complet!$A$3:$U$983,14,FALSE)=0,"",VLOOKUP($A529,DICO_Complet!$A$3:$U$983,14,FALSE))</f>
        <v/>
      </c>
      <c r="N529" s="53" t="str">
        <f>IF(VLOOKUP($A529,DICO_Complet!$A$3:$U$983,15,FALSE)=0,"",VLOOKUP($A529,DICO_Complet!$A$3:$U$983,15,FALSE))</f>
        <v/>
      </c>
      <c r="O529" s="53" t="str">
        <f>IF(VLOOKUP($A529,DICO_Complet!$A$3:$U$983,16,FALSE)=0,"",VLOOKUP($A529,DICO_Complet!$A$3:$U$983,16,FALSE))</f>
        <v/>
      </c>
      <c r="P529" s="53" t="str">
        <f>IF(VLOOKUP($A529,DICO_Complet!$A$3:$U$983,17,FALSE)=0,"",VLOOKUP($A529,DICO_Complet!$A$3:$U$983,17,FALSE))</f>
        <v/>
      </c>
      <c r="Q529" s="53" t="str">
        <f>IF(VLOOKUP($A529,DICO_Complet!$A$3:$U$983,18,FALSE)=0,"",VLOOKUP($A529,DICO_Complet!$A$3:$U$983,18,FALSE))</f>
        <v/>
      </c>
    </row>
    <row r="530" spans="1:17">
      <c r="A530" s="38">
        <v>250212174503</v>
      </c>
      <c r="B530" s="47" t="s">
        <v>858</v>
      </c>
      <c r="C530" s="3" t="str">
        <f>VLOOKUP($A530,DICO_Complet!$A$3:$U$983,3,FALSE)</f>
        <v>Transaction</v>
      </c>
      <c r="D530" s="3" t="str">
        <f>VLOOKUP($A530,DICO_Complet!$A$3:$U$983,4,FALSE)</f>
        <v>additionalResponseData</v>
      </c>
      <c r="E530" s="2" t="str">
        <f>VLOOKUP($A530,DICO_Complet!$A$3:$U$983,5,FALSE)</f>
        <v>extendedMessageToInitiatorNature</v>
      </c>
      <c r="F530" s="2" t="str">
        <f>VLOOKUP($A530,DICO_Complet!$A$3:$U$983,6,FALSE)</f>
        <v>ExtendedMessageNatureCodeset</v>
      </c>
      <c r="G530" s="48">
        <f>VLOOKUP($A530,DICO_Complet!$A$3:$U$983,7,FALSE)</f>
        <v>0</v>
      </c>
      <c r="H530" s="48">
        <f>VLOOKUP($A530,DICO_Complet!$A$3:$U$983,8,FALSE)</f>
        <v>0</v>
      </c>
      <c r="I530" s="2" t="str">
        <f>IF(VLOOKUP($A530,DICO_Complet!$A$3:$U$983,9,FALSE)&lt;&gt;0,VLOOKUP($A530,DICO_Complet!$A$3:$U$983,9,FALSE),"")</f>
        <v/>
      </c>
      <c r="J530" s="1" t="str">
        <f>VLOOKUP($A530,DICO_Complet!$A$3:$U$983,10,FALSE)</f>
        <v>Extended Message To The Transaction Initiator Nature</v>
      </c>
      <c r="K530" s="53" t="str">
        <f>IF(VLOOKUP($A530,DICO_Complet!$A$3:$U$983,12,FALSE)=0,"",VLOOKUP($A530,DICO_Complet!$A$3:$U$983,12,FALSE))</f>
        <v>RSB119_0BC</v>
      </c>
      <c r="L530" s="53" t="str">
        <f>IF(VLOOKUP($A530,DICO_Complet!$A$3:$U$983,13,FALSE)=0,"",VLOOKUP($A530,DICO_Complet!$A$3:$U$983,13,FALSE))</f>
        <v>[119-00BC]</v>
      </c>
      <c r="M530" s="53" t="str">
        <f>IF(VLOOKUP($A530,DICO_Complet!$A$3:$U$983,14,FALSE)=0,"",VLOOKUP($A530,DICO_Complet!$A$3:$U$983,14,FALSE))</f>
        <v/>
      </c>
      <c r="N530" s="53" t="str">
        <f>IF(VLOOKUP($A530,DICO_Complet!$A$3:$U$983,15,FALSE)=0,"",VLOOKUP($A530,DICO_Complet!$A$3:$U$983,15,FALSE))</f>
        <v/>
      </c>
      <c r="O530" s="53" t="str">
        <f>IF(VLOOKUP($A530,DICO_Complet!$A$3:$U$983,16,FALSE)=0,"",VLOOKUP($A530,DICO_Complet!$A$3:$U$983,16,FALSE))</f>
        <v/>
      </c>
      <c r="P530" s="53" t="str">
        <f>IF(VLOOKUP($A530,DICO_Complet!$A$3:$U$983,17,FALSE)=0,"",VLOOKUP($A530,DICO_Complet!$A$3:$U$983,17,FALSE))</f>
        <v/>
      </c>
      <c r="Q530" s="53" t="str">
        <f>IF(VLOOKUP($A530,DICO_Complet!$A$3:$U$983,18,FALSE)=0,"",VLOOKUP($A530,DICO_Complet!$A$3:$U$983,18,FALSE))</f>
        <v/>
      </c>
    </row>
    <row r="531" spans="1:17">
      <c r="A531" s="38">
        <v>250212174504</v>
      </c>
      <c r="B531" s="47" t="s">
        <v>858</v>
      </c>
      <c r="C531" s="3" t="str">
        <f>VLOOKUP($A531,DICO_Complet!$A$3:$U$983,3,FALSE)</f>
        <v>Transaction</v>
      </c>
      <c r="D531" s="3" t="str">
        <f>VLOOKUP($A531,DICO_Complet!$A$3:$U$983,4,FALSE)</f>
        <v>additionalResponseData</v>
      </c>
      <c r="E531" s="2" t="str">
        <f>VLOOKUP($A531,DICO_Complet!$A$3:$U$983,5,FALSE)</f>
        <v>extendedMessageToInitiatorValue</v>
      </c>
      <c r="F531" s="2" t="str">
        <f>VLOOKUP($A531,DICO_Complet!$A$3:$U$983,6,FALSE)</f>
        <v>Max100Text</v>
      </c>
      <c r="G531" s="48">
        <f>VLOOKUP($A531,DICO_Complet!$A$3:$U$983,7,FALSE)</f>
        <v>0</v>
      </c>
      <c r="H531" s="48">
        <f>VLOOKUP($A531,DICO_Complet!$A$3:$U$983,8,FALSE)</f>
        <v>0</v>
      </c>
      <c r="I531" s="2" t="str">
        <f>IF(VLOOKUP($A531,DICO_Complet!$A$3:$U$983,9,FALSE)&lt;&gt;0,VLOOKUP($A531,DICO_Complet!$A$3:$U$983,9,FALSE),"")</f>
        <v/>
      </c>
      <c r="J531" s="1" t="str">
        <f>VLOOKUP($A531,DICO_Complet!$A$3:$U$983,10,FALSE)</f>
        <v>Extended Message To The Transaction Initiator</v>
      </c>
      <c r="K531" s="53" t="str">
        <f>IF(VLOOKUP($A531,DICO_Complet!$A$3:$U$983,12,FALSE)=0,"",VLOOKUP($A531,DICO_Complet!$A$3:$U$983,12,FALSE))</f>
        <v>RSB119_0BC</v>
      </c>
      <c r="L531" s="53" t="str">
        <f>IF(VLOOKUP($A531,DICO_Complet!$A$3:$U$983,13,FALSE)=0,"",VLOOKUP($A531,DICO_Complet!$A$3:$U$983,13,FALSE))</f>
        <v>[119-00BC]</v>
      </c>
      <c r="M531" s="53" t="str">
        <f>IF(VLOOKUP($A531,DICO_Complet!$A$3:$U$983,14,FALSE)=0,"",VLOOKUP($A531,DICO_Complet!$A$3:$U$983,14,FALSE))</f>
        <v/>
      </c>
      <c r="N531" s="53" t="str">
        <f>IF(VLOOKUP($A531,DICO_Complet!$A$3:$U$983,15,FALSE)=0,"",VLOOKUP($A531,DICO_Complet!$A$3:$U$983,15,FALSE))</f>
        <v/>
      </c>
      <c r="O531" s="53" t="str">
        <f>IF(VLOOKUP($A531,DICO_Complet!$A$3:$U$983,16,FALSE)=0,"",VLOOKUP($A531,DICO_Complet!$A$3:$U$983,16,FALSE))</f>
        <v/>
      </c>
      <c r="P531" s="53" t="str">
        <f>IF(VLOOKUP($A531,DICO_Complet!$A$3:$U$983,17,FALSE)=0,"",VLOOKUP($A531,DICO_Complet!$A$3:$U$983,17,FALSE))</f>
        <v/>
      </c>
      <c r="Q531" s="53" t="str">
        <f>IF(VLOOKUP($A531,DICO_Complet!$A$3:$U$983,18,FALSE)=0,"",VLOOKUP($A531,DICO_Complet!$A$3:$U$983,18,FALSE))</f>
        <v/>
      </c>
    </row>
    <row r="532" spans="1:17">
      <c r="A532" s="38">
        <v>250214101400</v>
      </c>
      <c r="B532" s="47" t="s">
        <v>858</v>
      </c>
      <c r="C532" s="3" t="str">
        <f>VLOOKUP($A532,DICO_Complet!$A$3:$U$983,3,FALSE)</f>
        <v>Transaction</v>
      </c>
      <c r="D532" s="3" t="str">
        <f>VLOOKUP($A532,DICO_Complet!$A$3:$U$983,4,FALSE)</f>
        <v>additionalResponseData</v>
      </c>
      <c r="E532" s="2" t="str">
        <f>VLOOKUP($A532,DICO_Complet!$A$3:$U$983,5,FALSE)</f>
        <v>fastFundIndicator</v>
      </c>
      <c r="F532" s="2" t="str">
        <f>VLOOKUP($A532,DICO_Complet!$A$3:$U$983,6,FALSE)</f>
        <v>TrueFalseIndicator</v>
      </c>
      <c r="G532" s="48">
        <f>VLOOKUP($A532,DICO_Complet!$A$3:$U$983,7,FALSE)</f>
        <v>0</v>
      </c>
      <c r="H532" s="48">
        <f>VLOOKUP($A532,DICO_Complet!$A$3:$U$983,8,FALSE)</f>
        <v>0</v>
      </c>
      <c r="I532" s="2" t="str">
        <f>IF(VLOOKUP($A532,DICO_Complet!$A$3:$U$983,9,FALSE)&lt;&gt;0,VLOOKUP($A532,DICO_Complet!$A$3:$U$983,9,FALSE),"")</f>
        <v/>
      </c>
      <c r="J532" s="1" t="str">
        <f>VLOOKUP($A532,DICO_Complet!$A$3:$U$983,10,FALSE)</f>
        <v>Indicate if and how recipient issuer participates in fast funds transfer</v>
      </c>
      <c r="K532" s="53" t="str">
        <f>IF(VLOOKUP($A532,DICO_Complet!$A$3:$U$983,12,FALSE)=0,"",VLOOKUP($A532,DICO_Complet!$A$3:$U$983,12,FALSE))</f>
        <v/>
      </c>
      <c r="L532" s="53" t="str">
        <f>IF(VLOOKUP($A532,DICO_Complet!$A$3:$U$983,13,FALSE)=0,"",VLOOKUP($A532,DICO_Complet!$A$3:$U$983,13,FALSE))</f>
        <v/>
      </c>
      <c r="M532" s="53" t="str">
        <f>IF(VLOOKUP($A532,DICO_Complet!$A$3:$U$983,14,FALSE)=0,"",VLOOKUP($A532,DICO_Complet!$A$3:$U$983,14,FALSE))</f>
        <v/>
      </c>
      <c r="N532" s="53" t="str">
        <f>IF(VLOOKUP($A532,DICO_Complet!$A$3:$U$983,15,FALSE)=0,"",VLOOKUP($A532,DICO_Complet!$A$3:$U$983,15,FALSE))</f>
        <v/>
      </c>
      <c r="O532" s="53" t="str">
        <f>IF(VLOOKUP($A532,DICO_Complet!$A$3:$U$983,16,FALSE)=0,"",VLOOKUP($A532,DICO_Complet!$A$3:$U$983,16,FALSE))</f>
        <v/>
      </c>
      <c r="P532" s="53" t="str">
        <f>IF(VLOOKUP($A532,DICO_Complet!$A$3:$U$983,17,FALSE)=0,"",VLOOKUP($A532,DICO_Complet!$A$3:$U$983,17,FALSE))</f>
        <v/>
      </c>
      <c r="Q532" s="53" t="str">
        <f>IF(VLOOKUP($A532,DICO_Complet!$A$3:$U$983,18,FALSE)=0,"",VLOOKUP($A532,DICO_Complet!$A$3:$U$983,18,FALSE))</f>
        <v/>
      </c>
    </row>
    <row r="533" spans="1:17">
      <c r="A533" s="38">
        <v>241112000235</v>
      </c>
      <c r="B533" s="47" t="s">
        <v>858</v>
      </c>
      <c r="C533" s="3" t="str">
        <f>VLOOKUP($A533,DICO_Complet!$A$3:$U$983,3,FALSE)</f>
        <v>Transaction</v>
      </c>
      <c r="D533" s="3" t="str">
        <f>VLOOKUP($A533,DICO_Complet!$A$3:$U$983,4,FALSE)</f>
        <v>additionalResponseData</v>
      </c>
      <c r="E533" s="2" t="str">
        <f>VLOOKUP($A533,DICO_Complet!$A$3:$U$983,5,FALSE)</f>
        <v>fieldConversionEntitySource</v>
      </c>
      <c r="F533" s="2" t="str">
        <f>VLOOKUP($A533,DICO_Complet!$A$3:$U$983,6,FALSE)</f>
        <v>FieldConversionEntitySourceCodeset</v>
      </c>
      <c r="G533" s="48">
        <f>VLOOKUP($A533,DICO_Complet!$A$3:$U$983,7,FALSE)</f>
        <v>0</v>
      </c>
      <c r="H533" s="48">
        <f>VLOOKUP($A533,DICO_Complet!$A$3:$U$983,8,FALSE)</f>
        <v>0</v>
      </c>
      <c r="I533" s="2" t="str">
        <f>IF(VLOOKUP($A533,DICO_Complet!$A$3:$U$983,9,FALSE)&lt;&gt;0,VLOOKUP($A533,DICO_Complet!$A$3:$U$983,9,FALSE),"")</f>
        <v/>
      </c>
      <c r="J533" s="1" t="str">
        <f>VLOOKUP($A533,DICO_Complet!$A$3:$U$983,10,FALSE)</f>
        <v>Entity responsible for the conversion</v>
      </c>
      <c r="K533" s="53" t="str">
        <f>IF(VLOOKUP($A533,DICO_Complet!$A$3:$U$983,12,FALSE)=0,"",VLOOKUP($A533,DICO_Complet!$A$3:$U$983,12,FALSE))</f>
        <v>RSB44_AC_p1</v>
      </c>
      <c r="L533" s="53" t="str">
        <f>IF(VLOOKUP($A533,DICO_Complet!$A$3:$U$983,13,FALSE)=0,"",VLOOKUP($A533,DICO_Complet!$A$3:$U$983,13,FALSE))</f>
        <v>[44-AC-p1]</v>
      </c>
      <c r="M533" s="53" t="str">
        <f>IF(VLOOKUP($A533,DICO_Complet!$A$3:$U$983,14,FALSE)=0,"",VLOOKUP($A533,DICO_Complet!$A$3:$U$983,14,FALSE))</f>
        <v/>
      </c>
      <c r="N533" s="53" t="str">
        <f>IF(VLOOKUP($A533,DICO_Complet!$A$3:$U$983,15,FALSE)=0,"",VLOOKUP($A533,DICO_Complet!$A$3:$U$983,15,FALSE))</f>
        <v/>
      </c>
      <c r="O533" s="53" t="str">
        <f>IF(VLOOKUP($A533,DICO_Complet!$A$3:$U$983,16,FALSE)=0,"",VLOOKUP($A533,DICO_Complet!$A$3:$U$983,16,FALSE))</f>
        <v/>
      </c>
      <c r="P533" s="53" t="str">
        <f>IF(VLOOKUP($A533,DICO_Complet!$A$3:$U$983,17,FALSE)=0,"",VLOOKUP($A533,DICO_Complet!$A$3:$U$983,17,FALSE))</f>
        <v/>
      </c>
      <c r="Q533" s="53" t="str">
        <f>IF(VLOOKUP($A533,DICO_Complet!$A$3:$U$983,18,FALSE)=0,"",VLOOKUP($A533,DICO_Complet!$A$3:$U$983,18,FALSE))</f>
        <v/>
      </c>
    </row>
    <row r="534" spans="1:17">
      <c r="A534" s="38">
        <v>241112000236</v>
      </c>
      <c r="B534" s="47" t="s">
        <v>858</v>
      </c>
      <c r="C534" s="3" t="str">
        <f>VLOOKUP($A534,DICO_Complet!$A$3:$U$983,3,FALSE)</f>
        <v>Transaction</v>
      </c>
      <c r="D534" s="3" t="str">
        <f>VLOOKUP($A534,DICO_Complet!$A$3:$U$983,4,FALSE)</f>
        <v>additionalResponseData</v>
      </c>
      <c r="E534" s="2" t="str">
        <f>VLOOKUP($A534,DICO_Complet!$A$3:$U$983,5,FALSE)</f>
        <v>fieldConversionFieldNumber</v>
      </c>
      <c r="F534" s="2" t="str">
        <f>VLOOKUP($A534,DICO_Complet!$A$3:$U$983,6,FALSE)</f>
        <v>Exact3Text</v>
      </c>
      <c r="G534" s="48">
        <f>VLOOKUP($A534,DICO_Complet!$A$3:$U$983,7,FALSE)</f>
        <v>0</v>
      </c>
      <c r="H534" s="48">
        <f>VLOOKUP($A534,DICO_Complet!$A$3:$U$983,8,FALSE)</f>
        <v>0</v>
      </c>
      <c r="I534" s="2" t="str">
        <f>IF(VLOOKUP($A534,DICO_Complet!$A$3:$U$983,9,FALSE)&lt;&gt;0,VLOOKUP($A534,DICO_Complet!$A$3:$U$983,9,FALSE),"")</f>
        <v/>
      </c>
      <c r="J534" s="1" t="str">
        <f>VLOOKUP($A534,DICO_Complet!$A$3:$U$983,10,FALSE)</f>
        <v>Field number</v>
      </c>
      <c r="K534" s="53" t="str">
        <f>IF(VLOOKUP($A534,DICO_Complet!$A$3:$U$983,12,FALSE)=0,"",VLOOKUP($A534,DICO_Complet!$A$3:$U$983,12,FALSE))</f>
        <v>RSB44_AC_p2</v>
      </c>
      <c r="L534" s="53" t="str">
        <f>IF(VLOOKUP($A534,DICO_Complet!$A$3:$U$983,13,FALSE)=0,"",VLOOKUP($A534,DICO_Complet!$A$3:$U$983,13,FALSE))</f>
        <v>[44-AC-p2]</v>
      </c>
      <c r="M534" s="53" t="str">
        <f>IF(VLOOKUP($A534,DICO_Complet!$A$3:$U$983,14,FALSE)=0,"",VLOOKUP($A534,DICO_Complet!$A$3:$U$983,14,FALSE))</f>
        <v/>
      </c>
      <c r="N534" s="53" t="str">
        <f>IF(VLOOKUP($A534,DICO_Complet!$A$3:$U$983,15,FALSE)=0,"",VLOOKUP($A534,DICO_Complet!$A$3:$U$983,15,FALSE))</f>
        <v/>
      </c>
      <c r="O534" s="53" t="str">
        <f>IF(VLOOKUP($A534,DICO_Complet!$A$3:$U$983,16,FALSE)=0,"",VLOOKUP($A534,DICO_Complet!$A$3:$U$983,16,FALSE))</f>
        <v/>
      </c>
      <c r="P534" s="53" t="str">
        <f>IF(VLOOKUP($A534,DICO_Complet!$A$3:$U$983,17,FALSE)=0,"",VLOOKUP($A534,DICO_Complet!$A$3:$U$983,17,FALSE))</f>
        <v/>
      </c>
      <c r="Q534" s="53" t="str">
        <f>IF(VLOOKUP($A534,DICO_Complet!$A$3:$U$983,18,FALSE)=0,"",VLOOKUP($A534,DICO_Complet!$A$3:$U$983,18,FALSE))</f>
        <v/>
      </c>
    </row>
    <row r="535" spans="1:17">
      <c r="A535" s="38">
        <v>241112000237</v>
      </c>
      <c r="B535" s="47" t="s">
        <v>858</v>
      </c>
      <c r="C535" s="3" t="str">
        <f>VLOOKUP($A535,DICO_Complet!$A$3:$U$983,3,FALSE)</f>
        <v>Transaction</v>
      </c>
      <c r="D535" s="3" t="str">
        <f>VLOOKUP($A535,DICO_Complet!$A$3:$U$983,4,FALSE)</f>
        <v>additionalResponseData</v>
      </c>
      <c r="E535" s="2" t="str">
        <f>VLOOKUP($A535,DICO_Complet!$A$3:$U$983,5,FALSE)</f>
        <v>fieldConversionResponsibleValue</v>
      </c>
      <c r="F535" s="2" t="str">
        <f>VLOOKUP($A535,DICO_Complet!$A$3:$U$983,6,FALSE)</f>
        <v>Max17Text</v>
      </c>
      <c r="G535" s="48">
        <f>VLOOKUP($A535,DICO_Complet!$A$3:$U$983,7,FALSE)</f>
        <v>0</v>
      </c>
      <c r="H535" s="48">
        <f>VLOOKUP($A535,DICO_Complet!$A$3:$U$983,8,FALSE)</f>
        <v>0</v>
      </c>
      <c r="I535" s="2" t="str">
        <f>IF(VLOOKUP($A535,DICO_Complet!$A$3:$U$983,9,FALSE)&lt;&gt;0,VLOOKUP($A535,DICO_Complet!$A$3:$U$983,9,FALSE),"")</f>
        <v/>
      </c>
      <c r="J535" s="1" t="str">
        <f>VLOOKUP($A535,DICO_Complet!$A$3:$U$983,10,FALSE)</f>
        <v>Initial value or the value used on an approved network</v>
      </c>
      <c r="K535" s="53" t="str">
        <f>IF(VLOOKUP($A535,DICO_Complet!$A$3:$U$983,12,FALSE)=0,"",VLOOKUP($A535,DICO_Complet!$A$3:$U$983,12,FALSE))</f>
        <v>RSB44_AC_p3</v>
      </c>
      <c r="L535" s="53" t="str">
        <f>IF(VLOOKUP($A535,DICO_Complet!$A$3:$U$983,13,FALSE)=0,"",VLOOKUP($A535,DICO_Complet!$A$3:$U$983,13,FALSE))</f>
        <v>[44-AC-p3]</v>
      </c>
      <c r="M535" s="53" t="str">
        <f>IF(VLOOKUP($A535,DICO_Complet!$A$3:$U$983,14,FALSE)=0,"",VLOOKUP($A535,DICO_Complet!$A$3:$U$983,14,FALSE))</f>
        <v/>
      </c>
      <c r="N535" s="53" t="str">
        <f>IF(VLOOKUP($A535,DICO_Complet!$A$3:$U$983,15,FALSE)=0,"",VLOOKUP($A535,DICO_Complet!$A$3:$U$983,15,FALSE))</f>
        <v/>
      </c>
      <c r="O535" s="53" t="str">
        <f>IF(VLOOKUP($A535,DICO_Complet!$A$3:$U$983,16,FALSE)=0,"",VLOOKUP($A535,DICO_Complet!$A$3:$U$983,16,FALSE))</f>
        <v/>
      </c>
      <c r="P535" s="53" t="str">
        <f>IF(VLOOKUP($A535,DICO_Complet!$A$3:$U$983,17,FALSE)=0,"",VLOOKUP($A535,DICO_Complet!$A$3:$U$983,17,FALSE))</f>
        <v/>
      </c>
      <c r="Q535" s="53" t="str">
        <f>IF(VLOOKUP($A535,DICO_Complet!$A$3:$U$983,18,FALSE)=0,"",VLOOKUP($A535,DICO_Complet!$A$3:$U$983,18,FALSE))</f>
        <v/>
      </c>
    </row>
    <row r="536" spans="1:17">
      <c r="A536" s="38">
        <v>241112000044</v>
      </c>
      <c r="B536" s="47" t="s">
        <v>858</v>
      </c>
      <c r="C536" s="3" t="str">
        <f>VLOOKUP($A536,DICO_Complet!$A$3:$U$983,3,FALSE)</f>
        <v>Transaction</v>
      </c>
      <c r="D536" s="3" t="str">
        <f>VLOOKUP($A536,DICO_Complet!$A$3:$U$983,4,FALSE)</f>
        <v>additionalResponseData</v>
      </c>
      <c r="E536" s="2" t="str">
        <f>VLOOKUP($A536,DICO_Complet!$A$3:$U$983,5,FALSE)</f>
        <v>firstNameAccountMatchDecision</v>
      </c>
      <c r="F536" s="2" t="str">
        <f>VLOOKUP($A536,DICO_Complet!$A$3:$U$983,6,FALSE)</f>
        <v>Exact2AlphaNumericText</v>
      </c>
      <c r="G536" s="48">
        <f>VLOOKUP($A536,DICO_Complet!$A$3:$U$983,7,FALSE)</f>
        <v>0</v>
      </c>
      <c r="H536" s="48">
        <f>VLOOKUP($A536,DICO_Complet!$A$3:$U$983,8,FALSE)</f>
        <v>0</v>
      </c>
      <c r="I536" s="2" t="str">
        <f>IF(VLOOKUP($A536,DICO_Complet!$A$3:$U$983,9,FALSE)&lt;&gt;0,VLOOKUP($A536,DICO_Complet!$A$3:$U$983,9,FALSE),"")</f>
        <v/>
      </c>
      <c r="J536" s="1" t="str">
        <f>VLOOKUP($A536,DICO_Complet!$A$3:$U$983,10,FALSE)</f>
        <v>First name account match decision</v>
      </c>
      <c r="K536" s="53" t="str">
        <f>IF(VLOOKUP($A536,DICO_Complet!$A$3:$U$983,12,FALSE)=0,"",VLOOKUP($A536,DICO_Complet!$A$3:$U$983,12,FALSE))</f>
        <v>RSB119_0026_ p4</v>
      </c>
      <c r="L536" s="53" t="str">
        <f>IF(VLOOKUP($A536,DICO_Complet!$A$3:$U$983,13,FALSE)=0,"",VLOOKUP($A536,DICO_Complet!$A$3:$U$983,13,FALSE))</f>
        <v>[119-0026-p4]</v>
      </c>
      <c r="M536" s="53" t="str">
        <f>IF(VLOOKUP($A536,DICO_Complet!$A$3:$U$983,14,FALSE)=0,"",VLOOKUP($A536,DICO_Complet!$A$3:$U$983,14,FALSE))</f>
        <v/>
      </c>
      <c r="N536" s="53" t="str">
        <f>IF(VLOOKUP($A536,DICO_Complet!$A$3:$U$983,15,FALSE)=0,"",VLOOKUP($A536,DICO_Complet!$A$3:$U$983,15,FALSE))</f>
        <v/>
      </c>
      <c r="O536" s="53" t="str">
        <f>IF(VLOOKUP($A536,DICO_Complet!$A$3:$U$983,16,FALSE)=0,"",VLOOKUP($A536,DICO_Complet!$A$3:$U$983,16,FALSE))</f>
        <v/>
      </c>
      <c r="P536" s="53" t="str">
        <f>IF(VLOOKUP($A536,DICO_Complet!$A$3:$U$983,17,FALSE)=0,"",VLOOKUP($A536,DICO_Complet!$A$3:$U$983,17,FALSE))</f>
        <v/>
      </c>
      <c r="Q536" s="53" t="str">
        <f>IF(VLOOKUP($A536,DICO_Complet!$A$3:$U$983,18,FALSE)=0,"",VLOOKUP($A536,DICO_Complet!$A$3:$U$983,18,FALSE))</f>
        <v/>
      </c>
    </row>
    <row r="537" spans="1:17">
      <c r="A537" s="38">
        <v>241112000046</v>
      </c>
      <c r="B537" s="47" t="s">
        <v>858</v>
      </c>
      <c r="C537" s="3" t="str">
        <f>VLOOKUP($A537,DICO_Complet!$A$3:$U$983,3,FALSE)</f>
        <v>Transaction</v>
      </c>
      <c r="D537" s="3" t="str">
        <f>VLOOKUP($A537,DICO_Complet!$A$3:$U$983,4,FALSE)</f>
        <v>additionalResponseData</v>
      </c>
      <c r="E537" s="2" t="str">
        <f>VLOOKUP($A537,DICO_Complet!$A$3:$U$983,5,FALSE)</f>
        <v>fullNameAccountMatchDecision</v>
      </c>
      <c r="F537" s="2" t="str">
        <f>VLOOKUP($A537,DICO_Complet!$A$3:$U$983,6,FALSE)</f>
        <v>Exact2AlphaNumericText</v>
      </c>
      <c r="G537" s="48">
        <f>VLOOKUP($A537,DICO_Complet!$A$3:$U$983,7,FALSE)</f>
        <v>0</v>
      </c>
      <c r="H537" s="48">
        <f>VLOOKUP($A537,DICO_Complet!$A$3:$U$983,8,FALSE)</f>
        <v>0</v>
      </c>
      <c r="I537" s="2" t="str">
        <f>IF(VLOOKUP($A537,DICO_Complet!$A$3:$U$983,9,FALSE)&lt;&gt;0,VLOOKUP($A537,DICO_Complet!$A$3:$U$983,9,FALSE),"")</f>
        <v/>
      </c>
      <c r="J537" s="1" t="str">
        <f>VLOOKUP($A537,DICO_Complet!$A$3:$U$983,10,FALSE)</f>
        <v>Full name account match decision</v>
      </c>
      <c r="K537" s="53" t="str">
        <f>IF(VLOOKUP($A537,DICO_Complet!$A$3:$U$983,12,FALSE)=0,"",VLOOKUP($A537,DICO_Complet!$A$3:$U$983,12,FALSE))</f>
        <v>RSB119_0026_ p1</v>
      </c>
      <c r="L537" s="53" t="str">
        <f>IF(VLOOKUP($A537,DICO_Complet!$A$3:$U$983,13,FALSE)=0,"",VLOOKUP($A537,DICO_Complet!$A$3:$U$983,13,FALSE))</f>
        <v>[119-0026-p1]</v>
      </c>
      <c r="M537" s="53" t="str">
        <f>IF(VLOOKUP($A537,DICO_Complet!$A$3:$U$983,14,FALSE)=0,"",VLOOKUP($A537,DICO_Complet!$A$3:$U$983,14,FALSE))</f>
        <v/>
      </c>
      <c r="N537" s="53" t="str">
        <f>IF(VLOOKUP($A537,DICO_Complet!$A$3:$U$983,15,FALSE)=0,"",VLOOKUP($A537,DICO_Complet!$A$3:$U$983,15,FALSE))</f>
        <v/>
      </c>
      <c r="O537" s="53" t="str">
        <f>IF(VLOOKUP($A537,DICO_Complet!$A$3:$U$983,16,FALSE)=0,"",VLOOKUP($A537,DICO_Complet!$A$3:$U$983,16,FALSE))</f>
        <v/>
      </c>
      <c r="P537" s="53" t="str">
        <f>IF(VLOOKUP($A537,DICO_Complet!$A$3:$U$983,17,FALSE)=0,"",VLOOKUP($A537,DICO_Complet!$A$3:$U$983,17,FALSE))</f>
        <v/>
      </c>
      <c r="Q537" s="53" t="str">
        <f>IF(VLOOKUP($A537,DICO_Complet!$A$3:$U$983,18,FALSE)=0,"",VLOOKUP($A537,DICO_Complet!$A$3:$U$983,18,FALSE))</f>
        <v/>
      </c>
    </row>
    <row r="538" spans="1:17">
      <c r="A538" s="38">
        <v>250214102600</v>
      </c>
      <c r="B538" s="47" t="s">
        <v>858</v>
      </c>
      <c r="C538" s="3" t="str">
        <f>VLOOKUP($A538,DICO_Complet!$A$3:$U$983,3,FALSE)</f>
        <v>Transaction</v>
      </c>
      <c r="D538" s="3" t="str">
        <f>VLOOKUP($A538,DICO_Complet!$A$3:$U$983,4,FALSE)</f>
        <v>additionalResponseData</v>
      </c>
      <c r="E538" s="2" t="str">
        <f>VLOOKUP($A538,DICO_Complet!$A$3:$U$983,5,FALSE)</f>
        <v>geoRestrictionIndicator</v>
      </c>
      <c r="F538" s="2" t="str">
        <f>VLOOKUP($A538,DICO_Complet!$A$3:$U$983,6,FALSE)</f>
        <v>TrueFalseIndicator</v>
      </c>
      <c r="G538" s="48">
        <f>VLOOKUP($A538,DICO_Complet!$A$3:$U$983,7,FALSE)</f>
        <v>0</v>
      </c>
      <c r="H538" s="48">
        <f>VLOOKUP($A538,DICO_Complet!$A$3:$U$983,8,FALSE)</f>
        <v>0</v>
      </c>
      <c r="I538" s="2" t="str">
        <f>IF(VLOOKUP($A538,DICO_Complet!$A$3:$U$983,9,FALSE)&lt;&gt;0,VLOOKUP($A538,DICO_Complet!$A$3:$U$983,9,FALSE),"")</f>
        <v/>
      </c>
      <c r="J538" s="1" t="str">
        <f>VLOOKUP($A538,DICO_Complet!$A$3:$U$983,10,FALSE)</f>
        <v>Indicate if issuer is blocked for receiving cross-border OCTs</v>
      </c>
      <c r="K538" s="53" t="str">
        <f>IF(VLOOKUP($A538,DICO_Complet!$A$3:$U$983,12,FALSE)=0,"",VLOOKUP($A538,DICO_Complet!$A$3:$U$983,12,FALSE))</f>
        <v/>
      </c>
      <c r="L538" s="53" t="str">
        <f>IF(VLOOKUP($A538,DICO_Complet!$A$3:$U$983,13,FALSE)=0,"",VLOOKUP($A538,DICO_Complet!$A$3:$U$983,13,FALSE))</f>
        <v/>
      </c>
      <c r="M538" s="53" t="str">
        <f>IF(VLOOKUP($A538,DICO_Complet!$A$3:$U$983,14,FALSE)=0,"",VLOOKUP($A538,DICO_Complet!$A$3:$U$983,14,FALSE))</f>
        <v/>
      </c>
      <c r="N538" s="53" t="str">
        <f>IF(VLOOKUP($A538,DICO_Complet!$A$3:$U$983,15,FALSE)=0,"",VLOOKUP($A538,DICO_Complet!$A$3:$U$983,15,FALSE))</f>
        <v/>
      </c>
      <c r="O538" s="53" t="str">
        <f>IF(VLOOKUP($A538,DICO_Complet!$A$3:$U$983,16,FALSE)=0,"",VLOOKUP($A538,DICO_Complet!$A$3:$U$983,16,FALSE))</f>
        <v/>
      </c>
      <c r="P538" s="53" t="str">
        <f>IF(VLOOKUP($A538,DICO_Complet!$A$3:$U$983,17,FALSE)=0,"",VLOOKUP($A538,DICO_Complet!$A$3:$U$983,17,FALSE))</f>
        <v/>
      </c>
      <c r="Q538" s="53" t="str">
        <f>IF(VLOOKUP($A538,DICO_Complet!$A$3:$U$983,18,FALSE)=0,"",VLOOKUP($A538,DICO_Complet!$A$3:$U$983,18,FALSE))</f>
        <v/>
      </c>
    </row>
    <row r="539" spans="1:17">
      <c r="A539" s="38">
        <v>241112000238</v>
      </c>
      <c r="B539" s="47" t="s">
        <v>858</v>
      </c>
      <c r="C539" s="3" t="str">
        <f>VLOOKUP($A539,DICO_Complet!$A$3:$U$983,3,FALSE)</f>
        <v>Transaction</v>
      </c>
      <c r="D539" s="3" t="str">
        <f>VLOOKUP($A539,DICO_Complet!$A$3:$U$983,4,FALSE)</f>
        <v>additionalResponseData</v>
      </c>
      <c r="E539" s="2" t="str">
        <f>VLOOKUP($A539,DICO_Complet!$A$3:$U$983,5,FALSE)</f>
        <v>incorrectFieldErrorCode</v>
      </c>
      <c r="F539" s="2" t="str">
        <f>VLOOKUP($A539,DICO_Complet!$A$3:$U$983,6,FALSE)</f>
        <v>IncorrectFieldErrorCodeCodeset</v>
      </c>
      <c r="G539" s="48">
        <f>VLOOKUP($A539,DICO_Complet!$A$3:$U$983,7,FALSE)</f>
        <v>0</v>
      </c>
      <c r="H539" s="48">
        <f>VLOOKUP($A539,DICO_Complet!$A$3:$U$983,8,FALSE)</f>
        <v>0</v>
      </c>
      <c r="I539" s="2" t="str">
        <f>IF(VLOOKUP($A539,DICO_Complet!$A$3:$U$983,9,FALSE)&lt;&gt;0,VLOOKUP($A539,DICO_Complet!$A$3:$U$983,9,FALSE),"")</f>
        <v/>
      </c>
      <c r="J539" s="1" t="str">
        <f>VLOOKUP($A539,DICO_Complet!$A$3:$U$983,10,FALSE)</f>
        <v>Error code</v>
      </c>
      <c r="K539" s="53" t="str">
        <f>IF(VLOOKUP($A539,DICO_Complet!$A$3:$U$983,12,FALSE)=0,"",VLOOKUP($A539,DICO_Complet!$A$3:$U$983,12,FALSE))</f>
        <v>RSB44_AA_p3</v>
      </c>
      <c r="L539" s="53" t="str">
        <f>IF(VLOOKUP($A539,DICO_Complet!$A$3:$U$983,13,FALSE)=0,"",VLOOKUP($A539,DICO_Complet!$A$3:$U$983,13,FALSE))</f>
        <v>[44-AA-p3]</v>
      </c>
      <c r="M539" s="53" t="str">
        <f>IF(VLOOKUP($A539,DICO_Complet!$A$3:$U$983,14,FALSE)=0,"",VLOOKUP($A539,DICO_Complet!$A$3:$U$983,14,FALSE))</f>
        <v/>
      </c>
      <c r="N539" s="53" t="str">
        <f>IF(VLOOKUP($A539,DICO_Complet!$A$3:$U$983,15,FALSE)=0,"",VLOOKUP($A539,DICO_Complet!$A$3:$U$983,15,FALSE))</f>
        <v/>
      </c>
      <c r="O539" s="53" t="str">
        <f>IF(VLOOKUP($A539,DICO_Complet!$A$3:$U$983,16,FALSE)=0,"",VLOOKUP($A539,DICO_Complet!$A$3:$U$983,16,FALSE))</f>
        <v/>
      </c>
      <c r="P539" s="53" t="str">
        <f>IF(VLOOKUP($A539,DICO_Complet!$A$3:$U$983,17,FALSE)=0,"",VLOOKUP($A539,DICO_Complet!$A$3:$U$983,17,FALSE))</f>
        <v/>
      </c>
      <c r="Q539" s="53" t="str">
        <f>IF(VLOOKUP($A539,DICO_Complet!$A$3:$U$983,18,FALSE)=0,"",VLOOKUP($A539,DICO_Complet!$A$3:$U$983,18,FALSE))</f>
        <v/>
      </c>
    </row>
    <row r="540" spans="1:17">
      <c r="A540" s="38">
        <v>241112000239</v>
      </c>
      <c r="B540" s="47" t="s">
        <v>858</v>
      </c>
      <c r="C540" s="3" t="str">
        <f>VLOOKUP($A540,DICO_Complet!$A$3:$U$983,3,FALSE)</f>
        <v>Transaction</v>
      </c>
      <c r="D540" s="3" t="str">
        <f>VLOOKUP($A540,DICO_Complet!$A$3:$U$983,4,FALSE)</f>
        <v>additionalResponseData</v>
      </c>
      <c r="E540" s="2" t="str">
        <f>VLOOKUP($A540,DICO_Complet!$A$3:$U$983,5,FALSE)</f>
        <v>incorrectFieldNumber</v>
      </c>
      <c r="F540" s="2" t="str">
        <f>VLOOKUP($A540,DICO_Complet!$A$3:$U$983,6,FALSE)</f>
        <v>Exact3Text</v>
      </c>
      <c r="G540" s="48">
        <f>VLOOKUP($A540,DICO_Complet!$A$3:$U$983,7,FALSE)</f>
        <v>0</v>
      </c>
      <c r="H540" s="48">
        <f>VLOOKUP($A540,DICO_Complet!$A$3:$U$983,8,FALSE)</f>
        <v>0</v>
      </c>
      <c r="I540" s="2" t="str">
        <f>IF(VLOOKUP($A540,DICO_Complet!$A$3:$U$983,9,FALSE)&lt;&gt;0,VLOOKUP($A540,DICO_Complet!$A$3:$U$983,9,FALSE),"")</f>
        <v/>
      </c>
      <c r="J540" s="1" t="str">
        <f>VLOOKUP($A540,DICO_Complet!$A$3:$U$983,10,FALSE)</f>
        <v>Incorrect field number</v>
      </c>
      <c r="K540" s="53" t="str">
        <f>IF(VLOOKUP($A540,DICO_Complet!$A$3:$U$983,12,FALSE)=0,"",VLOOKUP($A540,DICO_Complet!$A$3:$U$983,12,FALSE))</f>
        <v>RSB44_AA_p1</v>
      </c>
      <c r="L540" s="53" t="str">
        <f>IF(VLOOKUP($A540,DICO_Complet!$A$3:$U$983,13,FALSE)=0,"",VLOOKUP($A540,DICO_Complet!$A$3:$U$983,13,FALSE))</f>
        <v>[44-AA-p1]</v>
      </c>
      <c r="M540" s="53" t="str">
        <f>IF(VLOOKUP($A540,DICO_Complet!$A$3:$U$983,14,FALSE)=0,"",VLOOKUP($A540,DICO_Complet!$A$3:$U$983,14,FALSE))</f>
        <v/>
      </c>
      <c r="N540" s="53" t="str">
        <f>IF(VLOOKUP($A540,DICO_Complet!$A$3:$U$983,15,FALSE)=0,"",VLOOKUP($A540,DICO_Complet!$A$3:$U$983,15,FALSE))</f>
        <v/>
      </c>
      <c r="O540" s="53" t="str">
        <f>IF(VLOOKUP($A540,DICO_Complet!$A$3:$U$983,16,FALSE)=0,"",VLOOKUP($A540,DICO_Complet!$A$3:$U$983,16,FALSE))</f>
        <v/>
      </c>
      <c r="P540" s="53" t="str">
        <f>IF(VLOOKUP($A540,DICO_Complet!$A$3:$U$983,17,FALSE)=0,"",VLOOKUP($A540,DICO_Complet!$A$3:$U$983,17,FALSE))</f>
        <v/>
      </c>
      <c r="Q540" s="53" t="str">
        <f>IF(VLOOKUP($A540,DICO_Complet!$A$3:$U$983,18,FALSE)=0,"",VLOOKUP($A540,DICO_Complet!$A$3:$U$983,18,FALSE))</f>
        <v/>
      </c>
    </row>
    <row r="541" spans="1:17">
      <c r="A541" s="38">
        <v>241112000240</v>
      </c>
      <c r="B541" s="47" t="s">
        <v>858</v>
      </c>
      <c r="C541" s="3" t="str">
        <f>VLOOKUP($A541,DICO_Complet!$A$3:$U$983,3,FALSE)</f>
        <v>Transaction</v>
      </c>
      <c r="D541" s="3" t="str">
        <f>VLOOKUP($A541,DICO_Complet!$A$3:$U$983,4,FALSE)</f>
        <v>additionalResponseData</v>
      </c>
      <c r="E541" s="2" t="str">
        <f>VLOOKUP($A541,DICO_Complet!$A$3:$U$983,5,FALSE)</f>
        <v>incorrectSubfield</v>
      </c>
      <c r="F541" s="2" t="str">
        <f>VLOOKUP($A541,DICO_Complet!$A$3:$U$983,6,FALSE)</f>
        <v>Max4Text</v>
      </c>
      <c r="G541" s="48">
        <f>VLOOKUP($A541,DICO_Complet!$A$3:$U$983,7,FALSE)</f>
        <v>0</v>
      </c>
      <c r="H541" s="48">
        <f>VLOOKUP($A541,DICO_Complet!$A$3:$U$983,8,FALSE)</f>
        <v>0</v>
      </c>
      <c r="I541" s="2" t="str">
        <f>IF(VLOOKUP($A541,DICO_Complet!$A$3:$U$983,9,FALSE)&lt;&gt;0,VLOOKUP($A541,DICO_Complet!$A$3:$U$983,9,FALSE),"")</f>
        <v/>
      </c>
      <c r="J541" s="1" t="str">
        <f>VLOOKUP($A541,DICO_Complet!$A$3:$U$983,10,FALSE)</f>
        <v>Incorrect field type</v>
      </c>
      <c r="K541" s="53" t="str">
        <f>IF(VLOOKUP($A541,DICO_Complet!$A$3:$U$983,12,FALSE)=0,"",VLOOKUP($A541,DICO_Complet!$A$3:$U$983,12,FALSE))</f>
        <v>RSB44_AA_p2</v>
      </c>
      <c r="L541" s="53" t="str">
        <f>IF(VLOOKUP($A541,DICO_Complet!$A$3:$U$983,13,FALSE)=0,"",VLOOKUP($A541,DICO_Complet!$A$3:$U$983,13,FALSE))</f>
        <v>[44-AA-p2]</v>
      </c>
      <c r="M541" s="53" t="str">
        <f>IF(VLOOKUP($A541,DICO_Complet!$A$3:$U$983,14,FALSE)=0,"",VLOOKUP($A541,DICO_Complet!$A$3:$U$983,14,FALSE))</f>
        <v/>
      </c>
      <c r="N541" s="53" t="str">
        <f>IF(VLOOKUP($A541,DICO_Complet!$A$3:$U$983,15,FALSE)=0,"",VLOOKUP($A541,DICO_Complet!$A$3:$U$983,15,FALSE))</f>
        <v/>
      </c>
      <c r="O541" s="53" t="str">
        <f>IF(VLOOKUP($A541,DICO_Complet!$A$3:$U$983,16,FALSE)=0,"",VLOOKUP($A541,DICO_Complet!$A$3:$U$983,16,FALSE))</f>
        <v/>
      </c>
      <c r="P541" s="53" t="str">
        <f>IF(VLOOKUP($A541,DICO_Complet!$A$3:$U$983,17,FALSE)=0,"",VLOOKUP($A541,DICO_Complet!$A$3:$U$983,17,FALSE))</f>
        <v/>
      </c>
      <c r="Q541" s="53" t="str">
        <f>IF(VLOOKUP($A541,DICO_Complet!$A$3:$U$983,18,FALSE)=0,"",VLOOKUP($A541,DICO_Complet!$A$3:$U$983,18,FALSE))</f>
        <v/>
      </c>
    </row>
    <row r="542" spans="1:17">
      <c r="A542" s="38">
        <v>250214101200</v>
      </c>
      <c r="B542" s="47" t="s">
        <v>858</v>
      </c>
      <c r="C542" s="3" t="str">
        <f>VLOOKUP($A542,DICO_Complet!$A$3:$U$983,3,FALSE)</f>
        <v>Transaction</v>
      </c>
      <c r="D542" s="3" t="str">
        <f>VLOOKUP($A542,DICO_Complet!$A$3:$U$983,4,FALSE)</f>
        <v>additionalResponseData</v>
      </c>
      <c r="E542" s="2" t="str">
        <f>VLOOKUP($A542,DICO_Complet!$A$3:$U$983,5,FALSE)</f>
        <v>issuerFunctionalIdentifier</v>
      </c>
      <c r="F542" s="2" t="str">
        <f>VLOOKUP($A542,DICO_Complet!$A$3:$U$983,6,FALSE)</f>
        <v>Exact8AlphaNumericText</v>
      </c>
      <c r="G542" s="48">
        <f>VLOOKUP($A542,DICO_Complet!$A$3:$U$983,7,FALSE)</f>
        <v>0</v>
      </c>
      <c r="H542" s="48">
        <f>VLOOKUP($A542,DICO_Complet!$A$3:$U$983,8,FALSE)</f>
        <v>0</v>
      </c>
      <c r="I542" s="2" t="str">
        <f>IF(VLOOKUP($A542,DICO_Complet!$A$3:$U$983,9,FALSE)&lt;&gt;0,VLOOKUP($A542,DICO_Complet!$A$3:$U$983,9,FALSE),"")</f>
        <v/>
      </c>
      <c r="J542" s="1" t="str">
        <f>VLOOKUP($A542,DICO_Complet!$A$3:$U$983,10,FALSE)</f>
        <v>Transfer recipient issuer's Business ID</v>
      </c>
      <c r="K542" s="53" t="str">
        <f>IF(VLOOKUP($A542,DICO_Complet!$A$3:$U$983,12,FALSE)=0,"",VLOOKUP($A542,DICO_Complet!$A$3:$U$983,12,FALSE))</f>
        <v/>
      </c>
      <c r="L542" s="53" t="str">
        <f>IF(VLOOKUP($A542,DICO_Complet!$A$3:$U$983,13,FALSE)=0,"",VLOOKUP($A542,DICO_Complet!$A$3:$U$983,13,FALSE))</f>
        <v/>
      </c>
      <c r="M542" s="53" t="str">
        <f>IF(VLOOKUP($A542,DICO_Complet!$A$3:$U$983,14,FALSE)=0,"",VLOOKUP($A542,DICO_Complet!$A$3:$U$983,14,FALSE))</f>
        <v/>
      </c>
      <c r="N542" s="53" t="str">
        <f>IF(VLOOKUP($A542,DICO_Complet!$A$3:$U$983,15,FALSE)=0,"",VLOOKUP($A542,DICO_Complet!$A$3:$U$983,15,FALSE))</f>
        <v/>
      </c>
      <c r="O542" s="53" t="str">
        <f>IF(VLOOKUP($A542,DICO_Complet!$A$3:$U$983,16,FALSE)=0,"",VLOOKUP($A542,DICO_Complet!$A$3:$U$983,16,FALSE))</f>
        <v/>
      </c>
      <c r="P542" s="53" t="str">
        <f>IF(VLOOKUP($A542,DICO_Complet!$A$3:$U$983,17,FALSE)=0,"",VLOOKUP($A542,DICO_Complet!$A$3:$U$983,17,FALSE))</f>
        <v/>
      </c>
      <c r="Q542" s="53" t="str">
        <f>IF(VLOOKUP($A542,DICO_Complet!$A$3:$U$983,18,FALSE)=0,"",VLOOKUP($A542,DICO_Complet!$A$3:$U$983,18,FALSE))</f>
        <v/>
      </c>
    </row>
    <row r="543" spans="1:17">
      <c r="A543" s="38">
        <v>250214103300</v>
      </c>
      <c r="B543" s="47" t="s">
        <v>858</v>
      </c>
      <c r="C543" s="3" t="str">
        <f>VLOOKUP($A543,DICO_Complet!$A$3:$U$983,3,FALSE)</f>
        <v>Transaction</v>
      </c>
      <c r="D543" s="3" t="str">
        <f>VLOOKUP($A543,DICO_Complet!$A$3:$U$983,4,FALSE)</f>
        <v>additionalResponseData</v>
      </c>
      <c r="E543" s="2" t="str">
        <f>VLOOKUP($A543,DICO_Complet!$A$3:$U$983,5,FALSE)</f>
        <v>issuerInstitutionCountryCode</v>
      </c>
      <c r="F543" s="2" t="str">
        <f>VLOOKUP($A543,DICO_Complet!$A$3:$U$983,6,FALSE)</f>
        <v>Exact3AlphaNumericText</v>
      </c>
      <c r="G543" s="48">
        <f>VLOOKUP($A543,DICO_Complet!$A$3:$U$983,7,FALSE)</f>
        <v>0</v>
      </c>
      <c r="H543" s="48">
        <f>VLOOKUP($A543,DICO_Complet!$A$3:$U$983,8,FALSE)</f>
        <v>0</v>
      </c>
      <c r="I543" s="2" t="str">
        <f>IF(VLOOKUP($A543,DICO_Complet!$A$3:$U$983,9,FALSE)&lt;&gt;0,VLOOKUP($A543,DICO_Complet!$A$3:$U$983,9,FALSE),"")</f>
        <v/>
      </c>
      <c r="J543" s="1" t="str">
        <f>VLOOKUP($A543,DICO_Complet!$A$3:$U$983,10,FALSE)</f>
        <v>Recipient issuer 3-digit country code</v>
      </c>
      <c r="K543" s="53" t="str">
        <f>IF(VLOOKUP($A543,DICO_Complet!$A$3:$U$983,12,FALSE)=0,"",VLOOKUP($A543,DICO_Complet!$A$3:$U$983,12,FALSE))</f>
        <v/>
      </c>
      <c r="L543" s="53" t="str">
        <f>IF(VLOOKUP($A543,DICO_Complet!$A$3:$U$983,13,FALSE)=0,"",VLOOKUP($A543,DICO_Complet!$A$3:$U$983,13,FALSE))</f>
        <v/>
      </c>
      <c r="M543" s="53" t="str">
        <f>IF(VLOOKUP($A543,DICO_Complet!$A$3:$U$983,14,FALSE)=0,"",VLOOKUP($A543,DICO_Complet!$A$3:$U$983,14,FALSE))</f>
        <v/>
      </c>
      <c r="N543" s="53" t="str">
        <f>IF(VLOOKUP($A543,DICO_Complet!$A$3:$U$983,15,FALSE)=0,"",VLOOKUP($A543,DICO_Complet!$A$3:$U$983,15,FALSE))</f>
        <v/>
      </c>
      <c r="O543" s="53" t="str">
        <f>IF(VLOOKUP($A543,DICO_Complet!$A$3:$U$983,16,FALSE)=0,"",VLOOKUP($A543,DICO_Complet!$A$3:$U$983,16,FALSE))</f>
        <v/>
      </c>
      <c r="P543" s="53" t="str">
        <f>IF(VLOOKUP($A543,DICO_Complet!$A$3:$U$983,17,FALSE)=0,"",VLOOKUP($A543,DICO_Complet!$A$3:$U$983,17,FALSE))</f>
        <v/>
      </c>
      <c r="Q543" s="53" t="str">
        <f>IF(VLOOKUP($A543,DICO_Complet!$A$3:$U$983,18,FALSE)=0,"",VLOOKUP($A543,DICO_Complet!$A$3:$U$983,18,FALSE))</f>
        <v/>
      </c>
    </row>
    <row r="544" spans="1:17">
      <c r="A544" s="38">
        <v>241112000049</v>
      </c>
      <c r="B544" s="47" t="s">
        <v>858</v>
      </c>
      <c r="C544" s="3" t="str">
        <f>VLOOKUP($A544,DICO_Complet!$A$3:$U$983,3,FALSE)</f>
        <v>Transaction</v>
      </c>
      <c r="D544" s="3" t="str">
        <f>VLOOKUP($A544,DICO_Complet!$A$3:$U$983,4,FALSE)</f>
        <v>additionalResponseData</v>
      </c>
      <c r="E544" s="2" t="str">
        <f>VLOOKUP($A544,DICO_Complet!$A$3:$U$983,5,FALSE)</f>
        <v>lastNameAccountMatchDecision</v>
      </c>
      <c r="F544" s="2" t="str">
        <f>VLOOKUP($A544,DICO_Complet!$A$3:$U$983,6,FALSE)</f>
        <v>Exact2AlphaNumericText</v>
      </c>
      <c r="G544" s="48">
        <f>VLOOKUP($A544,DICO_Complet!$A$3:$U$983,7,FALSE)</f>
        <v>0</v>
      </c>
      <c r="H544" s="48">
        <f>VLOOKUP($A544,DICO_Complet!$A$3:$U$983,8,FALSE)</f>
        <v>0</v>
      </c>
      <c r="I544" s="2" t="str">
        <f>IF(VLOOKUP($A544,DICO_Complet!$A$3:$U$983,9,FALSE)&lt;&gt;0,VLOOKUP($A544,DICO_Complet!$A$3:$U$983,9,FALSE),"")</f>
        <v/>
      </c>
      <c r="J544" s="1" t="str">
        <f>VLOOKUP($A544,DICO_Complet!$A$3:$U$983,10,FALSE)</f>
        <v>Last name account match decision</v>
      </c>
      <c r="K544" s="53" t="str">
        <f>IF(VLOOKUP($A544,DICO_Complet!$A$3:$U$983,12,FALSE)=0,"",VLOOKUP($A544,DICO_Complet!$A$3:$U$983,12,FALSE))</f>
        <v>RSB119_0026 _p2</v>
      </c>
      <c r="L544" s="53" t="str">
        <f>IF(VLOOKUP($A544,DICO_Complet!$A$3:$U$983,13,FALSE)=0,"",VLOOKUP($A544,DICO_Complet!$A$3:$U$983,13,FALSE))</f>
        <v>[119-0026-p2]</v>
      </c>
      <c r="M544" s="53" t="str">
        <f>IF(VLOOKUP($A544,DICO_Complet!$A$3:$U$983,14,FALSE)=0,"",VLOOKUP($A544,DICO_Complet!$A$3:$U$983,14,FALSE))</f>
        <v/>
      </c>
      <c r="N544" s="53" t="str">
        <f>IF(VLOOKUP($A544,DICO_Complet!$A$3:$U$983,15,FALSE)=0,"",VLOOKUP($A544,DICO_Complet!$A$3:$U$983,15,FALSE))</f>
        <v/>
      </c>
      <c r="O544" s="53" t="str">
        <f>IF(VLOOKUP($A544,DICO_Complet!$A$3:$U$983,16,FALSE)=0,"",VLOOKUP($A544,DICO_Complet!$A$3:$U$983,16,FALSE))</f>
        <v/>
      </c>
      <c r="P544" s="53" t="str">
        <f>IF(VLOOKUP($A544,DICO_Complet!$A$3:$U$983,17,FALSE)=0,"",VLOOKUP($A544,DICO_Complet!$A$3:$U$983,17,FALSE))</f>
        <v/>
      </c>
      <c r="Q544" s="53" t="str">
        <f>IF(VLOOKUP($A544,DICO_Complet!$A$3:$U$983,18,FALSE)=0,"",VLOOKUP($A544,DICO_Complet!$A$3:$U$983,18,FALSE))</f>
        <v/>
      </c>
    </row>
    <row r="545" spans="1:17">
      <c r="A545" s="38">
        <v>250203165300</v>
      </c>
      <c r="B545" s="47" t="s">
        <v>858</v>
      </c>
      <c r="C545" s="3" t="str">
        <f>VLOOKUP($A545,DICO_Complet!$A$3:$U$983,3,FALSE)</f>
        <v>Transaction</v>
      </c>
      <c r="D545" s="3" t="str">
        <f>VLOOKUP($A545,DICO_Complet!$A$3:$U$983,4,FALSE)</f>
        <v>additionalResponseData</v>
      </c>
      <c r="E545" s="2" t="str">
        <f>VLOOKUP($A545,DICO_Complet!$A$3:$U$983,5,FALSE)</f>
        <v>mastercardMagstripeError</v>
      </c>
      <c r="F545" s="2" t="str">
        <f>VLOOKUP($A545,DICO_Complet!$A$3:$U$983,6,FALSE)</f>
        <v>Exact1Text</v>
      </c>
      <c r="G545" s="48">
        <f>VLOOKUP($A545,DICO_Complet!$A$3:$U$983,7,FALSE)</f>
        <v>0</v>
      </c>
      <c r="H545" s="48">
        <f>VLOOKUP($A545,DICO_Complet!$A$3:$U$983,8,FALSE)</f>
        <v>0</v>
      </c>
      <c r="I545" s="2" t="str">
        <f>IF(VLOOKUP($A545,DICO_Complet!$A$3:$U$983,9,FALSE)&lt;&gt;0,VLOOKUP($A545,DICO_Complet!$A$3:$U$983,9,FALSE),"")</f>
        <v/>
      </c>
      <c r="J545" s="1" t="str">
        <f>VLOOKUP($A545,DICO_Complet!$A$3:$U$983,10,FALSE)</f>
        <v>Champ retourne par Mastercard dans le Field DE48 SE88  si le Field DE22 a ete modifie</v>
      </c>
      <c r="K545" s="53" t="str">
        <f>IF(VLOOKUP($A545,DICO_Complet!$A$3:$U$983,12,FALSE)=0,"",VLOOKUP($A545,DICO_Complet!$A$3:$U$983,12,FALSE))</f>
        <v/>
      </c>
      <c r="L545" s="53" t="str">
        <f>IF(VLOOKUP($A545,DICO_Complet!$A$3:$U$983,13,FALSE)=0,"",VLOOKUP($A545,DICO_Complet!$A$3:$U$983,13,FALSE))</f>
        <v/>
      </c>
      <c r="M545" s="53" t="str">
        <f>IF(VLOOKUP($A545,DICO_Complet!$A$3:$U$983,14,FALSE)=0,"",VLOOKUP($A545,DICO_Complet!$A$3:$U$983,14,FALSE))</f>
        <v/>
      </c>
      <c r="N545" s="53" t="str">
        <f>IF(VLOOKUP($A545,DICO_Complet!$A$3:$U$983,15,FALSE)=0,"",VLOOKUP($A545,DICO_Complet!$A$3:$U$983,15,FALSE))</f>
        <v/>
      </c>
      <c r="O545" s="53" t="str">
        <f>IF(VLOOKUP($A545,DICO_Complet!$A$3:$U$983,16,FALSE)=0,"",VLOOKUP($A545,DICO_Complet!$A$3:$U$983,16,FALSE))</f>
        <v/>
      </c>
      <c r="P545" s="53" t="str">
        <f>IF(VLOOKUP($A545,DICO_Complet!$A$3:$U$983,17,FALSE)=0,"",VLOOKUP($A545,DICO_Complet!$A$3:$U$983,17,FALSE))</f>
        <v/>
      </c>
      <c r="Q545" s="53" t="str">
        <f>IF(VLOOKUP($A545,DICO_Complet!$A$3:$U$983,18,FALSE)=0,"",VLOOKUP($A545,DICO_Complet!$A$3:$U$983,18,FALSE))</f>
        <v/>
      </c>
    </row>
    <row r="546" spans="1:17">
      <c r="A546" s="38">
        <v>241112000241</v>
      </c>
      <c r="B546" s="47" t="s">
        <v>858</v>
      </c>
      <c r="C546" s="3" t="str">
        <f>VLOOKUP($A546,DICO_Complet!$A$3:$U$983,3,FALSE)</f>
        <v>Transaction</v>
      </c>
      <c r="D546" s="3" t="str">
        <f>VLOOKUP($A546,DICO_Complet!$A$3:$U$983,4,FALSE)</f>
        <v>additionalResponseData</v>
      </c>
      <c r="E546" s="2" t="str">
        <f>VLOOKUP($A546,DICO_Complet!$A$3:$U$983,5,FALSE)</f>
        <v>mastercardMagstripeErrorCategory</v>
      </c>
      <c r="F546" s="2" t="str">
        <f>VLOOKUP($A546,DICO_Complet!$A$3:$U$983,6,FALSE)</f>
        <v>Exact1Text</v>
      </c>
      <c r="G546" s="48">
        <f>VLOOKUP($A546,DICO_Complet!$A$3:$U$983,7,FALSE)</f>
        <v>0</v>
      </c>
      <c r="H546" s="48">
        <f>VLOOKUP($A546,DICO_Complet!$A$3:$U$983,8,FALSE)</f>
        <v>0</v>
      </c>
      <c r="I546" s="2" t="str">
        <f>IF(VLOOKUP($A546,DICO_Complet!$A$3:$U$983,9,FALSE)&lt;&gt;0,VLOOKUP($A546,DICO_Complet!$A$3:$U$983,9,FALSE),"")</f>
        <v/>
      </c>
      <c r="J546" s="1" t="str">
        <f>VLOOKUP($A546,DICO_Complet!$A$3:$U$983,10,FALSE)</f>
        <v>Magstripe integrity control information</v>
      </c>
      <c r="K546" s="53" t="str">
        <f>IF(VLOOKUP($A546,DICO_Complet!$A$3:$U$983,12,FALSE)=0,"",VLOOKUP($A546,DICO_Complet!$A$3:$U$983,12,FALSE))</f>
        <v>RSB47_72</v>
      </c>
      <c r="L546" s="53" t="str">
        <f>IF(VLOOKUP($A546,DICO_Complet!$A$3:$U$983,13,FALSE)=0,"",VLOOKUP($A546,DICO_Complet!$A$3:$U$983,13,FALSE))</f>
        <v>[47-72]</v>
      </c>
      <c r="M546" s="53" t="str">
        <f>IF(VLOOKUP($A546,DICO_Complet!$A$3:$U$983,14,FALSE)=0,"",VLOOKUP($A546,DICO_Complet!$A$3:$U$983,14,FALSE))</f>
        <v/>
      </c>
      <c r="N546" s="53" t="str">
        <f>IF(VLOOKUP($A546,DICO_Complet!$A$3:$U$983,15,FALSE)=0,"",VLOOKUP($A546,DICO_Complet!$A$3:$U$983,15,FALSE))</f>
        <v/>
      </c>
      <c r="O546" s="53" t="str">
        <f>IF(VLOOKUP($A546,DICO_Complet!$A$3:$U$983,16,FALSE)=0,"",VLOOKUP($A546,DICO_Complet!$A$3:$U$983,16,FALSE))</f>
        <v/>
      </c>
      <c r="P546" s="53" t="str">
        <f>IF(VLOOKUP($A546,DICO_Complet!$A$3:$U$983,17,FALSE)=0,"",VLOOKUP($A546,DICO_Complet!$A$3:$U$983,17,FALSE))</f>
        <v/>
      </c>
      <c r="Q546" s="53" t="str">
        <f>IF(VLOOKUP($A546,DICO_Complet!$A$3:$U$983,18,FALSE)=0,"",VLOOKUP($A546,DICO_Complet!$A$3:$U$983,18,FALSE))</f>
        <v/>
      </c>
    </row>
    <row r="547" spans="1:17">
      <c r="A547" s="38">
        <v>241112000242</v>
      </c>
      <c r="B547" s="47" t="s">
        <v>858</v>
      </c>
      <c r="C547" s="3" t="str">
        <f>VLOOKUP($A547,DICO_Complet!$A$3:$U$983,3,FALSE)</f>
        <v>Transaction</v>
      </c>
      <c r="D547" s="3" t="str">
        <f>VLOOKUP($A547,DICO_Complet!$A$3:$U$983,4,FALSE)</f>
        <v>additionalResponseData</v>
      </c>
      <c r="E547" s="2" t="str">
        <f>VLOOKUP($A547,DICO_Complet!$A$3:$U$983,5,FALSE)</f>
        <v>maximumAmountAuthorisable</v>
      </c>
      <c r="F547" s="2" t="str">
        <f>VLOOKUP($A547,DICO_Complet!$A$3:$U$983,6,FALSE)</f>
        <v>AmountType</v>
      </c>
      <c r="G547" s="48">
        <f>VLOOKUP($A547,DICO_Complet!$A$3:$U$983,7,FALSE)</f>
        <v>0</v>
      </c>
      <c r="H547" s="48">
        <f>VLOOKUP($A547,DICO_Complet!$A$3:$U$983,8,FALSE)</f>
        <v>0</v>
      </c>
      <c r="I547" s="2" t="str">
        <f>IF(VLOOKUP($A547,DICO_Complet!$A$3:$U$983,9,FALSE)&lt;&gt;0,VLOOKUP($A547,DICO_Complet!$A$3:$U$983,9,FALSE),"")</f>
        <v/>
      </c>
      <c r="J547" s="1" t="str">
        <f>VLOOKUP($A547,DICO_Complet!$A$3:$U$983,10,FALSE)</f>
        <v>Maximum amount for which an autorisation can be granted</v>
      </c>
      <c r="K547" s="53" t="str">
        <f>IF(VLOOKUP($A547,DICO_Complet!$A$3:$U$983,12,FALSE)=0,"",VLOOKUP($A547,DICO_Complet!$A$3:$U$983,12,FALSE))</f>
        <v>RSB44_BA</v>
      </c>
      <c r="L547" s="53" t="str">
        <f>IF(VLOOKUP($A547,DICO_Complet!$A$3:$U$983,13,FALSE)=0,"",VLOOKUP($A547,DICO_Complet!$A$3:$U$983,13,FALSE))</f>
        <v>[44-BA]</v>
      </c>
      <c r="M547" s="53" t="str">
        <f>IF(VLOOKUP($A547,DICO_Complet!$A$3:$U$983,14,FALSE)=0,"",VLOOKUP($A547,DICO_Complet!$A$3:$U$983,14,FALSE))</f>
        <v/>
      </c>
      <c r="N547" s="53" t="str">
        <f>IF(VLOOKUP($A547,DICO_Complet!$A$3:$U$983,15,FALSE)=0,"",VLOOKUP($A547,DICO_Complet!$A$3:$U$983,15,FALSE))</f>
        <v/>
      </c>
      <c r="O547" s="53" t="str">
        <f>IF(VLOOKUP($A547,DICO_Complet!$A$3:$U$983,16,FALSE)=0,"",VLOOKUP($A547,DICO_Complet!$A$3:$U$983,16,FALSE))</f>
        <v/>
      </c>
      <c r="P547" s="53" t="str">
        <f>IF(VLOOKUP($A547,DICO_Complet!$A$3:$U$983,17,FALSE)=0,"",VLOOKUP($A547,DICO_Complet!$A$3:$U$983,17,FALSE))</f>
        <v/>
      </c>
      <c r="Q547" s="53" t="str">
        <f>IF(VLOOKUP($A547,DICO_Complet!$A$3:$U$983,18,FALSE)=0,"",VLOOKUP($A547,DICO_Complet!$A$3:$U$983,18,FALSE))</f>
        <v/>
      </c>
    </row>
    <row r="548" spans="1:17">
      <c r="A548" s="38">
        <v>241112000243</v>
      </c>
      <c r="B548" s="47" t="s">
        <v>858</v>
      </c>
      <c r="C548" s="3" t="str">
        <f>VLOOKUP($A548,DICO_Complet!$A$3:$U$983,3,FALSE)</f>
        <v>Transaction</v>
      </c>
      <c r="D548" s="3" t="str">
        <f>VLOOKUP($A548,DICO_Complet!$A$3:$U$983,4,FALSE)</f>
        <v>additionalResponseData</v>
      </c>
      <c r="E548" s="2" t="str">
        <f>VLOOKUP($A548,DICO_Complet!$A$3:$U$983,5,FALSE)</f>
        <v>maximumNumberReattempts</v>
      </c>
      <c r="F548" s="2" t="str">
        <f>VLOOKUP($A548,DICO_Complet!$A$3:$U$983,6,FALSE)</f>
        <v>Exact2NumericText</v>
      </c>
      <c r="G548" s="48">
        <f>VLOOKUP($A548,DICO_Complet!$A$3:$U$983,7,FALSE)</f>
        <v>0</v>
      </c>
      <c r="H548" s="48">
        <f>VLOOKUP($A548,DICO_Complet!$A$3:$U$983,8,FALSE)</f>
        <v>0</v>
      </c>
      <c r="I548" s="2" t="str">
        <f>IF(VLOOKUP($A548,DICO_Complet!$A$3:$U$983,9,FALSE)&lt;&gt;0,VLOOKUP($A548,DICO_Complet!$A$3:$U$983,9,FALSE),"")</f>
        <v/>
      </c>
      <c r="J548" s="1" t="str">
        <f>VLOOKUP($A548,DICO_Complet!$A$3:$U$983,10,FALSE)</f>
        <v>Maximum number of reattempts</v>
      </c>
      <c r="K548" s="53" t="str">
        <f>IF(VLOOKUP($A548,DICO_Complet!$A$3:$U$983,12,FALSE)=0,"",VLOOKUP($A548,DICO_Complet!$A$3:$U$983,12,FALSE))</f>
        <v>RSB119_0803_ p2</v>
      </c>
      <c r="L548" s="53" t="str">
        <f>IF(VLOOKUP($A548,DICO_Complet!$A$3:$U$983,13,FALSE)=0,"",VLOOKUP($A548,DICO_Complet!$A$3:$U$983,13,FALSE))</f>
        <v>[119-0803-p2]</v>
      </c>
      <c r="M548" s="53" t="str">
        <f>IF(VLOOKUP($A548,DICO_Complet!$A$3:$U$983,14,FALSE)=0,"",VLOOKUP($A548,DICO_Complet!$A$3:$U$983,14,FALSE))</f>
        <v/>
      </c>
      <c r="N548" s="53" t="str">
        <f>IF(VLOOKUP($A548,DICO_Complet!$A$3:$U$983,15,FALSE)=0,"",VLOOKUP($A548,DICO_Complet!$A$3:$U$983,15,FALSE))</f>
        <v/>
      </c>
      <c r="O548" s="53" t="str">
        <f>IF(VLOOKUP($A548,DICO_Complet!$A$3:$U$983,16,FALSE)=0,"",VLOOKUP($A548,DICO_Complet!$A$3:$U$983,16,FALSE))</f>
        <v/>
      </c>
      <c r="P548" s="53" t="str">
        <f>IF(VLOOKUP($A548,DICO_Complet!$A$3:$U$983,17,FALSE)=0,"",VLOOKUP($A548,DICO_Complet!$A$3:$U$983,17,FALSE))</f>
        <v/>
      </c>
      <c r="Q548" s="53" t="str">
        <f>IF(VLOOKUP($A548,DICO_Complet!$A$3:$U$983,18,FALSE)=0,"",VLOOKUP($A548,DICO_Complet!$A$3:$U$983,18,FALSE))</f>
        <v/>
      </c>
    </row>
    <row r="549" spans="1:17">
      <c r="A549" s="38">
        <v>241112000244</v>
      </c>
      <c r="B549" s="47" t="s">
        <v>858</v>
      </c>
      <c r="C549" s="3" t="str">
        <f>VLOOKUP($A549,DICO_Complet!$A$3:$U$983,3,FALSE)</f>
        <v>Transaction</v>
      </c>
      <c r="D549" s="3" t="str">
        <f>VLOOKUP($A549,DICO_Complet!$A$3:$U$983,4,FALSE)</f>
        <v>additionalResponseData</v>
      </c>
      <c r="E549" s="2" t="str">
        <f>VLOOKUP($A549,DICO_Complet!$A$3:$U$983,5,FALSE)</f>
        <v>merchantAdviceCode</v>
      </c>
      <c r="F549" s="2" t="str">
        <f>VLOOKUP($A549,DICO_Complet!$A$3:$U$983,6,FALSE)</f>
        <v>Exact2NumericText</v>
      </c>
      <c r="G549" s="48">
        <f>VLOOKUP($A549,DICO_Complet!$A$3:$U$983,7,FALSE)</f>
        <v>0</v>
      </c>
      <c r="H549" s="48">
        <f>VLOOKUP($A549,DICO_Complet!$A$3:$U$983,8,FALSE)</f>
        <v>0</v>
      </c>
      <c r="I549" s="2" t="str">
        <f>IF(VLOOKUP($A549,DICO_Complet!$A$3:$U$983,9,FALSE)&lt;&gt;0,VLOOKUP($A549,DICO_Complet!$A$3:$U$983,9,FALSE),"")</f>
        <v/>
      </c>
      <c r="J549" s="1" t="str">
        <f>VLOOKUP($A549,DICO_Complet!$A$3:$U$983,10,FALSE)</f>
        <v>Merchant advice code</v>
      </c>
      <c r="K549" s="53" t="str">
        <f>IF(VLOOKUP($A549,DICO_Complet!$A$3:$U$983,12,FALSE)=0,"",VLOOKUP($A549,DICO_Complet!$A$3:$U$983,12,FALSE))</f>
        <v>RSB59_801</v>
      </c>
      <c r="L549" s="53" t="str">
        <f>IF(VLOOKUP($A549,DICO_Complet!$A$3:$U$983,13,FALSE)=0,"",VLOOKUP($A549,DICO_Complet!$A$3:$U$983,13,FALSE))</f>
        <v>[59-0801]</v>
      </c>
      <c r="M549" s="53" t="str">
        <f>IF(VLOOKUP($A549,DICO_Complet!$A$3:$U$983,14,FALSE)=0,"",VLOOKUP($A549,DICO_Complet!$A$3:$U$983,14,FALSE))</f>
        <v/>
      </c>
      <c r="N549" s="53" t="str">
        <f>IF(VLOOKUP($A549,DICO_Complet!$A$3:$U$983,15,FALSE)=0,"",VLOOKUP($A549,DICO_Complet!$A$3:$U$983,15,FALSE))</f>
        <v/>
      </c>
      <c r="O549" s="53" t="str">
        <f>IF(VLOOKUP($A549,DICO_Complet!$A$3:$U$983,16,FALSE)=0,"",VLOOKUP($A549,DICO_Complet!$A$3:$U$983,16,FALSE))</f>
        <v/>
      </c>
      <c r="P549" s="53" t="str">
        <f>IF(VLOOKUP($A549,DICO_Complet!$A$3:$U$983,17,FALSE)=0,"",VLOOKUP($A549,DICO_Complet!$A$3:$U$983,17,FALSE))</f>
        <v/>
      </c>
      <c r="Q549" s="53" t="str">
        <f>IF(VLOOKUP($A549,DICO_Complet!$A$3:$U$983,18,FALSE)=0,"",VLOOKUP($A549,DICO_Complet!$A$3:$U$983,18,FALSE))</f>
        <v/>
      </c>
    </row>
    <row r="550" spans="1:17">
      <c r="A550" s="38">
        <v>250425153912</v>
      </c>
      <c r="B550" s="47" t="s">
        <v>858</v>
      </c>
      <c r="C550" s="3" t="str">
        <f>VLOOKUP($A550,DICO_Complet!$A$3:$U$983,3,FALSE)</f>
        <v>Transaction</v>
      </c>
      <c r="D550" s="3" t="str">
        <f>VLOOKUP($A550,DICO_Complet!$A$3:$U$983,4,FALSE)</f>
        <v>additionalResponseData</v>
      </c>
      <c r="E550" s="2" t="str">
        <f>VLOOKUP($A550,DICO_Complet!$A$3:$U$983,5,FALSE)</f>
        <v>merchantVerificationValue</v>
      </c>
      <c r="F550" s="2" t="str">
        <f>VLOOKUP($A550,DICO_Complet!$A$3:$U$983,6,FALSE)</f>
        <v>Exact10NumericText</v>
      </c>
      <c r="G550" s="48">
        <f>VLOOKUP($A550,DICO_Complet!$A$3:$U$983,7,FALSE)</f>
        <v>0</v>
      </c>
      <c r="H550" s="48">
        <f>VLOOKUP($A550,DICO_Complet!$A$3:$U$983,8,FALSE)</f>
        <v>0</v>
      </c>
      <c r="I550" s="2" t="str">
        <f>IF(VLOOKUP($A550,DICO_Complet!$A$3:$U$983,9,FALSE)&lt;&gt;0,VLOOKUP($A550,DICO_Complet!$A$3:$U$983,9,FALSE),"")</f>
        <v/>
      </c>
      <c r="J550" s="1" t="str">
        <f>VLOOKUP($A550,DICO_Complet!$A$3:$U$983,10,FALSE)</f>
        <v>Merchant program – Merchant Verification Value</v>
      </c>
      <c r="K550" s="53" t="str">
        <f>IF(VLOOKUP($A550,DICO_Complet!$A$3:$U$983,12,FALSE)=0,"",VLOOKUP($A550,DICO_Complet!$A$3:$U$983,12,FALSE))</f>
        <v/>
      </c>
      <c r="L550" s="53" t="str">
        <f>IF(VLOOKUP($A550,DICO_Complet!$A$3:$U$983,13,FALSE)=0,"",VLOOKUP($A550,DICO_Complet!$A$3:$U$983,13,FALSE))</f>
        <v/>
      </c>
      <c r="M550" s="53" t="str">
        <f>IF(VLOOKUP($A550,DICO_Complet!$A$3:$U$983,14,FALSE)=0,"",VLOOKUP($A550,DICO_Complet!$A$3:$U$983,14,FALSE))</f>
        <v>59_1001 part 7</v>
      </c>
      <c r="N550" s="53" t="str">
        <f>IF(VLOOKUP($A550,DICO_Complet!$A$3:$U$983,15,FALSE)=0,"",VLOOKUP($A550,DICO_Complet!$A$3:$U$983,15,FALSE))</f>
        <v/>
      </c>
      <c r="O550" s="53" t="str">
        <f>IF(VLOOKUP($A550,DICO_Complet!$A$3:$U$983,16,FALSE)=0,"",VLOOKUP($A550,DICO_Complet!$A$3:$U$983,16,FALSE))</f>
        <v/>
      </c>
      <c r="P550" s="53" t="str">
        <f>IF(VLOOKUP($A550,DICO_Complet!$A$3:$U$983,17,FALSE)=0,"",VLOOKUP($A550,DICO_Complet!$A$3:$U$983,17,FALSE))</f>
        <v/>
      </c>
      <c r="Q550" s="53" t="str">
        <f>IF(VLOOKUP($A550,DICO_Complet!$A$3:$U$983,18,FALSE)=0,"",VLOOKUP($A550,DICO_Complet!$A$3:$U$983,18,FALSE))</f>
        <v/>
      </c>
    </row>
    <row r="551" spans="1:17">
      <c r="A551" s="38">
        <v>241112000246</v>
      </c>
      <c r="B551" s="47" t="s">
        <v>858</v>
      </c>
      <c r="C551" s="3" t="str">
        <f>VLOOKUP($A551,DICO_Complet!$A$3:$U$983,3,FALSE)</f>
        <v>Transaction</v>
      </c>
      <c r="D551" s="3" t="str">
        <f>VLOOKUP($A551,DICO_Complet!$A$3:$U$983,4,FALSE)</f>
        <v>additionalResponseData</v>
      </c>
      <c r="E551" s="2" t="str">
        <f>VLOOKUP($A551,DICO_Complet!$A$3:$U$983,5,FALSE)</f>
        <v>messageToTransactionInitiatorCtrlCharacter</v>
      </c>
      <c r="F551" s="2" t="str">
        <f>VLOOKUP($A551,DICO_Complet!$A$3:$U$983,6,FALSE)</f>
        <v>MessageToTransactionInitiatorCtrlCharacterCodeset</v>
      </c>
      <c r="G551" s="48">
        <f>VLOOKUP($A551,DICO_Complet!$A$3:$U$983,7,FALSE)</f>
        <v>0</v>
      </c>
      <c r="H551" s="48">
        <f>VLOOKUP($A551,DICO_Complet!$A$3:$U$983,8,FALSE)</f>
        <v>0</v>
      </c>
      <c r="I551" s="2" t="str">
        <f>IF(VLOOKUP($A551,DICO_Complet!$A$3:$U$983,9,FALSE)&lt;&gt;0,VLOOKUP($A551,DICO_Complet!$A$3:$U$983,9,FALSE),"")</f>
        <v/>
      </c>
      <c r="J551" s="1" t="str">
        <f>VLOOKUP($A551,DICO_Complet!$A$3:$U$983,10,FALSE)</f>
        <v>Control character</v>
      </c>
      <c r="K551" s="53" t="str">
        <f>IF(VLOOKUP($A551,DICO_Complet!$A$3:$U$983,12,FALSE)=0,"",VLOOKUP($A551,DICO_Complet!$A$3:$U$983,12,FALSE))</f>
        <v>RSB44_BC_p1</v>
      </c>
      <c r="L551" s="53" t="str">
        <f>IF(VLOOKUP($A551,DICO_Complet!$A$3:$U$983,13,FALSE)=0,"",VLOOKUP($A551,DICO_Complet!$A$3:$U$983,13,FALSE))</f>
        <v>[44-BC-p1]</v>
      </c>
      <c r="M551" s="53" t="str">
        <f>IF(VLOOKUP($A551,DICO_Complet!$A$3:$U$983,14,FALSE)=0,"",VLOOKUP($A551,DICO_Complet!$A$3:$U$983,14,FALSE))</f>
        <v/>
      </c>
      <c r="N551" s="53" t="str">
        <f>IF(VLOOKUP($A551,DICO_Complet!$A$3:$U$983,15,FALSE)=0,"",VLOOKUP($A551,DICO_Complet!$A$3:$U$983,15,FALSE))</f>
        <v/>
      </c>
      <c r="O551" s="53" t="str">
        <f>IF(VLOOKUP($A551,DICO_Complet!$A$3:$U$983,16,FALSE)=0,"",VLOOKUP($A551,DICO_Complet!$A$3:$U$983,16,FALSE))</f>
        <v/>
      </c>
      <c r="P551" s="53" t="str">
        <f>IF(VLOOKUP($A551,DICO_Complet!$A$3:$U$983,17,FALSE)=0,"",VLOOKUP($A551,DICO_Complet!$A$3:$U$983,17,FALSE))</f>
        <v/>
      </c>
      <c r="Q551" s="53" t="str">
        <f>IF(VLOOKUP($A551,DICO_Complet!$A$3:$U$983,18,FALSE)=0,"",VLOOKUP($A551,DICO_Complet!$A$3:$U$983,18,FALSE))</f>
        <v/>
      </c>
    </row>
    <row r="552" spans="1:17">
      <c r="A552" s="38">
        <v>241112000247</v>
      </c>
      <c r="B552" s="47" t="s">
        <v>858</v>
      </c>
      <c r="C552" s="3" t="str">
        <f>VLOOKUP($A552,DICO_Complet!$A$3:$U$983,3,FALSE)</f>
        <v>Transaction</v>
      </c>
      <c r="D552" s="3" t="str">
        <f>VLOOKUP($A552,DICO_Complet!$A$3:$U$983,4,FALSE)</f>
        <v>additionalResponseData</v>
      </c>
      <c r="E552" s="2" t="str">
        <f>VLOOKUP($A552,DICO_Complet!$A$3:$U$983,5,FALSE)</f>
        <v>messageToTransactionInitiatorMessage</v>
      </c>
      <c r="F552" s="2" t="str">
        <f>VLOOKUP($A552,DICO_Complet!$A$3:$U$983,6,FALSE)</f>
        <v>Max20Text</v>
      </c>
      <c r="G552" s="48">
        <f>VLOOKUP($A552,DICO_Complet!$A$3:$U$983,7,FALSE)</f>
        <v>0</v>
      </c>
      <c r="H552" s="48">
        <f>VLOOKUP($A552,DICO_Complet!$A$3:$U$983,8,FALSE)</f>
        <v>0</v>
      </c>
      <c r="I552" s="2" t="str">
        <f>IF(VLOOKUP($A552,DICO_Complet!$A$3:$U$983,9,FALSE)&lt;&gt;0,VLOOKUP($A552,DICO_Complet!$A$3:$U$983,9,FALSE),"")</f>
        <v/>
      </c>
      <c r="J552" s="1" t="str">
        <f>VLOOKUP($A552,DICO_Complet!$A$3:$U$983,10,FALSE)</f>
        <v>Response message</v>
      </c>
      <c r="K552" s="53" t="str">
        <f>IF(VLOOKUP($A552,DICO_Complet!$A$3:$U$983,12,FALSE)=0,"",VLOOKUP($A552,DICO_Complet!$A$3:$U$983,12,FALSE))</f>
        <v>RSB44_BC_p2</v>
      </c>
      <c r="L552" s="53" t="str">
        <f>IF(VLOOKUP($A552,DICO_Complet!$A$3:$U$983,13,FALSE)=0,"",VLOOKUP($A552,DICO_Complet!$A$3:$U$983,13,FALSE))</f>
        <v>[44-BC-p2]</v>
      </c>
      <c r="M552" s="53" t="str">
        <f>IF(VLOOKUP($A552,DICO_Complet!$A$3:$U$983,14,FALSE)=0,"",VLOOKUP($A552,DICO_Complet!$A$3:$U$983,14,FALSE))</f>
        <v/>
      </c>
      <c r="N552" s="53" t="str">
        <f>IF(VLOOKUP($A552,DICO_Complet!$A$3:$U$983,15,FALSE)=0,"",VLOOKUP($A552,DICO_Complet!$A$3:$U$983,15,FALSE))</f>
        <v/>
      </c>
      <c r="O552" s="53" t="str">
        <f>IF(VLOOKUP($A552,DICO_Complet!$A$3:$U$983,16,FALSE)=0,"",VLOOKUP($A552,DICO_Complet!$A$3:$U$983,16,FALSE))</f>
        <v/>
      </c>
      <c r="P552" s="53" t="str">
        <f>IF(VLOOKUP($A552,DICO_Complet!$A$3:$U$983,17,FALSE)=0,"",VLOOKUP($A552,DICO_Complet!$A$3:$U$983,17,FALSE))</f>
        <v/>
      </c>
      <c r="Q552" s="53" t="str">
        <f>IF(VLOOKUP($A552,DICO_Complet!$A$3:$U$983,18,FALSE)=0,"",VLOOKUP($A552,DICO_Complet!$A$3:$U$983,18,FALSE))</f>
        <v/>
      </c>
    </row>
    <row r="553" spans="1:17">
      <c r="A553" s="38">
        <v>241112000051</v>
      </c>
      <c r="B553" s="47" t="s">
        <v>858</v>
      </c>
      <c r="C553" s="3" t="str">
        <f>VLOOKUP($A553,DICO_Complet!$A$3:$U$983,3,FALSE)</f>
        <v>Transaction</v>
      </c>
      <c r="D553" s="3" t="str">
        <f>VLOOKUP($A553,DICO_Complet!$A$3:$U$983,4,FALSE)</f>
        <v>additionalResponseData</v>
      </c>
      <c r="E553" s="2" t="str">
        <f>VLOOKUP($A553,DICO_Complet!$A$3:$U$983,5,FALSE)</f>
        <v>middleNameAccountMatchDecision</v>
      </c>
      <c r="F553" s="2" t="str">
        <f>VLOOKUP($A553,DICO_Complet!$A$3:$U$983,6,FALSE)</f>
        <v>Exact2AlphaNumericText</v>
      </c>
      <c r="G553" s="48">
        <f>VLOOKUP($A553,DICO_Complet!$A$3:$U$983,7,FALSE)</f>
        <v>0</v>
      </c>
      <c r="H553" s="48">
        <f>VLOOKUP($A553,DICO_Complet!$A$3:$U$983,8,FALSE)</f>
        <v>0</v>
      </c>
      <c r="I553" s="2" t="str">
        <f>IF(VLOOKUP($A553,DICO_Complet!$A$3:$U$983,9,FALSE)&lt;&gt;0,VLOOKUP($A553,DICO_Complet!$A$3:$U$983,9,FALSE),"")</f>
        <v/>
      </c>
      <c r="J553" s="1" t="str">
        <f>VLOOKUP($A553,DICO_Complet!$A$3:$U$983,10,FALSE)</f>
        <v>Middle name account match decision</v>
      </c>
      <c r="K553" s="53" t="str">
        <f>IF(VLOOKUP($A553,DICO_Complet!$A$3:$U$983,12,FALSE)=0,"",VLOOKUP($A553,DICO_Complet!$A$3:$U$983,12,FALSE))</f>
        <v>RSB119_0026_ p3</v>
      </c>
      <c r="L553" s="53" t="str">
        <f>IF(VLOOKUP($A553,DICO_Complet!$A$3:$U$983,13,FALSE)=0,"",VLOOKUP($A553,DICO_Complet!$A$3:$U$983,13,FALSE))</f>
        <v>[119-0026-p3]</v>
      </c>
      <c r="M553" s="53" t="str">
        <f>IF(VLOOKUP($A553,DICO_Complet!$A$3:$U$983,14,FALSE)=0,"",VLOOKUP($A553,DICO_Complet!$A$3:$U$983,14,FALSE))</f>
        <v/>
      </c>
      <c r="N553" s="53" t="str">
        <f>IF(VLOOKUP($A553,DICO_Complet!$A$3:$U$983,15,FALSE)=0,"",VLOOKUP($A553,DICO_Complet!$A$3:$U$983,15,FALSE))</f>
        <v/>
      </c>
      <c r="O553" s="53" t="str">
        <f>IF(VLOOKUP($A553,DICO_Complet!$A$3:$U$983,16,FALSE)=0,"",VLOOKUP($A553,DICO_Complet!$A$3:$U$983,16,FALSE))</f>
        <v/>
      </c>
      <c r="P553" s="53" t="str">
        <f>IF(VLOOKUP($A553,DICO_Complet!$A$3:$U$983,17,FALSE)=0,"",VLOOKUP($A553,DICO_Complet!$A$3:$U$983,17,FALSE))</f>
        <v/>
      </c>
      <c r="Q553" s="53" t="str">
        <f>IF(VLOOKUP($A553,DICO_Complet!$A$3:$U$983,18,FALSE)=0,"",VLOOKUP($A553,DICO_Complet!$A$3:$U$983,18,FALSE))</f>
        <v/>
      </c>
    </row>
    <row r="554" spans="1:17">
      <c r="A554" s="38">
        <v>241112000248</v>
      </c>
      <c r="B554" s="47" t="s">
        <v>858</v>
      </c>
      <c r="C554" s="3" t="str">
        <f>VLOOKUP($A554,DICO_Complet!$A$3:$U$983,3,FALSE)</f>
        <v>Transaction</v>
      </c>
      <c r="D554" s="3" t="str">
        <f>VLOOKUP($A554,DICO_Complet!$A$3:$U$983,4,FALSE)</f>
        <v>additionalResponseData</v>
      </c>
      <c r="E554" s="2" t="str">
        <f>VLOOKUP($A554,DICO_Complet!$A$3:$U$983,5,FALSE)</f>
        <v>modifiedElectronicCommerceAuthentification</v>
      </c>
      <c r="F554" s="2" t="str">
        <f>VLOOKUP($A554,DICO_Complet!$A$3:$U$983,6,FALSE)</f>
        <v>ModifiedElectronicCommerceAuthentificationCodeset</v>
      </c>
      <c r="G554" s="48">
        <f>VLOOKUP($A554,DICO_Complet!$A$3:$U$983,7,FALSE)</f>
        <v>0</v>
      </c>
      <c r="H554" s="48">
        <f>VLOOKUP($A554,DICO_Complet!$A$3:$U$983,8,FALSE)</f>
        <v>0</v>
      </c>
      <c r="I554" s="2" t="str">
        <f>IF(VLOOKUP($A554,DICO_Complet!$A$3:$U$983,9,FALSE)&lt;&gt;0,VLOOKUP($A554,DICO_Complet!$A$3:$U$983,9,FALSE),"")</f>
        <v/>
      </c>
      <c r="J554" s="1" t="str">
        <f>VLOOKUP($A554,DICO_Complet!$A$3:$U$983,10,FALSE)</f>
        <v>Modified electronic commerce authentication type</v>
      </c>
      <c r="K554" s="53" t="str">
        <f>IF(VLOOKUP($A554,DICO_Complet!$A$3:$U$983,12,FALSE)=0,"",VLOOKUP($A554,DICO_Complet!$A$3:$U$983,12,FALSE))</f>
        <v>RSB59_413</v>
      </c>
      <c r="L554" s="53" t="str">
        <f>IF(VLOOKUP($A554,DICO_Complet!$A$3:$U$983,13,FALSE)=0,"",VLOOKUP($A554,DICO_Complet!$A$3:$U$983,13,FALSE))</f>
        <v>[59-0413]</v>
      </c>
      <c r="M554" s="53" t="str">
        <f>IF(VLOOKUP($A554,DICO_Complet!$A$3:$U$983,14,FALSE)=0,"",VLOOKUP($A554,DICO_Complet!$A$3:$U$983,14,FALSE))</f>
        <v/>
      </c>
      <c r="N554" s="53" t="str">
        <f>IF(VLOOKUP($A554,DICO_Complet!$A$3:$U$983,15,FALSE)=0,"",VLOOKUP($A554,DICO_Complet!$A$3:$U$983,15,FALSE))</f>
        <v/>
      </c>
      <c r="O554" s="53" t="str">
        <f>IF(VLOOKUP($A554,DICO_Complet!$A$3:$U$983,16,FALSE)=0,"",VLOOKUP($A554,DICO_Complet!$A$3:$U$983,16,FALSE))</f>
        <v/>
      </c>
      <c r="P554" s="53" t="str">
        <f>IF(VLOOKUP($A554,DICO_Complet!$A$3:$U$983,17,FALSE)=0,"",VLOOKUP($A554,DICO_Complet!$A$3:$U$983,17,FALSE))</f>
        <v/>
      </c>
      <c r="Q554" s="53" t="str">
        <f>IF(VLOOKUP($A554,DICO_Complet!$A$3:$U$983,18,FALSE)=0,"",VLOOKUP($A554,DICO_Complet!$A$3:$U$983,18,FALSE))</f>
        <v/>
      </c>
    </row>
    <row r="555" spans="1:17">
      <c r="A555" s="38">
        <v>250203165900</v>
      </c>
      <c r="B555" s="47" t="s">
        <v>858</v>
      </c>
      <c r="C555" s="3" t="str">
        <f>VLOOKUP($A555,DICO_Complet!$A$3:$U$983,3,FALSE)</f>
        <v>Transaction</v>
      </c>
      <c r="D555" s="3" t="str">
        <f>VLOOKUP($A555,DICO_Complet!$A$3:$U$983,4,FALSE)</f>
        <v>additionalResponseData</v>
      </c>
      <c r="E555" s="2" t="str">
        <f>VLOOKUP($A555,DICO_Complet!$A$3:$U$983,5,FALSE)</f>
        <v>networkEquipmentIdentifier</v>
      </c>
      <c r="F555" s="2" t="str">
        <f>VLOOKUP($A555,DICO_Complet!$A$3:$U$983,6,FALSE)</f>
        <v>Exact2Text</v>
      </c>
      <c r="G555" s="48">
        <f>VLOOKUP($A555,DICO_Complet!$A$3:$U$983,7,FALSE)</f>
        <v>0</v>
      </c>
      <c r="H555" s="48">
        <f>VLOOKUP($A555,DICO_Complet!$A$3:$U$983,8,FALSE)</f>
        <v>0</v>
      </c>
      <c r="I555" s="2" t="str">
        <f>IF(VLOOKUP($A555,DICO_Complet!$A$3:$U$983,9,FALSE)&lt;&gt;0,VLOOKUP($A555,DICO_Complet!$A$3:$U$983,9,FALSE),"")</f>
        <v/>
      </c>
      <c r="J555" s="1" t="str">
        <f>VLOOKUP($A555,DICO_Complet!$A$3:$U$983,10,FALSE)</f>
        <v>Informations complementaires de eRSB dans le cas d'une erreur de securite</v>
      </c>
      <c r="K555" s="53" t="str">
        <f>IF(VLOOKUP($A555,DICO_Complet!$A$3:$U$983,12,FALSE)=0,"",VLOOKUP($A555,DICO_Complet!$A$3:$U$983,12,FALSE))</f>
        <v/>
      </c>
      <c r="L555" s="53" t="str">
        <f>IF(VLOOKUP($A555,DICO_Complet!$A$3:$U$983,13,FALSE)=0,"",VLOOKUP($A555,DICO_Complet!$A$3:$U$983,13,FALSE))</f>
        <v/>
      </c>
      <c r="M555" s="53" t="str">
        <f>IF(VLOOKUP($A555,DICO_Complet!$A$3:$U$983,14,FALSE)=0,"",VLOOKUP($A555,DICO_Complet!$A$3:$U$983,14,FALSE))</f>
        <v/>
      </c>
      <c r="N555" s="53" t="str">
        <f>IF(VLOOKUP($A555,DICO_Complet!$A$3:$U$983,15,FALSE)=0,"",VLOOKUP($A555,DICO_Complet!$A$3:$U$983,15,FALSE))</f>
        <v/>
      </c>
      <c r="O555" s="53" t="str">
        <f>IF(VLOOKUP($A555,DICO_Complet!$A$3:$U$983,16,FALSE)=0,"",VLOOKUP($A555,DICO_Complet!$A$3:$U$983,16,FALSE))</f>
        <v/>
      </c>
      <c r="P555" s="53" t="str">
        <f>IF(VLOOKUP($A555,DICO_Complet!$A$3:$U$983,17,FALSE)=0,"",VLOOKUP($A555,DICO_Complet!$A$3:$U$983,17,FALSE))</f>
        <v/>
      </c>
      <c r="Q555" s="53" t="str">
        <f>IF(VLOOKUP($A555,DICO_Complet!$A$3:$U$983,18,FALSE)=0,"",VLOOKUP($A555,DICO_Complet!$A$3:$U$983,18,FALSE))</f>
        <v/>
      </c>
    </row>
    <row r="556" spans="1:17">
      <c r="A556" s="38">
        <v>250214102200</v>
      </c>
      <c r="B556" s="47" t="s">
        <v>858</v>
      </c>
      <c r="C556" s="3" t="str">
        <f>VLOOKUP($A556,DICO_Complet!$A$3:$U$983,3,FALSE)</f>
        <v>Transaction</v>
      </c>
      <c r="D556" s="3" t="str">
        <f>VLOOKUP($A556,DICO_Complet!$A$3:$U$983,4,FALSE)</f>
        <v>additionalResponseData</v>
      </c>
      <c r="E556" s="2" t="str">
        <f>VLOOKUP($A556,DICO_Complet!$A$3:$U$983,5,FALSE)</f>
        <v>octBlocking</v>
      </c>
      <c r="F556" s="2" t="str">
        <f>VLOOKUP($A556,DICO_Complet!$A$3:$U$983,6,FALSE)</f>
        <v>TrueFalseIndicator</v>
      </c>
      <c r="G556" s="48">
        <f>VLOOKUP($A556,DICO_Complet!$A$3:$U$983,7,FALSE)</f>
        <v>0</v>
      </c>
      <c r="H556" s="48">
        <f>VLOOKUP($A556,DICO_Complet!$A$3:$U$983,8,FALSE)</f>
        <v>0</v>
      </c>
      <c r="I556" s="2" t="str">
        <f>IF(VLOOKUP($A556,DICO_Complet!$A$3:$U$983,9,FALSE)&lt;&gt;0,VLOOKUP($A556,DICO_Complet!$A$3:$U$983,9,FALSE),"")</f>
        <v/>
      </c>
      <c r="J556" s="1" t="str">
        <f>VLOOKUP($A556,DICO_Complet!$A$3:$U$983,10,FALSE)</f>
        <v>Indicate if issuer is blocked for receiving funds</v>
      </c>
      <c r="K556" s="53" t="str">
        <f>IF(VLOOKUP($A556,DICO_Complet!$A$3:$U$983,12,FALSE)=0,"",VLOOKUP($A556,DICO_Complet!$A$3:$U$983,12,FALSE))</f>
        <v/>
      </c>
      <c r="L556" s="53" t="str">
        <f>IF(VLOOKUP($A556,DICO_Complet!$A$3:$U$983,13,FALSE)=0,"",VLOOKUP($A556,DICO_Complet!$A$3:$U$983,13,FALSE))</f>
        <v/>
      </c>
      <c r="M556" s="53" t="str">
        <f>IF(VLOOKUP($A556,DICO_Complet!$A$3:$U$983,14,FALSE)=0,"",VLOOKUP($A556,DICO_Complet!$A$3:$U$983,14,FALSE))</f>
        <v/>
      </c>
      <c r="N556" s="53" t="str">
        <f>IF(VLOOKUP($A556,DICO_Complet!$A$3:$U$983,15,FALSE)=0,"",VLOOKUP($A556,DICO_Complet!$A$3:$U$983,15,FALSE))</f>
        <v/>
      </c>
      <c r="O556" s="53" t="str">
        <f>IF(VLOOKUP($A556,DICO_Complet!$A$3:$U$983,16,FALSE)=0,"",VLOOKUP($A556,DICO_Complet!$A$3:$U$983,16,FALSE))</f>
        <v/>
      </c>
      <c r="P556" s="53" t="str">
        <f>IF(VLOOKUP($A556,DICO_Complet!$A$3:$U$983,17,FALSE)=0,"",VLOOKUP($A556,DICO_Complet!$A$3:$U$983,17,FALSE))</f>
        <v/>
      </c>
      <c r="Q556" s="53" t="str">
        <f>IF(VLOOKUP($A556,DICO_Complet!$A$3:$U$983,18,FALSE)=0,"",VLOOKUP($A556,DICO_Complet!$A$3:$U$983,18,FALSE))</f>
        <v/>
      </c>
    </row>
    <row r="557" spans="1:17">
      <c r="A557" s="38">
        <v>250214102400</v>
      </c>
      <c r="B557" s="47" t="s">
        <v>858</v>
      </c>
      <c r="C557" s="3" t="str">
        <f>VLOOKUP($A557,DICO_Complet!$A$3:$U$983,3,FALSE)</f>
        <v>Transaction</v>
      </c>
      <c r="D557" s="3" t="str">
        <f>VLOOKUP($A557,DICO_Complet!$A$3:$U$983,4,FALSE)</f>
        <v>additionalResponseData</v>
      </c>
      <c r="E557" s="2" t="str">
        <f>VLOOKUP($A557,DICO_Complet!$A$3:$U$983,5,FALSE)</f>
        <v>onlineGameBlockingIndicator</v>
      </c>
      <c r="F557" s="2" t="str">
        <f>VLOOKUP($A557,DICO_Complet!$A$3:$U$983,6,FALSE)</f>
        <v>TrueFalseIndicator</v>
      </c>
      <c r="G557" s="48">
        <f>VLOOKUP($A557,DICO_Complet!$A$3:$U$983,7,FALSE)</f>
        <v>0</v>
      </c>
      <c r="H557" s="48">
        <f>VLOOKUP($A557,DICO_Complet!$A$3:$U$983,8,FALSE)</f>
        <v>0</v>
      </c>
      <c r="I557" s="2" t="str">
        <f>IF(VLOOKUP($A557,DICO_Complet!$A$3:$U$983,9,FALSE)&lt;&gt;0,VLOOKUP($A557,DICO_Complet!$A$3:$U$983,9,FALSE),"")</f>
        <v/>
      </c>
      <c r="J557" s="1" t="str">
        <f>VLOOKUP($A557,DICO_Complet!$A$3:$U$983,10,FALSE)</f>
        <v>Indicate if issuer is blocked for receiving gambling payouts</v>
      </c>
      <c r="K557" s="53" t="str">
        <f>IF(VLOOKUP($A557,DICO_Complet!$A$3:$U$983,12,FALSE)=0,"",VLOOKUP($A557,DICO_Complet!$A$3:$U$983,12,FALSE))</f>
        <v/>
      </c>
      <c r="L557" s="53" t="str">
        <f>IF(VLOOKUP($A557,DICO_Complet!$A$3:$U$983,13,FALSE)=0,"",VLOOKUP($A557,DICO_Complet!$A$3:$U$983,13,FALSE))</f>
        <v/>
      </c>
      <c r="M557" s="53" t="str">
        <f>IF(VLOOKUP($A557,DICO_Complet!$A$3:$U$983,14,FALSE)=0,"",VLOOKUP($A557,DICO_Complet!$A$3:$U$983,14,FALSE))</f>
        <v/>
      </c>
      <c r="N557" s="53" t="str">
        <f>IF(VLOOKUP($A557,DICO_Complet!$A$3:$U$983,15,FALSE)=0,"",VLOOKUP($A557,DICO_Complet!$A$3:$U$983,15,FALSE))</f>
        <v/>
      </c>
      <c r="O557" s="53" t="str">
        <f>IF(VLOOKUP($A557,DICO_Complet!$A$3:$U$983,16,FALSE)=0,"",VLOOKUP($A557,DICO_Complet!$A$3:$U$983,16,FALSE))</f>
        <v/>
      </c>
      <c r="P557" s="53" t="str">
        <f>IF(VLOOKUP($A557,DICO_Complet!$A$3:$U$983,17,FALSE)=0,"",VLOOKUP($A557,DICO_Complet!$A$3:$U$983,17,FALSE))</f>
        <v/>
      </c>
      <c r="Q557" s="53" t="str">
        <f>IF(VLOOKUP($A557,DICO_Complet!$A$3:$U$983,18,FALSE)=0,"",VLOOKUP($A557,DICO_Complet!$A$3:$U$983,18,FALSE))</f>
        <v/>
      </c>
    </row>
    <row r="558" spans="1:17">
      <c r="A558" s="38">
        <v>250203174600</v>
      </c>
      <c r="B558" s="47" t="s">
        <v>858</v>
      </c>
      <c r="C558" s="3" t="str">
        <f>VLOOKUP($A558,DICO_Complet!$A$3:$U$983,3,FALSE)</f>
        <v>Transaction</v>
      </c>
      <c r="D558" s="3" t="str">
        <f>VLOOKUP($A558,DICO_Complet!$A$3:$U$983,4,FALSE)</f>
        <v>additionalResponseData</v>
      </c>
      <c r="E558" s="2" t="str">
        <f>VLOOKUP($A558,DICO_Complet!$A$3:$U$983,5,FALSE)</f>
        <v>phoneNumber</v>
      </c>
      <c r="F558" s="2" t="str">
        <f>VLOOKUP($A558,DICO_Complet!$A$3:$U$983,6,FALSE)</f>
        <v>PhoneNumberText</v>
      </c>
      <c r="G558" s="48">
        <f>VLOOKUP($A558,DICO_Complet!$A$3:$U$983,7,FALSE)</f>
        <v>0</v>
      </c>
      <c r="H558" s="48">
        <f>VLOOKUP($A558,DICO_Complet!$A$3:$U$983,8,FALSE)</f>
        <v>0</v>
      </c>
      <c r="I558" s="2" t="str">
        <f>IF(VLOOKUP($A558,DICO_Complet!$A$3:$U$983,9,FALSE)&lt;&gt;0,VLOOKUP($A558,DICO_Complet!$A$3:$U$983,9,FALSE),"")</f>
        <v/>
      </c>
      <c r="J558" s="1" t="str">
        <f>VLOOKUP($A558,DICO_Complet!$A$3:$U$983,10,FALSE)</f>
        <v>Numero de telephone dans le cadre de la procedure Appel Emetteur (champ CBAE 44_BB)</v>
      </c>
      <c r="K558" s="53" t="str">
        <f>IF(VLOOKUP($A558,DICO_Complet!$A$3:$U$983,12,FALSE)=0,"",VLOOKUP($A558,DICO_Complet!$A$3:$U$983,12,FALSE))</f>
        <v/>
      </c>
      <c r="L558" s="53" t="str">
        <f>IF(VLOOKUP($A558,DICO_Complet!$A$3:$U$983,13,FALSE)=0,"",VLOOKUP($A558,DICO_Complet!$A$3:$U$983,13,FALSE))</f>
        <v/>
      </c>
      <c r="M558" s="53" t="str">
        <f>IF(VLOOKUP($A558,DICO_Complet!$A$3:$U$983,14,FALSE)=0,"",VLOOKUP($A558,DICO_Complet!$A$3:$U$983,14,FALSE))</f>
        <v/>
      </c>
      <c r="N558" s="53" t="str">
        <f>IF(VLOOKUP($A558,DICO_Complet!$A$3:$U$983,15,FALSE)=0,"",VLOOKUP($A558,DICO_Complet!$A$3:$U$983,15,FALSE))</f>
        <v/>
      </c>
      <c r="O558" s="53" t="str">
        <f>IF(VLOOKUP($A558,DICO_Complet!$A$3:$U$983,16,FALSE)=0,"",VLOOKUP($A558,DICO_Complet!$A$3:$U$983,16,FALSE))</f>
        <v/>
      </c>
      <c r="P558" s="53" t="str">
        <f>IF(VLOOKUP($A558,DICO_Complet!$A$3:$U$983,17,FALSE)=0,"",VLOOKUP($A558,DICO_Complet!$A$3:$U$983,17,FALSE))</f>
        <v/>
      </c>
      <c r="Q558" s="53" t="str">
        <f>IF(VLOOKUP($A558,DICO_Complet!$A$3:$U$983,18,FALSE)=0,"",VLOOKUP($A558,DICO_Complet!$A$3:$U$983,18,FALSE))</f>
        <v/>
      </c>
    </row>
    <row r="559" spans="1:17">
      <c r="A559" s="38">
        <v>250212174501</v>
      </c>
      <c r="B559" s="47" t="s">
        <v>858</v>
      </c>
      <c r="C559" s="3" t="str">
        <f>VLOOKUP($A559,DICO_Complet!$A$3:$U$983,3,FALSE)</f>
        <v>Transaction</v>
      </c>
      <c r="D559" s="3" t="str">
        <f>VLOOKUP($A559,DICO_Complet!$A$3:$U$983,4,FALSE)</f>
        <v>additionalResponseData</v>
      </c>
      <c r="E559" s="2" t="str">
        <f>VLOOKUP($A559,DICO_Complet!$A$3:$U$983,5,FALSE)</f>
        <v>phoneNumberVerificationResult</v>
      </c>
      <c r="F559" s="2" t="str">
        <f>VLOOKUP($A559,DICO_Complet!$A$3:$U$983,6,FALSE)</f>
        <v>VFNCodeset</v>
      </c>
      <c r="G559" s="48">
        <f>VLOOKUP($A559,DICO_Complet!$A$3:$U$983,7,FALSE)</f>
        <v>0</v>
      </c>
      <c r="H559" s="48">
        <f>VLOOKUP($A559,DICO_Complet!$A$3:$U$983,8,FALSE)</f>
        <v>0</v>
      </c>
      <c r="I559" s="2" t="str">
        <f>IF(VLOOKUP($A559,DICO_Complet!$A$3:$U$983,9,FALSE)&lt;&gt;0,VLOOKUP($A559,DICO_Complet!$A$3:$U$983,9,FALSE),"")</f>
        <v/>
      </c>
      <c r="J559" s="1" t="str">
        <f>VLOOKUP($A559,DICO_Complet!$A$3:$U$983,10,FALSE)</f>
        <v>Phone Number verification Result</v>
      </c>
      <c r="K559" s="53" t="str">
        <f>IF(VLOOKUP($A559,DICO_Complet!$A$3:$U$983,12,FALSE)=0,"",VLOOKUP($A559,DICO_Complet!$A$3:$U$983,12,FALSE))</f>
        <v>RSB119_33</v>
      </c>
      <c r="L559" s="53" t="str">
        <f>IF(VLOOKUP($A559,DICO_Complet!$A$3:$U$983,13,FALSE)=0,"",VLOOKUP($A559,DICO_Complet!$A$3:$U$983,13,FALSE))</f>
        <v>[119-0033]</v>
      </c>
      <c r="M559" s="53" t="str">
        <f>IF(VLOOKUP($A559,DICO_Complet!$A$3:$U$983,14,FALSE)=0,"",VLOOKUP($A559,DICO_Complet!$A$3:$U$983,14,FALSE))</f>
        <v/>
      </c>
      <c r="N559" s="53" t="str">
        <f>IF(VLOOKUP($A559,DICO_Complet!$A$3:$U$983,15,FALSE)=0,"",VLOOKUP($A559,DICO_Complet!$A$3:$U$983,15,FALSE))</f>
        <v/>
      </c>
      <c r="O559" s="53" t="str">
        <f>IF(VLOOKUP($A559,DICO_Complet!$A$3:$U$983,16,FALSE)=0,"",VLOOKUP($A559,DICO_Complet!$A$3:$U$983,16,FALSE))</f>
        <v>123 / 2 / ID 67 / Tag 84</v>
      </c>
      <c r="P559" s="53" t="str">
        <f>IF(VLOOKUP($A559,DICO_Complet!$A$3:$U$983,17,FALSE)=0,"",VLOOKUP($A559,DICO_Complet!$A$3:$U$983,17,FALSE))</f>
        <v/>
      </c>
      <c r="Q559" s="53" t="str">
        <f>IF(VLOOKUP($A559,DICO_Complet!$A$3:$U$983,18,FALSE)=0,"",VLOOKUP($A559,DICO_Complet!$A$3:$U$983,18,FALSE))</f>
        <v/>
      </c>
    </row>
    <row r="560" spans="1:17">
      <c r="A560" s="38">
        <v>250220103204</v>
      </c>
      <c r="B560" s="47" t="s">
        <v>858</v>
      </c>
      <c r="C560" s="3" t="str">
        <f>VLOOKUP($A560,DICO_Complet!$A$3:$U$983,3,FALSE)</f>
        <v>Transaction</v>
      </c>
      <c r="D560" s="3" t="str">
        <f>VLOOKUP($A560,DICO_Complet!$A$3:$U$983,4,FALSE)</f>
        <v>additionalResponseData</v>
      </c>
      <c r="E560" s="2" t="str">
        <f>VLOOKUP($A560,DICO_Complet!$A$3:$U$983,5,FALSE)</f>
        <v>programDowngradeReasonCode</v>
      </c>
      <c r="F560" s="2" t="str">
        <f>VLOOKUP($A560,DICO_Complet!$A$3:$U$983,6,FALSE)</f>
        <v>Exact2AlphaNumericText</v>
      </c>
      <c r="G560" s="48">
        <f>VLOOKUP($A560,DICO_Complet!$A$3:$U$983,7,FALSE)</f>
        <v>0</v>
      </c>
      <c r="H560" s="48">
        <f>VLOOKUP($A560,DICO_Complet!$A$3:$U$983,8,FALSE)</f>
        <v>0</v>
      </c>
      <c r="I560" s="2" t="str">
        <f>IF(VLOOKUP($A560,DICO_Complet!$A$3:$U$983,9,FALSE)&lt;&gt;0,VLOOKUP($A560,DICO_Complet!$A$3:$U$983,9,FALSE),"")</f>
        <v/>
      </c>
      <c r="J560" s="1" t="str">
        <f>VLOOKUP($A560,DICO_Complet!$A$3:$U$983,10,FALSE)</f>
        <v>Program Downgrade Reason Code</v>
      </c>
      <c r="K560" s="53" t="str">
        <f>IF(VLOOKUP($A560,DICO_Complet!$A$3:$U$983,12,FALSE)=0,"",VLOOKUP($A560,DICO_Complet!$A$3:$U$983,12,FALSE))</f>
        <v/>
      </c>
      <c r="L560" s="53" t="str">
        <f>IF(VLOOKUP($A560,DICO_Complet!$A$3:$U$983,13,FALSE)=0,"",VLOOKUP($A560,DICO_Complet!$A$3:$U$983,13,FALSE))</f>
        <v>[112-1001-p4]</v>
      </c>
      <c r="M560" s="53" t="str">
        <f>IF(VLOOKUP($A560,DICO_Complet!$A$3:$U$983,14,FALSE)=0,"",VLOOKUP($A560,DICO_Complet!$A$3:$U$983,14,FALSE))</f>
        <v/>
      </c>
      <c r="N560" s="53" t="str">
        <f>IF(VLOOKUP($A560,DICO_Complet!$A$3:$U$983,15,FALSE)=0,"",VLOOKUP($A560,DICO_Complet!$A$3:$U$983,15,FALSE))</f>
        <v/>
      </c>
      <c r="O560" s="53" t="str">
        <f>IF(VLOOKUP($A560,DICO_Complet!$A$3:$U$983,16,FALSE)=0,"",VLOOKUP($A560,DICO_Complet!$A$3:$U$983,16,FALSE))</f>
        <v>field 111 Dataset ID 56 Tag 88</v>
      </c>
      <c r="P560" s="53" t="str">
        <f>IF(VLOOKUP($A560,DICO_Complet!$A$3:$U$983,17,FALSE)=0,"",VLOOKUP($A560,DICO_Complet!$A$3:$U$983,17,FALSE))</f>
        <v/>
      </c>
      <c r="Q560" s="53" t="str">
        <f>IF(VLOOKUP($A560,DICO_Complet!$A$3:$U$983,18,FALSE)=0,"",VLOOKUP($A560,DICO_Complet!$A$3:$U$983,18,FALSE))</f>
        <v/>
      </c>
    </row>
    <row r="561" spans="1:17">
      <c r="A561" s="38">
        <v>241112000249</v>
      </c>
      <c r="B561" s="47" t="s">
        <v>858</v>
      </c>
      <c r="C561" s="3" t="str">
        <f>VLOOKUP($A561,DICO_Complet!$A$3:$U$983,3,FALSE)</f>
        <v>Transaction</v>
      </c>
      <c r="D561" s="3" t="str">
        <f>VLOOKUP($A561,DICO_Complet!$A$3:$U$983,4,FALSE)</f>
        <v>additionalResponseData</v>
      </c>
      <c r="E561" s="2" t="str">
        <f>VLOOKUP($A561,DICO_Complet!$A$3:$U$983,5,FALSE)</f>
        <v>reasonInformationCode</v>
      </c>
      <c r="F561" s="2" t="str">
        <f>VLOOKUP($A561,DICO_Complet!$A$3:$U$983,6,FALSE)</f>
        <v>Max4Text</v>
      </c>
      <c r="G561" s="48">
        <f>VLOOKUP($A561,DICO_Complet!$A$3:$U$983,7,FALSE)</f>
        <v>0</v>
      </c>
      <c r="H561" s="48">
        <f>VLOOKUP($A561,DICO_Complet!$A$3:$U$983,8,FALSE)</f>
        <v>0</v>
      </c>
      <c r="I561" s="2" t="str">
        <f>IF(VLOOKUP($A561,DICO_Complet!$A$3:$U$983,9,FALSE)&lt;&gt;0,VLOOKUP($A561,DICO_Complet!$A$3:$U$983,9,FALSE),"")</f>
        <v/>
      </c>
      <c r="J561" s="1" t="str">
        <f>VLOOKUP($A561,DICO_Complet!$A$3:$U$983,10,FALSE)</f>
        <v>Refusal or acceptance code</v>
      </c>
      <c r="K561" s="53" t="str">
        <f>IF(VLOOKUP($A561,DICO_Complet!$A$3:$U$983,12,FALSE)=0,"",VLOOKUP($A561,DICO_Complet!$A$3:$U$983,12,FALSE))</f>
        <v>RSB44_AD_p2</v>
      </c>
      <c r="L561" s="53" t="str">
        <f>IF(VLOOKUP($A561,DICO_Complet!$A$3:$U$983,13,FALSE)=0,"",VLOOKUP($A561,DICO_Complet!$A$3:$U$983,13,FALSE))</f>
        <v>[44-AD-p2]</v>
      </c>
      <c r="M561" s="53" t="str">
        <f>IF(VLOOKUP($A561,DICO_Complet!$A$3:$U$983,14,FALSE)=0,"",VLOOKUP($A561,DICO_Complet!$A$3:$U$983,14,FALSE))</f>
        <v/>
      </c>
      <c r="N561" s="53" t="str">
        <f>IF(VLOOKUP($A561,DICO_Complet!$A$3:$U$983,15,FALSE)=0,"",VLOOKUP($A561,DICO_Complet!$A$3:$U$983,15,FALSE))</f>
        <v/>
      </c>
      <c r="O561" s="53" t="str">
        <f>IF(VLOOKUP($A561,DICO_Complet!$A$3:$U$983,16,FALSE)=0,"",VLOOKUP($A561,DICO_Complet!$A$3:$U$983,16,FALSE))</f>
        <v/>
      </c>
      <c r="P561" s="53" t="str">
        <f>IF(VLOOKUP($A561,DICO_Complet!$A$3:$U$983,17,FALSE)=0,"",VLOOKUP($A561,DICO_Complet!$A$3:$U$983,17,FALSE))</f>
        <v/>
      </c>
      <c r="Q561" s="53" t="str">
        <f>IF(VLOOKUP($A561,DICO_Complet!$A$3:$U$983,18,FALSE)=0,"",VLOOKUP($A561,DICO_Complet!$A$3:$U$983,18,FALSE))</f>
        <v/>
      </c>
    </row>
    <row r="562" spans="1:17">
      <c r="A562" s="38">
        <v>241112000250</v>
      </c>
      <c r="B562" s="47" t="s">
        <v>858</v>
      </c>
      <c r="C562" s="3" t="str">
        <f>VLOOKUP($A562,DICO_Complet!$A$3:$U$983,3,FALSE)</f>
        <v>Transaction</v>
      </c>
      <c r="D562" s="3" t="str">
        <f>VLOOKUP($A562,DICO_Complet!$A$3:$U$983,4,FALSE)</f>
        <v>additionalResponseData</v>
      </c>
      <c r="E562" s="2" t="str">
        <f>VLOOKUP($A562,DICO_Complet!$A$3:$U$983,5,FALSE)</f>
        <v>reasonInformationEntitySource</v>
      </c>
      <c r="F562" s="2" t="str">
        <f>VLOOKUP($A562,DICO_Complet!$A$3:$U$983,6,FALSE)</f>
        <v>ReasonInformationEntitySourceCodeset</v>
      </c>
      <c r="G562" s="48">
        <f>VLOOKUP($A562,DICO_Complet!$A$3:$U$983,7,FALSE)</f>
        <v>0</v>
      </c>
      <c r="H562" s="48">
        <f>VLOOKUP($A562,DICO_Complet!$A$3:$U$983,8,FALSE)</f>
        <v>0</v>
      </c>
      <c r="I562" s="2" t="str">
        <f>IF(VLOOKUP($A562,DICO_Complet!$A$3:$U$983,9,FALSE)&lt;&gt;0,VLOOKUP($A562,DICO_Complet!$A$3:$U$983,9,FALSE),"")</f>
        <v/>
      </c>
      <c r="J562" s="1" t="str">
        <f>VLOOKUP($A562,DICO_Complet!$A$3:$U$983,10,FALSE)</f>
        <v>Entity responsible for the response</v>
      </c>
      <c r="K562" s="53" t="str">
        <f>IF(VLOOKUP($A562,DICO_Complet!$A$3:$U$983,12,FALSE)=0,"",VLOOKUP($A562,DICO_Complet!$A$3:$U$983,12,FALSE))</f>
        <v>RSB44_AD_p1</v>
      </c>
      <c r="L562" s="53" t="str">
        <f>IF(VLOOKUP($A562,DICO_Complet!$A$3:$U$983,13,FALSE)=0,"",VLOOKUP($A562,DICO_Complet!$A$3:$U$983,13,FALSE))</f>
        <v>[44-AD-p1]</v>
      </c>
      <c r="M562" s="53" t="str">
        <f>IF(VLOOKUP($A562,DICO_Complet!$A$3:$U$983,14,FALSE)=0,"",VLOOKUP($A562,DICO_Complet!$A$3:$U$983,14,FALSE))</f>
        <v/>
      </c>
      <c r="N562" s="53" t="str">
        <f>IF(VLOOKUP($A562,DICO_Complet!$A$3:$U$983,15,FALSE)=0,"",VLOOKUP($A562,DICO_Complet!$A$3:$U$983,15,FALSE))</f>
        <v/>
      </c>
      <c r="O562" s="53" t="str">
        <f>IF(VLOOKUP($A562,DICO_Complet!$A$3:$U$983,16,FALSE)=0,"",VLOOKUP($A562,DICO_Complet!$A$3:$U$983,16,FALSE))</f>
        <v/>
      </c>
      <c r="P562" s="53" t="str">
        <f>IF(VLOOKUP($A562,DICO_Complet!$A$3:$U$983,17,FALSE)=0,"",VLOOKUP($A562,DICO_Complet!$A$3:$U$983,17,FALSE))</f>
        <v/>
      </c>
      <c r="Q562" s="53" t="str">
        <f>IF(VLOOKUP($A562,DICO_Complet!$A$3:$U$983,18,FALSE)=0,"",VLOOKUP($A562,DICO_Complet!$A$3:$U$983,18,FALSE))</f>
        <v/>
      </c>
    </row>
    <row r="563" spans="1:17">
      <c r="A563" s="38">
        <v>241112000251</v>
      </c>
      <c r="B563" s="47" t="s">
        <v>858</v>
      </c>
      <c r="C563" s="3" t="str">
        <f>VLOOKUP($A563,DICO_Complet!$A$3:$U$983,3,FALSE)</f>
        <v>Transaction</v>
      </c>
      <c r="D563" s="3" t="str">
        <f>VLOOKUP($A563,DICO_Complet!$A$3:$U$983,4,FALSE)</f>
        <v>additionalResponseData</v>
      </c>
      <c r="E563" s="2" t="str">
        <f>VLOOKUP($A563,DICO_Complet!$A$3:$U$983,5,FALSE)</f>
        <v>reattemptAllowedDuration</v>
      </c>
      <c r="F563" s="2" t="str">
        <f>VLOOKUP($A563,DICO_Complet!$A$3:$U$983,6,FALSE)</f>
        <v>Exact4NumericText</v>
      </c>
      <c r="G563" s="48">
        <f>VLOOKUP($A563,DICO_Complet!$A$3:$U$983,7,FALSE)</f>
        <v>0</v>
      </c>
      <c r="H563" s="48">
        <f>VLOOKUP($A563,DICO_Complet!$A$3:$U$983,8,FALSE)</f>
        <v>0</v>
      </c>
      <c r="I563" s="2" t="str">
        <f>IF(VLOOKUP($A563,DICO_Complet!$A$3:$U$983,9,FALSE)&lt;&gt;0,VLOOKUP($A563,DICO_Complet!$A$3:$U$983,9,FALSE),"")</f>
        <v/>
      </c>
      <c r="J563" s="1" t="str">
        <f>VLOOKUP($A563,DICO_Complet!$A$3:$U$983,10,FALSE)</f>
        <v>Reattempt allowed duration in hour</v>
      </c>
      <c r="K563" s="53" t="str">
        <f>IF(VLOOKUP($A563,DICO_Complet!$A$3:$U$983,12,FALSE)=0,"",VLOOKUP($A563,DICO_Complet!$A$3:$U$983,12,FALSE))</f>
        <v>RSB119_0803_ p1</v>
      </c>
      <c r="L563" s="53" t="str">
        <f>IF(VLOOKUP($A563,DICO_Complet!$A$3:$U$983,13,FALSE)=0,"",VLOOKUP($A563,DICO_Complet!$A$3:$U$983,13,FALSE))</f>
        <v>[119-0803-p1]</v>
      </c>
      <c r="M563" s="53" t="str">
        <f>IF(VLOOKUP($A563,DICO_Complet!$A$3:$U$983,14,FALSE)=0,"",VLOOKUP($A563,DICO_Complet!$A$3:$U$983,14,FALSE))</f>
        <v/>
      </c>
      <c r="N563" s="53" t="str">
        <f>IF(VLOOKUP($A563,DICO_Complet!$A$3:$U$983,15,FALSE)=0,"",VLOOKUP($A563,DICO_Complet!$A$3:$U$983,15,FALSE))</f>
        <v/>
      </c>
      <c r="O563" s="53" t="str">
        <f>IF(VLOOKUP($A563,DICO_Complet!$A$3:$U$983,16,FALSE)=0,"",VLOOKUP($A563,DICO_Complet!$A$3:$U$983,16,FALSE))</f>
        <v/>
      </c>
      <c r="P563" s="53" t="str">
        <f>IF(VLOOKUP($A563,DICO_Complet!$A$3:$U$983,17,FALSE)=0,"",VLOOKUP($A563,DICO_Complet!$A$3:$U$983,17,FALSE))</f>
        <v/>
      </c>
      <c r="Q563" s="53" t="str">
        <f>IF(VLOOKUP($A563,DICO_Complet!$A$3:$U$983,18,FALSE)=0,"",VLOOKUP($A563,DICO_Complet!$A$3:$U$983,18,FALSE))</f>
        <v/>
      </c>
    </row>
    <row r="564" spans="1:17">
      <c r="A564" s="38">
        <v>241112000252</v>
      </c>
      <c r="B564" s="47" t="s">
        <v>858</v>
      </c>
      <c r="C564" s="3" t="str">
        <f>VLOOKUP($A564,DICO_Complet!$A$3:$U$983,3,FALSE)</f>
        <v>Transaction</v>
      </c>
      <c r="D564" s="3" t="str">
        <f>VLOOKUP($A564,DICO_Complet!$A$3:$U$983,4,FALSE)</f>
        <v>additionalResponseData</v>
      </c>
      <c r="E564" s="2" t="str">
        <f>VLOOKUP($A564,DICO_Complet!$A$3:$U$983,5,FALSE)</f>
        <v>reattemptFrozenPeriod</v>
      </c>
      <c r="F564" s="2" t="str">
        <f>VLOOKUP($A564,DICO_Complet!$A$3:$U$983,6,FALSE)</f>
        <v>Exact4NumericText</v>
      </c>
      <c r="G564" s="48">
        <f>VLOOKUP($A564,DICO_Complet!$A$3:$U$983,7,FALSE)</f>
        <v>0</v>
      </c>
      <c r="H564" s="48">
        <f>VLOOKUP($A564,DICO_Complet!$A$3:$U$983,8,FALSE)</f>
        <v>0</v>
      </c>
      <c r="I564" s="2" t="str">
        <f>IF(VLOOKUP($A564,DICO_Complet!$A$3:$U$983,9,FALSE)&lt;&gt;0,VLOOKUP($A564,DICO_Complet!$A$3:$U$983,9,FALSE),"")</f>
        <v/>
      </c>
      <c r="J564" s="1" t="str">
        <f>VLOOKUP($A564,DICO_Complet!$A$3:$U$983,10,FALSE)</f>
        <v>Reattempt frozen period</v>
      </c>
      <c r="K564" s="53" t="str">
        <f>IF(VLOOKUP($A564,DICO_Complet!$A$3:$U$983,12,FALSE)=0,"",VLOOKUP($A564,DICO_Complet!$A$3:$U$983,12,FALSE))</f>
        <v>RSB119_0802</v>
      </c>
      <c r="L564" s="53" t="str">
        <f>IF(VLOOKUP($A564,DICO_Complet!$A$3:$U$983,13,FALSE)=0,"",VLOOKUP($A564,DICO_Complet!$A$3:$U$983,13,FALSE))</f>
        <v>[119-0802]</v>
      </c>
      <c r="M564" s="53" t="str">
        <f>IF(VLOOKUP($A564,DICO_Complet!$A$3:$U$983,14,FALSE)=0,"",VLOOKUP($A564,DICO_Complet!$A$3:$U$983,14,FALSE))</f>
        <v/>
      </c>
      <c r="N564" s="53" t="str">
        <f>IF(VLOOKUP($A564,DICO_Complet!$A$3:$U$983,15,FALSE)=0,"",VLOOKUP($A564,DICO_Complet!$A$3:$U$983,15,FALSE))</f>
        <v/>
      </c>
      <c r="O564" s="53" t="str">
        <f>IF(VLOOKUP($A564,DICO_Complet!$A$3:$U$983,16,FALSE)=0,"",VLOOKUP($A564,DICO_Complet!$A$3:$U$983,16,FALSE))</f>
        <v/>
      </c>
      <c r="P564" s="53" t="str">
        <f>IF(VLOOKUP($A564,DICO_Complet!$A$3:$U$983,17,FALSE)=0,"",VLOOKUP($A564,DICO_Complet!$A$3:$U$983,17,FALSE))</f>
        <v/>
      </c>
      <c r="Q564" s="53" t="str">
        <f>IF(VLOOKUP($A564,DICO_Complet!$A$3:$U$983,18,FALSE)=0,"",VLOOKUP($A564,DICO_Complet!$A$3:$U$983,18,FALSE))</f>
        <v/>
      </c>
    </row>
    <row r="565" spans="1:17">
      <c r="A565" s="38">
        <v>241112000253</v>
      </c>
      <c r="B565" s="47" t="s">
        <v>858</v>
      </c>
      <c r="C565" s="3" t="str">
        <f>VLOOKUP($A565,DICO_Complet!$A$3:$U$983,3,FALSE)</f>
        <v>Transaction</v>
      </c>
      <c r="D565" s="3" t="str">
        <f>VLOOKUP($A565,DICO_Complet!$A$3:$U$983,4,FALSE)</f>
        <v>additionalResponseData</v>
      </c>
      <c r="E565" s="2" t="str">
        <f>VLOOKUP($A565,DICO_Complet!$A$3:$U$983,5,FALSE)</f>
        <v>respondingMachineId</v>
      </c>
      <c r="F565" s="2" t="str">
        <f>VLOOKUP($A565,DICO_Complet!$A$3:$U$983,6,FALSE)</f>
        <v>Max255Text</v>
      </c>
      <c r="G565" s="48">
        <f>VLOOKUP($A565,DICO_Complet!$A$3:$U$983,7,FALSE)</f>
        <v>0</v>
      </c>
      <c r="H565" s="48">
        <f>VLOOKUP($A565,DICO_Complet!$A$3:$U$983,8,FALSE)</f>
        <v>0</v>
      </c>
      <c r="I565" s="2" t="str">
        <f>IF(VLOOKUP($A565,DICO_Complet!$A$3:$U$983,9,FALSE)&lt;&gt;0,VLOOKUP($A565,DICO_Complet!$A$3:$U$983,9,FALSE),"")</f>
        <v/>
      </c>
      <c r="J565" s="1" t="str">
        <f>VLOOKUP($A565,DICO_Complet!$A$3:$U$983,10,FALSE)</f>
        <v>Responding machine identification code</v>
      </c>
      <c r="K565" s="53" t="str">
        <f>IF(VLOOKUP($A565,DICO_Complet!$A$3:$U$983,12,FALSE)=0,"",VLOOKUP($A565,DICO_Complet!$A$3:$U$983,12,FALSE))</f>
        <v>RSB58</v>
      </c>
      <c r="L565" s="53" t="str">
        <f>IF(VLOOKUP($A565,DICO_Complet!$A$3:$U$983,13,FALSE)=0,"",VLOOKUP($A565,DICO_Complet!$A$3:$U$983,13,FALSE))</f>
        <v>[58]</v>
      </c>
      <c r="M565" s="53" t="str">
        <f>IF(VLOOKUP($A565,DICO_Complet!$A$3:$U$983,14,FALSE)=0,"",VLOOKUP($A565,DICO_Complet!$A$3:$U$983,14,FALSE))</f>
        <v/>
      </c>
      <c r="N565" s="53" t="str">
        <f>IF(VLOOKUP($A565,DICO_Complet!$A$3:$U$983,15,FALSE)=0,"",VLOOKUP($A565,DICO_Complet!$A$3:$U$983,15,FALSE))</f>
        <v/>
      </c>
      <c r="O565" s="53" t="str">
        <f>IF(VLOOKUP($A565,DICO_Complet!$A$3:$U$983,16,FALSE)=0,"",VLOOKUP($A565,DICO_Complet!$A$3:$U$983,16,FALSE))</f>
        <v/>
      </c>
      <c r="P565" s="53" t="str">
        <f>IF(VLOOKUP($A565,DICO_Complet!$A$3:$U$983,17,FALSE)=0,"",VLOOKUP($A565,DICO_Complet!$A$3:$U$983,17,FALSE))</f>
        <v/>
      </c>
      <c r="Q565" s="53" t="str">
        <f>IF(VLOOKUP($A565,DICO_Complet!$A$3:$U$983,18,FALSE)=0,"",VLOOKUP($A565,DICO_Complet!$A$3:$U$983,18,FALSE))</f>
        <v/>
      </c>
    </row>
    <row r="566" spans="1:17">
      <c r="A566" s="38">
        <v>250203174800</v>
      </c>
      <c r="B566" s="47" t="s">
        <v>858</v>
      </c>
      <c r="C566" s="3" t="str">
        <f>VLOOKUP($A566,DICO_Complet!$A$3:$U$983,3,FALSE)</f>
        <v>Transaction</v>
      </c>
      <c r="D566" s="3" t="str">
        <f>VLOOKUP($A566,DICO_Complet!$A$3:$U$983,4,FALSE)</f>
        <v>additionalResponseData</v>
      </c>
      <c r="E566" s="2" t="str">
        <f>VLOOKUP($A566,DICO_Complet!$A$3:$U$983,5,FALSE)</f>
        <v>securityErrorField</v>
      </c>
      <c r="F566" s="2" t="str">
        <f>VLOOKUP($A566,DICO_Complet!$A$3:$U$983,6,FALSE)</f>
        <v>Exact3NumericText</v>
      </c>
      <c r="G566" s="48">
        <f>VLOOKUP($A566,DICO_Complet!$A$3:$U$983,7,FALSE)</f>
        <v>0</v>
      </c>
      <c r="H566" s="48">
        <f>VLOOKUP($A566,DICO_Complet!$A$3:$U$983,8,FALSE)</f>
        <v>0</v>
      </c>
      <c r="I566" s="2" t="str">
        <f>IF(VLOOKUP($A566,DICO_Complet!$A$3:$U$983,9,FALSE)&lt;&gt;0,VLOOKUP($A566,DICO_Complet!$A$3:$U$983,9,FALSE),"")</f>
        <v/>
      </c>
      <c r="J566" s="1" t="str">
        <f>VLOOKUP($A566,DICO_Complet!$A$3:$U$983,10,FALSE)</f>
        <v>Partie 1 du champ CBAE 44_AB (champ en erreur)</v>
      </c>
      <c r="K566" s="53" t="str">
        <f>IF(VLOOKUP($A566,DICO_Complet!$A$3:$U$983,12,FALSE)=0,"",VLOOKUP($A566,DICO_Complet!$A$3:$U$983,12,FALSE))</f>
        <v/>
      </c>
      <c r="L566" s="53" t="str">
        <f>IF(VLOOKUP($A566,DICO_Complet!$A$3:$U$983,13,FALSE)=0,"",VLOOKUP($A566,DICO_Complet!$A$3:$U$983,13,FALSE))</f>
        <v/>
      </c>
      <c r="M566" s="53" t="str">
        <f>IF(VLOOKUP($A566,DICO_Complet!$A$3:$U$983,14,FALSE)=0,"",VLOOKUP($A566,DICO_Complet!$A$3:$U$983,14,FALSE))</f>
        <v/>
      </c>
      <c r="N566" s="53" t="str">
        <f>IF(VLOOKUP($A566,DICO_Complet!$A$3:$U$983,15,FALSE)=0,"",VLOOKUP($A566,DICO_Complet!$A$3:$U$983,15,FALSE))</f>
        <v/>
      </c>
      <c r="O566" s="53" t="str">
        <f>IF(VLOOKUP($A566,DICO_Complet!$A$3:$U$983,16,FALSE)=0,"",VLOOKUP($A566,DICO_Complet!$A$3:$U$983,16,FALSE))</f>
        <v/>
      </c>
      <c r="P566" s="53" t="str">
        <f>IF(VLOOKUP($A566,DICO_Complet!$A$3:$U$983,17,FALSE)=0,"",VLOOKUP($A566,DICO_Complet!$A$3:$U$983,17,FALSE))</f>
        <v/>
      </c>
      <c r="Q566" s="53" t="str">
        <f>IF(VLOOKUP($A566,DICO_Complet!$A$3:$U$983,18,FALSE)=0,"",VLOOKUP($A566,DICO_Complet!$A$3:$U$983,18,FALSE))</f>
        <v/>
      </c>
    </row>
    <row r="567" spans="1:17">
      <c r="A567" s="38">
        <v>250203175000</v>
      </c>
      <c r="B567" s="47" t="s">
        <v>858</v>
      </c>
      <c r="C567" s="3" t="str">
        <f>VLOOKUP($A567,DICO_Complet!$A$3:$U$983,3,FALSE)</f>
        <v>Transaction</v>
      </c>
      <c r="D567" s="3" t="str">
        <f>VLOOKUP($A567,DICO_Complet!$A$3:$U$983,4,FALSE)</f>
        <v>additionalResponseData</v>
      </c>
      <c r="E567" s="2" t="str">
        <f>VLOOKUP($A567,DICO_Complet!$A$3:$U$983,5,FALSE)</f>
        <v>securityErrorNature</v>
      </c>
      <c r="F567" s="2" t="str">
        <f>VLOOKUP($A567,DICO_Complet!$A$3:$U$983,6,FALSE)</f>
        <v>SecurityErrorCodeset</v>
      </c>
      <c r="G567" s="48">
        <f>VLOOKUP($A567,DICO_Complet!$A$3:$U$983,7,FALSE)</f>
        <v>0</v>
      </c>
      <c r="H567" s="48">
        <f>VLOOKUP($A567,DICO_Complet!$A$3:$U$983,8,FALSE)</f>
        <v>0</v>
      </c>
      <c r="I567" s="2" t="str">
        <f>IF(VLOOKUP($A567,DICO_Complet!$A$3:$U$983,9,FALSE)&lt;&gt;0,VLOOKUP($A567,DICO_Complet!$A$3:$U$983,9,FALSE),"")</f>
        <v/>
      </c>
      <c r="J567" s="1" t="str">
        <f>VLOOKUP($A567,DICO_Complet!$A$3:$U$983,10,FALSE)</f>
        <v>Partie 2 du champ CBAE 44_AB (type erreur)</v>
      </c>
      <c r="K567" s="53" t="str">
        <f>IF(VLOOKUP($A567,DICO_Complet!$A$3:$U$983,12,FALSE)=0,"",VLOOKUP($A567,DICO_Complet!$A$3:$U$983,12,FALSE))</f>
        <v/>
      </c>
      <c r="L567" s="53" t="str">
        <f>IF(VLOOKUP($A567,DICO_Complet!$A$3:$U$983,13,FALSE)=0,"",VLOOKUP($A567,DICO_Complet!$A$3:$U$983,13,FALSE))</f>
        <v/>
      </c>
      <c r="M567" s="53" t="str">
        <f>IF(VLOOKUP($A567,DICO_Complet!$A$3:$U$983,14,FALSE)=0,"",VLOOKUP($A567,DICO_Complet!$A$3:$U$983,14,FALSE))</f>
        <v/>
      </c>
      <c r="N567" s="53" t="str">
        <f>IF(VLOOKUP($A567,DICO_Complet!$A$3:$U$983,15,FALSE)=0,"",VLOOKUP($A567,DICO_Complet!$A$3:$U$983,15,FALSE))</f>
        <v/>
      </c>
      <c r="O567" s="53" t="str">
        <f>IF(VLOOKUP($A567,DICO_Complet!$A$3:$U$983,16,FALSE)=0,"",VLOOKUP($A567,DICO_Complet!$A$3:$U$983,16,FALSE))</f>
        <v/>
      </c>
      <c r="P567" s="53" t="str">
        <f>IF(VLOOKUP($A567,DICO_Complet!$A$3:$U$983,17,FALSE)=0,"",VLOOKUP($A567,DICO_Complet!$A$3:$U$983,17,FALSE))</f>
        <v/>
      </c>
      <c r="Q567" s="53" t="str">
        <f>IF(VLOOKUP($A567,DICO_Complet!$A$3:$U$983,18,FALSE)=0,"",VLOOKUP($A567,DICO_Complet!$A$3:$U$983,18,FALSE))</f>
        <v/>
      </c>
    </row>
    <row r="568" spans="1:17">
      <c r="A568" s="38">
        <v>250423093000</v>
      </c>
      <c r="B568" s="47" t="s">
        <v>858</v>
      </c>
      <c r="C568" s="3" t="str">
        <f>VLOOKUP($A568,DICO_Complet!$A$3:$U$983,3,FALSE)</f>
        <v>Transaction</v>
      </c>
      <c r="D568" s="3" t="str">
        <f>VLOOKUP($A568,DICO_Complet!$A$3:$U$983,4,FALSE)</f>
        <v>additionalResponseData</v>
      </c>
      <c r="E568" s="2" t="str">
        <f>VLOOKUP($A568,DICO_Complet!$A$3:$U$983,5,FALSE)</f>
        <v>temp_minimumAmountAuthorisable</v>
      </c>
      <c r="F568" s="2" t="str">
        <f>VLOOKUP($A568,DICO_Complet!$A$3:$U$983,6,FALSE)</f>
        <v>AmountType</v>
      </c>
      <c r="G568" s="48">
        <f>VLOOKUP($A568,DICO_Complet!$A$3:$U$983,7,FALSE)</f>
        <v>0</v>
      </c>
      <c r="H568" s="48">
        <f>VLOOKUP($A568,DICO_Complet!$A$3:$U$983,8,FALSE)</f>
        <v>0</v>
      </c>
      <c r="I568" s="2" t="str">
        <f>IF(VLOOKUP($A568,DICO_Complet!$A$3:$U$983,9,FALSE)&lt;&gt;0,VLOOKUP($A568,DICO_Complet!$A$3:$U$983,9,FALSE),"")</f>
        <v/>
      </c>
      <c r="J568" s="1" t="str">
        <f>VLOOKUP($A568,DICO_Complet!$A$3:$U$983,10,FALSE)</f>
        <v>Minimum accepted amount for a transaction</v>
      </c>
      <c r="K568" s="53" t="str">
        <f>IF(VLOOKUP($A568,DICO_Complet!$A$3:$U$983,12,FALSE)=0,"",VLOOKUP($A568,DICO_Complet!$A$3:$U$983,12,FALSE))</f>
        <v/>
      </c>
      <c r="L568" s="53" t="str">
        <f>IF(VLOOKUP($A568,DICO_Complet!$A$3:$U$983,13,FALSE)=0,"",VLOOKUP($A568,DICO_Complet!$A$3:$U$983,13,FALSE))</f>
        <v/>
      </c>
      <c r="M568" s="53" t="str">
        <f>IF(VLOOKUP($A568,DICO_Complet!$A$3:$U$983,14,FALSE)=0,"",VLOOKUP($A568,DICO_Complet!$A$3:$U$983,14,FALSE))</f>
        <v>72_DF0C</v>
      </c>
      <c r="N568" s="53" t="str">
        <f>IF(VLOOKUP($A568,DICO_Complet!$A$3:$U$983,15,FALSE)=0,"",VLOOKUP($A568,DICO_Complet!$A$3:$U$983,15,FALSE))</f>
        <v/>
      </c>
      <c r="O568" s="53" t="str">
        <f>IF(VLOOKUP($A568,DICO_Complet!$A$3:$U$983,16,FALSE)=0,"",VLOOKUP($A568,DICO_Complet!$A$3:$U$983,16,FALSE))</f>
        <v/>
      </c>
      <c r="P568" s="53" t="str">
        <f>IF(VLOOKUP($A568,DICO_Complet!$A$3:$U$983,17,FALSE)=0,"",VLOOKUP($A568,DICO_Complet!$A$3:$U$983,17,FALSE))</f>
        <v/>
      </c>
      <c r="Q568" s="53" t="str">
        <f>IF(VLOOKUP($A568,DICO_Complet!$A$3:$U$983,18,FALSE)=0,"",VLOOKUP($A568,DICO_Complet!$A$3:$U$983,18,FALSE))</f>
        <v/>
      </c>
    </row>
    <row r="569" spans="1:17">
      <c r="A569" s="38">
        <v>241112000254</v>
      </c>
      <c r="B569" s="47" t="s">
        <v>858</v>
      </c>
      <c r="C569" s="3" t="str">
        <f>VLOOKUP($A569,DICO_Complet!$A$3:$U$983,3,FALSE)</f>
        <v>Transaction</v>
      </c>
      <c r="D569" s="3" t="str">
        <f>VLOOKUP($A569,DICO_Complet!$A$3:$U$983,4,FALSE)</f>
        <v>additionalResponseData</v>
      </c>
      <c r="E569" s="2" t="str">
        <f>VLOOKUP($A569,DICO_Complet!$A$3:$U$983,5,FALSE)</f>
        <v>terminalData</v>
      </c>
      <c r="F569" s="2" t="str">
        <f>VLOOKUP($A569,DICO_Complet!$A$3:$U$983,6,FALSE)</f>
        <v>Max26Text</v>
      </c>
      <c r="G569" s="48">
        <f>VLOOKUP($A569,DICO_Complet!$A$3:$U$983,7,FALSE)</f>
        <v>0</v>
      </c>
      <c r="H569" s="48">
        <f>VLOOKUP($A569,DICO_Complet!$A$3:$U$983,8,FALSE)</f>
        <v>0</v>
      </c>
      <c r="I569" s="2" t="str">
        <f>IF(VLOOKUP($A569,DICO_Complet!$A$3:$U$983,9,FALSE)&lt;&gt;0,VLOOKUP($A569,DICO_Complet!$A$3:$U$983,9,FALSE),"")</f>
        <v/>
      </c>
      <c r="J569" s="1" t="str">
        <f>VLOOKUP($A569,DICO_Complet!$A$3:$U$983,10,FALSE)</f>
        <v>Point of interaction data</v>
      </c>
      <c r="K569" s="53" t="str">
        <f>IF(VLOOKUP($A569,DICO_Complet!$A$3:$U$983,12,FALSE)=0,"",VLOOKUP($A569,DICO_Complet!$A$3:$U$983,12,FALSE))</f>
        <v>RSB47_94</v>
      </c>
      <c r="L569" s="53" t="str">
        <f>IF(VLOOKUP($A569,DICO_Complet!$A$3:$U$983,13,FALSE)=0,"",VLOOKUP($A569,DICO_Complet!$A$3:$U$983,13,FALSE))</f>
        <v>[47-94]</v>
      </c>
      <c r="M569" s="53" t="str">
        <f>IF(VLOOKUP($A569,DICO_Complet!$A$3:$U$983,14,FALSE)=0,"",VLOOKUP($A569,DICO_Complet!$A$3:$U$983,14,FALSE))</f>
        <v/>
      </c>
      <c r="N569" s="53" t="str">
        <f>IF(VLOOKUP($A569,DICO_Complet!$A$3:$U$983,15,FALSE)=0,"",VLOOKUP($A569,DICO_Complet!$A$3:$U$983,15,FALSE))</f>
        <v/>
      </c>
      <c r="O569" s="53" t="str">
        <f>IF(VLOOKUP($A569,DICO_Complet!$A$3:$U$983,16,FALSE)=0,"",VLOOKUP($A569,DICO_Complet!$A$3:$U$983,16,FALSE))</f>
        <v/>
      </c>
      <c r="P569" s="53" t="str">
        <f>IF(VLOOKUP($A569,DICO_Complet!$A$3:$U$983,17,FALSE)=0,"",VLOOKUP($A569,DICO_Complet!$A$3:$U$983,17,FALSE))</f>
        <v/>
      </c>
      <c r="Q569" s="53" t="str">
        <f>IF(VLOOKUP($A569,DICO_Complet!$A$3:$U$983,18,FALSE)=0,"",VLOOKUP($A569,DICO_Complet!$A$3:$U$983,18,FALSE))</f>
        <v/>
      </c>
    </row>
    <row r="570" spans="1:17">
      <c r="A570" s="38">
        <v>250422151301</v>
      </c>
      <c r="B570" s="47" t="s">
        <v>858</v>
      </c>
      <c r="C570" s="3" t="str">
        <f>VLOOKUP($A570,DICO_Complet!$A$3:$U$983,3,FALSE)</f>
        <v>Transaction</v>
      </c>
      <c r="D570" s="3" t="str">
        <f>VLOOKUP($A570,DICO_Complet!$A$3:$U$983,4,FALSE)</f>
        <v>additionalResponseData</v>
      </c>
      <c r="E570" s="2" t="str">
        <f>VLOOKUP($A570,DICO_Complet!$A$3:$U$983,5,FALSE)</f>
        <v>typeOfAdditionalData</v>
      </c>
      <c r="F570" s="2" t="str">
        <f>VLOOKUP($A570,DICO_Complet!$A$3:$U$983,6,FALSE)</f>
        <v>TypeOfAdditionalDataCodeset</v>
      </c>
      <c r="G570" s="48">
        <f>VLOOKUP($A570,DICO_Complet!$A$3:$U$983,7,FALSE)</f>
        <v>0</v>
      </c>
      <c r="H570" s="48">
        <f>VLOOKUP($A570,DICO_Complet!$A$3:$U$983,8,FALSE)</f>
        <v>0</v>
      </c>
      <c r="I570" s="2" t="str">
        <f>IF(VLOOKUP($A570,DICO_Complet!$A$3:$U$983,9,FALSE)&lt;&gt;0,VLOOKUP($A570,DICO_Complet!$A$3:$U$983,9,FALSE),"")</f>
        <v/>
      </c>
      <c r="J570" s="1" t="str">
        <f>VLOOKUP($A570,DICO_Complet!$A$3:$U$983,10,FALSE)</f>
        <v>Type of additional data</v>
      </c>
      <c r="K570" s="53" t="str">
        <f>IF(VLOOKUP($A570,DICO_Complet!$A$3:$U$983,12,FALSE)=0,"",VLOOKUP($A570,DICO_Complet!$A$3:$U$983,12,FALSE))</f>
        <v/>
      </c>
      <c r="L570" s="53" t="str">
        <f>IF(VLOOKUP($A570,DICO_Complet!$A$3:$U$983,13,FALSE)=0,"",VLOOKUP($A570,DICO_Complet!$A$3:$U$983,13,FALSE))</f>
        <v/>
      </c>
      <c r="M570" s="53" t="str">
        <f>IF(VLOOKUP($A570,DICO_Complet!$A$3:$U$983,14,FALSE)=0,"",VLOOKUP($A570,DICO_Complet!$A$3:$U$983,14,FALSE))</f>
        <v>58_0414 part 2</v>
      </c>
      <c r="N570" s="53" t="str">
        <f>IF(VLOOKUP($A570,DICO_Complet!$A$3:$U$983,15,FALSE)=0,"",VLOOKUP($A570,DICO_Complet!$A$3:$U$983,15,FALSE))</f>
        <v/>
      </c>
      <c r="O570" s="53" t="str">
        <f>IF(VLOOKUP($A570,DICO_Complet!$A$3:$U$983,16,FALSE)=0,"",VLOOKUP($A570,DICO_Complet!$A$3:$U$983,16,FALSE))</f>
        <v/>
      </c>
      <c r="P570" s="53" t="str">
        <f>IF(VLOOKUP($A570,DICO_Complet!$A$3:$U$983,17,FALSE)=0,"",VLOOKUP($A570,DICO_Complet!$A$3:$U$983,17,FALSE))</f>
        <v/>
      </c>
      <c r="Q570" s="53" t="str">
        <f>IF(VLOOKUP($A570,DICO_Complet!$A$3:$U$983,18,FALSE)=0,"",VLOOKUP($A570,DICO_Complet!$A$3:$U$983,18,FALSE))</f>
        <v/>
      </c>
    </row>
    <row r="571" spans="1:17">
      <c r="A571" s="38">
        <v>241112000255</v>
      </c>
      <c r="B571" s="47" t="s">
        <v>858</v>
      </c>
      <c r="C571" s="3" t="str">
        <f>VLOOKUP($A571,DICO_Complet!$A$3:$U$983,3,FALSE)</f>
        <v>Transaction</v>
      </c>
      <c r="D571" s="3" t="str">
        <f>VLOOKUP($A571,DICO_Complet!$A$3:$U$983,4,FALSE)</f>
        <v>additionalResponseData</v>
      </c>
      <c r="E571" s="2" t="str">
        <f>VLOOKUP($A571,DICO_Complet!$A$3:$U$983,5,FALSE)</f>
        <v>uniqueTransactionIdNetworkSource</v>
      </c>
      <c r="F571" s="2" t="str">
        <f>VLOOKUP($A571,DICO_Complet!$A$3:$U$983,6,FALSE)</f>
        <v>NetworkCodeset</v>
      </c>
      <c r="G571" s="48">
        <f>VLOOKUP($A571,DICO_Complet!$A$3:$U$983,7,FALSE)</f>
        <v>0</v>
      </c>
      <c r="H571" s="48">
        <f>VLOOKUP($A571,DICO_Complet!$A$3:$U$983,8,FALSE)</f>
        <v>0</v>
      </c>
      <c r="I571" s="2" t="str">
        <f>IF(VLOOKUP($A571,DICO_Complet!$A$3:$U$983,9,FALSE)&lt;&gt;0,VLOOKUP($A571,DICO_Complet!$A$3:$U$983,9,FALSE),"")</f>
        <v/>
      </c>
      <c r="J571" s="1" t="str">
        <f>VLOOKUP($A571,DICO_Complet!$A$3:$U$983,10,FALSE)</f>
        <v>Transaction Id network source</v>
      </c>
      <c r="K571" s="53" t="str">
        <f>IF(VLOOKUP($A571,DICO_Complet!$A$3:$U$983,12,FALSE)=0,"",VLOOKUP($A571,DICO_Complet!$A$3:$U$983,12,FALSE))</f>
        <v>RSB47_95_p1</v>
      </c>
      <c r="L571" s="53" t="str">
        <f>IF(VLOOKUP($A571,DICO_Complet!$A$3:$U$983,13,FALSE)=0,"",VLOOKUP($A571,DICO_Complet!$A$3:$U$983,13,FALSE))</f>
        <v>[47-95-p1]</v>
      </c>
      <c r="M571" s="53" t="str">
        <f>IF(VLOOKUP($A571,DICO_Complet!$A$3:$U$983,14,FALSE)=0,"",VLOOKUP($A571,DICO_Complet!$A$3:$U$983,14,FALSE))</f>
        <v/>
      </c>
      <c r="N571" s="53" t="str">
        <f>IF(VLOOKUP($A571,DICO_Complet!$A$3:$U$983,15,FALSE)=0,"",VLOOKUP($A571,DICO_Complet!$A$3:$U$983,15,FALSE))</f>
        <v/>
      </c>
      <c r="O571" s="53" t="str">
        <f>IF(VLOOKUP($A571,DICO_Complet!$A$3:$U$983,16,FALSE)=0,"",VLOOKUP($A571,DICO_Complet!$A$3:$U$983,16,FALSE))</f>
        <v/>
      </c>
      <c r="P571" s="53" t="str">
        <f>IF(VLOOKUP($A571,DICO_Complet!$A$3:$U$983,17,FALSE)=0,"",VLOOKUP($A571,DICO_Complet!$A$3:$U$983,17,FALSE))</f>
        <v/>
      </c>
      <c r="Q571" s="53" t="str">
        <f>IF(VLOOKUP($A571,DICO_Complet!$A$3:$U$983,18,FALSE)=0,"",VLOOKUP($A571,DICO_Complet!$A$3:$U$983,18,FALSE))</f>
        <v/>
      </c>
    </row>
    <row r="572" spans="1:17">
      <c r="A572" s="38">
        <v>241112000256</v>
      </c>
      <c r="B572" s="47" t="s">
        <v>858</v>
      </c>
      <c r="C572" s="3" t="str">
        <f>VLOOKUP($A572,DICO_Complet!$A$3:$U$983,3,FALSE)</f>
        <v>Transaction</v>
      </c>
      <c r="D572" s="3" t="str">
        <f>VLOOKUP($A572,DICO_Complet!$A$3:$U$983,4,FALSE)</f>
        <v>additionalResponseData</v>
      </c>
      <c r="E572" s="2" t="str">
        <f>VLOOKUP($A572,DICO_Complet!$A$3:$U$983,5,FALSE)</f>
        <v>uniqueTransactionIdValue</v>
      </c>
      <c r="F572" s="2" t="str">
        <f>VLOOKUP($A572,DICO_Complet!$A$3:$U$983,6,FALSE)</f>
        <v>Max49Text</v>
      </c>
      <c r="G572" s="48">
        <f>VLOOKUP($A572,DICO_Complet!$A$3:$U$983,7,FALSE)</f>
        <v>0</v>
      </c>
      <c r="H572" s="48">
        <f>VLOOKUP($A572,DICO_Complet!$A$3:$U$983,8,FALSE)</f>
        <v>0</v>
      </c>
      <c r="I572" s="2" t="str">
        <f>IF(VLOOKUP($A572,DICO_Complet!$A$3:$U$983,9,FALSE)&lt;&gt;0,VLOOKUP($A572,DICO_Complet!$A$3:$U$983,9,FALSE),"")</f>
        <v/>
      </c>
      <c r="J572" s="1" t="str">
        <f>VLOOKUP($A572,DICO_Complet!$A$3:$U$983,10,FALSE)</f>
        <v>Unique transaction Id value</v>
      </c>
      <c r="K572" s="53" t="str">
        <f>IF(VLOOKUP($A572,DICO_Complet!$A$3:$U$983,12,FALSE)=0,"",VLOOKUP($A572,DICO_Complet!$A$3:$U$983,12,FALSE))</f>
        <v>RSB47_95_p2</v>
      </c>
      <c r="L572" s="53" t="str">
        <f>IF(VLOOKUP($A572,DICO_Complet!$A$3:$U$983,13,FALSE)=0,"",VLOOKUP($A572,DICO_Complet!$A$3:$U$983,13,FALSE))</f>
        <v>[47-95-p2]</v>
      </c>
      <c r="M572" s="53" t="str">
        <f>IF(VLOOKUP($A572,DICO_Complet!$A$3:$U$983,14,FALSE)=0,"",VLOOKUP($A572,DICO_Complet!$A$3:$U$983,14,FALSE))</f>
        <v/>
      </c>
      <c r="N572" s="53" t="str">
        <f>IF(VLOOKUP($A572,DICO_Complet!$A$3:$U$983,15,FALSE)=0,"",VLOOKUP($A572,DICO_Complet!$A$3:$U$983,15,FALSE))</f>
        <v/>
      </c>
      <c r="O572" s="53" t="str">
        <f>IF(VLOOKUP($A572,DICO_Complet!$A$3:$U$983,16,FALSE)=0,"",VLOOKUP($A572,DICO_Complet!$A$3:$U$983,16,FALSE))</f>
        <v/>
      </c>
      <c r="P572" s="53" t="str">
        <f>IF(VLOOKUP($A572,DICO_Complet!$A$3:$U$983,17,FALSE)=0,"",VLOOKUP($A572,DICO_Complet!$A$3:$U$983,17,FALSE))</f>
        <v/>
      </c>
      <c r="Q572" s="53" t="str">
        <f>IF(VLOOKUP($A572,DICO_Complet!$A$3:$U$983,18,FALSE)=0,"",VLOOKUP($A572,DICO_Complet!$A$3:$U$983,18,FALSE))</f>
        <v/>
      </c>
    </row>
    <row r="573" spans="1:17">
      <c r="A573" s="38">
        <v>250203144200</v>
      </c>
      <c r="B573" s="47" t="s">
        <v>858</v>
      </c>
      <c r="C573" s="3" t="str">
        <f>VLOOKUP($A573,DICO_Complet!$A$3:$U$983,3,FALSE)</f>
        <v>Transaction</v>
      </c>
      <c r="D573" s="3" t="str">
        <f>VLOOKUP($A573,DICO_Complet!$A$3:$U$983,4,FALSE)</f>
        <v>additionalResponseData</v>
      </c>
      <c r="E573" s="2" t="str">
        <f>VLOOKUP($A573,DICO_Complet!$A$3:$U$983,5,FALSE)</f>
        <v>validationCode</v>
      </c>
      <c r="F573" s="2" t="str">
        <f>VLOOKUP($A573,DICO_Complet!$A$3:$U$983,6,FALSE)</f>
        <v>Exact4Text</v>
      </c>
      <c r="G573" s="48">
        <f>VLOOKUP($A573,DICO_Complet!$A$3:$U$983,7,FALSE)</f>
        <v>0</v>
      </c>
      <c r="H573" s="48">
        <f>VLOOKUP($A573,DICO_Complet!$A$3:$U$983,8,FALSE)</f>
        <v>0</v>
      </c>
      <c r="I573" s="2" t="str">
        <f>IF(VLOOKUP($A573,DICO_Complet!$A$3:$U$983,9,FALSE)&lt;&gt;0,VLOOKUP($A573,DICO_Complet!$A$3:$U$983,9,FALSE),"")</f>
        <v/>
      </c>
      <c r="J573" s="1" t="str">
        <f>VLOOKUP($A573,DICO_Complet!$A$3:$U$983,10,FALSE)</f>
        <v>Champ retourne par Visa dans le Field 62.3</v>
      </c>
      <c r="K573" s="53" t="str">
        <f>IF(VLOOKUP($A573,DICO_Complet!$A$3:$U$983,12,FALSE)=0,"",VLOOKUP($A573,DICO_Complet!$A$3:$U$983,12,FALSE))</f>
        <v/>
      </c>
      <c r="L573" s="53" t="str">
        <f>IF(VLOOKUP($A573,DICO_Complet!$A$3:$U$983,13,FALSE)=0,"",VLOOKUP($A573,DICO_Complet!$A$3:$U$983,13,FALSE))</f>
        <v/>
      </c>
      <c r="M573" s="53" t="str">
        <f>IF(VLOOKUP($A573,DICO_Complet!$A$3:$U$983,14,FALSE)=0,"",VLOOKUP($A573,DICO_Complet!$A$3:$U$983,14,FALSE))</f>
        <v/>
      </c>
      <c r="N573" s="53" t="str">
        <f>IF(VLOOKUP($A573,DICO_Complet!$A$3:$U$983,15,FALSE)=0,"",VLOOKUP($A573,DICO_Complet!$A$3:$U$983,15,FALSE))</f>
        <v/>
      </c>
      <c r="O573" s="53" t="str">
        <f>IF(VLOOKUP($A573,DICO_Complet!$A$3:$U$983,16,FALSE)=0,"",VLOOKUP($A573,DICO_Complet!$A$3:$U$983,16,FALSE))</f>
        <v/>
      </c>
      <c r="P573" s="53" t="str">
        <f>IF(VLOOKUP($A573,DICO_Complet!$A$3:$U$983,17,FALSE)=0,"",VLOOKUP($A573,DICO_Complet!$A$3:$U$983,17,FALSE))</f>
        <v/>
      </c>
      <c r="Q573" s="53" t="str">
        <f>IF(VLOOKUP($A573,DICO_Complet!$A$3:$U$983,18,FALSE)=0,"",VLOOKUP($A573,DICO_Complet!$A$3:$U$983,18,FALSE))</f>
        <v/>
      </c>
    </row>
    <row r="574" spans="1:17">
      <c r="A574" s="38">
        <v>250331121303</v>
      </c>
      <c r="B574" s="47" t="s">
        <v>858</v>
      </c>
      <c r="C574" s="3" t="str">
        <f>VLOOKUP($A574,DICO_Complet!$A$3:$U$983,3,FALSE)</f>
        <v>Transaction</v>
      </c>
      <c r="D574" s="3" t="str">
        <f>VLOOKUP($A574,DICO_Complet!$A$3:$U$983,4,FALSE)</f>
        <v>chargebackData</v>
      </c>
      <c r="E574" s="2" t="str">
        <f>VLOOKUP($A574,DICO_Complet!$A$3:$U$983,5,FALSE)</f>
        <v>chargebackId</v>
      </c>
      <c r="F574" s="2" t="str">
        <f>VLOOKUP($A574,DICO_Complet!$A$3:$U$983,6,FALSE)</f>
        <v>Max19Text</v>
      </c>
      <c r="G574" s="48">
        <f>VLOOKUP($A574,DICO_Complet!$A$3:$U$983,7,FALSE)</f>
        <v>0</v>
      </c>
      <c r="H574" s="48">
        <f>VLOOKUP($A574,DICO_Complet!$A$3:$U$983,8,FALSE)</f>
        <v>0</v>
      </c>
      <c r="I574" s="2" t="str">
        <f>IF(VLOOKUP($A574,DICO_Complet!$A$3:$U$983,9,FALSE)&lt;&gt;0,VLOOKUP($A574,DICO_Complet!$A$3:$U$983,9,FALSE),"")</f>
        <v/>
      </c>
      <c r="J574" s="1" t="str">
        <f>VLOOKUP($A574,DICO_Complet!$A$3:$U$983,10,FALSE)</f>
        <v>Chargeback id</v>
      </c>
      <c r="K574" s="53" t="str">
        <f>IF(VLOOKUP($A574,DICO_Complet!$A$3:$U$983,12,FALSE)=0,"",VLOOKUP($A574,DICO_Complet!$A$3:$U$983,12,FALSE))</f>
        <v/>
      </c>
      <c r="L574" s="53" t="str">
        <f>IF(VLOOKUP($A574,DICO_Complet!$A$3:$U$983,13,FALSE)=0,"",VLOOKUP($A574,DICO_Complet!$A$3:$U$983,13,FALSE))</f>
        <v/>
      </c>
      <c r="M574" s="53" t="str">
        <f>IF(VLOOKUP($A574,DICO_Complet!$A$3:$U$983,14,FALSE)=0,"",VLOOKUP($A574,DICO_Complet!$A$3:$U$983,14,FALSE))</f>
        <v/>
      </c>
      <c r="N574" s="53" t="str">
        <f>IF(VLOOKUP($A574,DICO_Complet!$A$3:$U$983,15,FALSE)=0,"",VLOOKUP($A574,DICO_Complet!$A$3:$U$983,15,FALSE))</f>
        <v/>
      </c>
      <c r="O574" s="53" t="str">
        <f>IF(VLOOKUP($A574,DICO_Complet!$A$3:$U$983,16,FALSE)=0,"",VLOOKUP($A574,DICO_Complet!$A$3:$U$983,16,FALSE))</f>
        <v/>
      </c>
      <c r="P574" s="53" t="str">
        <f>IF(VLOOKUP($A574,DICO_Complet!$A$3:$U$983,17,FALSE)=0,"",VLOOKUP($A574,DICO_Complet!$A$3:$U$983,17,FALSE))</f>
        <v/>
      </c>
      <c r="Q574" s="53" t="str">
        <f>IF(VLOOKUP($A574,DICO_Complet!$A$3:$U$983,18,FALSE)=0,"",VLOOKUP($A574,DICO_Complet!$A$3:$U$983,18,FALSE))</f>
        <v/>
      </c>
    </row>
    <row r="575" spans="1:17">
      <c r="A575" s="38">
        <v>250331121304</v>
      </c>
      <c r="B575" s="47" t="s">
        <v>858</v>
      </c>
      <c r="C575" s="3" t="str">
        <f>VLOOKUP($A575,DICO_Complet!$A$3:$U$983,3,FALSE)</f>
        <v>Transaction</v>
      </c>
      <c r="D575" s="3" t="str">
        <f>VLOOKUP($A575,DICO_Complet!$A$3:$U$983,4,FALSE)</f>
        <v>chargebackData</v>
      </c>
      <c r="E575" s="2" t="str">
        <f>VLOOKUP($A575,DICO_Complet!$A$3:$U$983,5,FALSE)</f>
        <v>reasonCode</v>
      </c>
      <c r="F575" s="2" t="str">
        <f>VLOOKUP($A575,DICO_Complet!$A$3:$U$983,6,FALSE)</f>
        <v>Max6AlphaNumericText</v>
      </c>
      <c r="G575" s="48">
        <f>VLOOKUP($A575,DICO_Complet!$A$3:$U$983,7,FALSE)</f>
        <v>0</v>
      </c>
      <c r="H575" s="48">
        <f>VLOOKUP($A575,DICO_Complet!$A$3:$U$983,8,FALSE)</f>
        <v>0</v>
      </c>
      <c r="I575" s="2" t="str">
        <f>IF(VLOOKUP($A575,DICO_Complet!$A$3:$U$983,9,FALSE)&lt;&gt;0,VLOOKUP($A575,DICO_Complet!$A$3:$U$983,9,FALSE),"")</f>
        <v/>
      </c>
      <c r="J575" s="1" t="str">
        <f>VLOOKUP($A575,DICO_Complet!$A$3:$U$983,10,FALSE)</f>
        <v>Reason code of the chargeback</v>
      </c>
      <c r="K575" s="53" t="str">
        <f>IF(VLOOKUP($A575,DICO_Complet!$A$3:$U$983,12,FALSE)=0,"",VLOOKUP($A575,DICO_Complet!$A$3:$U$983,12,FALSE))</f>
        <v/>
      </c>
      <c r="L575" s="53" t="str">
        <f>IF(VLOOKUP($A575,DICO_Complet!$A$3:$U$983,13,FALSE)=0,"",VLOOKUP($A575,DICO_Complet!$A$3:$U$983,13,FALSE))</f>
        <v/>
      </c>
      <c r="M575" s="53" t="str">
        <f>IF(VLOOKUP($A575,DICO_Complet!$A$3:$U$983,14,FALSE)=0,"",VLOOKUP($A575,DICO_Complet!$A$3:$U$983,14,FALSE))</f>
        <v/>
      </c>
      <c r="N575" s="53" t="str">
        <f>IF(VLOOKUP($A575,DICO_Complet!$A$3:$U$983,15,FALSE)=0,"",VLOOKUP($A575,DICO_Complet!$A$3:$U$983,15,FALSE))</f>
        <v/>
      </c>
      <c r="O575" s="53" t="str">
        <f>IF(VLOOKUP($A575,DICO_Complet!$A$3:$U$983,16,FALSE)=0,"",VLOOKUP($A575,DICO_Complet!$A$3:$U$983,16,FALSE))</f>
        <v/>
      </c>
      <c r="P575" s="53" t="str">
        <f>IF(VLOOKUP($A575,DICO_Complet!$A$3:$U$983,17,FALSE)=0,"",VLOOKUP($A575,DICO_Complet!$A$3:$U$983,17,FALSE))</f>
        <v/>
      </c>
      <c r="Q575" s="53" t="str">
        <f>IF(VLOOKUP($A575,DICO_Complet!$A$3:$U$983,18,FALSE)=0,"",VLOOKUP($A575,DICO_Complet!$A$3:$U$983,18,FALSE))</f>
        <v/>
      </c>
    </row>
    <row r="576" spans="1:17">
      <c r="A576" s="38">
        <v>250401153200</v>
      </c>
      <c r="B576" s="47" t="s">
        <v>858</v>
      </c>
      <c r="C576" s="3" t="str">
        <f>VLOOKUP($A576,DICO_Complet!$A$3:$U$983,3,FALSE)</f>
        <v>Transaction</v>
      </c>
      <c r="D576" s="3" t="str">
        <f>VLOOKUP($A576,DICO_Complet!$A$3:$U$983,4,FALSE)</f>
        <v>chargebackData</v>
      </c>
      <c r="E576" s="2" t="str">
        <f>VLOOKUP($A576,DICO_Complet!$A$3:$U$983,5,FALSE)</f>
        <v>reasonLabel</v>
      </c>
      <c r="F576" s="2" t="str">
        <f>VLOOKUP($A576,DICO_Complet!$A$3:$U$983,6,FALSE)</f>
        <v>Max255Text</v>
      </c>
      <c r="G576" s="48">
        <f>VLOOKUP($A576,DICO_Complet!$A$3:$U$983,7,FALSE)</f>
        <v>0</v>
      </c>
      <c r="H576" s="48">
        <f>VLOOKUP($A576,DICO_Complet!$A$3:$U$983,8,FALSE)</f>
        <v>0</v>
      </c>
      <c r="I576" s="2" t="str">
        <f>IF(VLOOKUP($A576,DICO_Complet!$A$3:$U$983,9,FALSE)&lt;&gt;0,VLOOKUP($A576,DICO_Complet!$A$3:$U$983,9,FALSE),"")</f>
        <v/>
      </c>
      <c r="J576" s="1" t="str">
        <f>VLOOKUP($A576,DICO_Complet!$A$3:$U$983,10,FALSE)</f>
        <v>Label of the reason of the chargeback</v>
      </c>
      <c r="K576" s="53" t="str">
        <f>IF(VLOOKUP($A576,DICO_Complet!$A$3:$U$983,12,FALSE)=0,"",VLOOKUP($A576,DICO_Complet!$A$3:$U$983,12,FALSE))</f>
        <v/>
      </c>
      <c r="L576" s="53" t="str">
        <f>IF(VLOOKUP($A576,DICO_Complet!$A$3:$U$983,13,FALSE)=0,"",VLOOKUP($A576,DICO_Complet!$A$3:$U$983,13,FALSE))</f>
        <v/>
      </c>
      <c r="M576" s="53" t="str">
        <f>IF(VLOOKUP($A576,DICO_Complet!$A$3:$U$983,14,FALSE)=0,"",VLOOKUP($A576,DICO_Complet!$A$3:$U$983,14,FALSE))</f>
        <v/>
      </c>
      <c r="N576" s="53" t="str">
        <f>IF(VLOOKUP($A576,DICO_Complet!$A$3:$U$983,15,FALSE)=0,"",VLOOKUP($A576,DICO_Complet!$A$3:$U$983,15,FALSE))</f>
        <v/>
      </c>
      <c r="O576" s="53" t="str">
        <f>IF(VLOOKUP($A576,DICO_Complet!$A$3:$U$983,16,FALSE)=0,"",VLOOKUP($A576,DICO_Complet!$A$3:$U$983,16,FALSE))</f>
        <v/>
      </c>
      <c r="P576" s="53" t="str">
        <f>IF(VLOOKUP($A576,DICO_Complet!$A$3:$U$983,17,FALSE)=0,"",VLOOKUP($A576,DICO_Complet!$A$3:$U$983,17,FALSE))</f>
        <v/>
      </c>
      <c r="Q576" s="53" t="str">
        <f>IF(VLOOKUP($A576,DICO_Complet!$A$3:$U$983,18,FALSE)=0,"",VLOOKUP($A576,DICO_Complet!$A$3:$U$983,18,FALSE))</f>
        <v/>
      </c>
    </row>
    <row r="577" spans="1:17">
      <c r="A577" s="38">
        <v>250401153201</v>
      </c>
      <c r="B577" s="47" t="s">
        <v>858</v>
      </c>
      <c r="C577" s="3" t="str">
        <f>VLOOKUP($A577,DICO_Complet!$A$3:$U$983,3,FALSE)</f>
        <v>Transaction</v>
      </c>
      <c r="D577" s="3" t="str">
        <f>VLOOKUP($A577,DICO_Complet!$A$3:$U$983,4,FALSE)</f>
        <v>chargebackData</v>
      </c>
      <c r="E577" s="2" t="str">
        <f>VLOOKUP($A577,DICO_Complet!$A$3:$U$983,5,FALSE)</f>
        <v>representmentReasonCode</v>
      </c>
      <c r="F577" s="2" t="str">
        <f>VLOOKUP($A577,DICO_Complet!$A$3:$U$983,6,FALSE)</f>
        <v>Max6AlphaNumericText</v>
      </c>
      <c r="G577" s="48">
        <f>VLOOKUP($A577,DICO_Complet!$A$3:$U$983,7,FALSE)</f>
        <v>0</v>
      </c>
      <c r="H577" s="48">
        <f>VLOOKUP($A577,DICO_Complet!$A$3:$U$983,8,FALSE)</f>
        <v>0</v>
      </c>
      <c r="I577" s="2" t="str">
        <f>IF(VLOOKUP($A577,DICO_Complet!$A$3:$U$983,9,FALSE)&lt;&gt;0,VLOOKUP($A577,DICO_Complet!$A$3:$U$983,9,FALSE),"")</f>
        <v/>
      </c>
      <c r="J577" s="1" t="str">
        <f>VLOOKUP($A577,DICO_Complet!$A$3:$U$983,10,FALSE)</f>
        <v>Reason code of the representment</v>
      </c>
      <c r="K577" s="53" t="str">
        <f>IF(VLOOKUP($A577,DICO_Complet!$A$3:$U$983,12,FALSE)=0,"",VLOOKUP($A577,DICO_Complet!$A$3:$U$983,12,FALSE))</f>
        <v/>
      </c>
      <c r="L577" s="53" t="str">
        <f>IF(VLOOKUP($A577,DICO_Complet!$A$3:$U$983,13,FALSE)=0,"",VLOOKUP($A577,DICO_Complet!$A$3:$U$983,13,FALSE))</f>
        <v/>
      </c>
      <c r="M577" s="53" t="str">
        <f>IF(VLOOKUP($A577,DICO_Complet!$A$3:$U$983,14,FALSE)=0,"",VLOOKUP($A577,DICO_Complet!$A$3:$U$983,14,FALSE))</f>
        <v/>
      </c>
      <c r="N577" s="53" t="str">
        <f>IF(VLOOKUP($A577,DICO_Complet!$A$3:$U$983,15,FALSE)=0,"",VLOOKUP($A577,DICO_Complet!$A$3:$U$983,15,FALSE))</f>
        <v/>
      </c>
      <c r="O577" s="53" t="str">
        <f>IF(VLOOKUP($A577,DICO_Complet!$A$3:$U$983,16,FALSE)=0,"",VLOOKUP($A577,DICO_Complet!$A$3:$U$983,16,FALSE))</f>
        <v/>
      </c>
      <c r="P577" s="53" t="str">
        <f>IF(VLOOKUP($A577,DICO_Complet!$A$3:$U$983,17,FALSE)=0,"",VLOOKUP($A577,DICO_Complet!$A$3:$U$983,17,FALSE))</f>
        <v/>
      </c>
      <c r="Q577" s="53" t="str">
        <f>IF(VLOOKUP($A577,DICO_Complet!$A$3:$U$983,18,FALSE)=0,"",VLOOKUP($A577,DICO_Complet!$A$3:$U$983,18,FALSE))</f>
        <v/>
      </c>
    </row>
    <row r="578" spans="1:17">
      <c r="A578" s="38">
        <v>250324131105</v>
      </c>
      <c r="B578" s="47" t="s">
        <v>858</v>
      </c>
      <c r="C578" s="3" t="str">
        <f>VLOOKUP($A578,DICO_Complet!$A$3:$U$983,3,FALSE)</f>
        <v>Transaction</v>
      </c>
      <c r="D578" s="3" t="str">
        <f>VLOOKUP($A578,DICO_Complet!$A$3:$U$983,4,FALSE)</f>
        <v>disputeData</v>
      </c>
      <c r="E578" s="2" t="str">
        <f>VLOOKUP($A578,DICO_Complet!$A$3:$U$983,5,FALSE)</f>
        <v>additionnalData</v>
      </c>
      <c r="F578" s="2" t="str">
        <f>VLOOKUP($A578,DICO_Complet!$A$3:$U$983,6,FALSE)</f>
        <v>AdditionalDataType</v>
      </c>
      <c r="G578" s="48">
        <f>VLOOKUP($A578,DICO_Complet!$A$3:$U$983,7,FALSE)</f>
        <v>0</v>
      </c>
      <c r="H578" s="48">
        <f>VLOOKUP($A578,DICO_Complet!$A$3:$U$983,8,FALSE)</f>
        <v>0</v>
      </c>
      <c r="I578" s="2" t="str">
        <f>IF(VLOOKUP($A578,DICO_Complet!$A$3:$U$983,9,FALSE)&lt;&gt;0,VLOOKUP($A578,DICO_Complet!$A$3:$U$983,9,FALSE),"")</f>
        <v/>
      </c>
      <c r="J578" s="1" t="str">
        <f>VLOOKUP($A578,DICO_Complet!$A$3:$U$983,10,FALSE)</f>
        <v>Additionnal data</v>
      </c>
      <c r="K578" s="53" t="str">
        <f>IF(VLOOKUP($A578,DICO_Complet!$A$3:$U$983,12,FALSE)=0,"",VLOOKUP($A578,DICO_Complet!$A$3:$U$983,12,FALSE))</f>
        <v/>
      </c>
      <c r="L578" s="53" t="str">
        <f>IF(VLOOKUP($A578,DICO_Complet!$A$3:$U$983,13,FALSE)=0,"",VLOOKUP($A578,DICO_Complet!$A$3:$U$983,13,FALSE))</f>
        <v/>
      </c>
      <c r="M578" s="53" t="str">
        <f>IF(VLOOKUP($A578,DICO_Complet!$A$3:$U$983,14,FALSE)=0,"",VLOOKUP($A578,DICO_Complet!$A$3:$U$983,14,FALSE))</f>
        <v/>
      </c>
      <c r="N578" s="53" t="str">
        <f>IF(VLOOKUP($A578,DICO_Complet!$A$3:$U$983,15,FALSE)=0,"",VLOOKUP($A578,DICO_Complet!$A$3:$U$983,15,FALSE))</f>
        <v/>
      </c>
      <c r="O578" s="53" t="str">
        <f>IF(VLOOKUP($A578,DICO_Complet!$A$3:$U$983,16,FALSE)=0,"",VLOOKUP($A578,DICO_Complet!$A$3:$U$983,16,FALSE))</f>
        <v/>
      </c>
      <c r="P578" s="53" t="str">
        <f>IF(VLOOKUP($A578,DICO_Complet!$A$3:$U$983,17,FALSE)=0,"",VLOOKUP($A578,DICO_Complet!$A$3:$U$983,17,FALSE))</f>
        <v/>
      </c>
      <c r="Q578" s="53" t="str">
        <f>IF(VLOOKUP($A578,DICO_Complet!$A$3:$U$983,18,FALSE)=0,"",VLOOKUP($A578,DICO_Complet!$A$3:$U$983,18,FALSE))</f>
        <v/>
      </c>
    </row>
    <row r="579" spans="1:17">
      <c r="A579" s="38">
        <v>250317176916</v>
      </c>
      <c r="B579" s="47" t="s">
        <v>858</v>
      </c>
      <c r="C579" s="3" t="str">
        <f>VLOOKUP($A579,DICO_Complet!$A$3:$U$983,3,FALSE)</f>
        <v>Transaction</v>
      </c>
      <c r="D579" s="3" t="str">
        <f>VLOOKUP($A579,DICO_Complet!$A$3:$U$983,4,FALSE)</f>
        <v>disputeData</v>
      </c>
      <c r="E579" s="2" t="str">
        <f>VLOOKUP($A579,DICO_Complet!$A$3:$U$983,5,FALSE)</f>
        <v>auditTrailFolderEligibilityIndicator</v>
      </c>
      <c r="F579" s="2" t="str">
        <f>VLOOKUP($A579,DICO_Complet!$A$3:$U$983,6,FALSE)</f>
        <v>TrueFalseIndicator</v>
      </c>
      <c r="G579" s="48">
        <f>VLOOKUP($A579,DICO_Complet!$A$3:$U$983,7,FALSE)</f>
        <v>0</v>
      </c>
      <c r="H579" s="48">
        <f>VLOOKUP($A579,DICO_Complet!$A$3:$U$983,8,FALSE)</f>
        <v>0</v>
      </c>
      <c r="I579" s="2" t="str">
        <f>IF(VLOOKUP($A579,DICO_Complet!$A$3:$U$983,9,FALSE)&lt;&gt;0,VLOOKUP($A579,DICO_Complet!$A$3:$U$983,9,FALSE),"")</f>
        <v/>
      </c>
      <c r="J579" s="1" t="str">
        <f>VLOOKUP($A579,DICO_Complet!$A$3:$U$983,10,FALSE)</f>
        <v>Audit trail folder eligibility indicator</v>
      </c>
      <c r="K579" s="53" t="str">
        <f>IF(VLOOKUP($A579,DICO_Complet!$A$3:$U$983,12,FALSE)=0,"",VLOOKUP($A579,DICO_Complet!$A$3:$U$983,12,FALSE))</f>
        <v/>
      </c>
      <c r="L579" s="53" t="str">
        <f>IF(VLOOKUP($A579,DICO_Complet!$A$3:$U$983,13,FALSE)=0,"",VLOOKUP($A579,DICO_Complet!$A$3:$U$983,13,FALSE))</f>
        <v/>
      </c>
      <c r="M579" s="53" t="str">
        <f>IF(VLOOKUP($A579,DICO_Complet!$A$3:$U$983,14,FALSE)=0,"",VLOOKUP($A579,DICO_Complet!$A$3:$U$983,14,FALSE))</f>
        <v/>
      </c>
      <c r="N579" s="53" t="str">
        <f>IF(VLOOKUP($A579,DICO_Complet!$A$3:$U$983,15,FALSE)=0,"",VLOOKUP($A579,DICO_Complet!$A$3:$U$983,15,FALSE))</f>
        <v/>
      </c>
      <c r="O579" s="53" t="str">
        <f>IF(VLOOKUP($A579,DICO_Complet!$A$3:$U$983,16,FALSE)=0,"",VLOOKUP($A579,DICO_Complet!$A$3:$U$983,16,FALSE))</f>
        <v/>
      </c>
      <c r="P579" s="53" t="str">
        <f>IF(VLOOKUP($A579,DICO_Complet!$A$3:$U$983,17,FALSE)=0,"",VLOOKUP($A579,DICO_Complet!$A$3:$U$983,17,FALSE))</f>
        <v/>
      </c>
      <c r="Q579" s="53" t="str">
        <f>IF(VLOOKUP($A579,DICO_Complet!$A$3:$U$983,18,FALSE)=0,"",VLOOKUP($A579,DICO_Complet!$A$3:$U$983,18,FALSE))</f>
        <v/>
      </c>
    </row>
    <row r="580" spans="1:17">
      <c r="A580" s="38">
        <v>250317176910</v>
      </c>
      <c r="B580" s="47" t="s">
        <v>858</v>
      </c>
      <c r="C580" s="3" t="str">
        <f>VLOOKUP($A580,DICO_Complet!$A$3:$U$983,3,FALSE)</f>
        <v>Transaction</v>
      </c>
      <c r="D580" s="3" t="str">
        <f>VLOOKUP($A580,DICO_Complet!$A$3:$U$983,4,FALSE)</f>
        <v>disputeData</v>
      </c>
      <c r="E580" s="2" t="str">
        <f>VLOOKUP($A580,DICO_Complet!$A$3:$U$983,5,FALSE)</f>
        <v>creationDateTime</v>
      </c>
      <c r="F580" s="2" t="str">
        <f>VLOOKUP($A580,DICO_Complet!$A$3:$U$983,6,FALSE)</f>
        <v>ISODateTime</v>
      </c>
      <c r="G580" s="48">
        <f>VLOOKUP($A580,DICO_Complet!$A$3:$U$983,7,FALSE)</f>
        <v>0</v>
      </c>
      <c r="H580" s="48">
        <f>VLOOKUP($A580,DICO_Complet!$A$3:$U$983,8,FALSE)</f>
        <v>0</v>
      </c>
      <c r="I580" s="2" t="str">
        <f>IF(VLOOKUP($A580,DICO_Complet!$A$3:$U$983,9,FALSE)&lt;&gt;0,VLOOKUP($A580,DICO_Complet!$A$3:$U$983,9,FALSE),"")</f>
        <v/>
      </c>
      <c r="J580" s="1" t="str">
        <f>VLOOKUP($A580,DICO_Complet!$A$3:$U$983,10,FALSE)</f>
        <v>Creation date time</v>
      </c>
      <c r="K580" s="53" t="str">
        <f>IF(VLOOKUP($A580,DICO_Complet!$A$3:$U$983,12,FALSE)=0,"",VLOOKUP($A580,DICO_Complet!$A$3:$U$983,12,FALSE))</f>
        <v/>
      </c>
      <c r="L580" s="53" t="str">
        <f>IF(VLOOKUP($A580,DICO_Complet!$A$3:$U$983,13,FALSE)=0,"",VLOOKUP($A580,DICO_Complet!$A$3:$U$983,13,FALSE))</f>
        <v/>
      </c>
      <c r="M580" s="53" t="str">
        <f>IF(VLOOKUP($A580,DICO_Complet!$A$3:$U$983,14,FALSE)=0,"",VLOOKUP($A580,DICO_Complet!$A$3:$U$983,14,FALSE))</f>
        <v/>
      </c>
      <c r="N580" s="53" t="str">
        <f>IF(VLOOKUP($A580,DICO_Complet!$A$3:$U$983,15,FALSE)=0,"",VLOOKUP($A580,DICO_Complet!$A$3:$U$983,15,FALSE))</f>
        <v/>
      </c>
      <c r="O580" s="53" t="str">
        <f>IF(VLOOKUP($A580,DICO_Complet!$A$3:$U$983,16,FALSE)=0,"",VLOOKUP($A580,DICO_Complet!$A$3:$U$983,16,FALSE))</f>
        <v/>
      </c>
      <c r="P580" s="53" t="str">
        <f>IF(VLOOKUP($A580,DICO_Complet!$A$3:$U$983,17,FALSE)=0,"",VLOOKUP($A580,DICO_Complet!$A$3:$U$983,17,FALSE))</f>
        <v/>
      </c>
      <c r="Q580" s="53" t="str">
        <f>IF(VLOOKUP($A580,DICO_Complet!$A$3:$U$983,18,FALSE)=0,"",VLOOKUP($A580,DICO_Complet!$A$3:$U$983,18,FALSE))</f>
        <v/>
      </c>
    </row>
    <row r="581" spans="1:17">
      <c r="A581" s="38">
        <v>250324131109</v>
      </c>
      <c r="B581" s="47" t="s">
        <v>858</v>
      </c>
      <c r="C581" s="3" t="str">
        <f>VLOOKUP($A581,DICO_Complet!$A$3:$U$983,3,FALSE)</f>
        <v>Transaction</v>
      </c>
      <c r="D581" s="3" t="str">
        <f>VLOOKUP($A581,DICO_Complet!$A$3:$U$983,4,FALSE)</f>
        <v>disputeData</v>
      </c>
      <c r="E581" s="2" t="str">
        <f>VLOOKUP($A581,DICO_Complet!$A$3:$U$983,5,FALSE)</f>
        <v>decisionDateTime</v>
      </c>
      <c r="F581" s="2" t="str">
        <f>VLOOKUP($A581,DICO_Complet!$A$3:$U$983,6,FALSE)</f>
        <v>ISODateTime</v>
      </c>
      <c r="G581" s="48">
        <f>VLOOKUP($A581,DICO_Complet!$A$3:$U$983,7,FALSE)</f>
        <v>0</v>
      </c>
      <c r="H581" s="48">
        <f>VLOOKUP($A581,DICO_Complet!$A$3:$U$983,8,FALSE)</f>
        <v>0</v>
      </c>
      <c r="I581" s="2" t="str">
        <f>IF(VLOOKUP($A581,DICO_Complet!$A$3:$U$983,9,FALSE)&lt;&gt;0,VLOOKUP($A581,DICO_Complet!$A$3:$U$983,9,FALSE),"")</f>
        <v/>
      </c>
      <c r="J581" s="1" t="str">
        <f>VLOOKUP($A581,DICO_Complet!$A$3:$U$983,10,FALSE)</f>
        <v>Decision date time</v>
      </c>
      <c r="K581" s="53" t="str">
        <f>IF(VLOOKUP($A581,DICO_Complet!$A$3:$U$983,12,FALSE)=0,"",VLOOKUP($A581,DICO_Complet!$A$3:$U$983,12,FALSE))</f>
        <v/>
      </c>
      <c r="L581" s="53" t="str">
        <f>IF(VLOOKUP($A581,DICO_Complet!$A$3:$U$983,13,FALSE)=0,"",VLOOKUP($A581,DICO_Complet!$A$3:$U$983,13,FALSE))</f>
        <v/>
      </c>
      <c r="M581" s="53" t="str">
        <f>IF(VLOOKUP($A581,DICO_Complet!$A$3:$U$983,14,FALSE)=0,"",VLOOKUP($A581,DICO_Complet!$A$3:$U$983,14,FALSE))</f>
        <v/>
      </c>
      <c r="N581" s="53" t="str">
        <f>IF(VLOOKUP($A581,DICO_Complet!$A$3:$U$983,15,FALSE)=0,"",VLOOKUP($A581,DICO_Complet!$A$3:$U$983,15,FALSE))</f>
        <v/>
      </c>
      <c r="O581" s="53" t="str">
        <f>IF(VLOOKUP($A581,DICO_Complet!$A$3:$U$983,16,FALSE)=0,"",VLOOKUP($A581,DICO_Complet!$A$3:$U$983,16,FALSE))</f>
        <v/>
      </c>
      <c r="P581" s="53" t="str">
        <f>IF(VLOOKUP($A581,DICO_Complet!$A$3:$U$983,17,FALSE)=0,"",VLOOKUP($A581,DICO_Complet!$A$3:$U$983,17,FALSE))</f>
        <v/>
      </c>
      <c r="Q581" s="53" t="str">
        <f>IF(VLOOKUP($A581,DICO_Complet!$A$3:$U$983,18,FALSE)=0,"",VLOOKUP($A581,DICO_Complet!$A$3:$U$983,18,FALSE))</f>
        <v/>
      </c>
    </row>
    <row r="582" spans="1:17">
      <c r="A582" s="38">
        <v>250317176912</v>
      </c>
      <c r="B582" s="47" t="s">
        <v>858</v>
      </c>
      <c r="C582" s="3" t="str">
        <f>VLOOKUP($A582,DICO_Complet!$A$3:$U$983,3,FALSE)</f>
        <v>Transaction</v>
      </c>
      <c r="D582" s="3" t="str">
        <f>VLOOKUP($A582,DICO_Complet!$A$3:$U$983,4,FALSE)</f>
        <v>disputeData</v>
      </c>
      <c r="E582" s="2" t="str">
        <f>VLOOKUP($A582,DICO_Complet!$A$3:$U$983,5,FALSE)</f>
        <v>disputeCondition</v>
      </c>
      <c r="F582" s="2" t="str">
        <f>VLOOKUP($A582,DICO_Complet!$A$3:$U$983,6,FALSE)</f>
        <v>DisputeConditionCodeset</v>
      </c>
      <c r="G582" s="48">
        <f>VLOOKUP($A582,DICO_Complet!$A$3:$U$983,7,FALSE)</f>
        <v>0</v>
      </c>
      <c r="H582" s="48">
        <f>VLOOKUP($A582,DICO_Complet!$A$3:$U$983,8,FALSE)</f>
        <v>0</v>
      </c>
      <c r="I582" s="2" t="str">
        <f>IF(VLOOKUP($A582,DICO_Complet!$A$3:$U$983,9,FALSE)&lt;&gt;0,VLOOKUP($A582,DICO_Complet!$A$3:$U$983,9,FALSE),"")</f>
        <v/>
      </c>
      <c r="J582" s="1" t="str">
        <f>VLOOKUP($A582,DICO_Complet!$A$3:$U$983,10,FALSE)</f>
        <v>Dispute condition</v>
      </c>
      <c r="K582" s="53" t="str">
        <f>IF(VLOOKUP($A582,DICO_Complet!$A$3:$U$983,12,FALSE)=0,"",VLOOKUP($A582,DICO_Complet!$A$3:$U$983,12,FALSE))</f>
        <v/>
      </c>
      <c r="L582" s="53" t="str">
        <f>IF(VLOOKUP($A582,DICO_Complet!$A$3:$U$983,13,FALSE)=0,"",VLOOKUP($A582,DICO_Complet!$A$3:$U$983,13,FALSE))</f>
        <v/>
      </c>
      <c r="M582" s="53" t="str">
        <f>IF(VLOOKUP($A582,DICO_Complet!$A$3:$U$983,14,FALSE)=0,"",VLOOKUP($A582,DICO_Complet!$A$3:$U$983,14,FALSE))</f>
        <v/>
      </c>
      <c r="N582" s="53" t="str">
        <f>IF(VLOOKUP($A582,DICO_Complet!$A$3:$U$983,15,FALSE)=0,"",VLOOKUP($A582,DICO_Complet!$A$3:$U$983,15,FALSE))</f>
        <v/>
      </c>
      <c r="O582" s="53" t="str">
        <f>IF(VLOOKUP($A582,DICO_Complet!$A$3:$U$983,16,FALSE)=0,"",VLOOKUP($A582,DICO_Complet!$A$3:$U$983,16,FALSE))</f>
        <v/>
      </c>
      <c r="P582" s="53" t="str">
        <f>IF(VLOOKUP($A582,DICO_Complet!$A$3:$U$983,17,FALSE)=0,"",VLOOKUP($A582,DICO_Complet!$A$3:$U$983,17,FALSE))</f>
        <v/>
      </c>
      <c r="Q582" s="53" t="str">
        <f>IF(VLOOKUP($A582,DICO_Complet!$A$3:$U$983,18,FALSE)=0,"",VLOOKUP($A582,DICO_Complet!$A$3:$U$983,18,FALSE))</f>
        <v/>
      </c>
    </row>
    <row r="583" spans="1:17">
      <c r="A583" s="38">
        <v>250317176907</v>
      </c>
      <c r="B583" s="47" t="s">
        <v>858</v>
      </c>
      <c r="C583" s="3" t="str">
        <f>VLOOKUP($A583,DICO_Complet!$A$3:$U$983,3,FALSE)</f>
        <v>Transaction</v>
      </c>
      <c r="D583" s="3" t="str">
        <f>VLOOKUP($A583,DICO_Complet!$A$3:$U$983,4,FALSE)</f>
        <v>disputeData</v>
      </c>
      <c r="E583" s="2" t="str">
        <f>VLOOKUP($A583,DICO_Complet!$A$3:$U$983,5,FALSE)</f>
        <v>disputeDataId</v>
      </c>
      <c r="F583" s="2" t="str">
        <f>VLOOKUP($A583,DICO_Complet!$A$3:$U$983,6,FALSE)</f>
        <v>Exact16AlphaNumericText</v>
      </c>
      <c r="G583" s="48">
        <f>VLOOKUP($A583,DICO_Complet!$A$3:$U$983,7,FALSE)</f>
        <v>0</v>
      </c>
      <c r="H583" s="48">
        <f>VLOOKUP($A583,DICO_Complet!$A$3:$U$983,8,FALSE)</f>
        <v>0</v>
      </c>
      <c r="I583" s="2" t="str">
        <f>IF(VLOOKUP($A583,DICO_Complet!$A$3:$U$983,9,FALSE)&lt;&gt;0,VLOOKUP($A583,DICO_Complet!$A$3:$U$983,9,FALSE),"")</f>
        <v/>
      </c>
      <c r="J583" s="1" t="str">
        <f>VLOOKUP($A583,DICO_Complet!$A$3:$U$983,10,FALSE)</f>
        <v>Dispute data reference</v>
      </c>
      <c r="K583" s="53" t="str">
        <f>IF(VLOOKUP($A583,DICO_Complet!$A$3:$U$983,12,FALSE)=0,"",VLOOKUP($A583,DICO_Complet!$A$3:$U$983,12,FALSE))</f>
        <v/>
      </c>
      <c r="L583" s="53" t="str">
        <f>IF(VLOOKUP($A583,DICO_Complet!$A$3:$U$983,13,FALSE)=0,"",VLOOKUP($A583,DICO_Complet!$A$3:$U$983,13,FALSE))</f>
        <v/>
      </c>
      <c r="M583" s="53" t="str">
        <f>IF(VLOOKUP($A583,DICO_Complet!$A$3:$U$983,14,FALSE)=0,"",VLOOKUP($A583,DICO_Complet!$A$3:$U$983,14,FALSE))</f>
        <v/>
      </c>
      <c r="N583" s="53" t="str">
        <f>IF(VLOOKUP($A583,DICO_Complet!$A$3:$U$983,15,FALSE)=0,"",VLOOKUP($A583,DICO_Complet!$A$3:$U$983,15,FALSE))</f>
        <v/>
      </c>
      <c r="O583" s="53" t="str">
        <f>IF(VLOOKUP($A583,DICO_Complet!$A$3:$U$983,16,FALSE)=0,"",VLOOKUP($A583,DICO_Complet!$A$3:$U$983,16,FALSE))</f>
        <v/>
      </c>
      <c r="P583" s="53" t="str">
        <f>IF(VLOOKUP($A583,DICO_Complet!$A$3:$U$983,17,FALSE)=0,"",VLOOKUP($A583,DICO_Complet!$A$3:$U$983,17,FALSE))</f>
        <v/>
      </c>
      <c r="Q583" s="53" t="str">
        <f>IF(VLOOKUP($A583,DICO_Complet!$A$3:$U$983,18,FALSE)=0,"",VLOOKUP($A583,DICO_Complet!$A$3:$U$983,18,FALSE))</f>
        <v/>
      </c>
    </row>
    <row r="584" spans="1:17">
      <c r="A584" s="38">
        <v>250317176908</v>
      </c>
      <c r="B584" s="47" t="s">
        <v>858</v>
      </c>
      <c r="C584" s="3" t="str">
        <f>VLOOKUP($A584,DICO_Complet!$A$3:$U$983,3,FALSE)</f>
        <v>Transaction</v>
      </c>
      <c r="D584" s="3" t="str">
        <f>VLOOKUP($A584,DICO_Complet!$A$3:$U$983,4,FALSE)</f>
        <v>disputeData</v>
      </c>
      <c r="E584" s="2" t="str">
        <f>VLOOKUP($A584,DICO_Complet!$A$3:$U$983,5,FALSE)</f>
        <v>disputeInternalIdentification</v>
      </c>
      <c r="F584" s="2" t="str">
        <f>VLOOKUP($A584,DICO_Complet!$A$3:$U$983,6,FALSE)</f>
        <v>Max19NumericText</v>
      </c>
      <c r="G584" s="48">
        <f>VLOOKUP($A584,DICO_Complet!$A$3:$U$983,7,FALSE)</f>
        <v>0</v>
      </c>
      <c r="H584" s="48">
        <f>VLOOKUP($A584,DICO_Complet!$A$3:$U$983,8,FALSE)</f>
        <v>0</v>
      </c>
      <c r="I584" s="2" t="str">
        <f>IF(VLOOKUP($A584,DICO_Complet!$A$3:$U$983,9,FALSE)&lt;&gt;0,VLOOKUP($A584,DICO_Complet!$A$3:$U$983,9,FALSE),"")</f>
        <v/>
      </c>
      <c r="J584" s="1" t="str">
        <f>VLOOKUP($A584,DICO_Complet!$A$3:$U$983,10,FALSE)</f>
        <v>Dispute data internal reference</v>
      </c>
      <c r="K584" s="53" t="str">
        <f>IF(VLOOKUP($A584,DICO_Complet!$A$3:$U$983,12,FALSE)=0,"",VLOOKUP($A584,DICO_Complet!$A$3:$U$983,12,FALSE))</f>
        <v/>
      </c>
      <c r="L584" s="53" t="str">
        <f>IF(VLOOKUP($A584,DICO_Complet!$A$3:$U$983,13,FALSE)=0,"",VLOOKUP($A584,DICO_Complet!$A$3:$U$983,13,FALSE))</f>
        <v/>
      </c>
      <c r="M584" s="53" t="str">
        <f>IF(VLOOKUP($A584,DICO_Complet!$A$3:$U$983,14,FALSE)=0,"",VLOOKUP($A584,DICO_Complet!$A$3:$U$983,14,FALSE))</f>
        <v/>
      </c>
      <c r="N584" s="53" t="str">
        <f>IF(VLOOKUP($A584,DICO_Complet!$A$3:$U$983,15,FALSE)=0,"",VLOOKUP($A584,DICO_Complet!$A$3:$U$983,15,FALSE))</f>
        <v/>
      </c>
      <c r="O584" s="53" t="str">
        <f>IF(VLOOKUP($A584,DICO_Complet!$A$3:$U$983,16,FALSE)=0,"",VLOOKUP($A584,DICO_Complet!$A$3:$U$983,16,FALSE))</f>
        <v/>
      </c>
      <c r="P584" s="53" t="str">
        <f>IF(VLOOKUP($A584,DICO_Complet!$A$3:$U$983,17,FALSE)=0,"",VLOOKUP($A584,DICO_Complet!$A$3:$U$983,17,FALSE))</f>
        <v/>
      </c>
      <c r="Q584" s="53" t="str">
        <f>IF(VLOOKUP($A584,DICO_Complet!$A$3:$U$983,18,FALSE)=0,"",VLOOKUP($A584,DICO_Complet!$A$3:$U$983,18,FALSE))</f>
        <v/>
      </c>
    </row>
    <row r="585" spans="1:17">
      <c r="A585" s="38">
        <v>250317176913</v>
      </c>
      <c r="B585" s="47" t="s">
        <v>858</v>
      </c>
      <c r="C585" s="3" t="str">
        <f>VLOOKUP($A585,DICO_Complet!$A$3:$U$983,3,FALSE)</f>
        <v>Transaction</v>
      </c>
      <c r="D585" s="3" t="str">
        <f>VLOOKUP($A585,DICO_Complet!$A$3:$U$983,4,FALSE)</f>
        <v>disputeData</v>
      </c>
      <c r="E585" s="2" t="str">
        <f>VLOOKUP($A585,DICO_Complet!$A$3:$U$983,5,FALSE)</f>
        <v>disputeQualification</v>
      </c>
      <c r="F585" s="2" t="str">
        <f>VLOOKUP($A585,DICO_Complet!$A$3:$U$983,6,FALSE)</f>
        <v>DisputeQualificationCodeset</v>
      </c>
      <c r="G585" s="48">
        <f>VLOOKUP($A585,DICO_Complet!$A$3:$U$983,7,FALSE)</f>
        <v>0</v>
      </c>
      <c r="H585" s="48">
        <f>VLOOKUP($A585,DICO_Complet!$A$3:$U$983,8,FALSE)</f>
        <v>0</v>
      </c>
      <c r="I585" s="2" t="str">
        <f>IF(VLOOKUP($A585,DICO_Complet!$A$3:$U$983,9,FALSE)&lt;&gt;0,VLOOKUP($A585,DICO_Complet!$A$3:$U$983,9,FALSE),"")</f>
        <v/>
      </c>
      <c r="J585" s="1" t="str">
        <f>VLOOKUP($A585,DICO_Complet!$A$3:$U$983,10,FALSE)</f>
        <v>Dispute qualification</v>
      </c>
      <c r="K585" s="53" t="str">
        <f>IF(VLOOKUP($A585,DICO_Complet!$A$3:$U$983,12,FALSE)=0,"",VLOOKUP($A585,DICO_Complet!$A$3:$U$983,12,FALSE))</f>
        <v/>
      </c>
      <c r="L585" s="53" t="str">
        <f>IF(VLOOKUP($A585,DICO_Complet!$A$3:$U$983,13,FALSE)=0,"",VLOOKUP($A585,DICO_Complet!$A$3:$U$983,13,FALSE))</f>
        <v/>
      </c>
      <c r="M585" s="53" t="str">
        <f>IF(VLOOKUP($A585,DICO_Complet!$A$3:$U$983,14,FALSE)=0,"",VLOOKUP($A585,DICO_Complet!$A$3:$U$983,14,FALSE))</f>
        <v/>
      </c>
      <c r="N585" s="53" t="str">
        <f>IF(VLOOKUP($A585,DICO_Complet!$A$3:$U$983,15,FALSE)=0,"",VLOOKUP($A585,DICO_Complet!$A$3:$U$983,15,FALSE))</f>
        <v/>
      </c>
      <c r="O585" s="53" t="str">
        <f>IF(VLOOKUP($A585,DICO_Complet!$A$3:$U$983,16,FALSE)=0,"",VLOOKUP($A585,DICO_Complet!$A$3:$U$983,16,FALSE))</f>
        <v/>
      </c>
      <c r="P585" s="53" t="str">
        <f>IF(VLOOKUP($A585,DICO_Complet!$A$3:$U$983,17,FALSE)=0,"",VLOOKUP($A585,DICO_Complet!$A$3:$U$983,17,FALSE))</f>
        <v/>
      </c>
      <c r="Q585" s="53" t="str">
        <f>IF(VLOOKUP($A585,DICO_Complet!$A$3:$U$983,18,FALSE)=0,"",VLOOKUP($A585,DICO_Complet!$A$3:$U$983,18,FALSE))</f>
        <v/>
      </c>
    </row>
    <row r="586" spans="1:17">
      <c r="A586" s="38">
        <v>250414134000</v>
      </c>
      <c r="B586" s="47" t="s">
        <v>858</v>
      </c>
      <c r="C586" s="3" t="str">
        <f>VLOOKUP($A586,DICO_Complet!$A$3:$U$983,3,FALSE)</f>
        <v>Transaction</v>
      </c>
      <c r="D586" s="3" t="str">
        <f>VLOOKUP($A586,DICO_Complet!$A$3:$U$983,4,FALSE)</f>
        <v>disputeData</v>
      </c>
      <c r="E586" s="2" t="str">
        <f>VLOOKUP($A586,DICO_Complet!$A$3:$U$983,5,FALSE)</f>
        <v>localDateTime</v>
      </c>
      <c r="F586" s="2" t="str">
        <f>VLOOKUP($A586,DICO_Complet!$A$3:$U$983,6,FALSE)</f>
        <v>ISODateTime</v>
      </c>
      <c r="G586" s="48">
        <f>VLOOKUP($A586,DICO_Complet!$A$3:$U$983,7,FALSE)</f>
        <v>0</v>
      </c>
      <c r="H586" s="48">
        <f>VLOOKUP($A586,DICO_Complet!$A$3:$U$983,8,FALSE)</f>
        <v>0</v>
      </c>
      <c r="I586" s="2" t="str">
        <f>IF(VLOOKUP($A586,DICO_Complet!$A$3:$U$983,9,FALSE)&lt;&gt;0,VLOOKUP($A586,DICO_Complet!$A$3:$U$983,9,FALSE),"")</f>
        <v/>
      </c>
      <c r="J586" s="1" t="str">
        <f>VLOOKUP($A586,DICO_Complet!$A$3:$U$983,10,FALSE)</f>
        <v>Date Time in local region</v>
      </c>
      <c r="K586" s="53" t="str">
        <f>IF(VLOOKUP($A586,DICO_Complet!$A$3:$U$983,12,FALSE)=0,"",VLOOKUP($A586,DICO_Complet!$A$3:$U$983,12,FALSE))</f>
        <v/>
      </c>
      <c r="L586" s="53" t="str">
        <f>IF(VLOOKUP($A586,DICO_Complet!$A$3:$U$983,13,FALSE)=0,"",VLOOKUP($A586,DICO_Complet!$A$3:$U$983,13,FALSE))</f>
        <v/>
      </c>
      <c r="M586" s="53" t="str">
        <f>IF(VLOOKUP($A586,DICO_Complet!$A$3:$U$983,14,FALSE)=0,"",VLOOKUP($A586,DICO_Complet!$A$3:$U$983,14,FALSE))</f>
        <v/>
      </c>
      <c r="N586" s="53" t="str">
        <f>IF(VLOOKUP($A586,DICO_Complet!$A$3:$U$983,15,FALSE)=0,"",VLOOKUP($A586,DICO_Complet!$A$3:$U$983,15,FALSE))</f>
        <v/>
      </c>
      <c r="O586" s="53" t="str">
        <f>IF(VLOOKUP($A586,DICO_Complet!$A$3:$U$983,16,FALSE)=0,"",VLOOKUP($A586,DICO_Complet!$A$3:$U$983,16,FALSE))</f>
        <v/>
      </c>
      <c r="P586" s="53" t="str">
        <f>IF(VLOOKUP($A586,DICO_Complet!$A$3:$U$983,17,FALSE)=0,"",VLOOKUP($A586,DICO_Complet!$A$3:$U$983,17,FALSE))</f>
        <v/>
      </c>
      <c r="Q586" s="53" t="str">
        <f>IF(VLOOKUP($A586,DICO_Complet!$A$3:$U$983,18,FALSE)=0,"",VLOOKUP($A586,DICO_Complet!$A$3:$U$983,18,FALSE))</f>
        <v/>
      </c>
    </row>
    <row r="587" spans="1:17">
      <c r="A587" s="38">
        <v>250324131106</v>
      </c>
      <c r="B587" s="47" t="s">
        <v>858</v>
      </c>
      <c r="C587" s="3" t="str">
        <f>VLOOKUP($A587,DICO_Complet!$A$3:$U$983,3,FALSE)</f>
        <v>Transaction</v>
      </c>
      <c r="D587" s="3" t="str">
        <f>VLOOKUP($A587,DICO_Complet!$A$3:$U$983,4,FALSE)</f>
        <v>disputeData</v>
      </c>
      <c r="E587" s="2" t="str">
        <f>VLOOKUP($A587,DICO_Complet!$A$3:$U$983,5,FALSE)</f>
        <v>reclamationIndicator</v>
      </c>
      <c r="F587" s="2" t="str">
        <f>VLOOKUP($A587,DICO_Complet!$A$3:$U$983,6,FALSE)</f>
        <v>TrueFalseIndicator</v>
      </c>
      <c r="G587" s="48">
        <f>VLOOKUP($A587,DICO_Complet!$A$3:$U$983,7,FALSE)</f>
        <v>0</v>
      </c>
      <c r="H587" s="48">
        <f>VLOOKUP($A587,DICO_Complet!$A$3:$U$983,8,FALSE)</f>
        <v>0</v>
      </c>
      <c r="I587" s="2" t="str">
        <f>IF(VLOOKUP($A587,DICO_Complet!$A$3:$U$983,9,FALSE)&lt;&gt;0,VLOOKUP($A587,DICO_Complet!$A$3:$U$983,9,FALSE),"")</f>
        <v/>
      </c>
      <c r="J587" s="1" t="str">
        <f>VLOOKUP($A587,DICO_Complet!$A$3:$U$983,10,FALSE)</f>
        <v xml:space="preserve">Indicator of customer's reclamation </v>
      </c>
      <c r="K587" s="53" t="str">
        <f>IF(VLOOKUP($A587,DICO_Complet!$A$3:$U$983,12,FALSE)=0,"",VLOOKUP($A587,DICO_Complet!$A$3:$U$983,12,FALSE))</f>
        <v/>
      </c>
      <c r="L587" s="53" t="str">
        <f>IF(VLOOKUP($A587,DICO_Complet!$A$3:$U$983,13,FALSE)=0,"",VLOOKUP($A587,DICO_Complet!$A$3:$U$983,13,FALSE))</f>
        <v/>
      </c>
      <c r="M587" s="53" t="str">
        <f>IF(VLOOKUP($A587,DICO_Complet!$A$3:$U$983,14,FALSE)=0,"",VLOOKUP($A587,DICO_Complet!$A$3:$U$983,14,FALSE))</f>
        <v/>
      </c>
      <c r="N587" s="53" t="str">
        <f>IF(VLOOKUP($A587,DICO_Complet!$A$3:$U$983,15,FALSE)=0,"",VLOOKUP($A587,DICO_Complet!$A$3:$U$983,15,FALSE))</f>
        <v/>
      </c>
      <c r="O587" s="53" t="str">
        <f>IF(VLOOKUP($A587,DICO_Complet!$A$3:$U$983,16,FALSE)=0,"",VLOOKUP($A587,DICO_Complet!$A$3:$U$983,16,FALSE))</f>
        <v/>
      </c>
      <c r="P587" s="53" t="str">
        <f>IF(VLOOKUP($A587,DICO_Complet!$A$3:$U$983,17,FALSE)=0,"",VLOOKUP($A587,DICO_Complet!$A$3:$U$983,17,FALSE))</f>
        <v/>
      </c>
      <c r="Q587" s="53" t="str">
        <f>IF(VLOOKUP($A587,DICO_Complet!$A$3:$U$983,18,FALSE)=0,"",VLOOKUP($A587,DICO_Complet!$A$3:$U$983,18,FALSE))</f>
        <v/>
      </c>
    </row>
    <row r="588" spans="1:17">
      <c r="A588" s="38">
        <v>250324131108</v>
      </c>
      <c r="B588" s="47" t="s">
        <v>858</v>
      </c>
      <c r="C588" s="3" t="str">
        <f>VLOOKUP($A588,DICO_Complet!$A$3:$U$983,3,FALSE)</f>
        <v>Transaction</v>
      </c>
      <c r="D588" s="3" t="str">
        <f>VLOOKUP($A588,DICO_Complet!$A$3:$U$983,4,FALSE)</f>
        <v>disputeData</v>
      </c>
      <c r="E588" s="2" t="str">
        <f>VLOOKUP($A588,DICO_Complet!$A$3:$U$983,5,FALSE)</f>
        <v>refundDecisionCode</v>
      </c>
      <c r="F588" s="2" t="str">
        <f>VLOOKUP($A588,DICO_Complet!$A$3:$U$983,6,FALSE)</f>
        <v>RefundDecisionCodeset</v>
      </c>
      <c r="G588" s="48">
        <f>VLOOKUP($A588,DICO_Complet!$A$3:$U$983,7,FALSE)</f>
        <v>0</v>
      </c>
      <c r="H588" s="48">
        <f>VLOOKUP($A588,DICO_Complet!$A$3:$U$983,8,FALSE)</f>
        <v>0</v>
      </c>
      <c r="I588" s="2" t="str">
        <f>IF(VLOOKUP($A588,DICO_Complet!$A$3:$U$983,9,FALSE)&lt;&gt;0,VLOOKUP($A588,DICO_Complet!$A$3:$U$983,9,FALSE),"")</f>
        <v/>
      </c>
      <c r="J588" s="1" t="str">
        <f>VLOOKUP($A588,DICO_Complet!$A$3:$U$983,10,FALSE)</f>
        <v>Decision of the dispute</v>
      </c>
      <c r="K588" s="53" t="str">
        <f>IF(VLOOKUP($A588,DICO_Complet!$A$3:$U$983,12,FALSE)=0,"",VLOOKUP($A588,DICO_Complet!$A$3:$U$983,12,FALSE))</f>
        <v/>
      </c>
      <c r="L588" s="53" t="str">
        <f>IF(VLOOKUP($A588,DICO_Complet!$A$3:$U$983,13,FALSE)=0,"",VLOOKUP($A588,DICO_Complet!$A$3:$U$983,13,FALSE))</f>
        <v/>
      </c>
      <c r="M588" s="53" t="str">
        <f>IF(VLOOKUP($A588,DICO_Complet!$A$3:$U$983,14,FALSE)=0,"",VLOOKUP($A588,DICO_Complet!$A$3:$U$983,14,FALSE))</f>
        <v/>
      </c>
      <c r="N588" s="53" t="str">
        <f>IF(VLOOKUP($A588,DICO_Complet!$A$3:$U$983,15,FALSE)=0,"",VLOOKUP($A588,DICO_Complet!$A$3:$U$983,15,FALSE))</f>
        <v/>
      </c>
      <c r="O588" s="53" t="str">
        <f>IF(VLOOKUP($A588,DICO_Complet!$A$3:$U$983,16,FALSE)=0,"",VLOOKUP($A588,DICO_Complet!$A$3:$U$983,16,FALSE))</f>
        <v/>
      </c>
      <c r="P588" s="53" t="str">
        <f>IF(VLOOKUP($A588,DICO_Complet!$A$3:$U$983,17,FALSE)=0,"",VLOOKUP($A588,DICO_Complet!$A$3:$U$983,17,FALSE))</f>
        <v/>
      </c>
      <c r="Q588" s="53" t="str">
        <f>IF(VLOOKUP($A588,DICO_Complet!$A$3:$U$983,18,FALSE)=0,"",VLOOKUP($A588,DICO_Complet!$A$3:$U$983,18,FALSE))</f>
        <v/>
      </c>
    </row>
    <row r="589" spans="1:17">
      <c r="A589" s="38">
        <v>250324131107</v>
      </c>
      <c r="B589" s="47" t="s">
        <v>858</v>
      </c>
      <c r="C589" s="3" t="str">
        <f>VLOOKUP($A589,DICO_Complet!$A$3:$U$983,3,FALSE)</f>
        <v>Transaction</v>
      </c>
      <c r="D589" s="3" t="str">
        <f>VLOOKUP($A589,DICO_Complet!$A$3:$U$983,4,FALSE)</f>
        <v>disputeData</v>
      </c>
      <c r="E589" s="2" t="str">
        <f>VLOOKUP($A589,DICO_Complet!$A$3:$U$983,5,FALSE)</f>
        <v>statusChangeReason</v>
      </c>
      <c r="F589" s="2" t="str">
        <f>VLOOKUP($A589,DICO_Complet!$A$3:$U$983,6,FALSE)</f>
        <v>StatusChangeReasonCodeset</v>
      </c>
      <c r="G589" s="48">
        <f>VLOOKUP($A589,DICO_Complet!$A$3:$U$983,7,FALSE)</f>
        <v>0</v>
      </c>
      <c r="H589" s="48">
        <f>VLOOKUP($A589,DICO_Complet!$A$3:$U$983,8,FALSE)</f>
        <v>0</v>
      </c>
      <c r="I589" s="2" t="str">
        <f>IF(VLOOKUP($A589,DICO_Complet!$A$3:$U$983,9,FALSE)&lt;&gt;0,VLOOKUP($A589,DICO_Complet!$A$3:$U$983,9,FALSE),"")</f>
        <v/>
      </c>
      <c r="J589" s="1" t="str">
        <f>VLOOKUP($A589,DICO_Complet!$A$3:$U$983,10,FALSE)</f>
        <v>Reason of the change status</v>
      </c>
      <c r="K589" s="53" t="str">
        <f>IF(VLOOKUP($A589,DICO_Complet!$A$3:$U$983,12,FALSE)=0,"",VLOOKUP($A589,DICO_Complet!$A$3:$U$983,12,FALSE))</f>
        <v/>
      </c>
      <c r="L589" s="53" t="str">
        <f>IF(VLOOKUP($A589,DICO_Complet!$A$3:$U$983,13,FALSE)=0,"",VLOOKUP($A589,DICO_Complet!$A$3:$U$983,13,FALSE))</f>
        <v/>
      </c>
      <c r="M589" s="53" t="str">
        <f>IF(VLOOKUP($A589,DICO_Complet!$A$3:$U$983,14,FALSE)=0,"",VLOOKUP($A589,DICO_Complet!$A$3:$U$983,14,FALSE))</f>
        <v/>
      </c>
      <c r="N589" s="53" t="str">
        <f>IF(VLOOKUP($A589,DICO_Complet!$A$3:$U$983,15,FALSE)=0,"",VLOOKUP($A589,DICO_Complet!$A$3:$U$983,15,FALSE))</f>
        <v/>
      </c>
      <c r="O589" s="53" t="str">
        <f>IF(VLOOKUP($A589,DICO_Complet!$A$3:$U$983,16,FALSE)=0,"",VLOOKUP($A589,DICO_Complet!$A$3:$U$983,16,FALSE))</f>
        <v/>
      </c>
      <c r="P589" s="53" t="str">
        <f>IF(VLOOKUP($A589,DICO_Complet!$A$3:$U$983,17,FALSE)=0,"",VLOOKUP($A589,DICO_Complet!$A$3:$U$983,17,FALSE))</f>
        <v/>
      </c>
      <c r="Q589" s="53" t="str">
        <f>IF(VLOOKUP($A589,DICO_Complet!$A$3:$U$983,18,FALSE)=0,"",VLOOKUP($A589,DICO_Complet!$A$3:$U$983,18,FALSE))</f>
        <v/>
      </c>
    </row>
    <row r="590" spans="1:17">
      <c r="A590" s="38">
        <v>250324131101</v>
      </c>
      <c r="B590" s="47" t="s">
        <v>858</v>
      </c>
      <c r="C590" s="3" t="str">
        <f>VLOOKUP($A590,DICO_Complet!$A$3:$U$983,3,FALSE)</f>
        <v>Transaction</v>
      </c>
      <c r="D590" s="3" t="str">
        <f>VLOOKUP($A590,DICO_Complet!$A$3:$U$983,4,FALSE)</f>
        <v>disputeData</v>
      </c>
      <c r="E590" s="2" t="str">
        <f>VLOOKUP($A590,DICO_Complet!$A$3:$U$983,5,FALSE)</f>
        <v>statusCode</v>
      </c>
      <c r="F590" s="2" t="str">
        <f>VLOOKUP($A590,DICO_Complet!$A$3:$U$983,6,FALSE)</f>
        <v>StatusCodeCodeset</v>
      </c>
      <c r="G590" s="48">
        <f>VLOOKUP($A590,DICO_Complet!$A$3:$U$983,7,FALSE)</f>
        <v>0</v>
      </c>
      <c r="H590" s="48">
        <f>VLOOKUP($A590,DICO_Complet!$A$3:$U$983,8,FALSE)</f>
        <v>0</v>
      </c>
      <c r="I590" s="2" t="str">
        <f>IF(VLOOKUP($A590,DICO_Complet!$A$3:$U$983,9,FALSE)&lt;&gt;0,VLOOKUP($A590,DICO_Complet!$A$3:$U$983,9,FALSE),"")</f>
        <v/>
      </c>
      <c r="J590" s="1" t="str">
        <f>VLOOKUP($A590,DICO_Complet!$A$3:$U$983,10,FALSE)</f>
        <v>Status code</v>
      </c>
      <c r="K590" s="53" t="str">
        <f>IF(VLOOKUP($A590,DICO_Complet!$A$3:$U$983,12,FALSE)=0,"",VLOOKUP($A590,DICO_Complet!$A$3:$U$983,12,FALSE))</f>
        <v/>
      </c>
      <c r="L590" s="53" t="str">
        <f>IF(VLOOKUP($A590,DICO_Complet!$A$3:$U$983,13,FALSE)=0,"",VLOOKUP($A590,DICO_Complet!$A$3:$U$983,13,FALSE))</f>
        <v/>
      </c>
      <c r="M590" s="53" t="str">
        <f>IF(VLOOKUP($A590,DICO_Complet!$A$3:$U$983,14,FALSE)=0,"",VLOOKUP($A590,DICO_Complet!$A$3:$U$983,14,FALSE))</f>
        <v/>
      </c>
      <c r="N590" s="53" t="str">
        <f>IF(VLOOKUP($A590,DICO_Complet!$A$3:$U$983,15,FALSE)=0,"",VLOOKUP($A590,DICO_Complet!$A$3:$U$983,15,FALSE))</f>
        <v/>
      </c>
      <c r="O590" s="53" t="str">
        <f>IF(VLOOKUP($A590,DICO_Complet!$A$3:$U$983,16,FALSE)=0,"",VLOOKUP($A590,DICO_Complet!$A$3:$U$983,16,FALSE))</f>
        <v/>
      </c>
      <c r="P590" s="53" t="str">
        <f>IF(VLOOKUP($A590,DICO_Complet!$A$3:$U$983,17,FALSE)=0,"",VLOOKUP($A590,DICO_Complet!$A$3:$U$983,17,FALSE))</f>
        <v/>
      </c>
      <c r="Q590" s="53" t="str">
        <f>IF(VLOOKUP($A590,DICO_Complet!$A$3:$U$983,18,FALSE)=0,"",VLOOKUP($A590,DICO_Complet!$A$3:$U$983,18,FALSE))</f>
        <v/>
      </c>
    </row>
    <row r="591" spans="1:17">
      <c r="A591" s="38">
        <v>250324131102</v>
      </c>
      <c r="B591" s="47" t="s">
        <v>858</v>
      </c>
      <c r="C591" s="3" t="str">
        <f>VLOOKUP($A591,DICO_Complet!$A$3:$U$983,3,FALSE)</f>
        <v>Transaction</v>
      </c>
      <c r="D591" s="3" t="str">
        <f>VLOOKUP($A591,DICO_Complet!$A$3:$U$983,4,FALSE)</f>
        <v>disputeData</v>
      </c>
      <c r="E591" s="2" t="str">
        <f>VLOOKUP($A591,DICO_Complet!$A$3:$U$983,5,FALSE)</f>
        <v>statusLabel</v>
      </c>
      <c r="F591" s="2" t="str">
        <f>VLOOKUP($A591,DICO_Complet!$A$3:$U$983,6,FALSE)</f>
        <v>Max255Text</v>
      </c>
      <c r="G591" s="48">
        <f>VLOOKUP($A591,DICO_Complet!$A$3:$U$983,7,FALSE)</f>
        <v>0</v>
      </c>
      <c r="H591" s="48">
        <f>VLOOKUP($A591,DICO_Complet!$A$3:$U$983,8,FALSE)</f>
        <v>0</v>
      </c>
      <c r="I591" s="2" t="str">
        <f>IF(VLOOKUP($A591,DICO_Complet!$A$3:$U$983,9,FALSE)&lt;&gt;0,VLOOKUP($A591,DICO_Complet!$A$3:$U$983,9,FALSE),"")</f>
        <v/>
      </c>
      <c r="J591" s="1" t="str">
        <f>VLOOKUP($A591,DICO_Complet!$A$3:$U$983,10,FALSE)</f>
        <v>Label of the status</v>
      </c>
      <c r="K591" s="53" t="str">
        <f>IF(VLOOKUP($A591,DICO_Complet!$A$3:$U$983,12,FALSE)=0,"",VLOOKUP($A591,DICO_Complet!$A$3:$U$983,12,FALSE))</f>
        <v/>
      </c>
      <c r="L591" s="53" t="str">
        <f>IF(VLOOKUP($A591,DICO_Complet!$A$3:$U$983,13,FALSE)=0,"",VLOOKUP($A591,DICO_Complet!$A$3:$U$983,13,FALSE))</f>
        <v/>
      </c>
      <c r="M591" s="53" t="str">
        <f>IF(VLOOKUP($A591,DICO_Complet!$A$3:$U$983,14,FALSE)=0,"",VLOOKUP($A591,DICO_Complet!$A$3:$U$983,14,FALSE))</f>
        <v/>
      </c>
      <c r="N591" s="53" t="str">
        <f>IF(VLOOKUP($A591,DICO_Complet!$A$3:$U$983,15,FALSE)=0,"",VLOOKUP($A591,DICO_Complet!$A$3:$U$983,15,FALSE))</f>
        <v/>
      </c>
      <c r="O591" s="53" t="str">
        <f>IF(VLOOKUP($A591,DICO_Complet!$A$3:$U$983,16,FALSE)=0,"",VLOOKUP($A591,DICO_Complet!$A$3:$U$983,16,FALSE))</f>
        <v/>
      </c>
      <c r="P591" s="53" t="str">
        <f>IF(VLOOKUP($A591,DICO_Complet!$A$3:$U$983,17,FALSE)=0,"",VLOOKUP($A591,DICO_Complet!$A$3:$U$983,17,FALSE))</f>
        <v/>
      </c>
      <c r="Q591" s="53" t="str">
        <f>IF(VLOOKUP($A591,DICO_Complet!$A$3:$U$983,18,FALSE)=0,"",VLOOKUP($A591,DICO_Complet!$A$3:$U$983,18,FALSE))</f>
        <v/>
      </c>
    </row>
    <row r="592" spans="1:17">
      <c r="A592" s="38">
        <v>250324131103</v>
      </c>
      <c r="B592" s="47" t="s">
        <v>858</v>
      </c>
      <c r="C592" s="3" t="str">
        <f>VLOOKUP($A592,DICO_Complet!$A$3:$U$983,3,FALSE)</f>
        <v>Transaction</v>
      </c>
      <c r="D592" s="3" t="str">
        <f>VLOOKUP($A592,DICO_Complet!$A$3:$U$983,4,FALSE)</f>
        <v>disputeData</v>
      </c>
      <c r="E592" s="2" t="str">
        <f>VLOOKUP($A592,DICO_Complet!$A$3:$U$983,5,FALSE)</f>
        <v>statusUpdateDateTime</v>
      </c>
      <c r="F592" s="2" t="str">
        <f>VLOOKUP($A592,DICO_Complet!$A$3:$U$983,6,FALSE)</f>
        <v>ISODateTime</v>
      </c>
      <c r="G592" s="48">
        <f>VLOOKUP($A592,DICO_Complet!$A$3:$U$983,7,FALSE)</f>
        <v>0</v>
      </c>
      <c r="H592" s="48">
        <f>VLOOKUP($A592,DICO_Complet!$A$3:$U$983,8,FALSE)</f>
        <v>0</v>
      </c>
      <c r="I592" s="2" t="str">
        <f>IF(VLOOKUP($A592,DICO_Complet!$A$3:$U$983,9,FALSE)&lt;&gt;0,VLOOKUP($A592,DICO_Complet!$A$3:$U$983,9,FALSE),"")</f>
        <v/>
      </c>
      <c r="J592" s="1" t="str">
        <f>VLOOKUP($A592,DICO_Complet!$A$3:$U$983,10,FALSE)</f>
        <v>Update date time of the status</v>
      </c>
      <c r="K592" s="53" t="str">
        <f>IF(VLOOKUP($A592,DICO_Complet!$A$3:$U$983,12,FALSE)=0,"",VLOOKUP($A592,DICO_Complet!$A$3:$U$983,12,FALSE))</f>
        <v/>
      </c>
      <c r="L592" s="53" t="str">
        <f>IF(VLOOKUP($A592,DICO_Complet!$A$3:$U$983,13,FALSE)=0,"",VLOOKUP($A592,DICO_Complet!$A$3:$U$983,13,FALSE))</f>
        <v/>
      </c>
      <c r="M592" s="53" t="str">
        <f>IF(VLOOKUP($A592,DICO_Complet!$A$3:$U$983,14,FALSE)=0,"",VLOOKUP($A592,DICO_Complet!$A$3:$U$983,14,FALSE))</f>
        <v/>
      </c>
      <c r="N592" s="53" t="str">
        <f>IF(VLOOKUP($A592,DICO_Complet!$A$3:$U$983,15,FALSE)=0,"",VLOOKUP($A592,DICO_Complet!$A$3:$U$983,15,FALSE))</f>
        <v/>
      </c>
      <c r="O592" s="53" t="str">
        <f>IF(VLOOKUP($A592,DICO_Complet!$A$3:$U$983,16,FALSE)=0,"",VLOOKUP($A592,DICO_Complet!$A$3:$U$983,16,FALSE))</f>
        <v/>
      </c>
      <c r="P592" s="53" t="str">
        <f>IF(VLOOKUP($A592,DICO_Complet!$A$3:$U$983,17,FALSE)=0,"",VLOOKUP($A592,DICO_Complet!$A$3:$U$983,17,FALSE))</f>
        <v/>
      </c>
      <c r="Q592" s="53" t="str">
        <f>IF(VLOOKUP($A592,DICO_Complet!$A$3:$U$983,18,FALSE)=0,"",VLOOKUP($A592,DICO_Complet!$A$3:$U$983,18,FALSE))</f>
        <v/>
      </c>
    </row>
    <row r="593" spans="1:17">
      <c r="A593" s="38">
        <v>250324131104</v>
      </c>
      <c r="B593" s="47" t="s">
        <v>858</v>
      </c>
      <c r="C593" s="3" t="str">
        <f>VLOOKUP($A593,DICO_Complet!$A$3:$U$983,3,FALSE)</f>
        <v>Transaction</v>
      </c>
      <c r="D593" s="3" t="str">
        <f>VLOOKUP($A593,DICO_Complet!$A$3:$U$983,4,FALSE)</f>
        <v>disputeData</v>
      </c>
      <c r="E593" s="2" t="str">
        <f>VLOOKUP($A593,DICO_Complet!$A$3:$U$983,5,FALSE)</f>
        <v>subStatusLabel</v>
      </c>
      <c r="F593" s="2" t="str">
        <f>VLOOKUP($A593,DICO_Complet!$A$3:$U$983,6,FALSE)</f>
        <v>Max255Text</v>
      </c>
      <c r="G593" s="48">
        <f>VLOOKUP($A593,DICO_Complet!$A$3:$U$983,7,FALSE)</f>
        <v>0</v>
      </c>
      <c r="H593" s="48">
        <f>VLOOKUP($A593,DICO_Complet!$A$3:$U$983,8,FALSE)</f>
        <v>0</v>
      </c>
      <c r="I593" s="2" t="str">
        <f>IF(VLOOKUP($A593,DICO_Complet!$A$3:$U$983,9,FALSE)&lt;&gt;0,VLOOKUP($A593,DICO_Complet!$A$3:$U$983,9,FALSE),"")</f>
        <v/>
      </c>
      <c r="J593" s="1" t="str">
        <f>VLOOKUP($A593,DICO_Complet!$A$3:$U$983,10,FALSE)</f>
        <v>Reason of the status code qualification</v>
      </c>
      <c r="K593" s="53" t="str">
        <f>IF(VLOOKUP($A593,DICO_Complet!$A$3:$U$983,12,FALSE)=0,"",VLOOKUP($A593,DICO_Complet!$A$3:$U$983,12,FALSE))</f>
        <v/>
      </c>
      <c r="L593" s="53" t="str">
        <f>IF(VLOOKUP($A593,DICO_Complet!$A$3:$U$983,13,FALSE)=0,"",VLOOKUP($A593,DICO_Complet!$A$3:$U$983,13,FALSE))</f>
        <v/>
      </c>
      <c r="M593" s="53" t="str">
        <f>IF(VLOOKUP($A593,DICO_Complet!$A$3:$U$983,14,FALSE)=0,"",VLOOKUP($A593,DICO_Complet!$A$3:$U$983,14,FALSE))</f>
        <v/>
      </c>
      <c r="N593" s="53" t="str">
        <f>IF(VLOOKUP($A593,DICO_Complet!$A$3:$U$983,15,FALSE)=0,"",VLOOKUP($A593,DICO_Complet!$A$3:$U$983,15,FALSE))</f>
        <v/>
      </c>
      <c r="O593" s="53" t="str">
        <f>IF(VLOOKUP($A593,DICO_Complet!$A$3:$U$983,16,FALSE)=0,"",VLOOKUP($A593,DICO_Complet!$A$3:$U$983,16,FALSE))</f>
        <v/>
      </c>
      <c r="P593" s="53" t="str">
        <f>IF(VLOOKUP($A593,DICO_Complet!$A$3:$U$983,17,FALSE)=0,"",VLOOKUP($A593,DICO_Complet!$A$3:$U$983,17,FALSE))</f>
        <v/>
      </c>
      <c r="Q593" s="53" t="str">
        <f>IF(VLOOKUP($A593,DICO_Complet!$A$3:$U$983,18,FALSE)=0,"",VLOOKUP($A593,DICO_Complet!$A$3:$U$983,18,FALSE))</f>
        <v/>
      </c>
    </row>
    <row r="594" spans="1:17">
      <c r="A594" s="38">
        <v>250317176914</v>
      </c>
      <c r="B594" s="47" t="s">
        <v>858</v>
      </c>
      <c r="C594" s="3" t="str">
        <f>VLOOKUP($A594,DICO_Complet!$A$3:$U$983,3,FALSE)</f>
        <v>Transaction</v>
      </c>
      <c r="D594" s="3" t="str">
        <f>VLOOKUP($A594,DICO_Complet!$A$3:$U$983,4,FALSE)</f>
        <v>disputeData</v>
      </c>
      <c r="E594" s="2" t="str">
        <f>VLOOKUP($A594,DICO_Complet!$A$3:$U$983,5,FALSE)</f>
        <v>totalAmount</v>
      </c>
      <c r="F594" s="2" t="str">
        <f>VLOOKUP($A594,DICO_Complet!$A$3:$U$983,6,FALSE)</f>
        <v>AmountType</v>
      </c>
      <c r="G594" s="48">
        <f>VLOOKUP($A594,DICO_Complet!$A$3:$U$983,7,FALSE)</f>
        <v>0</v>
      </c>
      <c r="H594" s="48">
        <f>VLOOKUP($A594,DICO_Complet!$A$3:$U$983,8,FALSE)</f>
        <v>0</v>
      </c>
      <c r="I594" s="2" t="str">
        <f>IF(VLOOKUP($A594,DICO_Complet!$A$3:$U$983,9,FALSE)&lt;&gt;0,VLOOKUP($A594,DICO_Complet!$A$3:$U$983,9,FALSE),"")</f>
        <v/>
      </c>
      <c r="J594" s="1" t="str">
        <f>VLOOKUP($A594,DICO_Complet!$A$3:$U$983,10,FALSE)</f>
        <v>Total amount</v>
      </c>
      <c r="K594" s="53" t="str">
        <f>IF(VLOOKUP($A594,DICO_Complet!$A$3:$U$983,12,FALSE)=0,"",VLOOKUP($A594,DICO_Complet!$A$3:$U$983,12,FALSE))</f>
        <v/>
      </c>
      <c r="L594" s="53" t="str">
        <f>IF(VLOOKUP($A594,DICO_Complet!$A$3:$U$983,13,FALSE)=0,"",VLOOKUP($A594,DICO_Complet!$A$3:$U$983,13,FALSE))</f>
        <v/>
      </c>
      <c r="M594" s="53" t="str">
        <f>IF(VLOOKUP($A594,DICO_Complet!$A$3:$U$983,14,FALSE)=0,"",VLOOKUP($A594,DICO_Complet!$A$3:$U$983,14,FALSE))</f>
        <v/>
      </c>
      <c r="N594" s="53" t="str">
        <f>IF(VLOOKUP($A594,DICO_Complet!$A$3:$U$983,15,FALSE)=0,"",VLOOKUP($A594,DICO_Complet!$A$3:$U$983,15,FALSE))</f>
        <v/>
      </c>
      <c r="O594" s="53" t="str">
        <f>IF(VLOOKUP($A594,DICO_Complet!$A$3:$U$983,16,FALSE)=0,"",VLOOKUP($A594,DICO_Complet!$A$3:$U$983,16,FALSE))</f>
        <v/>
      </c>
      <c r="P594" s="53" t="str">
        <f>IF(VLOOKUP($A594,DICO_Complet!$A$3:$U$983,17,FALSE)=0,"",VLOOKUP($A594,DICO_Complet!$A$3:$U$983,17,FALSE))</f>
        <v/>
      </c>
      <c r="Q594" s="53" t="str">
        <f>IF(VLOOKUP($A594,DICO_Complet!$A$3:$U$983,18,FALSE)=0,"",VLOOKUP($A594,DICO_Complet!$A$3:$U$983,18,FALSE))</f>
        <v/>
      </c>
    </row>
    <row r="595" spans="1:17">
      <c r="A595" s="38">
        <v>250317176915</v>
      </c>
      <c r="B595" s="47" t="s">
        <v>858</v>
      </c>
      <c r="C595" s="3" t="str">
        <f>VLOOKUP($A595,DICO_Complet!$A$3:$U$983,3,FALSE)</f>
        <v>Transaction</v>
      </c>
      <c r="D595" s="3" t="str">
        <f>VLOOKUP($A595,DICO_Complet!$A$3:$U$983,4,FALSE)</f>
        <v>disputeData</v>
      </c>
      <c r="E595" s="2" t="str">
        <f>VLOOKUP($A595,DICO_Complet!$A$3:$U$983,5,FALSE)</f>
        <v>transactionsCount</v>
      </c>
      <c r="F595" s="2" t="str">
        <f>VLOOKUP($A595,DICO_Complet!$A$3:$U$983,6,FALSE)</f>
        <v>Max19NumericText</v>
      </c>
      <c r="G595" s="48">
        <f>VLOOKUP($A595,DICO_Complet!$A$3:$U$983,7,FALSE)</f>
        <v>0</v>
      </c>
      <c r="H595" s="48">
        <f>VLOOKUP($A595,DICO_Complet!$A$3:$U$983,8,FALSE)</f>
        <v>0</v>
      </c>
      <c r="I595" s="2" t="str">
        <f>IF(VLOOKUP($A595,DICO_Complet!$A$3:$U$983,9,FALSE)&lt;&gt;0,VLOOKUP($A595,DICO_Complet!$A$3:$U$983,9,FALSE),"")</f>
        <v/>
      </c>
      <c r="J595" s="1" t="str">
        <f>VLOOKUP($A595,DICO_Complet!$A$3:$U$983,10,FALSE)</f>
        <v>Transactions count</v>
      </c>
      <c r="K595" s="53" t="str">
        <f>IF(VLOOKUP($A595,DICO_Complet!$A$3:$U$983,12,FALSE)=0,"",VLOOKUP($A595,DICO_Complet!$A$3:$U$983,12,FALSE))</f>
        <v/>
      </c>
      <c r="L595" s="53" t="str">
        <f>IF(VLOOKUP($A595,DICO_Complet!$A$3:$U$983,13,FALSE)=0,"",VLOOKUP($A595,DICO_Complet!$A$3:$U$983,13,FALSE))</f>
        <v/>
      </c>
      <c r="M595" s="53" t="str">
        <f>IF(VLOOKUP($A595,DICO_Complet!$A$3:$U$983,14,FALSE)=0,"",VLOOKUP($A595,DICO_Complet!$A$3:$U$983,14,FALSE))</f>
        <v/>
      </c>
      <c r="N595" s="53" t="str">
        <f>IF(VLOOKUP($A595,DICO_Complet!$A$3:$U$983,15,FALSE)=0,"",VLOOKUP($A595,DICO_Complet!$A$3:$U$983,15,FALSE))</f>
        <v/>
      </c>
      <c r="O595" s="53" t="str">
        <f>IF(VLOOKUP($A595,DICO_Complet!$A$3:$U$983,16,FALSE)=0,"",VLOOKUP($A595,DICO_Complet!$A$3:$U$983,16,FALSE))</f>
        <v/>
      </c>
      <c r="P595" s="53" t="str">
        <f>IF(VLOOKUP($A595,DICO_Complet!$A$3:$U$983,17,FALSE)=0,"",VLOOKUP($A595,DICO_Complet!$A$3:$U$983,17,FALSE))</f>
        <v/>
      </c>
      <c r="Q595" s="53" t="str">
        <f>IF(VLOOKUP($A595,DICO_Complet!$A$3:$U$983,18,FALSE)=0,"",VLOOKUP($A595,DICO_Complet!$A$3:$U$983,18,FALSE))</f>
        <v/>
      </c>
    </row>
    <row r="596" spans="1:17">
      <c r="A596" s="38">
        <v>250324131100</v>
      </c>
      <c r="B596" s="47" t="s">
        <v>858</v>
      </c>
      <c r="C596" s="3" t="str">
        <f>VLOOKUP($A596,DICO_Complet!$A$3:$U$983,3,FALSE)</f>
        <v>Transaction</v>
      </c>
      <c r="D596" s="3" t="str">
        <f>VLOOKUP($A596,DICO_Complet!$A$3:$U$983,4,FALSE)</f>
        <v>disputeData</v>
      </c>
      <c r="E596" s="2" t="str">
        <f>VLOOKUP($A596,DICO_Complet!$A$3:$U$983,5,FALSE)</f>
        <v>updateDateTime</v>
      </c>
      <c r="F596" s="2" t="str">
        <f>VLOOKUP($A596,DICO_Complet!$A$3:$U$983,6,FALSE)</f>
        <v>ISODateTime</v>
      </c>
      <c r="G596" s="48">
        <f>VLOOKUP($A596,DICO_Complet!$A$3:$U$983,7,FALSE)</f>
        <v>0</v>
      </c>
      <c r="H596" s="48">
        <f>VLOOKUP($A596,DICO_Complet!$A$3:$U$983,8,FALSE)</f>
        <v>0</v>
      </c>
      <c r="I596" s="2" t="str">
        <f>IF(VLOOKUP($A596,DICO_Complet!$A$3:$U$983,9,FALSE)&lt;&gt;0,VLOOKUP($A596,DICO_Complet!$A$3:$U$983,9,FALSE),"")</f>
        <v/>
      </c>
      <c r="J596" s="1" t="str">
        <f>VLOOKUP($A596,DICO_Complet!$A$3:$U$983,10,FALSE)</f>
        <v>Update date time</v>
      </c>
      <c r="K596" s="53" t="str">
        <f>IF(VLOOKUP($A596,DICO_Complet!$A$3:$U$983,12,FALSE)=0,"",VLOOKUP($A596,DICO_Complet!$A$3:$U$983,12,FALSE))</f>
        <v/>
      </c>
      <c r="L596" s="53" t="str">
        <f>IF(VLOOKUP($A596,DICO_Complet!$A$3:$U$983,13,FALSE)=0,"",VLOOKUP($A596,DICO_Complet!$A$3:$U$983,13,FALSE))</f>
        <v/>
      </c>
      <c r="M596" s="53" t="str">
        <f>IF(VLOOKUP($A596,DICO_Complet!$A$3:$U$983,14,FALSE)=0,"",VLOOKUP($A596,DICO_Complet!$A$3:$U$983,14,FALSE))</f>
        <v/>
      </c>
      <c r="N596" s="53" t="str">
        <f>IF(VLOOKUP($A596,DICO_Complet!$A$3:$U$983,15,FALSE)=0,"",VLOOKUP($A596,DICO_Complet!$A$3:$U$983,15,FALSE))</f>
        <v/>
      </c>
      <c r="O596" s="53" t="str">
        <f>IF(VLOOKUP($A596,DICO_Complet!$A$3:$U$983,16,FALSE)=0,"",VLOOKUP($A596,DICO_Complet!$A$3:$U$983,16,FALSE))</f>
        <v/>
      </c>
      <c r="P596" s="53" t="str">
        <f>IF(VLOOKUP($A596,DICO_Complet!$A$3:$U$983,17,FALSE)=0,"",VLOOKUP($A596,DICO_Complet!$A$3:$U$983,17,FALSE))</f>
        <v/>
      </c>
      <c r="Q596" s="53" t="str">
        <f>IF(VLOOKUP($A596,DICO_Complet!$A$3:$U$983,18,FALSE)=0,"",VLOOKUP($A596,DICO_Complet!$A$3:$U$983,18,FALSE))</f>
        <v/>
      </c>
    </row>
    <row r="597" spans="1:17">
      <c r="A597" s="38">
        <v>250414120300</v>
      </c>
      <c r="B597" s="47" t="s">
        <v>858</v>
      </c>
      <c r="C597" s="3" t="str">
        <f>VLOOKUP($A597,DICO_Complet!$A$3:$U$983,3,FALSE)</f>
        <v>Transaction</v>
      </c>
      <c r="D597" s="3" t="str">
        <f>VLOOKUP($A597,DICO_Complet!$A$3:$U$983,4,FALSE)</f>
        <v>eMV</v>
      </c>
      <c r="E597" s="2" t="str">
        <f>VLOOKUP($A597,DICO_Complet!$A$3:$U$983,5,FALSE)</f>
        <v>appEffectiveDate</v>
      </c>
      <c r="F597" s="2" t="str">
        <f>VLOOKUP($A597,DICO_Complet!$A$3:$U$983,6,FALSE)</f>
        <v>ISODate</v>
      </c>
      <c r="G597" s="48">
        <f>VLOOKUP($A597,DICO_Complet!$A$3:$U$983,7,FALSE)</f>
        <v>0</v>
      </c>
      <c r="H597" s="48">
        <f>VLOOKUP($A597,DICO_Complet!$A$3:$U$983,8,FALSE)</f>
        <v>0</v>
      </c>
      <c r="I597" s="2" t="str">
        <f>IF(VLOOKUP($A597,DICO_Complet!$A$3:$U$983,9,FALSE)&lt;&gt;0,VLOOKUP($A597,DICO_Complet!$A$3:$U$983,9,FALSE),"")</f>
        <v/>
      </c>
      <c r="J597" s="1" t="str">
        <f>VLOOKUP($A597,DICO_Complet!$A$3:$U$983,10,FALSE)</f>
        <v xml:space="preserve">application effective date </v>
      </c>
      <c r="K597" s="53" t="str">
        <f>IF(VLOOKUP($A597,DICO_Complet!$A$3:$U$983,12,FALSE)=0,"",VLOOKUP($A597,DICO_Complet!$A$3:$U$983,12,FALSE))</f>
        <v/>
      </c>
      <c r="L597" s="53" t="str">
        <f>IF(VLOOKUP($A597,DICO_Complet!$A$3:$U$983,13,FALSE)=0,"",VLOOKUP($A597,DICO_Complet!$A$3:$U$983,13,FALSE))</f>
        <v/>
      </c>
      <c r="M597" s="53" t="str">
        <f>IF(VLOOKUP($A597,DICO_Complet!$A$3:$U$983,14,FALSE)=0,"",VLOOKUP($A597,DICO_Complet!$A$3:$U$983,14,FALSE))</f>
        <v>55_ 5F25</v>
      </c>
      <c r="N597" s="53" t="str">
        <f>IF(VLOOKUP($A597,DICO_Complet!$A$3:$U$983,15,FALSE)=0,"",VLOOKUP($A597,DICO_Complet!$A$3:$U$983,15,FALSE))</f>
        <v/>
      </c>
      <c r="O597" s="53" t="str">
        <f>IF(VLOOKUP($A597,DICO_Complet!$A$3:$U$983,16,FALSE)=0,"",VLOOKUP($A597,DICO_Complet!$A$3:$U$983,16,FALSE))</f>
        <v/>
      </c>
      <c r="P597" s="53" t="str">
        <f>IF(VLOOKUP($A597,DICO_Complet!$A$3:$U$983,17,FALSE)=0,"",VLOOKUP($A597,DICO_Complet!$A$3:$U$983,17,FALSE))</f>
        <v/>
      </c>
      <c r="Q597" s="53" t="str">
        <f>IF(VLOOKUP($A597,DICO_Complet!$A$3:$U$983,18,FALSE)=0,"",VLOOKUP($A597,DICO_Complet!$A$3:$U$983,18,FALSE))</f>
        <v/>
      </c>
    </row>
    <row r="598" spans="1:17">
      <c r="A598" s="38">
        <v>241112000167</v>
      </c>
      <c r="B598" s="47" t="s">
        <v>858</v>
      </c>
      <c r="C598" s="3" t="str">
        <f>VLOOKUP($A598,DICO_Complet!$A$3:$U$983,3,FALSE)</f>
        <v>Transaction</v>
      </c>
      <c r="D598" s="3" t="str">
        <f>VLOOKUP($A598,DICO_Complet!$A$3:$U$983,4,FALSE)</f>
        <v>eMV</v>
      </c>
      <c r="E598" s="2" t="str">
        <f>VLOOKUP($A598,DICO_Complet!$A$3:$U$983,5,FALSE)</f>
        <v>appExpiryDate</v>
      </c>
      <c r="F598" s="2" t="str">
        <f>VLOOKUP($A598,DICO_Complet!$A$3:$U$983,6,FALSE)</f>
        <v>ISODate</v>
      </c>
      <c r="G598" s="48">
        <f>VLOOKUP($A598,DICO_Complet!$A$3:$U$983,7,FALSE)</f>
        <v>0</v>
      </c>
      <c r="H598" s="48">
        <f>VLOOKUP($A598,DICO_Complet!$A$3:$U$983,8,FALSE)</f>
        <v>0</v>
      </c>
      <c r="I598" s="2" t="str">
        <f>IF(VLOOKUP($A598,DICO_Complet!$A$3:$U$983,9,FALSE)&lt;&gt;0,VLOOKUP($A598,DICO_Complet!$A$3:$U$983,9,FALSE),"")</f>
        <v/>
      </c>
      <c r="J598" s="1" t="str">
        <f>VLOOKUP($A598,DICO_Complet!$A$3:$U$983,10,FALSE)</f>
        <v>EMV card application’s validity end date</v>
      </c>
      <c r="K598" s="53" t="str">
        <f>IF(VLOOKUP($A598,DICO_Complet!$A$3:$U$983,12,FALSE)=0,"",VLOOKUP($A598,DICO_Complet!$A$3:$U$983,12,FALSE))</f>
        <v>RSB55_5F24</v>
      </c>
      <c r="L598" s="53" t="str">
        <f>IF(VLOOKUP($A598,DICO_Complet!$A$3:$U$983,13,FALSE)=0,"",VLOOKUP($A598,DICO_Complet!$A$3:$U$983,13,FALSE))</f>
        <v>[55-5F24]</v>
      </c>
      <c r="M598" s="53" t="str">
        <f>IF(VLOOKUP($A598,DICO_Complet!$A$3:$U$983,14,FALSE)=0,"",VLOOKUP($A598,DICO_Complet!$A$3:$U$983,14,FALSE))</f>
        <v/>
      </c>
      <c r="N598" s="53" t="str">
        <f>IF(VLOOKUP($A598,DICO_Complet!$A$3:$U$983,15,FALSE)=0,"",VLOOKUP($A598,DICO_Complet!$A$3:$U$983,15,FALSE))</f>
        <v/>
      </c>
      <c r="O598" s="53" t="str">
        <f>IF(VLOOKUP($A598,DICO_Complet!$A$3:$U$983,16,FALSE)=0,"",VLOOKUP($A598,DICO_Complet!$A$3:$U$983,16,FALSE))</f>
        <v/>
      </c>
      <c r="P598" s="53" t="str">
        <f>IF(VLOOKUP($A598,DICO_Complet!$A$3:$U$983,17,FALSE)=0,"",VLOOKUP($A598,DICO_Complet!$A$3:$U$983,17,FALSE))</f>
        <v/>
      </c>
      <c r="Q598" s="53" t="str">
        <f>IF(VLOOKUP($A598,DICO_Complet!$A$3:$U$983,18,FALSE)=0,"",VLOOKUP($A598,DICO_Complet!$A$3:$U$983,18,FALSE))</f>
        <v/>
      </c>
    </row>
    <row r="599" spans="1:17">
      <c r="A599" s="38">
        <v>241112000168</v>
      </c>
      <c r="B599" s="47" t="s">
        <v>858</v>
      </c>
      <c r="C599" s="3" t="str">
        <f>VLOOKUP($A599,DICO_Complet!$A$3:$U$983,3,FALSE)</f>
        <v>Transaction</v>
      </c>
      <c r="D599" s="3" t="str">
        <f>VLOOKUP($A599,DICO_Complet!$A$3:$U$983,4,FALSE)</f>
        <v>eMV</v>
      </c>
      <c r="E599" s="2" t="str">
        <f>VLOOKUP($A599,DICO_Complet!$A$3:$U$983,5,FALSE)</f>
        <v>applicationCryptogram</v>
      </c>
      <c r="F599" s="2" t="str">
        <f>VLOOKUP($A599,DICO_Complet!$A$3:$U$983,6,FALSE)</f>
        <v>Exact8HexBinaryText</v>
      </c>
      <c r="G599" s="48">
        <f>VLOOKUP($A599,DICO_Complet!$A$3:$U$983,7,FALSE)</f>
        <v>0</v>
      </c>
      <c r="H599" s="48">
        <f>VLOOKUP($A599,DICO_Complet!$A$3:$U$983,8,FALSE)</f>
        <v>0</v>
      </c>
      <c r="I599" s="2" t="str">
        <f>IF(VLOOKUP($A599,DICO_Complet!$A$3:$U$983,9,FALSE)&lt;&gt;0,VLOOKUP($A599,DICO_Complet!$A$3:$U$983,9,FALSE),"")</f>
        <v/>
      </c>
      <c r="J599" s="1" t="str">
        <f>VLOOKUP($A599,DICO_Complet!$A$3:$U$983,10,FALSE)</f>
        <v>Certificate returned in response to a cryptogram generation</v>
      </c>
      <c r="K599" s="53" t="str">
        <f>IF(VLOOKUP($A599,DICO_Complet!$A$3:$U$983,12,FALSE)=0,"",VLOOKUP($A599,DICO_Complet!$A$3:$U$983,12,FALSE))</f>
        <v>RSB55_9F26</v>
      </c>
      <c r="L599" s="53" t="str">
        <f>IF(VLOOKUP($A599,DICO_Complet!$A$3:$U$983,13,FALSE)=0,"",VLOOKUP($A599,DICO_Complet!$A$3:$U$983,13,FALSE))</f>
        <v>[55-9F26]</v>
      </c>
      <c r="M599" s="53" t="str">
        <f>IF(VLOOKUP($A599,DICO_Complet!$A$3:$U$983,14,FALSE)=0,"",VLOOKUP($A599,DICO_Complet!$A$3:$U$983,14,FALSE))</f>
        <v>55_9F26</v>
      </c>
      <c r="N599" s="53" t="str">
        <f>IF(VLOOKUP($A599,DICO_Complet!$A$3:$U$983,15,FALSE)=0,"",VLOOKUP($A599,DICO_Complet!$A$3:$U$983,15,FALSE))</f>
        <v/>
      </c>
      <c r="O599" s="53" t="str">
        <f>IF(VLOOKUP($A599,DICO_Complet!$A$3:$U$983,16,FALSE)=0,"",VLOOKUP($A599,DICO_Complet!$A$3:$U$983,16,FALSE))</f>
        <v/>
      </c>
      <c r="P599" s="53" t="str">
        <f>IF(VLOOKUP($A599,DICO_Complet!$A$3:$U$983,17,FALSE)=0,"",VLOOKUP($A599,DICO_Complet!$A$3:$U$983,17,FALSE))</f>
        <v/>
      </c>
      <c r="Q599" s="53" t="str">
        <f>IF(VLOOKUP($A599,DICO_Complet!$A$3:$U$983,18,FALSE)=0,"",VLOOKUP($A599,DICO_Complet!$A$3:$U$983,18,FALSE))</f>
        <v/>
      </c>
    </row>
    <row r="600" spans="1:17">
      <c r="A600" s="38">
        <v>241112000169</v>
      </c>
      <c r="B600" s="47" t="s">
        <v>858</v>
      </c>
      <c r="C600" s="3" t="str">
        <f>VLOOKUP($A600,DICO_Complet!$A$3:$U$983,3,FALSE)</f>
        <v>Transaction</v>
      </c>
      <c r="D600" s="3" t="str">
        <f>VLOOKUP($A600,DICO_Complet!$A$3:$U$983,4,FALSE)</f>
        <v>eMV</v>
      </c>
      <c r="E600" s="2" t="str">
        <f>VLOOKUP($A600,DICO_Complet!$A$3:$U$983,5,FALSE)</f>
        <v>applicationSelectionRegisteredProprietaryData</v>
      </c>
      <c r="F600" s="2" t="str">
        <f>VLOOKUP($A600,DICO_Complet!$A$3:$U$983,6,FALSE)</f>
        <v>Min4Max32HexBinaryText</v>
      </c>
      <c r="G600" s="48">
        <f>VLOOKUP($A600,DICO_Complet!$A$3:$U$983,7,FALSE)</f>
        <v>0</v>
      </c>
      <c r="H600" s="48">
        <f>VLOOKUP($A600,DICO_Complet!$A$3:$U$983,8,FALSE)</f>
        <v>0</v>
      </c>
      <c r="I600" s="2" t="str">
        <f>IF(VLOOKUP($A600,DICO_Complet!$A$3:$U$983,9,FALSE)&lt;&gt;0,VLOOKUP($A600,DICO_Complet!$A$3:$U$983,9,FALSE),"")</f>
        <v/>
      </c>
      <c r="J600" s="1" t="str">
        <f>VLOOKUP($A600,DICO_Complet!$A$3:$U$983,10,FALSE)</f>
        <v>proprietary card data assigned by EMVCo to specific markets</v>
      </c>
      <c r="K600" s="53" t="str">
        <f>IF(VLOOKUP($A600,DICO_Complet!$A$3:$U$983,12,FALSE)=0,"",VLOOKUP($A600,DICO_Complet!$A$3:$U$983,12,FALSE))</f>
        <v>RSB55_9F0A</v>
      </c>
      <c r="L600" s="53" t="str">
        <f>IF(VLOOKUP($A600,DICO_Complet!$A$3:$U$983,13,FALSE)=0,"",VLOOKUP($A600,DICO_Complet!$A$3:$U$983,13,FALSE))</f>
        <v>[55-9F0A]</v>
      </c>
      <c r="M600" s="53" t="str">
        <f>IF(VLOOKUP($A600,DICO_Complet!$A$3:$U$983,14,FALSE)=0,"",VLOOKUP($A600,DICO_Complet!$A$3:$U$983,14,FALSE))</f>
        <v/>
      </c>
      <c r="N600" s="53" t="str">
        <f>IF(VLOOKUP($A600,DICO_Complet!$A$3:$U$983,15,FALSE)=0,"",VLOOKUP($A600,DICO_Complet!$A$3:$U$983,15,FALSE))</f>
        <v/>
      </c>
      <c r="O600" s="53" t="str">
        <f>IF(VLOOKUP($A600,DICO_Complet!$A$3:$U$983,16,FALSE)=0,"",VLOOKUP($A600,DICO_Complet!$A$3:$U$983,16,FALSE))</f>
        <v/>
      </c>
      <c r="P600" s="53" t="str">
        <f>IF(VLOOKUP($A600,DICO_Complet!$A$3:$U$983,17,FALSE)=0,"",VLOOKUP($A600,DICO_Complet!$A$3:$U$983,17,FALSE))</f>
        <v/>
      </c>
      <c r="Q600" s="53" t="str">
        <f>IF(VLOOKUP($A600,DICO_Complet!$A$3:$U$983,18,FALSE)=0,"",VLOOKUP($A600,DICO_Complet!$A$3:$U$983,18,FALSE))</f>
        <v/>
      </c>
    </row>
    <row r="601" spans="1:17">
      <c r="A601" s="38">
        <v>241112000170</v>
      </c>
      <c r="B601" s="47" t="s">
        <v>858</v>
      </c>
      <c r="C601" s="3" t="str">
        <f>VLOOKUP($A601,DICO_Complet!$A$3:$U$983,3,FALSE)</f>
        <v>Transaction</v>
      </c>
      <c r="D601" s="3" t="str">
        <f>VLOOKUP($A601,DICO_Complet!$A$3:$U$983,4,FALSE)</f>
        <v>eMV</v>
      </c>
      <c r="E601" s="2" t="str">
        <f>VLOOKUP($A601,DICO_Complet!$A$3:$U$983,5,FALSE)</f>
        <v>contactlessTrack1</v>
      </c>
      <c r="F601" s="2" t="str">
        <f>VLOOKUP($A601,DICO_Complet!$A$3:$U$983,6,FALSE)</f>
        <v>Max76Text</v>
      </c>
      <c r="G601" s="48">
        <f>VLOOKUP($A601,DICO_Complet!$A$3:$U$983,7,FALSE)</f>
        <v>0</v>
      </c>
      <c r="H601" s="48">
        <f>VLOOKUP($A601,DICO_Complet!$A$3:$U$983,8,FALSE)</f>
        <v>0</v>
      </c>
      <c r="I601" s="2" t="str">
        <f>IF(VLOOKUP($A601,DICO_Complet!$A$3:$U$983,9,FALSE)&lt;&gt;0,VLOOKUP($A601,DICO_Complet!$A$3:$U$983,9,FALSE),"")</f>
        <v/>
      </c>
      <c r="J601" s="1" t="str">
        <f>VLOOKUP($A601,DICO_Complet!$A$3:$U$983,10,FALSE)</f>
        <v>Track1 for contactless</v>
      </c>
      <c r="K601" s="53" t="str">
        <f>IF(VLOOKUP($A601,DICO_Complet!$A$3:$U$983,12,FALSE)=0,"",VLOOKUP($A601,DICO_Complet!$A$3:$U$983,12,FALSE))</f>
        <v>RSB55_56</v>
      </c>
      <c r="L601" s="53" t="str">
        <f>IF(VLOOKUP($A601,DICO_Complet!$A$3:$U$983,13,FALSE)=0,"",VLOOKUP($A601,DICO_Complet!$A$3:$U$983,13,FALSE))</f>
        <v>[55-0056]</v>
      </c>
      <c r="M601" s="53" t="str">
        <f>IF(VLOOKUP($A601,DICO_Complet!$A$3:$U$983,14,FALSE)=0,"",VLOOKUP($A601,DICO_Complet!$A$3:$U$983,14,FALSE))</f>
        <v/>
      </c>
      <c r="N601" s="53" t="str">
        <f>IF(VLOOKUP($A601,DICO_Complet!$A$3:$U$983,15,FALSE)=0,"",VLOOKUP($A601,DICO_Complet!$A$3:$U$983,15,FALSE))</f>
        <v/>
      </c>
      <c r="O601" s="53" t="str">
        <f>IF(VLOOKUP($A601,DICO_Complet!$A$3:$U$983,16,FALSE)=0,"",VLOOKUP($A601,DICO_Complet!$A$3:$U$983,16,FALSE))</f>
        <v/>
      </c>
      <c r="P601" s="53" t="str">
        <f>IF(VLOOKUP($A601,DICO_Complet!$A$3:$U$983,17,FALSE)=0,"",VLOOKUP($A601,DICO_Complet!$A$3:$U$983,17,FALSE))</f>
        <v/>
      </c>
      <c r="Q601" s="53" t="str">
        <f>IF(VLOOKUP($A601,DICO_Complet!$A$3:$U$983,18,FALSE)=0,"",VLOOKUP($A601,DICO_Complet!$A$3:$U$983,18,FALSE))</f>
        <v/>
      </c>
    </row>
    <row r="602" spans="1:17">
      <c r="A602" s="38">
        <v>250325134512</v>
      </c>
      <c r="B602" s="47" t="s">
        <v>858</v>
      </c>
      <c r="C602" s="3" t="str">
        <f>VLOOKUP($A602,DICO_Complet!$A$3:$U$983,3,FALSE)</f>
        <v>Transaction</v>
      </c>
      <c r="D602" s="3" t="str">
        <f>VLOOKUP($A602,DICO_Complet!$A$3:$U$983,4,FALSE)</f>
        <v>eMV</v>
      </c>
      <c r="E602" s="2" t="str">
        <f>VLOOKUP($A602,DICO_Complet!$A$3:$U$983,5,FALSE)</f>
        <v>contactlessTrack2</v>
      </c>
      <c r="F602" s="2" t="str">
        <f>VLOOKUP($A602,DICO_Complet!$A$3:$U$983,6,FALSE)</f>
        <v>Max19HexBinaryText</v>
      </c>
      <c r="G602" s="48">
        <f>VLOOKUP($A602,DICO_Complet!$A$3:$U$983,7,FALSE)</f>
        <v>0</v>
      </c>
      <c r="H602" s="48">
        <f>VLOOKUP($A602,DICO_Complet!$A$3:$U$983,8,FALSE)</f>
        <v>0</v>
      </c>
      <c r="I602" s="2" t="str">
        <f>IF(VLOOKUP($A602,DICO_Complet!$A$3:$U$983,9,FALSE)&lt;&gt;0,VLOOKUP($A602,DICO_Complet!$A$3:$U$983,9,FALSE),"")</f>
        <v/>
      </c>
      <c r="J602" s="1" t="str">
        <f>VLOOKUP($A602,DICO_Complet!$A$3:$U$983,10,FALSE)</f>
        <v>Track2 of contactless</v>
      </c>
      <c r="K602" s="53" t="str">
        <f>IF(VLOOKUP($A602,DICO_Complet!$A$3:$U$983,12,FALSE)=0,"",VLOOKUP($A602,DICO_Complet!$A$3:$U$983,12,FALSE))</f>
        <v/>
      </c>
      <c r="L602" s="53" t="str">
        <f>IF(VLOOKUP($A602,DICO_Complet!$A$3:$U$983,13,FALSE)=0,"",VLOOKUP($A602,DICO_Complet!$A$3:$U$983,13,FALSE))</f>
        <v/>
      </c>
      <c r="M602" s="53" t="str">
        <f>IF(VLOOKUP($A602,DICO_Complet!$A$3:$U$983,14,FALSE)=0,"",VLOOKUP($A602,DICO_Complet!$A$3:$U$983,14,FALSE))</f>
        <v/>
      </c>
      <c r="N602" s="53" t="str">
        <f>IF(VLOOKUP($A602,DICO_Complet!$A$3:$U$983,15,FALSE)=0,"",VLOOKUP($A602,DICO_Complet!$A$3:$U$983,15,FALSE))</f>
        <v>55_9F6B</v>
      </c>
      <c r="O602" s="53" t="str">
        <f>IF(VLOOKUP($A602,DICO_Complet!$A$3:$U$983,16,FALSE)=0,"",VLOOKUP($A602,DICO_Complet!$A$3:$U$983,16,FALSE))</f>
        <v/>
      </c>
      <c r="P602" s="53" t="str">
        <f>IF(VLOOKUP($A602,DICO_Complet!$A$3:$U$983,17,FALSE)=0,"",VLOOKUP($A602,DICO_Complet!$A$3:$U$983,17,FALSE))</f>
        <v/>
      </c>
      <c r="Q602" s="53" t="str">
        <f>IF(VLOOKUP($A602,DICO_Complet!$A$3:$U$983,18,FALSE)=0,"",VLOOKUP($A602,DICO_Complet!$A$3:$U$983,18,FALSE))</f>
        <v/>
      </c>
    </row>
    <row r="603" spans="1:17">
      <c r="A603" s="38">
        <v>241112000171</v>
      </c>
      <c r="B603" s="47" t="s">
        <v>858</v>
      </c>
      <c r="C603" s="3" t="str">
        <f>VLOOKUP($A603,DICO_Complet!$A$3:$U$983,3,FALSE)</f>
        <v>Transaction</v>
      </c>
      <c r="D603" s="3" t="str">
        <f>VLOOKUP($A603,DICO_Complet!$A$3:$U$983,4,FALSE)</f>
        <v>eMV</v>
      </c>
      <c r="E603" s="2" t="str">
        <f>VLOOKUP($A603,DICO_Complet!$A$3:$U$983,5,FALSE)</f>
        <v>cryptogramInformationData</v>
      </c>
      <c r="F603" s="2" t="str">
        <f>VLOOKUP($A603,DICO_Complet!$A$3:$U$983,6,FALSE)</f>
        <v>Exact1HexBinaryText</v>
      </c>
      <c r="G603" s="48">
        <f>VLOOKUP($A603,DICO_Complet!$A$3:$U$983,7,FALSE)</f>
        <v>0</v>
      </c>
      <c r="H603" s="48">
        <f>VLOOKUP($A603,DICO_Complet!$A$3:$U$983,8,FALSE)</f>
        <v>0</v>
      </c>
      <c r="I603" s="2" t="str">
        <f>IF(VLOOKUP($A603,DICO_Complet!$A$3:$U$983,9,FALSE)&lt;&gt;0,VLOOKUP($A603,DICO_Complet!$A$3:$U$983,9,FALSE),"")</f>
        <v/>
      </c>
      <c r="J603" s="1" t="str">
        <f>VLOOKUP($A603,DICO_Complet!$A$3:$U$983,10,FALSE)</f>
        <v>Code indicating which type of certificate is returned and which action the terminal must 
perform</v>
      </c>
      <c r="K603" s="53" t="str">
        <f>IF(VLOOKUP($A603,DICO_Complet!$A$3:$U$983,12,FALSE)=0,"",VLOOKUP($A603,DICO_Complet!$A$3:$U$983,12,FALSE))</f>
        <v>RSB55_9F27</v>
      </c>
      <c r="L603" s="53" t="str">
        <f>IF(VLOOKUP($A603,DICO_Complet!$A$3:$U$983,13,FALSE)=0,"",VLOOKUP($A603,DICO_Complet!$A$3:$U$983,13,FALSE))</f>
        <v>[55-9F27]</v>
      </c>
      <c r="M603" s="53" t="str">
        <f>IF(VLOOKUP($A603,DICO_Complet!$A$3:$U$983,14,FALSE)=0,"",VLOOKUP($A603,DICO_Complet!$A$3:$U$983,14,FALSE))</f>
        <v>55_9F27</v>
      </c>
      <c r="N603" s="53" t="str">
        <f>IF(VLOOKUP($A603,DICO_Complet!$A$3:$U$983,15,FALSE)=0,"",VLOOKUP($A603,DICO_Complet!$A$3:$U$983,15,FALSE))</f>
        <v/>
      </c>
      <c r="O603" s="53" t="str">
        <f>IF(VLOOKUP($A603,DICO_Complet!$A$3:$U$983,16,FALSE)=0,"",VLOOKUP($A603,DICO_Complet!$A$3:$U$983,16,FALSE))</f>
        <v/>
      </c>
      <c r="P603" s="53" t="str">
        <f>IF(VLOOKUP($A603,DICO_Complet!$A$3:$U$983,17,FALSE)=0,"",VLOOKUP($A603,DICO_Complet!$A$3:$U$983,17,FALSE))</f>
        <v/>
      </c>
      <c r="Q603" s="53" t="str">
        <f>IF(VLOOKUP($A603,DICO_Complet!$A$3:$U$983,18,FALSE)=0,"",VLOOKUP($A603,DICO_Complet!$A$3:$U$983,18,FALSE))</f>
        <v/>
      </c>
    </row>
    <row r="604" spans="1:17">
      <c r="A604" s="38">
        <v>250414120601</v>
      </c>
      <c r="B604" s="47" t="s">
        <v>858</v>
      </c>
      <c r="C604" s="3" t="str">
        <f>VLOOKUP($A604,DICO_Complet!$A$3:$U$983,3,FALSE)</f>
        <v>Transaction</v>
      </c>
      <c r="D604" s="3" t="str">
        <f>VLOOKUP($A604,DICO_Complet!$A$3:$U$983,4,FALSE)</f>
        <v>eMV</v>
      </c>
      <c r="E604" s="2" t="str">
        <f>VLOOKUP($A604,DICO_Complet!$A$3:$U$983,5,FALSE)</f>
        <v>issuerActionCodeDefault</v>
      </c>
      <c r="F604" s="2" t="str">
        <f>VLOOKUP($A604,DICO_Complet!$A$3:$U$983,6,FALSE)</f>
        <v>Exact5HexBinaryText</v>
      </c>
      <c r="G604" s="48">
        <f>VLOOKUP($A604,DICO_Complet!$A$3:$U$983,7,FALSE)</f>
        <v>0</v>
      </c>
      <c r="H604" s="48">
        <f>VLOOKUP($A604,DICO_Complet!$A$3:$U$983,8,FALSE)</f>
        <v>0</v>
      </c>
      <c r="I604" s="2" t="str">
        <f>IF(VLOOKUP($A604,DICO_Complet!$A$3:$U$983,9,FALSE)&lt;&gt;0,VLOOKUP($A604,DICO_Complet!$A$3:$U$983,9,FALSE),"")</f>
        <v/>
      </c>
      <c r="J604" s="1" t="str">
        <f>VLOOKUP($A604,DICO_Complet!$A$3:$U$983,10,FALSE)</f>
        <v xml:space="preserve">issuer action code default </v>
      </c>
      <c r="K604" s="53" t="str">
        <f>IF(VLOOKUP($A604,DICO_Complet!$A$3:$U$983,12,FALSE)=0,"",VLOOKUP($A604,DICO_Complet!$A$3:$U$983,12,FALSE))</f>
        <v/>
      </c>
      <c r="L604" s="53" t="str">
        <f>IF(VLOOKUP($A604,DICO_Complet!$A$3:$U$983,13,FALSE)=0,"",VLOOKUP($A604,DICO_Complet!$A$3:$U$983,13,FALSE))</f>
        <v/>
      </c>
      <c r="M604" s="53" t="str">
        <f>IF(VLOOKUP($A604,DICO_Complet!$A$3:$U$983,14,FALSE)=0,"",VLOOKUP($A604,DICO_Complet!$A$3:$U$983,14,FALSE))</f>
        <v>55_9F0D</v>
      </c>
      <c r="N604" s="53" t="str">
        <f>IF(VLOOKUP($A604,DICO_Complet!$A$3:$U$983,15,FALSE)=0,"",VLOOKUP($A604,DICO_Complet!$A$3:$U$983,15,FALSE))</f>
        <v/>
      </c>
      <c r="O604" s="53" t="str">
        <f>IF(VLOOKUP($A604,DICO_Complet!$A$3:$U$983,16,FALSE)=0,"",VLOOKUP($A604,DICO_Complet!$A$3:$U$983,16,FALSE))</f>
        <v/>
      </c>
      <c r="P604" s="53" t="str">
        <f>IF(VLOOKUP($A604,DICO_Complet!$A$3:$U$983,17,FALSE)=0,"",VLOOKUP($A604,DICO_Complet!$A$3:$U$983,17,FALSE))</f>
        <v/>
      </c>
      <c r="Q604" s="53" t="str">
        <f>IF(VLOOKUP($A604,DICO_Complet!$A$3:$U$983,18,FALSE)=0,"",VLOOKUP($A604,DICO_Complet!$A$3:$U$983,18,FALSE))</f>
        <v/>
      </c>
    </row>
    <row r="605" spans="1:17">
      <c r="A605" s="38">
        <v>250414120602</v>
      </c>
      <c r="B605" s="47" t="s">
        <v>858</v>
      </c>
      <c r="C605" s="3" t="str">
        <f>VLOOKUP($A605,DICO_Complet!$A$3:$U$983,3,FALSE)</f>
        <v>Transaction</v>
      </c>
      <c r="D605" s="3" t="str">
        <f>VLOOKUP($A605,DICO_Complet!$A$3:$U$983,4,FALSE)</f>
        <v>eMV</v>
      </c>
      <c r="E605" s="2" t="str">
        <f>VLOOKUP($A605,DICO_Complet!$A$3:$U$983,5,FALSE)</f>
        <v>issuerActionCodeDenial</v>
      </c>
      <c r="F605" s="2" t="str">
        <f>VLOOKUP($A605,DICO_Complet!$A$3:$U$983,6,FALSE)</f>
        <v>Exact5HexBinaryText</v>
      </c>
      <c r="G605" s="48">
        <f>VLOOKUP($A605,DICO_Complet!$A$3:$U$983,7,FALSE)</f>
        <v>0</v>
      </c>
      <c r="H605" s="48">
        <f>VLOOKUP($A605,DICO_Complet!$A$3:$U$983,8,FALSE)</f>
        <v>0</v>
      </c>
      <c r="I605" s="2" t="str">
        <f>IF(VLOOKUP($A605,DICO_Complet!$A$3:$U$983,9,FALSE)&lt;&gt;0,VLOOKUP($A605,DICO_Complet!$A$3:$U$983,9,FALSE),"")</f>
        <v/>
      </c>
      <c r="J605" s="1" t="str">
        <f>VLOOKUP($A605,DICO_Complet!$A$3:$U$983,10,FALSE)</f>
        <v>issuer action code denial</v>
      </c>
      <c r="K605" s="53" t="str">
        <f>IF(VLOOKUP($A605,DICO_Complet!$A$3:$U$983,12,FALSE)=0,"",VLOOKUP($A605,DICO_Complet!$A$3:$U$983,12,FALSE))</f>
        <v/>
      </c>
      <c r="L605" s="53" t="str">
        <f>IF(VLOOKUP($A605,DICO_Complet!$A$3:$U$983,13,FALSE)=0,"",VLOOKUP($A605,DICO_Complet!$A$3:$U$983,13,FALSE))</f>
        <v/>
      </c>
      <c r="M605" s="53" t="str">
        <f>IF(VLOOKUP($A605,DICO_Complet!$A$3:$U$983,14,FALSE)=0,"",VLOOKUP($A605,DICO_Complet!$A$3:$U$983,14,FALSE))</f>
        <v>55_9F0E</v>
      </c>
      <c r="N605" s="53" t="str">
        <f>IF(VLOOKUP($A605,DICO_Complet!$A$3:$U$983,15,FALSE)=0,"",VLOOKUP($A605,DICO_Complet!$A$3:$U$983,15,FALSE))</f>
        <v/>
      </c>
      <c r="O605" s="53" t="str">
        <f>IF(VLOOKUP($A605,DICO_Complet!$A$3:$U$983,16,FALSE)=0,"",VLOOKUP($A605,DICO_Complet!$A$3:$U$983,16,FALSE))</f>
        <v/>
      </c>
      <c r="P605" s="53" t="str">
        <f>IF(VLOOKUP($A605,DICO_Complet!$A$3:$U$983,17,FALSE)=0,"",VLOOKUP($A605,DICO_Complet!$A$3:$U$983,17,FALSE))</f>
        <v/>
      </c>
      <c r="Q605" s="53" t="str">
        <f>IF(VLOOKUP($A605,DICO_Complet!$A$3:$U$983,18,FALSE)=0,"",VLOOKUP($A605,DICO_Complet!$A$3:$U$983,18,FALSE))</f>
        <v/>
      </c>
    </row>
    <row r="606" spans="1:17">
      <c r="A606" s="38">
        <v>250414120603</v>
      </c>
      <c r="B606" s="47" t="s">
        <v>858</v>
      </c>
      <c r="C606" s="3" t="str">
        <f>VLOOKUP($A606,DICO_Complet!$A$3:$U$983,3,FALSE)</f>
        <v>Transaction</v>
      </c>
      <c r="D606" s="3" t="str">
        <f>VLOOKUP($A606,DICO_Complet!$A$3:$U$983,4,FALSE)</f>
        <v>eMV</v>
      </c>
      <c r="E606" s="2" t="str">
        <f>VLOOKUP($A606,DICO_Complet!$A$3:$U$983,5,FALSE)</f>
        <v>issuerActionCodeOnLine</v>
      </c>
      <c r="F606" s="2" t="str">
        <f>VLOOKUP($A606,DICO_Complet!$A$3:$U$983,6,FALSE)</f>
        <v>Exact5HexBinaryText</v>
      </c>
      <c r="G606" s="48">
        <f>VLOOKUP($A606,DICO_Complet!$A$3:$U$983,7,FALSE)</f>
        <v>0</v>
      </c>
      <c r="H606" s="48">
        <f>VLOOKUP($A606,DICO_Complet!$A$3:$U$983,8,FALSE)</f>
        <v>0</v>
      </c>
      <c r="I606" s="2" t="str">
        <f>IF(VLOOKUP($A606,DICO_Complet!$A$3:$U$983,9,FALSE)&lt;&gt;0,VLOOKUP($A606,DICO_Complet!$A$3:$U$983,9,FALSE),"")</f>
        <v/>
      </c>
      <c r="J606" s="1" t="str">
        <f>VLOOKUP($A606,DICO_Complet!$A$3:$U$983,10,FALSE)</f>
        <v xml:space="preserve">issuer action code on-line </v>
      </c>
      <c r="K606" s="53" t="str">
        <f>IF(VLOOKUP($A606,DICO_Complet!$A$3:$U$983,12,FALSE)=0,"",VLOOKUP($A606,DICO_Complet!$A$3:$U$983,12,FALSE))</f>
        <v/>
      </c>
      <c r="L606" s="53" t="str">
        <f>IF(VLOOKUP($A606,DICO_Complet!$A$3:$U$983,13,FALSE)=0,"",VLOOKUP($A606,DICO_Complet!$A$3:$U$983,13,FALSE))</f>
        <v/>
      </c>
      <c r="M606" s="53" t="str">
        <f>IF(VLOOKUP($A606,DICO_Complet!$A$3:$U$983,14,FALSE)=0,"",VLOOKUP($A606,DICO_Complet!$A$3:$U$983,14,FALSE))</f>
        <v>55_9F0F</v>
      </c>
      <c r="N606" s="53" t="str">
        <f>IF(VLOOKUP($A606,DICO_Complet!$A$3:$U$983,15,FALSE)=0,"",VLOOKUP($A606,DICO_Complet!$A$3:$U$983,15,FALSE))</f>
        <v/>
      </c>
      <c r="O606" s="53" t="str">
        <f>IF(VLOOKUP($A606,DICO_Complet!$A$3:$U$983,16,FALSE)=0,"",VLOOKUP($A606,DICO_Complet!$A$3:$U$983,16,FALSE))</f>
        <v/>
      </c>
      <c r="P606" s="53" t="str">
        <f>IF(VLOOKUP($A606,DICO_Complet!$A$3:$U$983,17,FALSE)=0,"",VLOOKUP($A606,DICO_Complet!$A$3:$U$983,17,FALSE))</f>
        <v/>
      </c>
      <c r="Q606" s="53" t="str">
        <f>IF(VLOOKUP($A606,DICO_Complet!$A$3:$U$983,18,FALSE)=0,"",VLOOKUP($A606,DICO_Complet!$A$3:$U$983,18,FALSE))</f>
        <v/>
      </c>
    </row>
    <row r="607" spans="1:17">
      <c r="A607" s="38">
        <v>241112000172</v>
      </c>
      <c r="B607" s="47" t="s">
        <v>858</v>
      </c>
      <c r="C607" s="3" t="str">
        <f>VLOOKUP($A607,DICO_Complet!$A$3:$U$983,3,FALSE)</f>
        <v>Transaction</v>
      </c>
      <c r="D607" s="3" t="str">
        <f>VLOOKUP($A607,DICO_Complet!$A$3:$U$983,4,FALSE)</f>
        <v>eMV</v>
      </c>
      <c r="E607" s="2" t="str">
        <f>VLOOKUP($A607,DICO_Complet!$A$3:$U$983,5,FALSE)</f>
        <v>issuerApplicationData</v>
      </c>
      <c r="F607" s="2" t="str">
        <f>VLOOKUP($A607,DICO_Complet!$A$3:$U$983,6,FALSE)</f>
        <v>Max32HexBinaryText</v>
      </c>
      <c r="G607" s="48">
        <f>VLOOKUP($A607,DICO_Complet!$A$3:$U$983,7,FALSE)</f>
        <v>0</v>
      </c>
      <c r="H607" s="48">
        <f>VLOOKUP($A607,DICO_Complet!$A$3:$U$983,8,FALSE)</f>
        <v>0</v>
      </c>
      <c r="I607" s="2" t="str">
        <f>IF(VLOOKUP($A607,DICO_Complet!$A$3:$U$983,9,FALSE)&lt;&gt;0,VLOOKUP($A607,DICO_Complet!$A$3:$U$983,9,FALSE),"")</f>
        <v/>
      </c>
      <c r="J607" s="1" t="str">
        <f>VLOOKUP($A607,DICO_Complet!$A$3:$U$983,10,FALSE)</f>
        <v xml:space="preserve"> data that the issuer wants to return in authorisation messages</v>
      </c>
      <c r="K607" s="53" t="str">
        <f>IF(VLOOKUP($A607,DICO_Complet!$A$3:$U$983,12,FALSE)=0,"",VLOOKUP($A607,DICO_Complet!$A$3:$U$983,12,FALSE))</f>
        <v>RSB55_9F10</v>
      </c>
      <c r="L607" s="53" t="str">
        <f>IF(VLOOKUP($A607,DICO_Complet!$A$3:$U$983,13,FALSE)=0,"",VLOOKUP($A607,DICO_Complet!$A$3:$U$983,13,FALSE))</f>
        <v>[55-9F10]</v>
      </c>
      <c r="M607" s="53" t="str">
        <f>IF(VLOOKUP($A607,DICO_Complet!$A$3:$U$983,14,FALSE)=0,"",VLOOKUP($A607,DICO_Complet!$A$3:$U$983,14,FALSE))</f>
        <v>55_9F10</v>
      </c>
      <c r="N607" s="53" t="str">
        <f>IF(VLOOKUP($A607,DICO_Complet!$A$3:$U$983,15,FALSE)=0,"",VLOOKUP($A607,DICO_Complet!$A$3:$U$983,15,FALSE))</f>
        <v/>
      </c>
      <c r="O607" s="53" t="str">
        <f>IF(VLOOKUP($A607,DICO_Complet!$A$3:$U$983,16,FALSE)=0,"",VLOOKUP($A607,DICO_Complet!$A$3:$U$983,16,FALSE))</f>
        <v/>
      </c>
      <c r="P607" s="53" t="str">
        <f>IF(VLOOKUP($A607,DICO_Complet!$A$3:$U$983,17,FALSE)=0,"",VLOOKUP($A607,DICO_Complet!$A$3:$U$983,17,FALSE))</f>
        <v/>
      </c>
      <c r="Q607" s="53" t="str">
        <f>IF(VLOOKUP($A607,DICO_Complet!$A$3:$U$983,18,FALSE)=0,"",VLOOKUP($A607,DICO_Complet!$A$3:$U$983,18,FALSE))</f>
        <v/>
      </c>
    </row>
    <row r="608" spans="1:17">
      <c r="A608" s="38">
        <v>241112000173</v>
      </c>
      <c r="B608" s="47" t="s">
        <v>858</v>
      </c>
      <c r="C608" s="3" t="str">
        <f>VLOOKUP($A608,DICO_Complet!$A$3:$U$983,3,FALSE)</f>
        <v>Transaction</v>
      </c>
      <c r="D608" s="3" t="str">
        <f>VLOOKUP($A608,DICO_Complet!$A$3:$U$983,4,FALSE)</f>
        <v>eMV</v>
      </c>
      <c r="E608" s="2" t="str">
        <f>VLOOKUP($A608,DICO_Complet!$A$3:$U$983,5,FALSE)</f>
        <v>randomNumber</v>
      </c>
      <c r="F608" s="2" t="str">
        <f>VLOOKUP($A608,DICO_Complet!$A$3:$U$983,6,FALSE)</f>
        <v>Exact4HexBinaryText</v>
      </c>
      <c r="G608" s="48">
        <f>VLOOKUP($A608,DICO_Complet!$A$3:$U$983,7,FALSE)</f>
        <v>0</v>
      </c>
      <c r="H608" s="48">
        <f>VLOOKUP($A608,DICO_Complet!$A$3:$U$983,8,FALSE)</f>
        <v>0</v>
      </c>
      <c r="I608" s="2" t="str">
        <f>IF(VLOOKUP($A608,DICO_Complet!$A$3:$U$983,9,FALSE)&lt;&gt;0,VLOOKUP($A608,DICO_Complet!$A$3:$U$983,9,FALSE),"")</f>
        <v/>
      </c>
      <c r="J608" s="1" t="str">
        <f>VLOOKUP($A608,DICO_Complet!$A$3:$U$983,10,FALSE)</f>
        <v>UNPREDICTABLE NUMBER</v>
      </c>
      <c r="K608" s="53" t="str">
        <f>IF(VLOOKUP($A608,DICO_Complet!$A$3:$U$983,12,FALSE)=0,"",VLOOKUP($A608,DICO_Complet!$A$3:$U$983,12,FALSE))</f>
        <v>RSB55_9F37</v>
      </c>
      <c r="L608" s="53" t="str">
        <f>IF(VLOOKUP($A608,DICO_Complet!$A$3:$U$983,13,FALSE)=0,"",VLOOKUP($A608,DICO_Complet!$A$3:$U$983,13,FALSE))</f>
        <v>[55-9F37]</v>
      </c>
      <c r="M608" s="53" t="str">
        <f>IF(VLOOKUP($A608,DICO_Complet!$A$3:$U$983,14,FALSE)=0,"",VLOOKUP($A608,DICO_Complet!$A$3:$U$983,14,FALSE))</f>
        <v/>
      </c>
      <c r="N608" s="53" t="str">
        <f>IF(VLOOKUP($A608,DICO_Complet!$A$3:$U$983,15,FALSE)=0,"",VLOOKUP($A608,DICO_Complet!$A$3:$U$983,15,FALSE))</f>
        <v/>
      </c>
      <c r="O608" s="53" t="str">
        <f>IF(VLOOKUP($A608,DICO_Complet!$A$3:$U$983,16,FALSE)=0,"",VLOOKUP($A608,DICO_Complet!$A$3:$U$983,16,FALSE))</f>
        <v/>
      </c>
      <c r="P608" s="53" t="str">
        <f>IF(VLOOKUP($A608,DICO_Complet!$A$3:$U$983,17,FALSE)=0,"",VLOOKUP($A608,DICO_Complet!$A$3:$U$983,17,FALSE))</f>
        <v/>
      </c>
      <c r="Q608" s="53" t="str">
        <f>IF(VLOOKUP($A608,DICO_Complet!$A$3:$U$983,18,FALSE)=0,"",VLOOKUP($A608,DICO_Complet!$A$3:$U$983,18,FALSE))</f>
        <v/>
      </c>
    </row>
    <row r="609" spans="1:17">
      <c r="A609" s="38">
        <v>250423100403</v>
      </c>
      <c r="B609" s="47" t="s">
        <v>858</v>
      </c>
      <c r="C609" s="3" t="str">
        <f>VLOOKUP($A609,DICO_Complet!$A$3:$U$983,3,FALSE)</f>
        <v>Transaction</v>
      </c>
      <c r="D609" s="3" t="str">
        <f>VLOOKUP($A609,DICO_Complet!$A$3:$U$983,4,FALSE)</f>
        <v>eMV</v>
      </c>
      <c r="E609" s="2" t="str">
        <f>VLOOKUP($A609,DICO_Complet!$A$3:$U$983,5,FALSE)</f>
        <v>temp_eMVApplicationAID</v>
      </c>
      <c r="F609" s="2" t="str">
        <f>VLOOKUP($A609,DICO_Complet!$A$3:$U$983,6,FALSE)</f>
        <v>Min5Max16HexBinaryText</v>
      </c>
      <c r="G609" s="48">
        <f>VLOOKUP($A609,DICO_Complet!$A$3:$U$983,7,FALSE)</f>
        <v>0</v>
      </c>
      <c r="H609" s="48">
        <f>VLOOKUP($A609,DICO_Complet!$A$3:$U$983,8,FALSE)</f>
        <v>0</v>
      </c>
      <c r="I609" s="2" t="str">
        <f>IF(VLOOKUP($A609,DICO_Complet!$A$3:$U$983,9,FALSE)&lt;&gt;0,VLOOKUP($A609,DICO_Complet!$A$3:$U$983,9,FALSE),"")</f>
        <v/>
      </c>
      <c r="J609" s="1" t="str">
        <f>VLOOKUP($A609,DICO_Complet!$A$3:$U$983,10,FALSE)</f>
        <v>EMV application AID</v>
      </c>
      <c r="K609" s="53" t="str">
        <f>IF(VLOOKUP($A609,DICO_Complet!$A$3:$U$983,12,FALSE)=0,"",VLOOKUP($A609,DICO_Complet!$A$3:$U$983,12,FALSE))</f>
        <v/>
      </c>
      <c r="L609" s="53" t="str">
        <f>IF(VLOOKUP($A609,DICO_Complet!$A$3:$U$983,13,FALSE)=0,"",VLOOKUP($A609,DICO_Complet!$A$3:$U$983,13,FALSE))</f>
        <v/>
      </c>
      <c r="M609" s="53" t="str">
        <f>IF(VLOOKUP($A609,DICO_Complet!$A$3:$U$983,14,FALSE)=0,"",VLOOKUP($A609,DICO_Complet!$A$3:$U$983,14,FALSE))</f>
        <v>72_DF17</v>
      </c>
      <c r="N609" s="53" t="str">
        <f>IF(VLOOKUP($A609,DICO_Complet!$A$3:$U$983,15,FALSE)=0,"",VLOOKUP($A609,DICO_Complet!$A$3:$U$983,15,FALSE))</f>
        <v/>
      </c>
      <c r="O609" s="53" t="str">
        <f>IF(VLOOKUP($A609,DICO_Complet!$A$3:$U$983,16,FALSE)=0,"",VLOOKUP($A609,DICO_Complet!$A$3:$U$983,16,FALSE))</f>
        <v/>
      </c>
      <c r="P609" s="53" t="str">
        <f>IF(VLOOKUP($A609,DICO_Complet!$A$3:$U$983,17,FALSE)=0,"",VLOOKUP($A609,DICO_Complet!$A$3:$U$983,17,FALSE))</f>
        <v/>
      </c>
      <c r="Q609" s="53" t="str">
        <f>IF(VLOOKUP($A609,DICO_Complet!$A$3:$U$983,18,FALSE)=0,"",VLOOKUP($A609,DICO_Complet!$A$3:$U$983,18,FALSE))</f>
        <v/>
      </c>
    </row>
    <row r="610" spans="1:17">
      <c r="A610" s="38">
        <v>250423093001</v>
      </c>
      <c r="B610" s="47" t="s">
        <v>858</v>
      </c>
      <c r="C610" s="3" t="str">
        <f>VLOOKUP($A610,DICO_Complet!$A$3:$U$983,3,FALSE)</f>
        <v>Transaction</v>
      </c>
      <c r="D610" s="3" t="str">
        <f>VLOOKUP($A610,DICO_Complet!$A$3:$U$983,4,FALSE)</f>
        <v>eMV</v>
      </c>
      <c r="E610" s="2" t="str">
        <f>VLOOKUP($A610,DICO_Complet!$A$3:$U$983,5,FALSE)</f>
        <v>temp_eMVApplicationRID</v>
      </c>
      <c r="F610" s="2" t="str">
        <f>VLOOKUP($A610,DICO_Complet!$A$3:$U$983,6,FALSE)</f>
        <v>Exact5HexBinaryText</v>
      </c>
      <c r="G610" s="48">
        <f>VLOOKUP($A610,DICO_Complet!$A$3:$U$983,7,FALSE)</f>
        <v>0</v>
      </c>
      <c r="H610" s="48">
        <f>VLOOKUP($A610,DICO_Complet!$A$3:$U$983,8,FALSE)</f>
        <v>0</v>
      </c>
      <c r="I610" s="2" t="str">
        <f>IF(VLOOKUP($A610,DICO_Complet!$A$3:$U$983,9,FALSE)&lt;&gt;0,VLOOKUP($A610,DICO_Complet!$A$3:$U$983,9,FALSE),"")</f>
        <v/>
      </c>
      <c r="J610" s="1" t="str">
        <f>VLOOKUP($A610,DICO_Complet!$A$3:$U$983,10,FALSE)</f>
        <v>EMV application RID</v>
      </c>
      <c r="K610" s="53" t="str">
        <f>IF(VLOOKUP($A610,DICO_Complet!$A$3:$U$983,12,FALSE)=0,"",VLOOKUP($A610,DICO_Complet!$A$3:$U$983,12,FALSE))</f>
        <v/>
      </c>
      <c r="L610" s="53" t="str">
        <f>IF(VLOOKUP($A610,DICO_Complet!$A$3:$U$983,13,FALSE)=0,"",VLOOKUP($A610,DICO_Complet!$A$3:$U$983,13,FALSE))</f>
        <v/>
      </c>
      <c r="M610" s="53" t="str">
        <f>IF(VLOOKUP($A610,DICO_Complet!$A$3:$U$983,14,FALSE)=0,"",VLOOKUP($A610,DICO_Complet!$A$3:$U$983,14,FALSE))</f>
        <v>72_DF16</v>
      </c>
      <c r="N610" s="53" t="str">
        <f>IF(VLOOKUP($A610,DICO_Complet!$A$3:$U$983,15,FALSE)=0,"",VLOOKUP($A610,DICO_Complet!$A$3:$U$983,15,FALSE))</f>
        <v/>
      </c>
      <c r="O610" s="53" t="str">
        <f>IF(VLOOKUP($A610,DICO_Complet!$A$3:$U$983,16,FALSE)=0,"",VLOOKUP($A610,DICO_Complet!$A$3:$U$983,16,FALSE))</f>
        <v/>
      </c>
      <c r="P610" s="53" t="str">
        <f>IF(VLOOKUP($A610,DICO_Complet!$A$3:$U$983,17,FALSE)=0,"",VLOOKUP($A610,DICO_Complet!$A$3:$U$983,17,FALSE))</f>
        <v/>
      </c>
      <c r="Q610" s="53" t="str">
        <f>IF(VLOOKUP($A610,DICO_Complet!$A$3:$U$983,18,FALSE)=0,"",VLOOKUP($A610,DICO_Complet!$A$3:$U$983,18,FALSE))</f>
        <v/>
      </c>
    </row>
    <row r="611" spans="1:17">
      <c r="A611" s="38">
        <v>241112000174</v>
      </c>
      <c r="B611" s="47" t="s">
        <v>858</v>
      </c>
      <c r="C611" s="3" t="str">
        <f>VLOOKUP($A611,DICO_Complet!$A$3:$U$983,3,FALSE)</f>
        <v>Transaction</v>
      </c>
      <c r="D611" s="3" t="str">
        <f>VLOOKUP($A611,DICO_Complet!$A$3:$U$983,4,FALSE)</f>
        <v>eMV</v>
      </c>
      <c r="E611" s="2" t="str">
        <f>VLOOKUP($A611,DICO_Complet!$A$3:$U$983,5,FALSE)</f>
        <v>terminalTransactionDate</v>
      </c>
      <c r="F611" s="2" t="str">
        <f>VLOOKUP($A611,DICO_Complet!$A$3:$U$983,6,FALSE)</f>
        <v>ISODate</v>
      </c>
      <c r="G611" s="48">
        <f>VLOOKUP($A611,DICO_Complet!$A$3:$U$983,7,FALSE)</f>
        <v>0</v>
      </c>
      <c r="H611" s="48">
        <f>VLOOKUP($A611,DICO_Complet!$A$3:$U$983,8,FALSE)</f>
        <v>0</v>
      </c>
      <c r="I611" s="2" t="str">
        <f>IF(VLOOKUP($A611,DICO_Complet!$A$3:$U$983,9,FALSE)&lt;&gt;0,VLOOKUP($A611,DICO_Complet!$A$3:$U$983,9,FALSE),"")</f>
        <v/>
      </c>
      <c r="J611" s="1" t="str">
        <f>VLOOKUP($A611,DICO_Complet!$A$3:$U$983,10,FALSE)</f>
        <v xml:space="preserve"> terminal's local date on which the authorisation transaction was performed</v>
      </c>
      <c r="K611" s="53" t="str">
        <f>IF(VLOOKUP($A611,DICO_Complet!$A$3:$U$983,12,FALSE)=0,"",VLOOKUP($A611,DICO_Complet!$A$3:$U$983,12,FALSE))</f>
        <v>RSB55_9A</v>
      </c>
      <c r="L611" s="53" t="str">
        <f>IF(VLOOKUP($A611,DICO_Complet!$A$3:$U$983,13,FALSE)=0,"",VLOOKUP($A611,DICO_Complet!$A$3:$U$983,13,FALSE))</f>
        <v>[55-009A]</v>
      </c>
      <c r="M611" s="53" t="str">
        <f>IF(VLOOKUP($A611,DICO_Complet!$A$3:$U$983,14,FALSE)=0,"",VLOOKUP($A611,DICO_Complet!$A$3:$U$983,14,FALSE))</f>
        <v/>
      </c>
      <c r="N611" s="53" t="str">
        <f>IF(VLOOKUP($A611,DICO_Complet!$A$3:$U$983,15,FALSE)=0,"",VLOOKUP($A611,DICO_Complet!$A$3:$U$983,15,FALSE))</f>
        <v/>
      </c>
      <c r="O611" s="53" t="str">
        <f>IF(VLOOKUP($A611,DICO_Complet!$A$3:$U$983,16,FALSE)=0,"",VLOOKUP($A611,DICO_Complet!$A$3:$U$983,16,FALSE))</f>
        <v/>
      </c>
      <c r="P611" s="53" t="str">
        <f>IF(VLOOKUP($A611,DICO_Complet!$A$3:$U$983,17,FALSE)=0,"",VLOOKUP($A611,DICO_Complet!$A$3:$U$983,17,FALSE))</f>
        <v/>
      </c>
      <c r="Q611" s="53" t="str">
        <f>IF(VLOOKUP($A611,DICO_Complet!$A$3:$U$983,18,FALSE)=0,"",VLOOKUP($A611,DICO_Complet!$A$3:$U$983,18,FALSE))</f>
        <v/>
      </c>
    </row>
    <row r="612" spans="1:17">
      <c r="A612" s="38">
        <v>241112000175</v>
      </c>
      <c r="B612" s="47" t="s">
        <v>858</v>
      </c>
      <c r="C612" s="3" t="str">
        <f>VLOOKUP($A612,DICO_Complet!$A$3:$U$983,3,FALSE)</f>
        <v>Transaction</v>
      </c>
      <c r="D612" s="3" t="str">
        <f>VLOOKUP($A612,DICO_Complet!$A$3:$U$983,4,FALSE)</f>
        <v>eMV</v>
      </c>
      <c r="E612" s="2" t="str">
        <f>VLOOKUP($A612,DICO_Complet!$A$3:$U$983,5,FALSE)</f>
        <v>terminalVerificationResult</v>
      </c>
      <c r="F612" s="2" t="str">
        <f>VLOOKUP($A612,DICO_Complet!$A$3:$U$983,6,FALSE)</f>
        <v>Exact5HexBinaryText</v>
      </c>
      <c r="G612" s="48">
        <f>VLOOKUP($A612,DICO_Complet!$A$3:$U$983,7,FALSE)</f>
        <v>0</v>
      </c>
      <c r="H612" s="48">
        <f>VLOOKUP($A612,DICO_Complet!$A$3:$U$983,8,FALSE)</f>
        <v>0</v>
      </c>
      <c r="I612" s="2" t="str">
        <f>IF(VLOOKUP($A612,DICO_Complet!$A$3:$U$983,9,FALSE)&lt;&gt;0,VLOOKUP($A612,DICO_Complet!$A$3:$U$983,9,FALSE),"")</f>
        <v/>
      </c>
      <c r="J612" s="1" t="str">
        <f>VLOOKUP($A612,DICO_Complet!$A$3:$U$983,10,FALSE)</f>
        <v>Results of the different checks performed by the termina</v>
      </c>
      <c r="K612" s="53" t="str">
        <f>IF(VLOOKUP($A612,DICO_Complet!$A$3:$U$983,12,FALSE)=0,"",VLOOKUP($A612,DICO_Complet!$A$3:$U$983,12,FALSE))</f>
        <v>RSB55_95</v>
      </c>
      <c r="L612" s="53" t="str">
        <f>IF(VLOOKUP($A612,DICO_Complet!$A$3:$U$983,13,FALSE)=0,"",VLOOKUP($A612,DICO_Complet!$A$3:$U$983,13,FALSE))</f>
        <v>[55-0095]</v>
      </c>
      <c r="M612" s="53" t="str">
        <f>IF(VLOOKUP($A612,DICO_Complet!$A$3:$U$983,14,FALSE)=0,"",VLOOKUP($A612,DICO_Complet!$A$3:$U$983,14,FALSE))</f>
        <v/>
      </c>
      <c r="N612" s="53" t="str">
        <f>IF(VLOOKUP($A612,DICO_Complet!$A$3:$U$983,15,FALSE)=0,"",VLOOKUP($A612,DICO_Complet!$A$3:$U$983,15,FALSE))</f>
        <v/>
      </c>
      <c r="O612" s="53" t="str">
        <f>IF(VLOOKUP($A612,DICO_Complet!$A$3:$U$983,16,FALSE)=0,"",VLOOKUP($A612,DICO_Complet!$A$3:$U$983,16,FALSE))</f>
        <v/>
      </c>
      <c r="P612" s="53" t="str">
        <f>IF(VLOOKUP($A612,DICO_Complet!$A$3:$U$983,17,FALSE)=0,"",VLOOKUP($A612,DICO_Complet!$A$3:$U$983,17,FALSE))</f>
        <v/>
      </c>
      <c r="Q612" s="53" t="str">
        <f>IF(VLOOKUP($A612,DICO_Complet!$A$3:$U$983,18,FALSE)=0,"",VLOOKUP($A612,DICO_Complet!$A$3:$U$983,18,FALSE))</f>
        <v/>
      </c>
    </row>
    <row r="613" spans="1:17">
      <c r="A613" s="38">
        <v>250331121312</v>
      </c>
      <c r="B613" s="47" t="s">
        <v>858</v>
      </c>
      <c r="C613" s="3" t="str">
        <f>VLOOKUP($A613,DICO_Complet!$A$3:$U$983,3,FALSE)</f>
        <v>Transaction</v>
      </c>
      <c r="D613" s="3" t="str">
        <f>VLOOKUP($A613,DICO_Complet!$A$3:$U$983,4,FALSE)</f>
        <v>eventProcessingData</v>
      </c>
      <c r="E613" s="2" t="str">
        <f>VLOOKUP($A613,DICO_Complet!$A$3:$U$983,5,FALSE)</f>
        <v>amount</v>
      </c>
      <c r="F613" s="2" t="str">
        <f>VLOOKUP($A613,DICO_Complet!$A$3:$U$983,6,FALSE)</f>
        <v>AmountType</v>
      </c>
      <c r="G613" s="48">
        <f>VLOOKUP($A613,DICO_Complet!$A$3:$U$983,7,FALSE)</f>
        <v>0</v>
      </c>
      <c r="H613" s="48">
        <f>VLOOKUP($A613,DICO_Complet!$A$3:$U$983,8,FALSE)</f>
        <v>0</v>
      </c>
      <c r="I613" s="2" t="str">
        <f>IF(VLOOKUP($A613,DICO_Complet!$A$3:$U$983,9,FALSE)&lt;&gt;0,VLOOKUP($A613,DICO_Complet!$A$3:$U$983,9,FALSE),"")</f>
        <v/>
      </c>
      <c r="J613" s="1" t="str">
        <f>VLOOKUP($A613,DICO_Complet!$A$3:$U$983,10,FALSE)</f>
        <v>Amount of the event</v>
      </c>
      <c r="K613" s="53" t="str">
        <f>IF(VLOOKUP($A613,DICO_Complet!$A$3:$U$983,12,FALSE)=0,"",VLOOKUP($A613,DICO_Complet!$A$3:$U$983,12,FALSE))</f>
        <v/>
      </c>
      <c r="L613" s="53" t="str">
        <f>IF(VLOOKUP($A613,DICO_Complet!$A$3:$U$983,13,FALSE)=0,"",VLOOKUP($A613,DICO_Complet!$A$3:$U$983,13,FALSE))</f>
        <v/>
      </c>
      <c r="M613" s="53" t="str">
        <f>IF(VLOOKUP($A613,DICO_Complet!$A$3:$U$983,14,FALSE)=0,"",VLOOKUP($A613,DICO_Complet!$A$3:$U$983,14,FALSE))</f>
        <v/>
      </c>
      <c r="N613" s="53" t="str">
        <f>IF(VLOOKUP($A613,DICO_Complet!$A$3:$U$983,15,FALSE)=0,"",VLOOKUP($A613,DICO_Complet!$A$3:$U$983,15,FALSE))</f>
        <v/>
      </c>
      <c r="O613" s="53" t="str">
        <f>IF(VLOOKUP($A613,DICO_Complet!$A$3:$U$983,16,FALSE)=0,"",VLOOKUP($A613,DICO_Complet!$A$3:$U$983,16,FALSE))</f>
        <v/>
      </c>
      <c r="P613" s="53" t="str">
        <f>IF(VLOOKUP($A613,DICO_Complet!$A$3:$U$983,17,FALSE)=0,"",VLOOKUP($A613,DICO_Complet!$A$3:$U$983,17,FALSE))</f>
        <v/>
      </c>
      <c r="Q613" s="53" t="str">
        <f>IF(VLOOKUP($A613,DICO_Complet!$A$3:$U$983,18,FALSE)=0,"",VLOOKUP($A613,DICO_Complet!$A$3:$U$983,18,FALSE))</f>
        <v/>
      </c>
    </row>
    <row r="614" spans="1:17">
      <c r="A614" s="38">
        <v>250331121300</v>
      </c>
      <c r="B614" s="47" t="s">
        <v>858</v>
      </c>
      <c r="C614" s="3" t="str">
        <f>VLOOKUP($A614,DICO_Complet!$A$3:$U$983,3,FALSE)</f>
        <v>Transaction</v>
      </c>
      <c r="D614" s="3" t="str">
        <f>VLOOKUP($A614,DICO_Complet!$A$3:$U$983,4,FALSE)</f>
        <v>eventProcessingData</v>
      </c>
      <c r="E614" s="2" t="str">
        <f>VLOOKUP($A614,DICO_Complet!$A$3:$U$983,5,FALSE)</f>
        <v>eventProcessingNature</v>
      </c>
      <c r="F614" s="2" t="str">
        <f>VLOOKUP($A614,DICO_Complet!$A$3:$U$983,6,FALSE)</f>
        <v>Max50Text</v>
      </c>
      <c r="G614" s="48">
        <f>VLOOKUP($A614,DICO_Complet!$A$3:$U$983,7,FALSE)</f>
        <v>0</v>
      </c>
      <c r="H614" s="48">
        <f>VLOOKUP($A614,DICO_Complet!$A$3:$U$983,8,FALSE)</f>
        <v>0</v>
      </c>
      <c r="I614" s="2" t="str">
        <f>IF(VLOOKUP($A614,DICO_Complet!$A$3:$U$983,9,FALSE)&lt;&gt;0,VLOOKUP($A614,DICO_Complet!$A$3:$U$983,9,FALSE),"")</f>
        <v/>
      </c>
      <c r="J614" s="1" t="str">
        <f>VLOOKUP($A614,DICO_Complet!$A$3:$U$983,10,FALSE)</f>
        <v>Event processing nature, text explaination of the step in  processing data.</v>
      </c>
      <c r="K614" s="53" t="str">
        <f>IF(VLOOKUP($A614,DICO_Complet!$A$3:$U$983,12,FALSE)=0,"",VLOOKUP($A614,DICO_Complet!$A$3:$U$983,12,FALSE))</f>
        <v/>
      </c>
      <c r="L614" s="53" t="str">
        <f>IF(VLOOKUP($A614,DICO_Complet!$A$3:$U$983,13,FALSE)=0,"",VLOOKUP($A614,DICO_Complet!$A$3:$U$983,13,FALSE))</f>
        <v/>
      </c>
      <c r="M614" s="53" t="str">
        <f>IF(VLOOKUP($A614,DICO_Complet!$A$3:$U$983,14,FALSE)=0,"",VLOOKUP($A614,DICO_Complet!$A$3:$U$983,14,FALSE))</f>
        <v/>
      </c>
      <c r="N614" s="53" t="str">
        <f>IF(VLOOKUP($A614,DICO_Complet!$A$3:$U$983,15,FALSE)=0,"",VLOOKUP($A614,DICO_Complet!$A$3:$U$983,15,FALSE))</f>
        <v/>
      </c>
      <c r="O614" s="53" t="str">
        <f>IF(VLOOKUP($A614,DICO_Complet!$A$3:$U$983,16,FALSE)=0,"",VLOOKUP($A614,DICO_Complet!$A$3:$U$983,16,FALSE))</f>
        <v/>
      </c>
      <c r="P614" s="53" t="str">
        <f>IF(VLOOKUP($A614,DICO_Complet!$A$3:$U$983,17,FALSE)=0,"",VLOOKUP($A614,DICO_Complet!$A$3:$U$983,17,FALSE))</f>
        <v/>
      </c>
      <c r="Q614" s="53" t="str">
        <f>IF(VLOOKUP($A614,DICO_Complet!$A$3:$U$983,18,FALSE)=0,"",VLOOKUP($A614,DICO_Complet!$A$3:$U$983,18,FALSE))</f>
        <v/>
      </c>
    </row>
    <row r="615" spans="1:17">
      <c r="A615" s="38">
        <v>250331121309</v>
      </c>
      <c r="B615" s="47" t="s">
        <v>858</v>
      </c>
      <c r="C615" s="3" t="str">
        <f>VLOOKUP($A615,DICO_Complet!$A$3:$U$983,3,FALSE)</f>
        <v>Transaction</v>
      </c>
      <c r="D615" s="3" t="str">
        <f>VLOOKUP($A615,DICO_Complet!$A$3:$U$983,4,FALSE)</f>
        <v>eventProcessingData</v>
      </c>
      <c r="E615" s="2" t="str">
        <f>VLOOKUP($A615,DICO_Complet!$A$3:$U$983,5,FALSE)</f>
        <v>incompatibilityEventIndicator</v>
      </c>
      <c r="F615" s="2" t="str">
        <f>VLOOKUP($A615,DICO_Complet!$A$3:$U$983,6,FALSE)</f>
        <v>TrueFalseIndicator</v>
      </c>
      <c r="G615" s="48">
        <f>VLOOKUP($A615,DICO_Complet!$A$3:$U$983,7,FALSE)</f>
        <v>0</v>
      </c>
      <c r="H615" s="48">
        <f>VLOOKUP($A615,DICO_Complet!$A$3:$U$983,8,FALSE)</f>
        <v>0</v>
      </c>
      <c r="I615" s="2" t="str">
        <f>IF(VLOOKUP($A615,DICO_Complet!$A$3:$U$983,9,FALSE)&lt;&gt;0,VLOOKUP($A615,DICO_Complet!$A$3:$U$983,9,FALSE),"")</f>
        <v/>
      </c>
      <c r="J615" s="1" t="str">
        <f>VLOOKUP($A615,DICO_Complet!$A$3:$U$983,10,FALSE)</f>
        <v>Incompatibility event indicator</v>
      </c>
      <c r="K615" s="53" t="str">
        <f>IF(VLOOKUP($A615,DICO_Complet!$A$3:$U$983,12,FALSE)=0,"",VLOOKUP($A615,DICO_Complet!$A$3:$U$983,12,FALSE))</f>
        <v/>
      </c>
      <c r="L615" s="53" t="str">
        <f>IF(VLOOKUP($A615,DICO_Complet!$A$3:$U$983,13,FALSE)=0,"",VLOOKUP($A615,DICO_Complet!$A$3:$U$983,13,FALSE))</f>
        <v/>
      </c>
      <c r="M615" s="53" t="str">
        <f>IF(VLOOKUP($A615,DICO_Complet!$A$3:$U$983,14,FALSE)=0,"",VLOOKUP($A615,DICO_Complet!$A$3:$U$983,14,FALSE))</f>
        <v/>
      </c>
      <c r="N615" s="53" t="str">
        <f>IF(VLOOKUP($A615,DICO_Complet!$A$3:$U$983,15,FALSE)=0,"",VLOOKUP($A615,DICO_Complet!$A$3:$U$983,15,FALSE))</f>
        <v/>
      </c>
      <c r="O615" s="53" t="str">
        <f>IF(VLOOKUP($A615,DICO_Complet!$A$3:$U$983,16,FALSE)=0,"",VLOOKUP($A615,DICO_Complet!$A$3:$U$983,16,FALSE))</f>
        <v/>
      </c>
      <c r="P615" s="53" t="str">
        <f>IF(VLOOKUP($A615,DICO_Complet!$A$3:$U$983,17,FALSE)=0,"",VLOOKUP($A615,DICO_Complet!$A$3:$U$983,17,FALSE))</f>
        <v/>
      </c>
      <c r="Q615" s="53" t="str">
        <f>IF(VLOOKUP($A615,DICO_Complet!$A$3:$U$983,18,FALSE)=0,"",VLOOKUP($A615,DICO_Complet!$A$3:$U$983,18,FALSE))</f>
        <v/>
      </c>
    </row>
    <row r="616" spans="1:17">
      <c r="A616" s="38">
        <v>250331121310</v>
      </c>
      <c r="B616" s="47" t="s">
        <v>858</v>
      </c>
      <c r="C616" s="3" t="str">
        <f>VLOOKUP($A616,DICO_Complet!$A$3:$U$983,3,FALSE)</f>
        <v>Transaction</v>
      </c>
      <c r="D616" s="3" t="str">
        <f>VLOOKUP($A616,DICO_Complet!$A$3:$U$983,4,FALSE)</f>
        <v>eventProcessingData</v>
      </c>
      <c r="E616" s="2" t="str">
        <f>VLOOKUP($A616,DICO_Complet!$A$3:$U$983,5,FALSE)</f>
        <v>incompatibilityEventReason</v>
      </c>
      <c r="F616" s="2" t="str">
        <f>VLOOKUP($A616,DICO_Complet!$A$3:$U$983,6,FALSE)</f>
        <v>Max255Text</v>
      </c>
      <c r="G616" s="48">
        <f>VLOOKUP($A616,DICO_Complet!$A$3:$U$983,7,FALSE)</f>
        <v>0</v>
      </c>
      <c r="H616" s="48">
        <f>VLOOKUP($A616,DICO_Complet!$A$3:$U$983,8,FALSE)</f>
        <v>0</v>
      </c>
      <c r="I616" s="2" t="str">
        <f>IF(VLOOKUP($A616,DICO_Complet!$A$3:$U$983,9,FALSE)&lt;&gt;0,VLOOKUP($A616,DICO_Complet!$A$3:$U$983,9,FALSE),"")</f>
        <v/>
      </c>
      <c r="J616" s="1" t="str">
        <f>VLOOKUP($A616,DICO_Complet!$A$3:$U$983,10,FALSE)</f>
        <v>Incompatibility event resaon</v>
      </c>
      <c r="K616" s="53" t="str">
        <f>IF(VLOOKUP($A616,DICO_Complet!$A$3:$U$983,12,FALSE)=0,"",VLOOKUP($A616,DICO_Complet!$A$3:$U$983,12,FALSE))</f>
        <v/>
      </c>
      <c r="L616" s="53" t="str">
        <f>IF(VLOOKUP($A616,DICO_Complet!$A$3:$U$983,13,FALSE)=0,"",VLOOKUP($A616,DICO_Complet!$A$3:$U$983,13,FALSE))</f>
        <v/>
      </c>
      <c r="M616" s="53" t="str">
        <f>IF(VLOOKUP($A616,DICO_Complet!$A$3:$U$983,14,FALSE)=0,"",VLOOKUP($A616,DICO_Complet!$A$3:$U$983,14,FALSE))</f>
        <v/>
      </c>
      <c r="N616" s="53" t="str">
        <f>IF(VLOOKUP($A616,DICO_Complet!$A$3:$U$983,15,FALSE)=0,"",VLOOKUP($A616,DICO_Complet!$A$3:$U$983,15,FALSE))</f>
        <v/>
      </c>
      <c r="O616" s="53" t="str">
        <f>IF(VLOOKUP($A616,DICO_Complet!$A$3:$U$983,16,FALSE)=0,"",VLOOKUP($A616,DICO_Complet!$A$3:$U$983,16,FALSE))</f>
        <v/>
      </c>
      <c r="P616" s="53" t="str">
        <f>IF(VLOOKUP($A616,DICO_Complet!$A$3:$U$983,17,FALSE)=0,"",VLOOKUP($A616,DICO_Complet!$A$3:$U$983,17,FALSE))</f>
        <v/>
      </c>
      <c r="Q616" s="53" t="str">
        <f>IF(VLOOKUP($A616,DICO_Complet!$A$3:$U$983,18,FALSE)=0,"",VLOOKUP($A616,DICO_Complet!$A$3:$U$983,18,FALSE))</f>
        <v/>
      </c>
    </row>
    <row r="617" spans="1:17">
      <c r="A617" s="38">
        <v>250331121302</v>
      </c>
      <c r="B617" s="47" t="s">
        <v>858</v>
      </c>
      <c r="C617" s="3" t="str">
        <f>VLOOKUP($A617,DICO_Complet!$A$3:$U$983,3,FALSE)</f>
        <v>Transaction</v>
      </c>
      <c r="D617" s="3" t="str">
        <f>VLOOKUP($A617,DICO_Complet!$A$3:$U$983,4,FALSE)</f>
        <v>eventProcessingData</v>
      </c>
      <c r="E617" s="2" t="str">
        <f>VLOOKUP($A617,DICO_Complet!$A$3:$U$983,5,FALSE)</f>
        <v>localDateTime</v>
      </c>
      <c r="F617" s="2" t="str">
        <f>VLOOKUP($A617,DICO_Complet!$A$3:$U$983,6,FALSE)</f>
        <v>ISODateTime</v>
      </c>
      <c r="G617" s="48">
        <f>VLOOKUP($A617,DICO_Complet!$A$3:$U$983,7,FALSE)</f>
        <v>0</v>
      </c>
      <c r="H617" s="48">
        <f>VLOOKUP($A617,DICO_Complet!$A$3:$U$983,8,FALSE)</f>
        <v>0</v>
      </c>
      <c r="I617" s="2" t="str">
        <f>IF(VLOOKUP($A617,DICO_Complet!$A$3:$U$983,9,FALSE)&lt;&gt;0,VLOOKUP($A617,DICO_Complet!$A$3:$U$983,9,FALSE),"")</f>
        <v/>
      </c>
      <c r="J617" s="1" t="str">
        <f>VLOOKUP($A617,DICO_Complet!$A$3:$U$983,10,FALSE)</f>
        <v>Date of the event</v>
      </c>
      <c r="K617" s="53" t="str">
        <f>IF(VLOOKUP($A617,DICO_Complet!$A$3:$U$983,12,FALSE)=0,"",VLOOKUP($A617,DICO_Complet!$A$3:$U$983,12,FALSE))</f>
        <v/>
      </c>
      <c r="L617" s="53" t="str">
        <f>IF(VLOOKUP($A617,DICO_Complet!$A$3:$U$983,13,FALSE)=0,"",VLOOKUP($A617,DICO_Complet!$A$3:$U$983,13,FALSE))</f>
        <v/>
      </c>
      <c r="M617" s="53" t="str">
        <f>IF(VLOOKUP($A617,DICO_Complet!$A$3:$U$983,14,FALSE)=0,"",VLOOKUP($A617,DICO_Complet!$A$3:$U$983,14,FALSE))</f>
        <v/>
      </c>
      <c r="N617" s="53" t="str">
        <f>IF(VLOOKUP($A617,DICO_Complet!$A$3:$U$983,15,FALSE)=0,"",VLOOKUP($A617,DICO_Complet!$A$3:$U$983,15,FALSE))</f>
        <v/>
      </c>
      <c r="O617" s="53" t="str">
        <f>IF(VLOOKUP($A617,DICO_Complet!$A$3:$U$983,16,FALSE)=0,"",VLOOKUP($A617,DICO_Complet!$A$3:$U$983,16,FALSE))</f>
        <v/>
      </c>
      <c r="P617" s="53" t="str">
        <f>IF(VLOOKUP($A617,DICO_Complet!$A$3:$U$983,17,FALSE)=0,"",VLOOKUP($A617,DICO_Complet!$A$3:$U$983,17,FALSE))</f>
        <v/>
      </c>
      <c r="Q617" s="53" t="str">
        <f>IF(VLOOKUP($A617,DICO_Complet!$A$3:$U$983,18,FALSE)=0,"",VLOOKUP($A617,DICO_Complet!$A$3:$U$983,18,FALSE))</f>
        <v/>
      </c>
    </row>
    <row r="618" spans="1:17">
      <c r="A618" s="38">
        <v>250331121311</v>
      </c>
      <c r="B618" s="47" t="s">
        <v>858</v>
      </c>
      <c r="C618" s="3" t="str">
        <f>VLOOKUP($A618,DICO_Complet!$A$3:$U$983,3,FALSE)</f>
        <v>Transaction</v>
      </c>
      <c r="D618" s="3" t="str">
        <f>VLOOKUP($A618,DICO_Complet!$A$3:$U$983,4,FALSE)</f>
        <v>eventProcessingData</v>
      </c>
      <c r="E618" s="2" t="str">
        <f>VLOOKUP($A618,DICO_Complet!$A$3:$U$983,5,FALSE)</f>
        <v>manualIndicator</v>
      </c>
      <c r="F618" s="2" t="str">
        <f>VLOOKUP($A618,DICO_Complet!$A$3:$U$983,6,FALSE)</f>
        <v>TrueFalseIndicator</v>
      </c>
      <c r="G618" s="48">
        <f>VLOOKUP($A618,DICO_Complet!$A$3:$U$983,7,FALSE)</f>
        <v>0</v>
      </c>
      <c r="H618" s="48">
        <f>VLOOKUP($A618,DICO_Complet!$A$3:$U$983,8,FALSE)</f>
        <v>0</v>
      </c>
      <c r="I618" s="2" t="str">
        <f>IF(VLOOKUP($A618,DICO_Complet!$A$3:$U$983,9,FALSE)&lt;&gt;0,VLOOKUP($A618,DICO_Complet!$A$3:$U$983,9,FALSE),"")</f>
        <v/>
      </c>
      <c r="J618" s="1" t="str">
        <f>VLOOKUP($A618,DICO_Complet!$A$3:$U$983,10,FALSE)</f>
        <v>Manual indicator</v>
      </c>
      <c r="K618" s="53" t="str">
        <f>IF(VLOOKUP($A618,DICO_Complet!$A$3:$U$983,12,FALSE)=0,"",VLOOKUP($A618,DICO_Complet!$A$3:$U$983,12,FALSE))</f>
        <v/>
      </c>
      <c r="L618" s="53" t="str">
        <f>IF(VLOOKUP($A618,DICO_Complet!$A$3:$U$983,13,FALSE)=0,"",VLOOKUP($A618,DICO_Complet!$A$3:$U$983,13,FALSE))</f>
        <v/>
      </c>
      <c r="M618" s="53" t="str">
        <f>IF(VLOOKUP($A618,DICO_Complet!$A$3:$U$983,14,FALSE)=0,"",VLOOKUP($A618,DICO_Complet!$A$3:$U$983,14,FALSE))</f>
        <v/>
      </c>
      <c r="N618" s="53" t="str">
        <f>IF(VLOOKUP($A618,DICO_Complet!$A$3:$U$983,15,FALSE)=0,"",VLOOKUP($A618,DICO_Complet!$A$3:$U$983,15,FALSE))</f>
        <v/>
      </c>
      <c r="O618" s="53" t="str">
        <f>IF(VLOOKUP($A618,DICO_Complet!$A$3:$U$983,16,FALSE)=0,"",VLOOKUP($A618,DICO_Complet!$A$3:$U$983,16,FALSE))</f>
        <v/>
      </c>
      <c r="P618" s="53" t="str">
        <f>IF(VLOOKUP($A618,DICO_Complet!$A$3:$U$983,17,FALSE)=0,"",VLOOKUP($A618,DICO_Complet!$A$3:$U$983,17,FALSE))</f>
        <v/>
      </c>
      <c r="Q618" s="53" t="str">
        <f>IF(VLOOKUP($A618,DICO_Complet!$A$3:$U$983,18,FALSE)=0,"",VLOOKUP($A618,DICO_Complet!$A$3:$U$983,18,FALSE))</f>
        <v/>
      </c>
    </row>
    <row r="619" spans="1:17">
      <c r="A619" s="38">
        <v>250331121301</v>
      </c>
      <c r="B619" s="47" t="s">
        <v>858</v>
      </c>
      <c r="C619" s="3" t="str">
        <f>VLOOKUP($A619,DICO_Complet!$A$3:$U$983,3,FALSE)</f>
        <v>Transaction</v>
      </c>
      <c r="D619" s="3" t="str">
        <f>VLOOKUP($A619,DICO_Complet!$A$3:$U$983,4,FALSE)</f>
        <v>eventProcessingData</v>
      </c>
      <c r="E619" s="2" t="str">
        <f>VLOOKUP($A619,DICO_Complet!$A$3:$U$983,5,FALSE)</f>
        <v>statusCode</v>
      </c>
      <c r="F619" s="2" t="str">
        <f>VLOOKUP($A619,DICO_Complet!$A$3:$U$983,6,FALSE)</f>
        <v>StatusCodeCodeset</v>
      </c>
      <c r="G619" s="48">
        <f>VLOOKUP($A619,DICO_Complet!$A$3:$U$983,7,FALSE)</f>
        <v>0</v>
      </c>
      <c r="H619" s="48">
        <f>VLOOKUP($A619,DICO_Complet!$A$3:$U$983,8,FALSE)</f>
        <v>0</v>
      </c>
      <c r="I619" s="2" t="str">
        <f>IF(VLOOKUP($A619,DICO_Complet!$A$3:$U$983,9,FALSE)&lt;&gt;0,VLOOKUP($A619,DICO_Complet!$A$3:$U$983,9,FALSE),"")</f>
        <v/>
      </c>
      <c r="J619" s="1" t="str">
        <f>VLOOKUP($A619,DICO_Complet!$A$3:$U$983,10,FALSE)</f>
        <v>Stautus code of the event</v>
      </c>
      <c r="K619" s="53" t="str">
        <f>IF(VLOOKUP($A619,DICO_Complet!$A$3:$U$983,12,FALSE)=0,"",VLOOKUP($A619,DICO_Complet!$A$3:$U$983,12,FALSE))</f>
        <v/>
      </c>
      <c r="L619" s="53" t="str">
        <f>IF(VLOOKUP($A619,DICO_Complet!$A$3:$U$983,13,FALSE)=0,"",VLOOKUP($A619,DICO_Complet!$A$3:$U$983,13,FALSE))</f>
        <v/>
      </c>
      <c r="M619" s="53" t="str">
        <f>IF(VLOOKUP($A619,DICO_Complet!$A$3:$U$983,14,FALSE)=0,"",VLOOKUP($A619,DICO_Complet!$A$3:$U$983,14,FALSE))</f>
        <v/>
      </c>
      <c r="N619" s="53" t="str">
        <f>IF(VLOOKUP($A619,DICO_Complet!$A$3:$U$983,15,FALSE)=0,"",VLOOKUP($A619,DICO_Complet!$A$3:$U$983,15,FALSE))</f>
        <v/>
      </c>
      <c r="O619" s="53" t="str">
        <f>IF(VLOOKUP($A619,DICO_Complet!$A$3:$U$983,16,FALSE)=0,"",VLOOKUP($A619,DICO_Complet!$A$3:$U$983,16,FALSE))</f>
        <v/>
      </c>
      <c r="P619" s="53" t="str">
        <f>IF(VLOOKUP($A619,DICO_Complet!$A$3:$U$983,17,FALSE)=0,"",VLOOKUP($A619,DICO_Complet!$A$3:$U$983,17,FALSE))</f>
        <v/>
      </c>
      <c r="Q619" s="53" t="str">
        <f>IF(VLOOKUP($A619,DICO_Complet!$A$3:$U$983,18,FALSE)=0,"",VLOOKUP($A619,DICO_Complet!$A$3:$U$983,18,FALSE))</f>
        <v/>
      </c>
    </row>
    <row r="620" spans="1:17">
      <c r="A620" s="38">
        <v>250418220155</v>
      </c>
      <c r="B620" s="47" t="s">
        <v>858</v>
      </c>
      <c r="C620" s="3" t="str">
        <f>VLOOKUP($A620,DICO_Complet!$A$3:$U$983,3,FALSE)</f>
        <v>Transaction</v>
      </c>
      <c r="D620" s="3" t="str">
        <f>VLOOKUP($A620,DICO_Complet!$A$3:$U$983,4,FALSE)</f>
        <v>eventProcessingData</v>
      </c>
      <c r="E620" s="2" t="str">
        <f>VLOOKUP($A620,DICO_Complet!$A$3:$U$983,5,FALSE)</f>
        <v>temp_inputData</v>
      </c>
      <c r="F620" s="2" t="str">
        <f>VLOOKUP($A620,DICO_Complet!$A$3:$U$983,6,FALSE)</f>
        <v>Max50Text</v>
      </c>
      <c r="G620" s="48">
        <f>VLOOKUP($A620,DICO_Complet!$A$3:$U$983,7,FALSE)</f>
        <v>0</v>
      </c>
      <c r="H620" s="48">
        <f>VLOOKUP($A620,DICO_Complet!$A$3:$U$983,8,FALSE)</f>
        <v>0</v>
      </c>
      <c r="I620" s="2" t="str">
        <f>IF(VLOOKUP($A620,DICO_Complet!$A$3:$U$983,9,FALSE)&lt;&gt;0,VLOOKUP($A620,DICO_Complet!$A$3:$U$983,9,FALSE),"")</f>
        <v/>
      </c>
      <c r="J620" s="1" t="str">
        <f>VLOOKUP($A620,DICO_Complet!$A$3:$U$983,10,FALSE)</f>
        <v>input Data</v>
      </c>
      <c r="K620" s="53" t="str">
        <f>IF(VLOOKUP($A620,DICO_Complet!$A$3:$U$983,12,FALSE)=0,"",VLOOKUP($A620,DICO_Complet!$A$3:$U$983,12,FALSE))</f>
        <v/>
      </c>
      <c r="L620" s="53" t="str">
        <f>IF(VLOOKUP($A620,DICO_Complet!$A$3:$U$983,13,FALSE)=0,"",VLOOKUP($A620,DICO_Complet!$A$3:$U$983,13,FALSE))</f>
        <v/>
      </c>
      <c r="M620" s="53" t="str">
        <f>IF(VLOOKUP($A620,DICO_Complet!$A$3:$U$983,14,FALSE)=0,"",VLOOKUP($A620,DICO_Complet!$A$3:$U$983,14,FALSE))</f>
        <v/>
      </c>
      <c r="N620" s="53" t="str">
        <f>IF(VLOOKUP($A620,DICO_Complet!$A$3:$U$983,15,FALSE)=0,"",VLOOKUP($A620,DICO_Complet!$A$3:$U$983,15,FALSE))</f>
        <v/>
      </c>
      <c r="O620" s="53" t="str">
        <f>IF(VLOOKUP($A620,DICO_Complet!$A$3:$U$983,16,FALSE)=0,"",VLOOKUP($A620,DICO_Complet!$A$3:$U$983,16,FALSE))</f>
        <v/>
      </c>
      <c r="P620" s="53" t="str">
        <f>IF(VLOOKUP($A620,DICO_Complet!$A$3:$U$983,17,FALSE)=0,"",VLOOKUP($A620,DICO_Complet!$A$3:$U$983,17,FALSE))</f>
        <v/>
      </c>
      <c r="Q620" s="53" t="str">
        <f>IF(VLOOKUP($A620,DICO_Complet!$A$3:$U$983,18,FALSE)=0,"",VLOOKUP($A620,DICO_Complet!$A$3:$U$983,18,FALSE))</f>
        <v/>
      </c>
    </row>
    <row r="621" spans="1:17">
      <c r="A621" s="38">
        <v>250418220156</v>
      </c>
      <c r="B621" s="47" t="s">
        <v>858</v>
      </c>
      <c r="C621" s="3" t="str">
        <f>VLOOKUP($A621,DICO_Complet!$A$3:$U$983,3,FALSE)</f>
        <v>Transaction</v>
      </c>
      <c r="D621" s="3" t="str">
        <f>VLOOKUP($A621,DICO_Complet!$A$3:$U$983,4,FALSE)</f>
        <v>eventProcessingData</v>
      </c>
      <c r="E621" s="2" t="str">
        <f>VLOOKUP($A621,DICO_Complet!$A$3:$U$983,5,FALSE)</f>
        <v>temp_limitData</v>
      </c>
      <c r="F621" s="2" t="str">
        <f>VLOOKUP($A621,DICO_Complet!$A$3:$U$983,6,FALSE)</f>
        <v>Max50Text</v>
      </c>
      <c r="G621" s="48">
        <f>VLOOKUP($A621,DICO_Complet!$A$3:$U$983,7,FALSE)</f>
        <v>0</v>
      </c>
      <c r="H621" s="48">
        <f>VLOOKUP($A621,DICO_Complet!$A$3:$U$983,8,FALSE)</f>
        <v>0</v>
      </c>
      <c r="I621" s="2" t="str">
        <f>IF(VLOOKUP($A621,DICO_Complet!$A$3:$U$983,9,FALSE)&lt;&gt;0,VLOOKUP($A621,DICO_Complet!$A$3:$U$983,9,FALSE),"")</f>
        <v/>
      </c>
      <c r="J621" s="1" t="str">
        <f>VLOOKUP($A621,DICO_Complet!$A$3:$U$983,10,FALSE)</f>
        <v>Donnee seuil</v>
      </c>
      <c r="K621" s="53" t="str">
        <f>IF(VLOOKUP($A621,DICO_Complet!$A$3:$U$983,12,FALSE)=0,"",VLOOKUP($A621,DICO_Complet!$A$3:$U$983,12,FALSE))</f>
        <v/>
      </c>
      <c r="L621" s="53" t="str">
        <f>IF(VLOOKUP($A621,DICO_Complet!$A$3:$U$983,13,FALSE)=0,"",VLOOKUP($A621,DICO_Complet!$A$3:$U$983,13,FALSE))</f>
        <v/>
      </c>
      <c r="M621" s="53" t="str">
        <f>IF(VLOOKUP($A621,DICO_Complet!$A$3:$U$983,14,FALSE)=0,"",VLOOKUP($A621,DICO_Complet!$A$3:$U$983,14,FALSE))</f>
        <v/>
      </c>
      <c r="N621" s="53" t="str">
        <f>IF(VLOOKUP($A621,DICO_Complet!$A$3:$U$983,15,FALSE)=0,"",VLOOKUP($A621,DICO_Complet!$A$3:$U$983,15,FALSE))</f>
        <v/>
      </c>
      <c r="O621" s="53" t="str">
        <f>IF(VLOOKUP($A621,DICO_Complet!$A$3:$U$983,16,FALSE)=0,"",VLOOKUP($A621,DICO_Complet!$A$3:$U$983,16,FALSE))</f>
        <v/>
      </c>
      <c r="P621" s="53" t="str">
        <f>IF(VLOOKUP($A621,DICO_Complet!$A$3:$U$983,17,FALSE)=0,"",VLOOKUP($A621,DICO_Complet!$A$3:$U$983,17,FALSE))</f>
        <v/>
      </c>
      <c r="Q621" s="53" t="str">
        <f>IF(VLOOKUP($A621,DICO_Complet!$A$3:$U$983,18,FALSE)=0,"",VLOOKUP($A621,DICO_Complet!$A$3:$U$983,18,FALSE))</f>
        <v/>
      </c>
    </row>
    <row r="622" spans="1:17">
      <c r="A622" s="38">
        <v>250418220157</v>
      </c>
      <c r="B622" s="47" t="s">
        <v>858</v>
      </c>
      <c r="C622" s="3" t="str">
        <f>VLOOKUP($A622,DICO_Complet!$A$3:$U$983,3,FALSE)</f>
        <v>Transaction</v>
      </c>
      <c r="D622" s="3" t="str">
        <f>VLOOKUP($A622,DICO_Complet!$A$3:$U$983,4,FALSE)</f>
        <v>eventProcessingData</v>
      </c>
      <c r="E622" s="2" t="str">
        <f>VLOOKUP($A622,DICO_Complet!$A$3:$U$983,5,FALSE)</f>
        <v>temp_processingStage</v>
      </c>
      <c r="F622" s="2" t="str">
        <f>VLOOKUP($A622,DICO_Complet!$A$3:$U$983,6,FALSE)</f>
        <v>Max50Text</v>
      </c>
      <c r="G622" s="48">
        <f>VLOOKUP($A622,DICO_Complet!$A$3:$U$983,7,FALSE)</f>
        <v>0</v>
      </c>
      <c r="H622" s="48">
        <f>VLOOKUP($A622,DICO_Complet!$A$3:$U$983,8,FALSE)</f>
        <v>0</v>
      </c>
      <c r="I622" s="2" t="str">
        <f>IF(VLOOKUP($A622,DICO_Complet!$A$3:$U$983,9,FALSE)&lt;&gt;0,VLOOKUP($A622,DICO_Complet!$A$3:$U$983,9,FALSE),"")</f>
        <v/>
      </c>
      <c r="J622" s="1" t="str">
        <f>VLOOKUP($A622,DICO_Complet!$A$3:$U$983,10,FALSE)</f>
        <v>Etape de traitement precompensation</v>
      </c>
      <c r="K622" s="53" t="str">
        <f>IF(VLOOKUP($A622,DICO_Complet!$A$3:$U$983,12,FALSE)=0,"",VLOOKUP($A622,DICO_Complet!$A$3:$U$983,12,FALSE))</f>
        <v/>
      </c>
      <c r="L622" s="53" t="str">
        <f>IF(VLOOKUP($A622,DICO_Complet!$A$3:$U$983,13,FALSE)=0,"",VLOOKUP($A622,DICO_Complet!$A$3:$U$983,13,FALSE))</f>
        <v/>
      </c>
      <c r="M622" s="53" t="str">
        <f>IF(VLOOKUP($A622,DICO_Complet!$A$3:$U$983,14,FALSE)=0,"",VLOOKUP($A622,DICO_Complet!$A$3:$U$983,14,FALSE))</f>
        <v/>
      </c>
      <c r="N622" s="53" t="str">
        <f>IF(VLOOKUP($A622,DICO_Complet!$A$3:$U$983,15,FALSE)=0,"",VLOOKUP($A622,DICO_Complet!$A$3:$U$983,15,FALSE))</f>
        <v/>
      </c>
      <c r="O622" s="53" t="str">
        <f>IF(VLOOKUP($A622,DICO_Complet!$A$3:$U$983,16,FALSE)=0,"",VLOOKUP($A622,DICO_Complet!$A$3:$U$983,16,FALSE))</f>
        <v/>
      </c>
      <c r="P622" s="53" t="str">
        <f>IF(VLOOKUP($A622,DICO_Complet!$A$3:$U$983,17,FALSE)=0,"",VLOOKUP($A622,DICO_Complet!$A$3:$U$983,17,FALSE))</f>
        <v/>
      </c>
      <c r="Q622" s="53" t="str">
        <f>IF(VLOOKUP($A622,DICO_Complet!$A$3:$U$983,18,FALSE)=0,"",VLOOKUP($A622,DICO_Complet!$A$3:$U$983,18,FALSE))</f>
        <v/>
      </c>
    </row>
    <row r="623" spans="1:17">
      <c r="A623" s="38">
        <v>250418220158</v>
      </c>
      <c r="B623" s="47" t="s">
        <v>858</v>
      </c>
      <c r="C623" s="3" t="str">
        <f>VLOOKUP($A623,DICO_Complet!$A$3:$U$983,3,FALSE)</f>
        <v>Transaction</v>
      </c>
      <c r="D623" s="3" t="str">
        <f>VLOOKUP($A623,DICO_Complet!$A$3:$U$983,4,FALSE)</f>
        <v>eventProcessingData</v>
      </c>
      <c r="E623" s="2" t="str">
        <f>VLOOKUP($A623,DICO_Complet!$A$3:$U$983,5,FALSE)</f>
        <v>temp_referenceData</v>
      </c>
      <c r="F623" s="2" t="str">
        <f>VLOOKUP($A623,DICO_Complet!$A$3:$U$983,6,FALSE)</f>
        <v>Max50Text</v>
      </c>
      <c r="G623" s="48">
        <f>VLOOKUP($A623,DICO_Complet!$A$3:$U$983,7,FALSE)</f>
        <v>0</v>
      </c>
      <c r="H623" s="48">
        <f>VLOOKUP($A623,DICO_Complet!$A$3:$U$983,8,FALSE)</f>
        <v>0</v>
      </c>
      <c r="I623" s="2" t="str">
        <f>IF(VLOOKUP($A623,DICO_Complet!$A$3:$U$983,9,FALSE)&lt;&gt;0,VLOOKUP($A623,DICO_Complet!$A$3:$U$983,9,FALSE),"")</f>
        <v/>
      </c>
      <c r="J623" s="1" t="str">
        <f>VLOOKUP($A623,DICO_Complet!$A$3:$U$983,10,FALSE)</f>
        <v>reference Data</v>
      </c>
      <c r="K623" s="53" t="str">
        <f>IF(VLOOKUP($A623,DICO_Complet!$A$3:$U$983,12,FALSE)=0,"",VLOOKUP($A623,DICO_Complet!$A$3:$U$983,12,FALSE))</f>
        <v/>
      </c>
      <c r="L623" s="53" t="str">
        <f>IF(VLOOKUP($A623,DICO_Complet!$A$3:$U$983,13,FALSE)=0,"",VLOOKUP($A623,DICO_Complet!$A$3:$U$983,13,FALSE))</f>
        <v/>
      </c>
      <c r="M623" s="53" t="str">
        <f>IF(VLOOKUP($A623,DICO_Complet!$A$3:$U$983,14,FALSE)=0,"",VLOOKUP($A623,DICO_Complet!$A$3:$U$983,14,FALSE))</f>
        <v/>
      </c>
      <c r="N623" s="53" t="str">
        <f>IF(VLOOKUP($A623,DICO_Complet!$A$3:$U$983,15,FALSE)=0,"",VLOOKUP($A623,DICO_Complet!$A$3:$U$983,15,FALSE))</f>
        <v/>
      </c>
      <c r="O623" s="53" t="str">
        <f>IF(VLOOKUP($A623,DICO_Complet!$A$3:$U$983,16,FALSE)=0,"",VLOOKUP($A623,DICO_Complet!$A$3:$U$983,16,FALSE))</f>
        <v/>
      </c>
      <c r="P623" s="53" t="str">
        <f>IF(VLOOKUP($A623,DICO_Complet!$A$3:$U$983,17,FALSE)=0,"",VLOOKUP($A623,DICO_Complet!$A$3:$U$983,17,FALSE))</f>
        <v/>
      </c>
      <c r="Q623" s="53" t="str">
        <f>IF(VLOOKUP($A623,DICO_Complet!$A$3:$U$983,18,FALSE)=0,"",VLOOKUP($A623,DICO_Complet!$A$3:$U$983,18,FALSE))</f>
        <v/>
      </c>
    </row>
    <row r="624" spans="1:17">
      <c r="A624" s="38">
        <v>250331121307</v>
      </c>
      <c r="B624" s="47" t="s">
        <v>858</v>
      </c>
      <c r="C624" s="3" t="str">
        <f>VLOOKUP($A624,DICO_Complet!$A$3:$U$983,3,FALSE)</f>
        <v>Transaction</v>
      </c>
      <c r="D624" s="3" t="str">
        <f>VLOOKUP($A624,DICO_Complet!$A$3:$U$983,4,FALSE)</f>
        <v>eventProcessingData</v>
      </c>
      <c r="E624" s="2" t="str">
        <f>VLOOKUP($A624,DICO_Complet!$A$3:$U$983,5,FALSE)</f>
        <v>unboundEventIndicator</v>
      </c>
      <c r="F624" s="2" t="str">
        <f>VLOOKUP($A624,DICO_Complet!$A$3:$U$983,6,FALSE)</f>
        <v>TrueFalseIndicator</v>
      </c>
      <c r="G624" s="48">
        <f>VLOOKUP($A624,DICO_Complet!$A$3:$U$983,7,FALSE)</f>
        <v>0</v>
      </c>
      <c r="H624" s="48">
        <f>VLOOKUP($A624,DICO_Complet!$A$3:$U$983,8,FALSE)</f>
        <v>0</v>
      </c>
      <c r="I624" s="2" t="str">
        <f>IF(VLOOKUP($A624,DICO_Complet!$A$3:$U$983,9,FALSE)&lt;&gt;0,VLOOKUP($A624,DICO_Complet!$A$3:$U$983,9,FALSE),"")</f>
        <v/>
      </c>
      <c r="J624" s="1" t="str">
        <f>VLOOKUP($A624,DICO_Complet!$A$3:$U$983,10,FALSE)</f>
        <v>Unbound event indicator</v>
      </c>
      <c r="K624" s="53" t="str">
        <f>IF(VLOOKUP($A624,DICO_Complet!$A$3:$U$983,12,FALSE)=0,"",VLOOKUP($A624,DICO_Complet!$A$3:$U$983,12,FALSE))</f>
        <v/>
      </c>
      <c r="L624" s="53" t="str">
        <f>IF(VLOOKUP($A624,DICO_Complet!$A$3:$U$983,13,FALSE)=0,"",VLOOKUP($A624,DICO_Complet!$A$3:$U$983,13,FALSE))</f>
        <v/>
      </c>
      <c r="M624" s="53" t="str">
        <f>IF(VLOOKUP($A624,DICO_Complet!$A$3:$U$983,14,FALSE)=0,"",VLOOKUP($A624,DICO_Complet!$A$3:$U$983,14,FALSE))</f>
        <v/>
      </c>
      <c r="N624" s="53" t="str">
        <f>IF(VLOOKUP($A624,DICO_Complet!$A$3:$U$983,15,FALSE)=0,"",VLOOKUP($A624,DICO_Complet!$A$3:$U$983,15,FALSE))</f>
        <v/>
      </c>
      <c r="O624" s="53" t="str">
        <f>IF(VLOOKUP($A624,DICO_Complet!$A$3:$U$983,16,FALSE)=0,"",VLOOKUP($A624,DICO_Complet!$A$3:$U$983,16,FALSE))</f>
        <v/>
      </c>
      <c r="P624" s="53" t="str">
        <f>IF(VLOOKUP($A624,DICO_Complet!$A$3:$U$983,17,FALSE)=0,"",VLOOKUP($A624,DICO_Complet!$A$3:$U$983,17,FALSE))</f>
        <v/>
      </c>
      <c r="Q624" s="53" t="str">
        <f>IF(VLOOKUP($A624,DICO_Complet!$A$3:$U$983,18,FALSE)=0,"",VLOOKUP($A624,DICO_Complet!$A$3:$U$983,18,FALSE))</f>
        <v/>
      </c>
    </row>
    <row r="625" spans="1:17">
      <c r="A625" s="38">
        <v>250331121308</v>
      </c>
      <c r="B625" s="47" t="s">
        <v>858</v>
      </c>
      <c r="C625" s="3" t="str">
        <f>VLOOKUP($A625,DICO_Complet!$A$3:$U$983,3,FALSE)</f>
        <v>Transaction</v>
      </c>
      <c r="D625" s="3" t="str">
        <f>VLOOKUP($A625,DICO_Complet!$A$3:$U$983,4,FALSE)</f>
        <v>eventProcessingData</v>
      </c>
      <c r="E625" s="2" t="str">
        <f>VLOOKUP($A625,DICO_Complet!$A$3:$U$983,5,FALSE)</f>
        <v>unboundEventReason</v>
      </c>
      <c r="F625" s="2" t="str">
        <f>VLOOKUP($A625,DICO_Complet!$A$3:$U$983,6,FALSE)</f>
        <v>Max255Text</v>
      </c>
      <c r="G625" s="48">
        <f>VLOOKUP($A625,DICO_Complet!$A$3:$U$983,7,FALSE)</f>
        <v>0</v>
      </c>
      <c r="H625" s="48">
        <f>VLOOKUP($A625,DICO_Complet!$A$3:$U$983,8,FALSE)</f>
        <v>0</v>
      </c>
      <c r="I625" s="2" t="str">
        <f>IF(VLOOKUP($A625,DICO_Complet!$A$3:$U$983,9,FALSE)&lt;&gt;0,VLOOKUP($A625,DICO_Complet!$A$3:$U$983,9,FALSE),"")</f>
        <v/>
      </c>
      <c r="J625" s="1" t="str">
        <f>VLOOKUP($A625,DICO_Complet!$A$3:$U$983,10,FALSE)</f>
        <v>Unbound event reason</v>
      </c>
      <c r="K625" s="53" t="str">
        <f>IF(VLOOKUP($A625,DICO_Complet!$A$3:$U$983,12,FALSE)=0,"",VLOOKUP($A625,DICO_Complet!$A$3:$U$983,12,FALSE))</f>
        <v/>
      </c>
      <c r="L625" s="53" t="str">
        <f>IF(VLOOKUP($A625,DICO_Complet!$A$3:$U$983,13,FALSE)=0,"",VLOOKUP($A625,DICO_Complet!$A$3:$U$983,13,FALSE))</f>
        <v/>
      </c>
      <c r="M625" s="53" t="str">
        <f>IF(VLOOKUP($A625,DICO_Complet!$A$3:$U$983,14,FALSE)=0,"",VLOOKUP($A625,DICO_Complet!$A$3:$U$983,14,FALSE))</f>
        <v/>
      </c>
      <c r="N625" s="53" t="str">
        <f>IF(VLOOKUP($A625,DICO_Complet!$A$3:$U$983,15,FALSE)=0,"",VLOOKUP($A625,DICO_Complet!$A$3:$U$983,15,FALSE))</f>
        <v/>
      </c>
      <c r="O625" s="53" t="str">
        <f>IF(VLOOKUP($A625,DICO_Complet!$A$3:$U$983,16,FALSE)=0,"",VLOOKUP($A625,DICO_Complet!$A$3:$U$983,16,FALSE))</f>
        <v/>
      </c>
      <c r="P625" s="53" t="str">
        <f>IF(VLOOKUP($A625,DICO_Complet!$A$3:$U$983,17,FALSE)=0,"",VLOOKUP($A625,DICO_Complet!$A$3:$U$983,17,FALSE))</f>
        <v/>
      </c>
      <c r="Q625" s="53" t="str">
        <f>IF(VLOOKUP($A625,DICO_Complet!$A$3:$U$983,18,FALSE)=0,"",VLOOKUP($A625,DICO_Complet!$A$3:$U$983,18,FALSE))</f>
        <v/>
      </c>
    </row>
    <row r="626" spans="1:17">
      <c r="A626" s="38">
        <v>250425100316</v>
      </c>
      <c r="B626" s="47" t="s">
        <v>858</v>
      </c>
      <c r="C626" s="3" t="str">
        <f>VLOOKUP($A626,DICO_Complet!$A$3:$U$983,3,FALSE)</f>
        <v>Transaction</v>
      </c>
      <c r="D626" s="3" t="str">
        <f>VLOOKUP($A626,DICO_Complet!$A$3:$U$983,4,FALSE)</f>
        <v>fileData</v>
      </c>
      <c r="E626" s="2" t="str">
        <f>VLOOKUP($A626,DICO_Complet!$A$3:$U$983,5,FALSE)</f>
        <v>amountOfCancelledTransactionsWithDeferredCleaning</v>
      </c>
      <c r="F626" s="2" t="str">
        <f>VLOOKUP($A626,DICO_Complet!$A$3:$U$983,6,FALSE)</f>
        <v>AmountType</v>
      </c>
      <c r="G626" s="48">
        <f>VLOOKUP($A626,DICO_Complet!$A$3:$U$983,7,FALSE)</f>
        <v>0</v>
      </c>
      <c r="H626" s="48">
        <f>VLOOKUP($A626,DICO_Complet!$A$3:$U$983,8,FALSE)</f>
        <v>0</v>
      </c>
      <c r="I626" s="2" t="str">
        <f>IF(VLOOKUP($A626,DICO_Complet!$A$3:$U$983,9,FALSE)&lt;&gt;0,VLOOKUP($A626,DICO_Complet!$A$3:$U$983,9,FALSE),"")</f>
        <v/>
      </c>
      <c r="J626" s="1" t="str">
        <f>VLOOKUP($A626,DICO_Complet!$A$3:$U$983,10,FALSE)</f>
        <v>Amount Of cancelled Transactions With Deferred Cleaning</v>
      </c>
      <c r="K626" s="53" t="str">
        <f>IF(VLOOKUP($A626,DICO_Complet!$A$3:$U$983,12,FALSE)=0,"",VLOOKUP($A626,DICO_Complet!$A$3:$U$983,12,FALSE))</f>
        <v/>
      </c>
      <c r="L626" s="53" t="str">
        <f>IF(VLOOKUP($A626,DICO_Complet!$A$3:$U$983,13,FALSE)=0,"",VLOOKUP($A626,DICO_Complet!$A$3:$U$983,13,FALSE))</f>
        <v/>
      </c>
      <c r="M626" s="53" t="str">
        <f>IF(VLOOKUP($A626,DICO_Complet!$A$3:$U$983,14,FALSE)=0,"",VLOOKUP($A626,DICO_Complet!$A$3:$U$983,14,FALSE))</f>
        <v>58_FF59</v>
      </c>
      <c r="N626" s="53" t="str">
        <f>IF(VLOOKUP($A626,DICO_Complet!$A$3:$U$983,15,FALSE)=0,"",VLOOKUP($A626,DICO_Complet!$A$3:$U$983,15,FALSE))</f>
        <v/>
      </c>
      <c r="O626" s="53" t="str">
        <f>IF(VLOOKUP($A626,DICO_Complet!$A$3:$U$983,16,FALSE)=0,"",VLOOKUP($A626,DICO_Complet!$A$3:$U$983,16,FALSE))</f>
        <v/>
      </c>
      <c r="P626" s="53" t="str">
        <f>IF(VLOOKUP($A626,DICO_Complet!$A$3:$U$983,17,FALSE)=0,"",VLOOKUP($A626,DICO_Complet!$A$3:$U$983,17,FALSE))</f>
        <v/>
      </c>
      <c r="Q626" s="53" t="str">
        <f>IF(VLOOKUP($A626,DICO_Complet!$A$3:$U$983,18,FALSE)=0,"",VLOOKUP($A626,DICO_Complet!$A$3:$U$983,18,FALSE))</f>
        <v/>
      </c>
    </row>
    <row r="627" spans="1:17">
      <c r="A627" s="38">
        <v>250422131305</v>
      </c>
      <c r="B627" s="47" t="s">
        <v>858</v>
      </c>
      <c r="C627" s="3" t="str">
        <f>VLOOKUP($A627,DICO_Complet!$A$3:$U$983,3,FALSE)</f>
        <v>Transaction</v>
      </c>
      <c r="D627" s="3" t="str">
        <f>VLOOKUP($A627,DICO_Complet!$A$3:$U$983,4,FALSE)</f>
        <v>fileData</v>
      </c>
      <c r="E627" s="2" t="str">
        <f>VLOOKUP($A627,DICO_Complet!$A$3:$U$983,5,FALSE)</f>
        <v>batchAmountOfCancelledTransactionsWithDeferredCleaning</v>
      </c>
      <c r="F627" s="2" t="str">
        <f>VLOOKUP($A627,DICO_Complet!$A$3:$U$983,6,FALSE)</f>
        <v>AmountType</v>
      </c>
      <c r="G627" s="48">
        <f>VLOOKUP($A627,DICO_Complet!$A$3:$U$983,7,FALSE)</f>
        <v>0</v>
      </c>
      <c r="H627" s="48">
        <f>VLOOKUP($A627,DICO_Complet!$A$3:$U$983,8,FALSE)</f>
        <v>0</v>
      </c>
      <c r="I627" s="2" t="str">
        <f>IF(VLOOKUP($A627,DICO_Complet!$A$3:$U$983,9,FALSE)&lt;&gt;0,VLOOKUP($A627,DICO_Complet!$A$3:$U$983,9,FALSE),"")</f>
        <v/>
      </c>
      <c r="J627" s="1" t="str">
        <f>VLOOKUP($A627,DICO_Complet!$A$3:$U$983,10,FALSE)</f>
        <v>Amount of cancelled transactions with deferred cleaning</v>
      </c>
      <c r="K627" s="53" t="str">
        <f>IF(VLOOKUP($A627,DICO_Complet!$A$3:$U$983,12,FALSE)=0,"",VLOOKUP($A627,DICO_Complet!$A$3:$U$983,12,FALSE))</f>
        <v/>
      </c>
      <c r="L627" s="53" t="str">
        <f>IF(VLOOKUP($A627,DICO_Complet!$A$3:$U$983,13,FALSE)=0,"",VLOOKUP($A627,DICO_Complet!$A$3:$U$983,13,FALSE))</f>
        <v/>
      </c>
      <c r="M627" s="53" t="str">
        <f>IF(VLOOKUP($A627,DICO_Complet!$A$3:$U$983,14,FALSE)=0,"",VLOOKUP($A627,DICO_Complet!$A$3:$U$983,14,FALSE))</f>
        <v>58_FF59</v>
      </c>
      <c r="N627" s="53" t="str">
        <f>IF(VLOOKUP($A627,DICO_Complet!$A$3:$U$983,15,FALSE)=0,"",VLOOKUP($A627,DICO_Complet!$A$3:$U$983,15,FALSE))</f>
        <v/>
      </c>
      <c r="O627" s="53" t="str">
        <f>IF(VLOOKUP($A627,DICO_Complet!$A$3:$U$983,16,FALSE)=0,"",VLOOKUP($A627,DICO_Complet!$A$3:$U$983,16,FALSE))</f>
        <v/>
      </c>
      <c r="P627" s="53" t="str">
        <f>IF(VLOOKUP($A627,DICO_Complet!$A$3:$U$983,17,FALSE)=0,"",VLOOKUP($A627,DICO_Complet!$A$3:$U$983,17,FALSE))</f>
        <v/>
      </c>
      <c r="Q627" s="53" t="str">
        <f>IF(VLOOKUP($A627,DICO_Complet!$A$3:$U$983,18,FALSE)=0,"",VLOOKUP($A627,DICO_Complet!$A$3:$U$983,18,FALSE))</f>
        <v/>
      </c>
    </row>
    <row r="628" spans="1:17">
      <c r="A628" s="38">
        <v>250422131300</v>
      </c>
      <c r="B628" s="47" t="s">
        <v>858</v>
      </c>
      <c r="C628" s="3" t="str">
        <f>VLOOKUP($A628,DICO_Complet!$A$3:$U$983,3,FALSE)</f>
        <v>Transaction</v>
      </c>
      <c r="D628" s="3" t="str">
        <f>VLOOKUP($A628,DICO_Complet!$A$3:$U$983,4,FALSE)</f>
        <v>fileData</v>
      </c>
      <c r="E628" s="2" t="str">
        <f>VLOOKUP($A628,DICO_Complet!$A$3:$U$983,5,FALSE)</f>
        <v>batchFileIdentification</v>
      </c>
      <c r="F628" s="2" t="str">
        <f>VLOOKUP($A628,DICO_Complet!$A$3:$U$983,6,FALSE)</f>
        <v>Exact6NumericText</v>
      </c>
      <c r="G628" s="48">
        <f>VLOOKUP($A628,DICO_Complet!$A$3:$U$983,7,FALSE)</f>
        <v>0</v>
      </c>
      <c r="H628" s="48">
        <f>VLOOKUP($A628,DICO_Complet!$A$3:$U$983,8,FALSE)</f>
        <v>0</v>
      </c>
      <c r="I628" s="2" t="str">
        <f>IF(VLOOKUP($A628,DICO_Complet!$A$3:$U$983,9,FALSE)&lt;&gt;0,VLOOKUP($A628,DICO_Complet!$A$3:$U$983,9,FALSE),"")</f>
        <v/>
      </c>
      <c r="J628" s="1" t="str">
        <f>VLOOKUP($A628,DICO_Complet!$A$3:$U$983,10,FALSE)</f>
        <v>File identification</v>
      </c>
      <c r="K628" s="53" t="str">
        <f>IF(VLOOKUP($A628,DICO_Complet!$A$3:$U$983,12,FALSE)=0,"",VLOOKUP($A628,DICO_Complet!$A$3:$U$983,12,FALSE))</f>
        <v/>
      </c>
      <c r="L628" s="53" t="str">
        <f>IF(VLOOKUP($A628,DICO_Complet!$A$3:$U$983,13,FALSE)=0,"",VLOOKUP($A628,DICO_Complet!$A$3:$U$983,13,FALSE))</f>
        <v/>
      </c>
      <c r="M628" s="53" t="str">
        <f>IF(VLOOKUP($A628,DICO_Complet!$A$3:$U$983,14,FALSE)=0,"",VLOOKUP($A628,DICO_Complet!$A$3:$U$983,14,FALSE))</f>
        <v>58_FF55 part 1</v>
      </c>
      <c r="N628" s="53" t="str">
        <f>IF(VLOOKUP($A628,DICO_Complet!$A$3:$U$983,15,FALSE)=0,"",VLOOKUP($A628,DICO_Complet!$A$3:$U$983,15,FALSE))</f>
        <v/>
      </c>
      <c r="O628" s="53" t="str">
        <f>IF(VLOOKUP($A628,DICO_Complet!$A$3:$U$983,16,FALSE)=0,"",VLOOKUP($A628,DICO_Complet!$A$3:$U$983,16,FALSE))</f>
        <v/>
      </c>
      <c r="P628" s="53" t="str">
        <f>IF(VLOOKUP($A628,DICO_Complet!$A$3:$U$983,17,FALSE)=0,"",VLOOKUP($A628,DICO_Complet!$A$3:$U$983,17,FALSE))</f>
        <v/>
      </c>
      <c r="Q628" s="53" t="str">
        <f>IF(VLOOKUP($A628,DICO_Complet!$A$3:$U$983,18,FALSE)=0,"",VLOOKUP($A628,DICO_Complet!$A$3:$U$983,18,FALSE))</f>
        <v/>
      </c>
    </row>
    <row r="629" spans="1:17">
      <c r="A629" s="38">
        <v>250422131302</v>
      </c>
      <c r="B629" s="47" t="s">
        <v>858</v>
      </c>
      <c r="C629" s="3" t="str">
        <f>VLOOKUP($A629,DICO_Complet!$A$3:$U$983,3,FALSE)</f>
        <v>Transaction</v>
      </c>
      <c r="D629" s="3" t="str">
        <f>VLOOKUP($A629,DICO_Complet!$A$3:$U$983,4,FALSE)</f>
        <v>fileData</v>
      </c>
      <c r="E629" s="2" t="str">
        <f>VLOOKUP($A629,DICO_Complet!$A$3:$U$983,5,FALSE)</f>
        <v>batchIdAssignedByCollectorSystem</v>
      </c>
      <c r="F629" s="2" t="str">
        <f>VLOOKUP($A629,DICO_Complet!$A$3:$U$983,6,FALSE)</f>
        <v>Exact6NumericText</v>
      </c>
      <c r="G629" s="48">
        <f>VLOOKUP($A629,DICO_Complet!$A$3:$U$983,7,FALSE)</f>
        <v>0</v>
      </c>
      <c r="H629" s="48">
        <f>VLOOKUP($A629,DICO_Complet!$A$3:$U$983,8,FALSE)</f>
        <v>0</v>
      </c>
      <c r="I629" s="2" t="str">
        <f>IF(VLOOKUP($A629,DICO_Complet!$A$3:$U$983,9,FALSE)&lt;&gt;0,VLOOKUP($A629,DICO_Complet!$A$3:$U$983,9,FALSE),"")</f>
        <v/>
      </c>
      <c r="J629" s="1" t="str">
        <f>VLOOKUP($A629,DICO_Complet!$A$3:$U$983,10,FALSE)</f>
        <v>Batch id assigned by collector system</v>
      </c>
      <c r="K629" s="53" t="str">
        <f>IF(VLOOKUP($A629,DICO_Complet!$A$3:$U$983,12,FALSE)=0,"",VLOOKUP($A629,DICO_Complet!$A$3:$U$983,12,FALSE))</f>
        <v/>
      </c>
      <c r="L629" s="53" t="str">
        <f>IF(VLOOKUP($A629,DICO_Complet!$A$3:$U$983,13,FALSE)=0,"",VLOOKUP($A629,DICO_Complet!$A$3:$U$983,13,FALSE))</f>
        <v/>
      </c>
      <c r="M629" s="53" t="str">
        <f>IF(VLOOKUP($A629,DICO_Complet!$A$3:$U$983,14,FALSE)=0,"",VLOOKUP($A629,DICO_Complet!$A$3:$U$983,14,FALSE))</f>
        <v>58_FF56</v>
      </c>
      <c r="N629" s="53" t="str">
        <f>IF(VLOOKUP($A629,DICO_Complet!$A$3:$U$983,15,FALSE)=0,"",VLOOKUP($A629,DICO_Complet!$A$3:$U$983,15,FALSE))</f>
        <v/>
      </c>
      <c r="O629" s="53" t="str">
        <f>IF(VLOOKUP($A629,DICO_Complet!$A$3:$U$983,16,FALSE)=0,"",VLOOKUP($A629,DICO_Complet!$A$3:$U$983,16,FALSE))</f>
        <v/>
      </c>
      <c r="P629" s="53" t="str">
        <f>IF(VLOOKUP($A629,DICO_Complet!$A$3:$U$983,17,FALSE)=0,"",VLOOKUP($A629,DICO_Complet!$A$3:$U$983,17,FALSE))</f>
        <v/>
      </c>
      <c r="Q629" s="53" t="str">
        <f>IF(VLOOKUP($A629,DICO_Complet!$A$3:$U$983,18,FALSE)=0,"",VLOOKUP($A629,DICO_Complet!$A$3:$U$983,18,FALSE))</f>
        <v/>
      </c>
    </row>
    <row r="630" spans="1:17">
      <c r="A630" s="38">
        <v>250422131304</v>
      </c>
      <c r="B630" s="47" t="s">
        <v>858</v>
      </c>
      <c r="C630" s="3" t="str">
        <f>VLOOKUP($A630,DICO_Complet!$A$3:$U$983,3,FALSE)</f>
        <v>Transaction</v>
      </c>
      <c r="D630" s="3" t="str">
        <f>VLOOKUP($A630,DICO_Complet!$A$3:$U$983,4,FALSE)</f>
        <v>fileData</v>
      </c>
      <c r="E630" s="2" t="str">
        <f>VLOOKUP($A630,DICO_Complet!$A$3:$U$983,5,FALSE)</f>
        <v>batchNumberOfcancelledTransactionsWithDeferredCleaning</v>
      </c>
      <c r="F630" s="2" t="str">
        <f>VLOOKUP($A630,DICO_Complet!$A$3:$U$983,6,FALSE)</f>
        <v>Exact10NumericText</v>
      </c>
      <c r="G630" s="48">
        <f>VLOOKUP($A630,DICO_Complet!$A$3:$U$983,7,FALSE)</f>
        <v>0</v>
      </c>
      <c r="H630" s="48">
        <f>VLOOKUP($A630,DICO_Complet!$A$3:$U$983,8,FALSE)</f>
        <v>0</v>
      </c>
      <c r="I630" s="2" t="str">
        <f>IF(VLOOKUP($A630,DICO_Complet!$A$3:$U$983,9,FALSE)&lt;&gt;0,VLOOKUP($A630,DICO_Complet!$A$3:$U$983,9,FALSE),"")</f>
        <v/>
      </c>
      <c r="J630" s="1" t="str">
        <f>VLOOKUP($A630,DICO_Complet!$A$3:$U$983,10,FALSE)</f>
        <v>Number of cancelled transactions with deferred cleaning</v>
      </c>
      <c r="K630" s="53" t="str">
        <f>IF(VLOOKUP($A630,DICO_Complet!$A$3:$U$983,12,FALSE)=0,"",VLOOKUP($A630,DICO_Complet!$A$3:$U$983,12,FALSE))</f>
        <v/>
      </c>
      <c r="L630" s="53" t="str">
        <f>IF(VLOOKUP($A630,DICO_Complet!$A$3:$U$983,13,FALSE)=0,"",VLOOKUP($A630,DICO_Complet!$A$3:$U$983,13,FALSE))</f>
        <v/>
      </c>
      <c r="M630" s="53" t="str">
        <f>IF(VLOOKUP($A630,DICO_Complet!$A$3:$U$983,14,FALSE)=0,"",VLOOKUP($A630,DICO_Complet!$A$3:$U$983,14,FALSE))</f>
        <v>58_FF58</v>
      </c>
      <c r="N630" s="53" t="str">
        <f>IF(VLOOKUP($A630,DICO_Complet!$A$3:$U$983,15,FALSE)=0,"",VLOOKUP($A630,DICO_Complet!$A$3:$U$983,15,FALSE))</f>
        <v/>
      </c>
      <c r="O630" s="53" t="str">
        <f>IF(VLOOKUP($A630,DICO_Complet!$A$3:$U$983,16,FALSE)=0,"",VLOOKUP($A630,DICO_Complet!$A$3:$U$983,16,FALSE))</f>
        <v/>
      </c>
      <c r="P630" s="53" t="str">
        <f>IF(VLOOKUP($A630,DICO_Complet!$A$3:$U$983,17,FALSE)=0,"",VLOOKUP($A630,DICO_Complet!$A$3:$U$983,17,FALSE))</f>
        <v/>
      </c>
      <c r="Q630" s="53" t="str">
        <f>IF(VLOOKUP($A630,DICO_Complet!$A$3:$U$983,18,FALSE)=0,"",VLOOKUP($A630,DICO_Complet!$A$3:$U$983,18,FALSE))</f>
        <v/>
      </c>
    </row>
    <row r="631" spans="1:17">
      <c r="A631" s="38">
        <v>250422131301</v>
      </c>
      <c r="B631" s="47" t="s">
        <v>858</v>
      </c>
      <c r="C631" s="3" t="str">
        <f>VLOOKUP($A631,DICO_Complet!$A$3:$U$983,3,FALSE)</f>
        <v>Transaction</v>
      </c>
      <c r="D631" s="3" t="str">
        <f>VLOOKUP($A631,DICO_Complet!$A$3:$U$983,4,FALSE)</f>
        <v>fileData</v>
      </c>
      <c r="E631" s="2" t="str">
        <f>VLOOKUP($A631,DICO_Complet!$A$3:$U$983,5,FALSE)</f>
        <v>batchNumberOfMessagesInTheFile</v>
      </c>
      <c r="F631" s="2" t="str">
        <f>VLOOKUP($A631,DICO_Complet!$A$3:$U$983,6,FALSE)</f>
        <v>Exact6NumericText</v>
      </c>
      <c r="G631" s="48">
        <f>VLOOKUP($A631,DICO_Complet!$A$3:$U$983,7,FALSE)</f>
        <v>0</v>
      </c>
      <c r="H631" s="48">
        <f>VLOOKUP($A631,DICO_Complet!$A$3:$U$983,8,FALSE)</f>
        <v>0</v>
      </c>
      <c r="I631" s="2" t="str">
        <f>IF(VLOOKUP($A631,DICO_Complet!$A$3:$U$983,9,FALSE)&lt;&gt;0,VLOOKUP($A631,DICO_Complet!$A$3:$U$983,9,FALSE),"")</f>
        <v/>
      </c>
      <c r="J631" s="1" t="str">
        <f>VLOOKUP($A631,DICO_Complet!$A$3:$U$983,10,FALSE)</f>
        <v>Number of messages in the file</v>
      </c>
      <c r="K631" s="53" t="str">
        <f>IF(VLOOKUP($A631,DICO_Complet!$A$3:$U$983,12,FALSE)=0,"",VLOOKUP($A631,DICO_Complet!$A$3:$U$983,12,FALSE))</f>
        <v/>
      </c>
      <c r="L631" s="53" t="str">
        <f>IF(VLOOKUP($A631,DICO_Complet!$A$3:$U$983,13,FALSE)=0,"",VLOOKUP($A631,DICO_Complet!$A$3:$U$983,13,FALSE))</f>
        <v/>
      </c>
      <c r="M631" s="53" t="str">
        <f>IF(VLOOKUP($A631,DICO_Complet!$A$3:$U$983,14,FALSE)=0,"",VLOOKUP($A631,DICO_Complet!$A$3:$U$983,14,FALSE))</f>
        <v>58_FF55 part 2</v>
      </c>
      <c r="N631" s="53" t="str">
        <f>IF(VLOOKUP($A631,DICO_Complet!$A$3:$U$983,15,FALSE)=0,"",VLOOKUP($A631,DICO_Complet!$A$3:$U$983,15,FALSE))</f>
        <v/>
      </c>
      <c r="O631" s="53" t="str">
        <f>IF(VLOOKUP($A631,DICO_Complet!$A$3:$U$983,16,FALSE)=0,"",VLOOKUP($A631,DICO_Complet!$A$3:$U$983,16,FALSE))</f>
        <v/>
      </c>
      <c r="P631" s="53" t="str">
        <f>IF(VLOOKUP($A631,DICO_Complet!$A$3:$U$983,17,FALSE)=0,"",VLOOKUP($A631,DICO_Complet!$A$3:$U$983,17,FALSE))</f>
        <v/>
      </c>
      <c r="Q631" s="53" t="str">
        <f>IF(VLOOKUP($A631,DICO_Complet!$A$3:$U$983,18,FALSE)=0,"",VLOOKUP($A631,DICO_Complet!$A$3:$U$983,18,FALSE))</f>
        <v/>
      </c>
    </row>
    <row r="632" spans="1:17">
      <c r="A632" s="38">
        <v>250422131303</v>
      </c>
      <c r="B632" s="47" t="s">
        <v>858</v>
      </c>
      <c r="C632" s="3" t="str">
        <f>VLOOKUP($A632,DICO_Complet!$A$3:$U$983,3,FALSE)</f>
        <v>Transaction</v>
      </c>
      <c r="D632" s="3" t="str">
        <f>VLOOKUP($A632,DICO_Complet!$A$3:$U$983,4,FALSE)</f>
        <v>fileData</v>
      </c>
      <c r="E632" s="2" t="str">
        <f>VLOOKUP($A632,DICO_Complet!$A$3:$U$983,5,FALSE)</f>
        <v>batchNumberOfMessagesReceiveddByCollectorSystem</v>
      </c>
      <c r="F632" s="2" t="str">
        <f>VLOOKUP($A632,DICO_Complet!$A$3:$U$983,6,FALSE)</f>
        <v>Exact6NumericText</v>
      </c>
      <c r="G632" s="48">
        <f>VLOOKUP($A632,DICO_Complet!$A$3:$U$983,7,FALSE)</f>
        <v>0</v>
      </c>
      <c r="H632" s="48">
        <f>VLOOKUP($A632,DICO_Complet!$A$3:$U$983,8,FALSE)</f>
        <v>0</v>
      </c>
      <c r="I632" s="2" t="str">
        <f>IF(VLOOKUP($A632,DICO_Complet!$A$3:$U$983,9,FALSE)&lt;&gt;0,VLOOKUP($A632,DICO_Complet!$A$3:$U$983,9,FALSE),"")</f>
        <v/>
      </c>
      <c r="J632" s="1" t="str">
        <f>VLOOKUP($A632,DICO_Complet!$A$3:$U$983,10,FALSE)</f>
        <v>Number Of Messages Received By Collector System</v>
      </c>
      <c r="K632" s="53" t="str">
        <f>IF(VLOOKUP($A632,DICO_Complet!$A$3:$U$983,12,FALSE)=0,"",VLOOKUP($A632,DICO_Complet!$A$3:$U$983,12,FALSE))</f>
        <v/>
      </c>
      <c r="L632" s="53" t="str">
        <f>IF(VLOOKUP($A632,DICO_Complet!$A$3:$U$983,13,FALSE)=0,"",VLOOKUP($A632,DICO_Complet!$A$3:$U$983,13,FALSE))</f>
        <v/>
      </c>
      <c r="M632" s="53" t="str">
        <f>IF(VLOOKUP($A632,DICO_Complet!$A$3:$U$983,14,FALSE)=0,"",VLOOKUP($A632,DICO_Complet!$A$3:$U$983,14,FALSE))</f>
        <v>58_FF57</v>
      </c>
      <c r="N632" s="53" t="str">
        <f>IF(VLOOKUP($A632,DICO_Complet!$A$3:$U$983,15,FALSE)=0,"",VLOOKUP($A632,DICO_Complet!$A$3:$U$983,15,FALSE))</f>
        <v/>
      </c>
      <c r="O632" s="53" t="str">
        <f>IF(VLOOKUP($A632,DICO_Complet!$A$3:$U$983,16,FALSE)=0,"",VLOOKUP($A632,DICO_Complet!$A$3:$U$983,16,FALSE))</f>
        <v/>
      </c>
      <c r="P632" s="53" t="str">
        <f>IF(VLOOKUP($A632,DICO_Complet!$A$3:$U$983,17,FALSE)=0,"",VLOOKUP($A632,DICO_Complet!$A$3:$U$983,17,FALSE))</f>
        <v/>
      </c>
      <c r="Q632" s="53" t="str">
        <f>IF(VLOOKUP($A632,DICO_Complet!$A$3:$U$983,18,FALSE)=0,"",VLOOKUP($A632,DICO_Complet!$A$3:$U$983,18,FALSE))</f>
        <v/>
      </c>
    </row>
    <row r="633" spans="1:17">
      <c r="A633" s="38">
        <v>250425153903</v>
      </c>
      <c r="B633" s="47" t="s">
        <v>858</v>
      </c>
      <c r="C633" s="3" t="str">
        <f>VLOOKUP($A633,DICO_Complet!$A$3:$U$983,3,FALSE)</f>
        <v>Transaction</v>
      </c>
      <c r="D633" s="3" t="str">
        <f>VLOOKUP($A633,DICO_Complet!$A$3:$U$983,4,FALSE)</f>
        <v>fileData</v>
      </c>
      <c r="E633" s="2" t="str">
        <f>VLOOKUP($A633,DICO_Complet!$A$3:$U$983,5,FALSE)</f>
        <v>fileAcknowledgementWindow</v>
      </c>
      <c r="F633" s="2" t="str">
        <f>VLOOKUP($A633,DICO_Complet!$A$3:$U$983,6,FALSE)</f>
        <v>Exact2NumericText</v>
      </c>
      <c r="G633" s="48">
        <f>VLOOKUP($A633,DICO_Complet!$A$3:$U$983,7,FALSE)</f>
        <v>0</v>
      </c>
      <c r="H633" s="48">
        <f>VLOOKUP($A633,DICO_Complet!$A$3:$U$983,8,FALSE)</f>
        <v>0</v>
      </c>
      <c r="I633" s="2" t="str">
        <f>IF(VLOOKUP($A633,DICO_Complet!$A$3:$U$983,9,FALSE)&lt;&gt;0,VLOOKUP($A633,DICO_Complet!$A$3:$U$983,9,FALSE),"")</f>
        <v/>
      </c>
      <c r="J633" s="1" t="str">
        <f>VLOOKUP($A633,DICO_Complet!$A$3:$U$983,10,FALSE)</f>
        <v>Acknowledgement window</v>
      </c>
      <c r="K633" s="53" t="str">
        <f>IF(VLOOKUP($A633,DICO_Complet!$A$3:$U$983,12,FALSE)=0,"",VLOOKUP($A633,DICO_Complet!$A$3:$U$983,12,FALSE))</f>
        <v/>
      </c>
      <c r="L633" s="53" t="str">
        <f>IF(VLOOKUP($A633,DICO_Complet!$A$3:$U$983,13,FALSE)=0,"",VLOOKUP($A633,DICO_Complet!$A$3:$U$983,13,FALSE))</f>
        <v/>
      </c>
      <c r="M633" s="53" t="str">
        <f>IF(VLOOKUP($A633,DICO_Complet!$A$3:$U$983,14,FALSE)=0,"",VLOOKUP($A633,DICO_Complet!$A$3:$U$983,14,FALSE))</f>
        <v>70 _ part 3</v>
      </c>
      <c r="N633" s="53" t="str">
        <f>IF(VLOOKUP($A633,DICO_Complet!$A$3:$U$983,15,FALSE)=0,"",VLOOKUP($A633,DICO_Complet!$A$3:$U$983,15,FALSE))</f>
        <v/>
      </c>
      <c r="O633" s="53" t="str">
        <f>IF(VLOOKUP($A633,DICO_Complet!$A$3:$U$983,16,FALSE)=0,"",VLOOKUP($A633,DICO_Complet!$A$3:$U$983,16,FALSE))</f>
        <v/>
      </c>
      <c r="P633" s="53" t="str">
        <f>IF(VLOOKUP($A633,DICO_Complet!$A$3:$U$983,17,FALSE)=0,"",VLOOKUP($A633,DICO_Complet!$A$3:$U$983,17,FALSE))</f>
        <v/>
      </c>
      <c r="Q633" s="53" t="str">
        <f>IF(VLOOKUP($A633,DICO_Complet!$A$3:$U$983,18,FALSE)=0,"",VLOOKUP($A633,DICO_Complet!$A$3:$U$983,18,FALSE))</f>
        <v/>
      </c>
    </row>
    <row r="634" spans="1:17">
      <c r="A634" s="38">
        <v>250425153901</v>
      </c>
      <c r="B634" s="47" t="s">
        <v>858</v>
      </c>
      <c r="C634" s="3" t="str">
        <f>VLOOKUP($A634,DICO_Complet!$A$3:$U$983,3,FALSE)</f>
        <v>Transaction</v>
      </c>
      <c r="D634" s="3" t="str">
        <f>VLOOKUP($A634,DICO_Complet!$A$3:$U$983,4,FALSE)</f>
        <v>fileData</v>
      </c>
      <c r="E634" s="2" t="str">
        <f>VLOOKUP($A634,DICO_Complet!$A$3:$U$983,5,FALSE)</f>
        <v>fileIdentification</v>
      </c>
      <c r="F634" s="2" t="str">
        <f>VLOOKUP($A634,DICO_Complet!$A$3:$U$983,6,FALSE)</f>
        <v>Exact6NumericText</v>
      </c>
      <c r="G634" s="48">
        <f>VLOOKUP($A634,DICO_Complet!$A$3:$U$983,7,FALSE)</f>
        <v>0</v>
      </c>
      <c r="H634" s="48">
        <f>VLOOKUP($A634,DICO_Complet!$A$3:$U$983,8,FALSE)</f>
        <v>0</v>
      </c>
      <c r="I634" s="2" t="str">
        <f>IF(VLOOKUP($A634,DICO_Complet!$A$3:$U$983,9,FALSE)&lt;&gt;0,VLOOKUP($A634,DICO_Complet!$A$3:$U$983,9,FALSE),"")</f>
        <v/>
      </c>
      <c r="J634" s="1" t="str">
        <f>VLOOKUP($A634,DICO_Complet!$A$3:$U$983,10,FALSE)</f>
        <v>File identification</v>
      </c>
      <c r="K634" s="53" t="str">
        <f>IF(VLOOKUP($A634,DICO_Complet!$A$3:$U$983,12,FALSE)=0,"",VLOOKUP($A634,DICO_Complet!$A$3:$U$983,12,FALSE))</f>
        <v/>
      </c>
      <c r="L634" s="53" t="str">
        <f>IF(VLOOKUP($A634,DICO_Complet!$A$3:$U$983,13,FALSE)=0,"",VLOOKUP($A634,DICO_Complet!$A$3:$U$983,13,FALSE))</f>
        <v/>
      </c>
      <c r="M634" s="53" t="str">
        <f>IF(VLOOKUP($A634,DICO_Complet!$A$3:$U$983,14,FALSE)=0,"",VLOOKUP($A634,DICO_Complet!$A$3:$U$983,14,FALSE))</f>
        <v xml:space="preserve"> 70 _ part 1</v>
      </c>
      <c r="N634" s="53" t="str">
        <f>IF(VLOOKUP($A634,DICO_Complet!$A$3:$U$983,15,FALSE)=0,"",VLOOKUP($A634,DICO_Complet!$A$3:$U$983,15,FALSE))</f>
        <v/>
      </c>
      <c r="O634" s="53" t="str">
        <f>IF(VLOOKUP($A634,DICO_Complet!$A$3:$U$983,16,FALSE)=0,"",VLOOKUP($A634,DICO_Complet!$A$3:$U$983,16,FALSE))</f>
        <v/>
      </c>
      <c r="P634" s="53" t="str">
        <f>IF(VLOOKUP($A634,DICO_Complet!$A$3:$U$983,17,FALSE)=0,"",VLOOKUP($A634,DICO_Complet!$A$3:$U$983,17,FALSE))</f>
        <v/>
      </c>
      <c r="Q634" s="53" t="str">
        <f>IF(VLOOKUP($A634,DICO_Complet!$A$3:$U$983,18,FALSE)=0,"",VLOOKUP($A634,DICO_Complet!$A$3:$U$983,18,FALSE))</f>
        <v/>
      </c>
    </row>
    <row r="635" spans="1:17">
      <c r="A635" s="38">
        <v>250425153902</v>
      </c>
      <c r="B635" s="47" t="s">
        <v>858</v>
      </c>
      <c r="C635" s="3" t="str">
        <f>VLOOKUP($A635,DICO_Complet!$A$3:$U$983,3,FALSE)</f>
        <v>Transaction</v>
      </c>
      <c r="D635" s="3" t="str">
        <f>VLOOKUP($A635,DICO_Complet!$A$3:$U$983,4,FALSE)</f>
        <v>fileData</v>
      </c>
      <c r="E635" s="2" t="str">
        <f>VLOOKUP($A635,DICO_Complet!$A$3:$U$983,5,FALSE)</f>
        <v>fileNumberOfMessages</v>
      </c>
      <c r="F635" s="2" t="str">
        <f>VLOOKUP($A635,DICO_Complet!$A$3:$U$983,6,FALSE)</f>
        <v>Exact6NumericText</v>
      </c>
      <c r="G635" s="48">
        <f>VLOOKUP($A635,DICO_Complet!$A$3:$U$983,7,FALSE)</f>
        <v>0</v>
      </c>
      <c r="H635" s="48">
        <f>VLOOKUP($A635,DICO_Complet!$A$3:$U$983,8,FALSE)</f>
        <v>0</v>
      </c>
      <c r="I635" s="2" t="str">
        <f>IF(VLOOKUP($A635,DICO_Complet!$A$3:$U$983,9,FALSE)&lt;&gt;0,VLOOKUP($A635,DICO_Complet!$A$3:$U$983,9,FALSE),"")</f>
        <v/>
      </c>
      <c r="J635" s="1" t="str">
        <f>VLOOKUP($A635,DICO_Complet!$A$3:$U$983,10,FALSE)</f>
        <v>Number of messages in the file</v>
      </c>
      <c r="K635" s="53" t="str">
        <f>IF(VLOOKUP($A635,DICO_Complet!$A$3:$U$983,12,FALSE)=0,"",VLOOKUP($A635,DICO_Complet!$A$3:$U$983,12,FALSE))</f>
        <v/>
      </c>
      <c r="L635" s="53" t="str">
        <f>IF(VLOOKUP($A635,DICO_Complet!$A$3:$U$983,13,FALSE)=0,"",VLOOKUP($A635,DICO_Complet!$A$3:$U$983,13,FALSE))</f>
        <v/>
      </c>
      <c r="M635" s="53" t="str">
        <f>IF(VLOOKUP($A635,DICO_Complet!$A$3:$U$983,14,FALSE)=0,"",VLOOKUP($A635,DICO_Complet!$A$3:$U$983,14,FALSE))</f>
        <v>70 _ part 2</v>
      </c>
      <c r="N635" s="53" t="str">
        <f>IF(VLOOKUP($A635,DICO_Complet!$A$3:$U$983,15,FALSE)=0,"",VLOOKUP($A635,DICO_Complet!$A$3:$U$983,15,FALSE))</f>
        <v/>
      </c>
      <c r="O635" s="53" t="str">
        <f>IF(VLOOKUP($A635,DICO_Complet!$A$3:$U$983,16,FALSE)=0,"",VLOOKUP($A635,DICO_Complet!$A$3:$U$983,16,FALSE))</f>
        <v/>
      </c>
      <c r="P635" s="53" t="str">
        <f>IF(VLOOKUP($A635,DICO_Complet!$A$3:$U$983,17,FALSE)=0,"",VLOOKUP($A635,DICO_Complet!$A$3:$U$983,17,FALSE))</f>
        <v/>
      </c>
      <c r="Q635" s="53" t="str">
        <f>IF(VLOOKUP($A635,DICO_Complet!$A$3:$U$983,18,FALSE)=0,"",VLOOKUP($A635,DICO_Complet!$A$3:$U$983,18,FALSE))</f>
        <v/>
      </c>
    </row>
    <row r="636" spans="1:17">
      <c r="A636" s="38">
        <v>250425165515</v>
      </c>
      <c r="B636" s="47" t="s">
        <v>858</v>
      </c>
      <c r="C636" s="3" t="str">
        <f>VLOOKUP($A636,DICO_Complet!$A$3:$U$983,3,FALSE)</f>
        <v>Transaction</v>
      </c>
      <c r="D636" s="3" t="str">
        <f>VLOOKUP($A636,DICO_Complet!$A$3:$U$983,4,FALSE)</f>
        <v>fileData</v>
      </c>
      <c r="E636" s="2" t="str">
        <f>VLOOKUP($A636,DICO_Complet!$A$3:$U$983,5,FALSE)</f>
        <v>numberOfcancelledTransactionsWithDeferredCleaning</v>
      </c>
      <c r="F636" s="2" t="str">
        <f>VLOOKUP($A636,DICO_Complet!$A$3:$U$983,6,FALSE)</f>
        <v>Exact10NumericText</v>
      </c>
      <c r="G636" s="48">
        <f>VLOOKUP($A636,DICO_Complet!$A$3:$U$983,7,FALSE)</f>
        <v>0</v>
      </c>
      <c r="H636" s="48">
        <f>VLOOKUP($A636,DICO_Complet!$A$3:$U$983,8,FALSE)</f>
        <v>0</v>
      </c>
      <c r="I636" s="2" t="str">
        <f>IF(VLOOKUP($A636,DICO_Complet!$A$3:$U$983,9,FALSE)&lt;&gt;0,VLOOKUP($A636,DICO_Complet!$A$3:$U$983,9,FALSE),"")</f>
        <v/>
      </c>
      <c r="J636" s="1" t="str">
        <f>VLOOKUP($A636,DICO_Complet!$A$3:$U$983,10,FALSE)</f>
        <v>Number Of cancelled Transactions With Deferred Cleaning</v>
      </c>
      <c r="K636" s="53" t="str">
        <f>IF(VLOOKUP($A636,DICO_Complet!$A$3:$U$983,12,FALSE)=0,"",VLOOKUP($A636,DICO_Complet!$A$3:$U$983,12,FALSE))</f>
        <v/>
      </c>
      <c r="L636" s="53" t="str">
        <f>IF(VLOOKUP($A636,DICO_Complet!$A$3:$U$983,13,FALSE)=0,"",VLOOKUP($A636,DICO_Complet!$A$3:$U$983,13,FALSE))</f>
        <v/>
      </c>
      <c r="M636" s="53" t="str">
        <f>IF(VLOOKUP($A636,DICO_Complet!$A$3:$U$983,14,FALSE)=0,"",VLOOKUP($A636,DICO_Complet!$A$3:$U$983,14,FALSE))</f>
        <v>58_FF58</v>
      </c>
      <c r="N636" s="53" t="str">
        <f>IF(VLOOKUP($A636,DICO_Complet!$A$3:$U$983,15,FALSE)=0,"",VLOOKUP($A636,DICO_Complet!$A$3:$U$983,15,FALSE))</f>
        <v/>
      </c>
      <c r="O636" s="53" t="str">
        <f>IF(VLOOKUP($A636,DICO_Complet!$A$3:$U$983,16,FALSE)=0,"",VLOOKUP($A636,DICO_Complet!$A$3:$U$983,16,FALSE))</f>
        <v/>
      </c>
      <c r="P636" s="53" t="str">
        <f>IF(VLOOKUP($A636,DICO_Complet!$A$3:$U$983,17,FALSE)=0,"",VLOOKUP($A636,DICO_Complet!$A$3:$U$983,17,FALSE))</f>
        <v/>
      </c>
      <c r="Q636" s="53" t="str">
        <f>IF(VLOOKUP($A636,DICO_Complet!$A$3:$U$983,18,FALSE)=0,"",VLOOKUP($A636,DICO_Complet!$A$3:$U$983,18,FALSE))</f>
        <v/>
      </c>
    </row>
    <row r="637" spans="1:17">
      <c r="A637" s="38">
        <v>250425100314</v>
      </c>
      <c r="B637" s="47" t="s">
        <v>858</v>
      </c>
      <c r="C637" s="3" t="str">
        <f>VLOOKUP($A637,DICO_Complet!$A$3:$U$983,3,FALSE)</f>
        <v>Transaction</v>
      </c>
      <c r="D637" s="3" t="str">
        <f>VLOOKUP($A637,DICO_Complet!$A$3:$U$983,4,FALSE)</f>
        <v>fileData</v>
      </c>
      <c r="E637" s="2" t="str">
        <f>VLOOKUP($A637,DICO_Complet!$A$3:$U$983,5,FALSE)</f>
        <v>numberOfMessagesReceivedByCollectorSystem</v>
      </c>
      <c r="F637" s="2" t="str">
        <f>VLOOKUP($A637,DICO_Complet!$A$3:$U$983,6,FALSE)</f>
        <v>Exact6NumericText</v>
      </c>
      <c r="G637" s="48">
        <f>VLOOKUP($A637,DICO_Complet!$A$3:$U$983,7,FALSE)</f>
        <v>0</v>
      </c>
      <c r="H637" s="48">
        <f>VLOOKUP($A637,DICO_Complet!$A$3:$U$983,8,FALSE)</f>
        <v>0</v>
      </c>
      <c r="I637" s="2" t="str">
        <f>IF(VLOOKUP($A637,DICO_Complet!$A$3:$U$983,9,FALSE)&lt;&gt;0,VLOOKUP($A637,DICO_Complet!$A$3:$U$983,9,FALSE),"")</f>
        <v/>
      </c>
      <c r="J637" s="1" t="str">
        <f>VLOOKUP($A637,DICO_Complet!$A$3:$U$983,10,FALSE)</f>
        <v>Number Of Messages Received By Collector System</v>
      </c>
      <c r="K637" s="53" t="str">
        <f>IF(VLOOKUP($A637,DICO_Complet!$A$3:$U$983,12,FALSE)=0,"",VLOOKUP($A637,DICO_Complet!$A$3:$U$983,12,FALSE))</f>
        <v/>
      </c>
      <c r="L637" s="53" t="str">
        <f>IF(VLOOKUP($A637,DICO_Complet!$A$3:$U$983,13,FALSE)=0,"",VLOOKUP($A637,DICO_Complet!$A$3:$U$983,13,FALSE))</f>
        <v/>
      </c>
      <c r="M637" s="53" t="str">
        <f>IF(VLOOKUP($A637,DICO_Complet!$A$3:$U$983,14,FALSE)=0,"",VLOOKUP($A637,DICO_Complet!$A$3:$U$983,14,FALSE))</f>
        <v>58_FF57</v>
      </c>
      <c r="N637" s="53" t="str">
        <f>IF(VLOOKUP($A637,DICO_Complet!$A$3:$U$983,15,FALSE)=0,"",VLOOKUP($A637,DICO_Complet!$A$3:$U$983,15,FALSE))</f>
        <v/>
      </c>
      <c r="O637" s="53" t="str">
        <f>IF(VLOOKUP($A637,DICO_Complet!$A$3:$U$983,16,FALSE)=0,"",VLOOKUP($A637,DICO_Complet!$A$3:$U$983,16,FALSE))</f>
        <v/>
      </c>
      <c r="P637" s="53" t="str">
        <f>IF(VLOOKUP($A637,DICO_Complet!$A$3:$U$983,17,FALSE)=0,"",VLOOKUP($A637,DICO_Complet!$A$3:$U$983,17,FALSE))</f>
        <v/>
      </c>
      <c r="Q637" s="53" t="str">
        <f>IF(VLOOKUP($A637,DICO_Complet!$A$3:$U$983,18,FALSE)=0,"",VLOOKUP($A637,DICO_Complet!$A$3:$U$983,18,FALSE))</f>
        <v/>
      </c>
    </row>
    <row r="638" spans="1:17">
      <c r="A638" s="38">
        <v>250430073101</v>
      </c>
      <c r="B638" s="47" t="s">
        <v>858</v>
      </c>
      <c r="C638" s="3" t="str">
        <f>VLOOKUP($A638,DICO_Complet!$A$3:$U$983,3,FALSE)</f>
        <v>Transaction</v>
      </c>
      <c r="D638" s="3" t="str">
        <f>VLOOKUP($A638,DICO_Complet!$A$3:$U$983,4,FALSE)</f>
        <v>fileData</v>
      </c>
      <c r="E638" s="2" t="str">
        <f>VLOOKUP($A638,DICO_Complet!$A$3:$U$983,5,FALSE)</f>
        <v>stampingReference</v>
      </c>
      <c r="F638" s="2" t="str">
        <f>VLOOKUP($A638,DICO_Complet!$A$3:$U$983,6,FALSE)</f>
        <v>Exact16AlphaNumericText</v>
      </c>
      <c r="G638" s="141">
        <f>VLOOKUP($A638,DICO_Complet!$A$3:$U$983,7,FALSE)</f>
        <v>0</v>
      </c>
      <c r="H638" s="141">
        <f>VLOOKUP($A638,DICO_Complet!$A$3:$U$983,8,FALSE)</f>
        <v>0</v>
      </c>
      <c r="I638" s="7" t="str">
        <f>IF(VLOOKUP($A638,DICO_Complet!$A$3:$U$983,9,FALSE)&lt;&gt;0,VLOOKUP($A638,DICO_Complet!$A$3:$U$983,9,FALSE),"")</f>
        <v/>
      </c>
      <c r="J638" s="1" t="str">
        <f>VLOOKUP($A638,DICO_Complet!$A$3:$U$983,10,FALSE)</f>
        <v>File Stamping Reference</v>
      </c>
      <c r="K638" s="53" t="str">
        <f>IF(VLOOKUP($A638,DICO_Complet!$A$3:$U$983,12,FALSE)=0,"",VLOOKUP($A638,DICO_Complet!$A$3:$U$983,12,FALSE))</f>
        <v/>
      </c>
      <c r="L638" s="53" t="str">
        <f>IF(VLOOKUP($A638,DICO_Complet!$A$3:$U$983,13,FALSE)=0,"",VLOOKUP($A638,DICO_Complet!$A$3:$U$983,13,FALSE))</f>
        <v/>
      </c>
      <c r="M638" s="53" t="str">
        <f>IF(VLOOKUP($A638,DICO_Complet!$A$3:$U$983,14,FALSE)=0,"",VLOOKUP($A638,DICO_Complet!$A$3:$U$983,14,FALSE))</f>
        <v/>
      </c>
      <c r="N638" s="53" t="str">
        <f>IF(VLOOKUP($A638,DICO_Complet!$A$3:$U$983,15,FALSE)=0,"",VLOOKUP($A638,DICO_Complet!$A$3:$U$983,15,FALSE))</f>
        <v/>
      </c>
      <c r="O638" s="53" t="str">
        <f>IF(VLOOKUP($A638,DICO_Complet!$A$3:$U$983,16,FALSE)=0,"",VLOOKUP($A638,DICO_Complet!$A$3:$U$983,16,FALSE))</f>
        <v/>
      </c>
      <c r="P638" s="53" t="str">
        <f>IF(VLOOKUP($A638,DICO_Complet!$A$3:$U$983,17,FALSE)=0,"",VLOOKUP($A638,DICO_Complet!$A$3:$U$983,17,FALSE))</f>
        <v/>
      </c>
      <c r="Q638" s="53" t="str">
        <f>IF(VLOOKUP($A638,DICO_Complet!$A$3:$U$983,18,FALSE)=0,"",VLOOKUP($A638,DICO_Complet!$A$3:$U$983,18,FALSE))</f>
        <v/>
      </c>
    </row>
    <row r="639" spans="1:17">
      <c r="A639" s="38">
        <v>250317120007</v>
      </c>
      <c r="B639" s="47" t="s">
        <v>858</v>
      </c>
      <c r="C639" s="3" t="str">
        <f>VLOOKUP($A639,DICO_Complet!$A$3:$U$983,3,FALSE)</f>
        <v>Transaction</v>
      </c>
      <c r="D639" s="3" t="str">
        <f>VLOOKUP($A639,DICO_Complet!$A$3:$U$983,4,FALSE)</f>
        <v>interchange</v>
      </c>
      <c r="E639" s="2" t="str">
        <f>VLOOKUP($A639,DICO_Complet!$A$3:$U$983,5,FALSE)</f>
        <v>additionalCode</v>
      </c>
      <c r="F639" s="2" t="str">
        <f>VLOOKUP($A639,DICO_Complet!$A$3:$U$983,6,FALSE)</f>
        <v>KeyValueType</v>
      </c>
      <c r="G639" s="48">
        <f>VLOOKUP($A639,DICO_Complet!$A$3:$U$983,7,FALSE)</f>
        <v>0</v>
      </c>
      <c r="H639" s="48">
        <f>VLOOKUP($A639,DICO_Complet!$A$3:$U$983,8,FALSE)</f>
        <v>0</v>
      </c>
      <c r="I639" s="2" t="str">
        <f>IF(VLOOKUP($A639,DICO_Complet!$A$3:$U$983,9,FALSE)&lt;&gt;0,VLOOKUP($A639,DICO_Complet!$A$3:$U$983,9,FALSE),"")</f>
        <v/>
      </c>
      <c r="J639" s="1" t="str">
        <f>VLOOKUP($A639,DICO_Complet!$A$3:$U$983,10,FALSE)</f>
        <v>Key value pair, universal usage</v>
      </c>
      <c r="K639" s="53" t="str">
        <f>IF(VLOOKUP($A639,DICO_Complet!$A$3:$U$983,12,FALSE)=0,"",VLOOKUP($A639,DICO_Complet!$A$3:$U$983,12,FALSE))</f>
        <v/>
      </c>
      <c r="L639" s="53" t="str">
        <f>IF(VLOOKUP($A639,DICO_Complet!$A$3:$U$983,13,FALSE)=0,"",VLOOKUP($A639,DICO_Complet!$A$3:$U$983,13,FALSE))</f>
        <v/>
      </c>
      <c r="M639" s="53" t="str">
        <f>IF(VLOOKUP($A639,DICO_Complet!$A$3:$U$983,14,FALSE)=0,"",VLOOKUP($A639,DICO_Complet!$A$3:$U$983,14,FALSE))</f>
        <v/>
      </c>
      <c r="N639" s="53" t="str">
        <f>IF(VLOOKUP($A639,DICO_Complet!$A$3:$U$983,15,FALSE)=0,"",VLOOKUP($A639,DICO_Complet!$A$3:$U$983,15,FALSE))</f>
        <v/>
      </c>
      <c r="O639" s="53" t="str">
        <f>IF(VLOOKUP($A639,DICO_Complet!$A$3:$U$983,16,FALSE)=0,"",VLOOKUP($A639,DICO_Complet!$A$3:$U$983,16,FALSE))</f>
        <v/>
      </c>
      <c r="P639" s="53" t="str">
        <f>IF(VLOOKUP($A639,DICO_Complet!$A$3:$U$983,17,FALSE)=0,"",VLOOKUP($A639,DICO_Complet!$A$3:$U$983,17,FALSE))</f>
        <v/>
      </c>
      <c r="Q639" s="53" t="str">
        <f>IF(VLOOKUP($A639,DICO_Complet!$A$3:$U$983,18,FALSE)=0,"",VLOOKUP($A639,DICO_Complet!$A$3:$U$983,18,FALSE))</f>
        <v/>
      </c>
    </row>
    <row r="640" spans="1:17">
      <c r="A640" s="38">
        <v>250317120008</v>
      </c>
      <c r="B640" s="47" t="s">
        <v>858</v>
      </c>
      <c r="C640" s="3" t="str">
        <f>VLOOKUP($A640,DICO_Complet!$A$3:$U$983,3,FALSE)</f>
        <v>Transaction</v>
      </c>
      <c r="D640" s="3" t="str">
        <f>VLOOKUP($A640,DICO_Complet!$A$3:$U$983,4,FALSE)</f>
        <v>interchange</v>
      </c>
      <c r="E640" s="2" t="str">
        <f>VLOOKUP($A640,DICO_Complet!$A$3:$U$983,5,FALSE)</f>
        <v>amount</v>
      </c>
      <c r="F640" s="2" t="str">
        <f>VLOOKUP($A640,DICO_Complet!$A$3:$U$983,6,FALSE)</f>
        <v>AmountType</v>
      </c>
      <c r="G640" s="48">
        <f>VLOOKUP($A640,DICO_Complet!$A$3:$U$983,7,FALSE)</f>
        <v>0</v>
      </c>
      <c r="H640" s="48">
        <f>VLOOKUP($A640,DICO_Complet!$A$3:$U$983,8,FALSE)</f>
        <v>0</v>
      </c>
      <c r="I640" s="2" t="str">
        <f>IF(VLOOKUP($A640,DICO_Complet!$A$3:$U$983,9,FALSE)&lt;&gt;0,VLOOKUP($A640,DICO_Complet!$A$3:$U$983,9,FALSE),"")</f>
        <v/>
      </c>
      <c r="J640" s="1" t="str">
        <f>VLOOKUP($A640,DICO_Complet!$A$3:$U$983,10,FALSE)</f>
        <v>Interchange amount (signed)</v>
      </c>
      <c r="K640" s="53" t="str">
        <f>IF(VLOOKUP($A640,DICO_Complet!$A$3:$U$983,12,FALSE)=0,"",VLOOKUP($A640,DICO_Complet!$A$3:$U$983,12,FALSE))</f>
        <v/>
      </c>
      <c r="L640" s="53" t="str">
        <f>IF(VLOOKUP($A640,DICO_Complet!$A$3:$U$983,13,FALSE)=0,"",VLOOKUP($A640,DICO_Complet!$A$3:$U$983,13,FALSE))</f>
        <v/>
      </c>
      <c r="M640" s="53" t="str">
        <f>IF(VLOOKUP($A640,DICO_Complet!$A$3:$U$983,14,FALSE)=0,"",VLOOKUP($A640,DICO_Complet!$A$3:$U$983,14,FALSE))</f>
        <v/>
      </c>
      <c r="N640" s="53" t="str">
        <f>IF(VLOOKUP($A640,DICO_Complet!$A$3:$U$983,15,FALSE)=0,"",VLOOKUP($A640,DICO_Complet!$A$3:$U$983,15,FALSE))</f>
        <v/>
      </c>
      <c r="O640" s="53" t="str">
        <f>IF(VLOOKUP($A640,DICO_Complet!$A$3:$U$983,16,FALSE)=0,"",VLOOKUP($A640,DICO_Complet!$A$3:$U$983,16,FALSE))</f>
        <v/>
      </c>
      <c r="P640" s="53" t="str">
        <f>IF(VLOOKUP($A640,DICO_Complet!$A$3:$U$983,17,FALSE)=0,"",VLOOKUP($A640,DICO_Complet!$A$3:$U$983,17,FALSE))</f>
        <v/>
      </c>
      <c r="Q640" s="53" t="str">
        <f>IF(VLOOKUP($A640,DICO_Complet!$A$3:$U$983,18,FALSE)=0,"",VLOOKUP($A640,DICO_Complet!$A$3:$U$983,18,FALSE))</f>
        <v/>
      </c>
    </row>
    <row r="641" spans="1:17">
      <c r="A641" s="38">
        <v>250317120009</v>
      </c>
      <c r="B641" s="47" t="s">
        <v>858</v>
      </c>
      <c r="C641" s="3" t="str">
        <f>VLOOKUP($A641,DICO_Complet!$A$3:$U$983,3,FALSE)</f>
        <v>Transaction</v>
      </c>
      <c r="D641" s="3" t="str">
        <f>VLOOKUP($A641,DICO_Complet!$A$3:$U$983,4,FALSE)</f>
        <v>interchange</v>
      </c>
      <c r="E641" s="2" t="str">
        <f>VLOOKUP($A641,DICO_Complet!$A$3:$U$983,5,FALSE)</f>
        <v>icsCode</v>
      </c>
      <c r="F641" s="2" t="str">
        <f>VLOOKUP($A641,DICO_Complet!$A$3:$U$983,6,FALSE)</f>
        <v>Max70Text</v>
      </c>
      <c r="G641" s="48">
        <f>VLOOKUP($A641,DICO_Complet!$A$3:$U$983,7,FALSE)</f>
        <v>0</v>
      </c>
      <c r="H641" s="48">
        <f>VLOOKUP($A641,DICO_Complet!$A$3:$U$983,8,FALSE)</f>
        <v>0</v>
      </c>
      <c r="I641" s="2" t="str">
        <f>IF(VLOOKUP($A641,DICO_Complet!$A$3:$U$983,9,FALSE)&lt;&gt;0,VLOOKUP($A641,DICO_Complet!$A$3:$U$983,9,FALSE),"")</f>
        <v/>
      </c>
      <c r="J641" s="1" t="str">
        <f>VLOOKUP($A641,DICO_Complet!$A$3:$U$983,10,FALSE)</f>
        <v>Denomination Scheme code interchange</v>
      </c>
      <c r="K641" s="53" t="str">
        <f>IF(VLOOKUP($A641,DICO_Complet!$A$3:$U$983,12,FALSE)=0,"",VLOOKUP($A641,DICO_Complet!$A$3:$U$983,12,FALSE))</f>
        <v/>
      </c>
      <c r="L641" s="53" t="str">
        <f>IF(VLOOKUP($A641,DICO_Complet!$A$3:$U$983,13,FALSE)=0,"",VLOOKUP($A641,DICO_Complet!$A$3:$U$983,13,FALSE))</f>
        <v/>
      </c>
      <c r="M641" s="53" t="str">
        <f>IF(VLOOKUP($A641,DICO_Complet!$A$3:$U$983,14,FALSE)=0,"",VLOOKUP($A641,DICO_Complet!$A$3:$U$983,14,FALSE))</f>
        <v/>
      </c>
      <c r="N641" s="53" t="str">
        <f>IF(VLOOKUP($A641,DICO_Complet!$A$3:$U$983,15,FALSE)=0,"",VLOOKUP($A641,DICO_Complet!$A$3:$U$983,15,FALSE))</f>
        <v/>
      </c>
      <c r="O641" s="53" t="str">
        <f>IF(VLOOKUP($A641,DICO_Complet!$A$3:$U$983,16,FALSE)=0,"",VLOOKUP($A641,DICO_Complet!$A$3:$U$983,16,FALSE))</f>
        <v/>
      </c>
      <c r="P641" s="53" t="str">
        <f>IF(VLOOKUP($A641,DICO_Complet!$A$3:$U$983,17,FALSE)=0,"",VLOOKUP($A641,DICO_Complet!$A$3:$U$983,17,FALSE))</f>
        <v/>
      </c>
      <c r="Q641" s="53" t="str">
        <f>IF(VLOOKUP($A641,DICO_Complet!$A$3:$U$983,18,FALSE)=0,"",VLOOKUP($A641,DICO_Complet!$A$3:$U$983,18,FALSE))</f>
        <v/>
      </c>
    </row>
    <row r="642" spans="1:17">
      <c r="A642" s="38">
        <v>250317120010</v>
      </c>
      <c r="B642" s="47" t="s">
        <v>858</v>
      </c>
      <c r="C642" s="3" t="str">
        <f>VLOOKUP($A642,DICO_Complet!$A$3:$U$983,3,FALSE)</f>
        <v>Transaction</v>
      </c>
      <c r="D642" s="3" t="str">
        <f>VLOOKUP($A642,DICO_Complet!$A$3:$U$983,4,FALSE)</f>
        <v>interchange</v>
      </c>
      <c r="E642" s="2" t="str">
        <f>VLOOKUP($A642,DICO_Complet!$A$3:$U$983,5,FALSE)</f>
        <v>rate</v>
      </c>
      <c r="F642" s="2" t="str">
        <f>VLOOKUP($A642,DICO_Complet!$A$3:$U$983,6,FALSE)</f>
        <v>Base25OneRate</v>
      </c>
      <c r="G642" s="48">
        <f>VLOOKUP($A642,DICO_Complet!$A$3:$U$983,7,FALSE)</f>
        <v>0</v>
      </c>
      <c r="H642" s="48">
        <f>VLOOKUP($A642,DICO_Complet!$A$3:$U$983,8,FALSE)</f>
        <v>0</v>
      </c>
      <c r="I642" s="2" t="str">
        <f>IF(VLOOKUP($A642,DICO_Complet!$A$3:$U$983,9,FALSE)&lt;&gt;0,VLOOKUP($A642,DICO_Complet!$A$3:$U$983,9,FALSE),"")</f>
        <v/>
      </c>
      <c r="J642" s="1" t="str">
        <f>VLOOKUP($A642,DICO_Complet!$A$3:$U$983,10,FALSE)</f>
        <v>Rate of the interchange code applied to the operation amount</v>
      </c>
      <c r="K642" s="53" t="str">
        <f>IF(VLOOKUP($A642,DICO_Complet!$A$3:$U$983,12,FALSE)=0,"",VLOOKUP($A642,DICO_Complet!$A$3:$U$983,12,FALSE))</f>
        <v/>
      </c>
      <c r="L642" s="53" t="str">
        <f>IF(VLOOKUP($A642,DICO_Complet!$A$3:$U$983,13,FALSE)=0,"",VLOOKUP($A642,DICO_Complet!$A$3:$U$983,13,FALSE))</f>
        <v/>
      </c>
      <c r="M642" s="53" t="str">
        <f>IF(VLOOKUP($A642,DICO_Complet!$A$3:$U$983,14,FALSE)=0,"",VLOOKUP($A642,DICO_Complet!$A$3:$U$983,14,FALSE))</f>
        <v/>
      </c>
      <c r="N642" s="53" t="str">
        <f>IF(VLOOKUP($A642,DICO_Complet!$A$3:$U$983,15,FALSE)=0,"",VLOOKUP($A642,DICO_Complet!$A$3:$U$983,15,FALSE))</f>
        <v/>
      </c>
      <c r="O642" s="53" t="str">
        <f>IF(VLOOKUP($A642,DICO_Complet!$A$3:$U$983,16,FALSE)=0,"",VLOOKUP($A642,DICO_Complet!$A$3:$U$983,16,FALSE))</f>
        <v/>
      </c>
      <c r="P642" s="53" t="str">
        <f>IF(VLOOKUP($A642,DICO_Complet!$A$3:$U$983,17,FALSE)=0,"",VLOOKUP($A642,DICO_Complet!$A$3:$U$983,17,FALSE))</f>
        <v/>
      </c>
      <c r="Q642" s="53" t="str">
        <f>IF(VLOOKUP($A642,DICO_Complet!$A$3:$U$983,18,FALSE)=0,"",VLOOKUP($A642,DICO_Complet!$A$3:$U$983,18,FALSE))</f>
        <v/>
      </c>
    </row>
    <row r="643" spans="1:17">
      <c r="A643" s="38">
        <v>250203180200</v>
      </c>
      <c r="B643" s="47" t="s">
        <v>858</v>
      </c>
      <c r="C643" s="3" t="str">
        <f>VLOOKUP($A643,DICO_Complet!$A$3:$U$983,3,FALSE)</f>
        <v>Transaction</v>
      </c>
      <c r="D643" s="3" t="str">
        <f>VLOOKUP($A643,DICO_Complet!$A$3:$U$983,4,FALSE)</f>
        <v>issuerScript</v>
      </c>
      <c r="E643" s="2" t="str">
        <f>VLOOKUP($A643,DICO_Complet!$A$3:$U$983,5,FALSE)</f>
        <v>issuerScriptTemplate1</v>
      </c>
      <c r="F643" s="2" t="str">
        <f>VLOOKUP($A643,DICO_Complet!$A$3:$U$983,6,FALSE)</f>
        <v>Max128HexBinaryText</v>
      </c>
      <c r="G643" s="48">
        <f>VLOOKUP($A643,DICO_Complet!$A$3:$U$983,7,FALSE)</f>
        <v>0</v>
      </c>
      <c r="H643" s="48">
        <f>VLOOKUP($A643,DICO_Complet!$A$3:$U$983,8,FALSE)</f>
        <v>0</v>
      </c>
      <c r="I643" s="2" t="str">
        <f>IF(VLOOKUP($A643,DICO_Complet!$A$3:$U$983,9,FALSE)&lt;&gt;0,VLOOKUP($A643,DICO_Complet!$A$3:$U$983,9,FALSE),"")</f>
        <v/>
      </c>
      <c r="J643" s="1" t="str">
        <f>VLOOKUP($A643,DICO_Complet!$A$3:$U$983,10,FALSE)</f>
        <v>Issuer script, template 1</v>
      </c>
      <c r="K643" s="53" t="str">
        <f>IF(VLOOKUP($A643,DICO_Complet!$A$3:$U$983,12,FALSE)=0,"",VLOOKUP($A643,DICO_Complet!$A$3:$U$983,12,FALSE))</f>
        <v/>
      </c>
      <c r="L643" s="53" t="str">
        <f>IF(VLOOKUP($A643,DICO_Complet!$A$3:$U$983,13,FALSE)=0,"",VLOOKUP($A643,DICO_Complet!$A$3:$U$983,13,FALSE))</f>
        <v>[55-0071]</v>
      </c>
      <c r="M643" s="53" t="str">
        <f>IF(VLOOKUP($A643,DICO_Complet!$A$3:$U$983,14,FALSE)=0,"",VLOOKUP($A643,DICO_Complet!$A$3:$U$983,14,FALSE))</f>
        <v/>
      </c>
      <c r="N643" s="53" t="str">
        <f>IF(VLOOKUP($A643,DICO_Complet!$A$3:$U$983,15,FALSE)=0,"",VLOOKUP($A643,DICO_Complet!$A$3:$U$983,15,FALSE))</f>
        <v/>
      </c>
      <c r="O643" s="53" t="str">
        <f>IF(VLOOKUP($A643,DICO_Complet!$A$3:$U$983,16,FALSE)=0,"",VLOOKUP($A643,DICO_Complet!$A$3:$U$983,16,FALSE))</f>
        <v/>
      </c>
      <c r="P643" s="53" t="str">
        <f>IF(VLOOKUP($A643,DICO_Complet!$A$3:$U$983,17,FALSE)=0,"",VLOOKUP($A643,DICO_Complet!$A$3:$U$983,17,FALSE))</f>
        <v/>
      </c>
      <c r="Q643" s="53" t="str">
        <f>IF(VLOOKUP($A643,DICO_Complet!$A$3:$U$983,18,FALSE)=0,"",VLOOKUP($A643,DICO_Complet!$A$3:$U$983,18,FALSE))</f>
        <v/>
      </c>
    </row>
    <row r="644" spans="1:17">
      <c r="A644" s="38">
        <v>250203180201</v>
      </c>
      <c r="B644" s="47" t="s">
        <v>858</v>
      </c>
      <c r="C644" s="3" t="str">
        <f>VLOOKUP($A644,DICO_Complet!$A$3:$U$983,3,FALSE)</f>
        <v>Transaction</v>
      </c>
      <c r="D644" s="3" t="str">
        <f>VLOOKUP($A644,DICO_Complet!$A$3:$U$983,4,FALSE)</f>
        <v>issuerScript</v>
      </c>
      <c r="E644" s="2" t="str">
        <f>VLOOKUP($A644,DICO_Complet!$A$3:$U$983,5,FALSE)</f>
        <v>issuerScriptTemplate2</v>
      </c>
      <c r="F644" s="2" t="str">
        <f>VLOOKUP($A644,DICO_Complet!$A$3:$U$983,6,FALSE)</f>
        <v>Max128HexBinaryText</v>
      </c>
      <c r="G644" s="48">
        <f>VLOOKUP($A644,DICO_Complet!$A$3:$U$983,7,FALSE)</f>
        <v>0</v>
      </c>
      <c r="H644" s="48">
        <f>VLOOKUP($A644,DICO_Complet!$A$3:$U$983,8,FALSE)</f>
        <v>0</v>
      </c>
      <c r="I644" s="2" t="str">
        <f>IF(VLOOKUP($A644,DICO_Complet!$A$3:$U$983,9,FALSE)&lt;&gt;0,VLOOKUP($A644,DICO_Complet!$A$3:$U$983,9,FALSE),"")</f>
        <v/>
      </c>
      <c r="J644" s="1" t="str">
        <f>VLOOKUP($A644,DICO_Complet!$A$3:$U$983,10,FALSE)</f>
        <v>Issuer script, template 2</v>
      </c>
      <c r="K644" s="53" t="str">
        <f>IF(VLOOKUP($A644,DICO_Complet!$A$3:$U$983,12,FALSE)=0,"",VLOOKUP($A644,DICO_Complet!$A$3:$U$983,12,FALSE))</f>
        <v/>
      </c>
      <c r="L644" s="53" t="str">
        <f>IF(VLOOKUP($A644,DICO_Complet!$A$3:$U$983,13,FALSE)=0,"",VLOOKUP($A644,DICO_Complet!$A$3:$U$983,13,FALSE))</f>
        <v>[55-0072]</v>
      </c>
      <c r="M644" s="53" t="str">
        <f>IF(VLOOKUP($A644,DICO_Complet!$A$3:$U$983,14,FALSE)=0,"",VLOOKUP($A644,DICO_Complet!$A$3:$U$983,14,FALSE))</f>
        <v/>
      </c>
      <c r="N644" s="53" t="str">
        <f>IF(VLOOKUP($A644,DICO_Complet!$A$3:$U$983,15,FALSE)=0,"",VLOOKUP($A644,DICO_Complet!$A$3:$U$983,15,FALSE))</f>
        <v/>
      </c>
      <c r="O644" s="53" t="str">
        <f>IF(VLOOKUP($A644,DICO_Complet!$A$3:$U$983,16,FALSE)=0,"",VLOOKUP($A644,DICO_Complet!$A$3:$U$983,16,FALSE))</f>
        <v/>
      </c>
      <c r="P644" s="53" t="str">
        <f>IF(VLOOKUP($A644,DICO_Complet!$A$3:$U$983,17,FALSE)=0,"",VLOOKUP($A644,DICO_Complet!$A$3:$U$983,17,FALSE))</f>
        <v/>
      </c>
      <c r="Q644" s="53" t="str">
        <f>IF(VLOOKUP($A644,DICO_Complet!$A$3:$U$983,18,FALSE)=0,"",VLOOKUP($A644,DICO_Complet!$A$3:$U$983,18,FALSE))</f>
        <v/>
      </c>
    </row>
    <row r="645" spans="1:17">
      <c r="A645" s="38">
        <v>241112000177</v>
      </c>
      <c r="B645" s="47" t="s">
        <v>858</v>
      </c>
      <c r="C645" s="3" t="str">
        <f>VLOOKUP($A645,DICO_Complet!$A$3:$U$983,3,FALSE)</f>
        <v>Transaction</v>
      </c>
      <c r="D645" s="3" t="str">
        <f>VLOOKUP($A645,DICO_Complet!$A$3:$U$983,4,FALSE)</f>
        <v>originalTransactionData</v>
      </c>
      <c r="E645" s="2" t="str">
        <f>VLOOKUP($A645,DICO_Complet!$A$3:$U$983,5,FALSE)</f>
        <v>acsTransactionId</v>
      </c>
      <c r="F645" s="2" t="str">
        <f>VLOOKUP($A645,DICO_Complet!$A$3:$U$983,6,FALSE)</f>
        <v>Exact36Text</v>
      </c>
      <c r="G645" s="48">
        <f>VLOOKUP($A645,DICO_Complet!$A$3:$U$983,7,FALSE)</f>
        <v>0</v>
      </c>
      <c r="H645" s="48">
        <f>VLOOKUP($A645,DICO_Complet!$A$3:$U$983,8,FALSE)</f>
        <v>0</v>
      </c>
      <c r="I645" s="2" t="str">
        <f>IF(VLOOKUP($A645,DICO_Complet!$A$3:$U$983,9,FALSE)&lt;&gt;0,VLOOKUP($A645,DICO_Complet!$A$3:$U$983,9,FALSE),"")</f>
        <v/>
      </c>
      <c r="J645" s="1" t="str">
        <f>VLOOKUP($A645,DICO_Complet!$A$3:$U$983,10,FALSE)</f>
        <v>ACS Transaction ID</v>
      </c>
      <c r="K645" s="53" t="str">
        <f>IF(VLOOKUP($A645,DICO_Complet!$A$3:$U$983,12,FALSE)=0,"",VLOOKUP($A645,DICO_Complet!$A$3:$U$983,12,FALSE))</f>
        <v>RSB119_0046_ p2</v>
      </c>
      <c r="L645" s="53" t="str">
        <f>IF(VLOOKUP($A645,DICO_Complet!$A$3:$U$983,13,FALSE)=0,"",VLOOKUP($A645,DICO_Complet!$A$3:$U$983,13,FALSE))</f>
        <v>[119-0046-p2]</v>
      </c>
      <c r="M645" s="53" t="str">
        <f>IF(VLOOKUP($A645,DICO_Complet!$A$3:$U$983,14,FALSE)=0,"",VLOOKUP($A645,DICO_Complet!$A$3:$U$983,14,FALSE))</f>
        <v/>
      </c>
      <c r="N645" s="53" t="str">
        <f>IF(VLOOKUP($A645,DICO_Complet!$A$3:$U$983,15,FALSE)=0,"",VLOOKUP($A645,DICO_Complet!$A$3:$U$983,15,FALSE))</f>
        <v/>
      </c>
      <c r="O645" s="53" t="str">
        <f>IF(VLOOKUP($A645,DICO_Complet!$A$3:$U$983,16,FALSE)=0,"",VLOOKUP($A645,DICO_Complet!$A$3:$U$983,16,FALSE))</f>
        <v/>
      </c>
      <c r="P645" s="53" t="str">
        <f>IF(VLOOKUP($A645,DICO_Complet!$A$3:$U$983,17,FALSE)=0,"",VLOOKUP($A645,DICO_Complet!$A$3:$U$983,17,FALSE))</f>
        <v/>
      </c>
      <c r="Q645" s="53" t="str">
        <f>IF(VLOOKUP($A645,DICO_Complet!$A$3:$U$983,18,FALSE)=0,"",VLOOKUP($A645,DICO_Complet!$A$3:$U$983,18,FALSE))</f>
        <v/>
      </c>
    </row>
    <row r="646" spans="1:17">
      <c r="A646" s="38">
        <v>241112000178</v>
      </c>
      <c r="B646" s="47" t="s">
        <v>858</v>
      </c>
      <c r="C646" s="3" t="str">
        <f>VLOOKUP($A646,DICO_Complet!$A$3:$U$983,3,FALSE)</f>
        <v>Transaction</v>
      </c>
      <c r="D646" s="3" t="str">
        <f>VLOOKUP($A646,DICO_Complet!$A$3:$U$983,4,FALSE)</f>
        <v>originalTransactionData</v>
      </c>
      <c r="E646" s="2" t="str">
        <f>VLOOKUP($A646,DICO_Complet!$A$3:$U$983,5,FALSE)</f>
        <v>authenticationAmount</v>
      </c>
      <c r="F646" s="2" t="str">
        <f>VLOOKUP($A646,DICO_Complet!$A$3:$U$983,6,FALSE)</f>
        <v>AmountType</v>
      </c>
      <c r="G646" s="48">
        <f>VLOOKUP($A646,DICO_Complet!$A$3:$U$983,7,FALSE)</f>
        <v>0</v>
      </c>
      <c r="H646" s="48">
        <f>VLOOKUP($A646,DICO_Complet!$A$3:$U$983,8,FALSE)</f>
        <v>0</v>
      </c>
      <c r="I646" s="2" t="str">
        <f>IF(VLOOKUP($A646,DICO_Complet!$A$3:$U$983,9,FALSE)&lt;&gt;0,VLOOKUP($A646,DICO_Complet!$A$3:$U$983,9,FALSE),"")</f>
        <v/>
      </c>
      <c r="J646" s="1" t="str">
        <f>VLOOKUP($A646,DICO_Complet!$A$3:$U$983,10,FALSE)</f>
        <v>Authentication Amount</v>
      </c>
      <c r="K646" s="53" t="str">
        <f>IF(VLOOKUP($A646,DICO_Complet!$A$3:$U$983,12,FALSE)=0,"",VLOOKUP($A646,DICO_Complet!$A$3:$U$983,12,FALSE))</f>
        <v>RSB119_0046_ p6</v>
      </c>
      <c r="L646" s="53" t="str">
        <f>IF(VLOOKUP($A646,DICO_Complet!$A$3:$U$983,13,FALSE)=0,"",VLOOKUP($A646,DICO_Complet!$A$3:$U$983,13,FALSE))</f>
        <v>[119-0046-p6]</v>
      </c>
      <c r="M646" s="53" t="str">
        <f>IF(VLOOKUP($A646,DICO_Complet!$A$3:$U$983,14,FALSE)=0,"",VLOOKUP($A646,DICO_Complet!$A$3:$U$983,14,FALSE))</f>
        <v/>
      </c>
      <c r="N646" s="53" t="str">
        <f>IF(VLOOKUP($A646,DICO_Complet!$A$3:$U$983,15,FALSE)=0,"",VLOOKUP($A646,DICO_Complet!$A$3:$U$983,15,FALSE))</f>
        <v/>
      </c>
      <c r="O646" s="53" t="str">
        <f>IF(VLOOKUP($A646,DICO_Complet!$A$3:$U$983,16,FALSE)=0,"",VLOOKUP($A646,DICO_Complet!$A$3:$U$983,16,FALSE))</f>
        <v/>
      </c>
      <c r="P646" s="53" t="str">
        <f>IF(VLOOKUP($A646,DICO_Complet!$A$3:$U$983,17,FALSE)=0,"",VLOOKUP($A646,DICO_Complet!$A$3:$U$983,17,FALSE))</f>
        <v/>
      </c>
      <c r="Q646" s="53" t="str">
        <f>IF(VLOOKUP($A646,DICO_Complet!$A$3:$U$983,18,FALSE)=0,"",VLOOKUP($A646,DICO_Complet!$A$3:$U$983,18,FALSE))</f>
        <v/>
      </c>
    </row>
    <row r="647" spans="1:17">
      <c r="A647" s="38">
        <v>241112000179</v>
      </c>
      <c r="B647" s="47" t="s">
        <v>858</v>
      </c>
      <c r="C647" s="3" t="str">
        <f>VLOOKUP($A647,DICO_Complet!$A$3:$U$983,3,FALSE)</f>
        <v>Transaction</v>
      </c>
      <c r="D647" s="3" t="str">
        <f>VLOOKUP($A647,DICO_Complet!$A$3:$U$983,4,FALSE)</f>
        <v>originalTransactionData</v>
      </c>
      <c r="E647" s="2" t="str">
        <f>VLOOKUP($A647,DICO_Complet!$A$3:$U$983,5,FALSE)</f>
        <v>authenticationDateTime</v>
      </c>
      <c r="F647" s="2" t="str">
        <f>VLOOKUP($A647,DICO_Complet!$A$3:$U$983,6,FALSE)</f>
        <v>ISODateTime</v>
      </c>
      <c r="G647" s="48">
        <f>VLOOKUP($A647,DICO_Complet!$A$3:$U$983,7,FALSE)</f>
        <v>0</v>
      </c>
      <c r="H647" s="48">
        <f>VLOOKUP($A647,DICO_Complet!$A$3:$U$983,8,FALSE)</f>
        <v>0</v>
      </c>
      <c r="I647" s="2" t="str">
        <f>IF(VLOOKUP($A647,DICO_Complet!$A$3:$U$983,9,FALSE)&lt;&gt;0,VLOOKUP($A647,DICO_Complet!$A$3:$U$983,9,FALSE),"")</f>
        <v/>
      </c>
      <c r="J647" s="1" t="str">
        <f>VLOOKUP($A647,DICO_Complet!$A$3:$U$983,10,FALSE)</f>
        <v>Authentication Date</v>
      </c>
      <c r="K647" s="53" t="str">
        <f>IF(VLOOKUP($A647,DICO_Complet!$A$3:$U$983,12,FALSE)=0,"",VLOOKUP($A647,DICO_Complet!$A$3:$U$983,12,FALSE))</f>
        <v>RSB119_0046_ p5 - n14</v>
      </c>
      <c r="L647" s="53" t="str">
        <f>IF(VLOOKUP($A647,DICO_Complet!$A$3:$U$983,13,FALSE)=0,"",VLOOKUP($A647,DICO_Complet!$A$3:$U$983,13,FALSE))</f>
        <v>[119-0046-p5]</v>
      </c>
      <c r="M647" s="53" t="str">
        <f>IF(VLOOKUP($A647,DICO_Complet!$A$3:$U$983,14,FALSE)=0,"",VLOOKUP($A647,DICO_Complet!$A$3:$U$983,14,FALSE))</f>
        <v/>
      </c>
      <c r="N647" s="53" t="str">
        <f>IF(VLOOKUP($A647,DICO_Complet!$A$3:$U$983,15,FALSE)=0,"",VLOOKUP($A647,DICO_Complet!$A$3:$U$983,15,FALSE))</f>
        <v/>
      </c>
      <c r="O647" s="53" t="str">
        <f>IF(VLOOKUP($A647,DICO_Complet!$A$3:$U$983,16,FALSE)=0,"",VLOOKUP($A647,DICO_Complet!$A$3:$U$983,16,FALSE))</f>
        <v/>
      </c>
      <c r="P647" s="53" t="str">
        <f>IF(VLOOKUP($A647,DICO_Complet!$A$3:$U$983,17,FALSE)=0,"",VLOOKUP($A647,DICO_Complet!$A$3:$U$983,17,FALSE))</f>
        <v/>
      </c>
      <c r="Q647" s="53" t="str">
        <f>IF(VLOOKUP($A647,DICO_Complet!$A$3:$U$983,18,FALSE)=0,"",VLOOKUP($A647,DICO_Complet!$A$3:$U$983,18,FALSE))</f>
        <v/>
      </c>
    </row>
    <row r="648" spans="1:17">
      <c r="A648" s="38">
        <v>250327121304</v>
      </c>
      <c r="B648" s="47" t="s">
        <v>858</v>
      </c>
      <c r="C648" s="3" t="str">
        <f>VLOOKUP($A648,DICO_Complet!$A$3:$U$983,3,FALSE)</f>
        <v>Transaction</v>
      </c>
      <c r="D648" s="3" t="str">
        <f>VLOOKUP($A648,DICO_Complet!$A$3:$U$983,4,FALSE)</f>
        <v>originalTransactionData</v>
      </c>
      <c r="E648" s="2" t="str">
        <f>VLOOKUP($A648,DICO_Complet!$A$3:$U$983,5,FALSE)</f>
        <v>authorisationCode</v>
      </c>
      <c r="F648" s="2" t="str">
        <f>VLOOKUP($A648,DICO_Complet!$A$3:$U$983,6,FALSE)</f>
        <v>Max6AlphaNumericText</v>
      </c>
      <c r="G648" s="48">
        <f>VLOOKUP($A648,DICO_Complet!$A$3:$U$983,7,FALSE)</f>
        <v>0</v>
      </c>
      <c r="H648" s="48">
        <f>VLOOKUP($A648,DICO_Complet!$A$3:$U$983,8,FALSE)</f>
        <v>0</v>
      </c>
      <c r="I648" s="2" t="str">
        <f>IF(VLOOKUP($A648,DICO_Complet!$A$3:$U$983,9,FALSE)&lt;&gt;0,VLOOKUP($A648,DICO_Complet!$A$3:$U$983,9,FALSE),"")</f>
        <v/>
      </c>
      <c r="J648" s="1" t="str">
        <f>VLOOKUP($A648,DICO_Complet!$A$3:$U$983,10,FALSE)</f>
        <v>autorisation code from original transaction stored</v>
      </c>
      <c r="K648" s="53" t="str">
        <f>IF(VLOOKUP($A648,DICO_Complet!$A$3:$U$983,12,FALSE)=0,"",VLOOKUP($A648,DICO_Complet!$A$3:$U$983,12,FALSE))</f>
        <v>ISO38</v>
      </c>
      <c r="L648" s="53" t="str">
        <f>IF(VLOOKUP($A648,DICO_Complet!$A$3:$U$983,13,FALSE)=0,"",VLOOKUP($A648,DICO_Complet!$A$3:$U$983,13,FALSE))</f>
        <v/>
      </c>
      <c r="M648" s="53" t="str">
        <f>IF(VLOOKUP($A648,DICO_Complet!$A$3:$U$983,14,FALSE)=0,"",VLOOKUP($A648,DICO_Complet!$A$3:$U$983,14,FALSE))</f>
        <v/>
      </c>
      <c r="N648" s="53" t="str">
        <f>IF(VLOOKUP($A648,DICO_Complet!$A$3:$U$983,15,FALSE)=0,"",VLOOKUP($A648,DICO_Complet!$A$3:$U$983,15,FALSE))</f>
        <v>ISO38</v>
      </c>
      <c r="O648" s="53" t="str">
        <f>IF(VLOOKUP($A648,DICO_Complet!$A$3:$U$983,16,FALSE)=0,"",VLOOKUP($A648,DICO_Complet!$A$3:$U$983,16,FALSE))</f>
        <v/>
      </c>
      <c r="P648" s="53" t="str">
        <f>IF(VLOOKUP($A648,DICO_Complet!$A$3:$U$983,17,FALSE)=0,"",VLOOKUP($A648,DICO_Complet!$A$3:$U$983,17,FALSE))</f>
        <v/>
      </c>
      <c r="Q648" s="53" t="str">
        <f>IF(VLOOKUP($A648,DICO_Complet!$A$3:$U$983,18,FALSE)=0,"",VLOOKUP($A648,DICO_Complet!$A$3:$U$983,18,FALSE))</f>
        <v/>
      </c>
    </row>
    <row r="649" spans="1:17">
      <c r="A649" s="38">
        <v>241112000180</v>
      </c>
      <c r="B649" s="47" t="s">
        <v>858</v>
      </c>
      <c r="C649" s="3" t="str">
        <f>VLOOKUP($A649,DICO_Complet!$A$3:$U$983,3,FALSE)</f>
        <v>Transaction</v>
      </c>
      <c r="D649" s="3" t="str">
        <f>VLOOKUP($A649,DICO_Complet!$A$3:$U$983,4,FALSE)</f>
        <v>originalTransactionData</v>
      </c>
      <c r="E649" s="2" t="str">
        <f>VLOOKUP($A649,DICO_Complet!$A$3:$U$983,5,FALSE)</f>
        <v>cardholderAuthenticationMethod</v>
      </c>
      <c r="F649" s="2" t="str">
        <f>VLOOKUP($A649,DICO_Complet!$A$3:$U$983,6,FALSE)</f>
        <v>Exact2Text</v>
      </c>
      <c r="G649" s="48">
        <f>VLOOKUP($A649,DICO_Complet!$A$3:$U$983,7,FALSE)</f>
        <v>0</v>
      </c>
      <c r="H649" s="48">
        <f>VLOOKUP($A649,DICO_Complet!$A$3:$U$983,8,FALSE)</f>
        <v>0</v>
      </c>
      <c r="I649" s="2" t="str">
        <f>IF(VLOOKUP($A649,DICO_Complet!$A$3:$U$983,9,FALSE)&lt;&gt;0,VLOOKUP($A649,DICO_Complet!$A$3:$U$983,9,FALSE),"")</f>
        <v/>
      </c>
      <c r="J649" s="1" t="str">
        <f>VLOOKUP($A649,DICO_Complet!$A$3:$U$983,10,FALSE)</f>
        <v>Cardholder authentication method</v>
      </c>
      <c r="K649" s="53" t="str">
        <f>IF(VLOOKUP($A649,DICO_Complet!$A$3:$U$983,12,FALSE)=0,"",VLOOKUP($A649,DICO_Complet!$A$3:$U$983,12,FALSE))</f>
        <v>RSB119_0420_ p2</v>
      </c>
      <c r="L649" s="53" t="str">
        <f>IF(VLOOKUP($A649,DICO_Complet!$A$3:$U$983,13,FALSE)=0,"",VLOOKUP($A649,DICO_Complet!$A$3:$U$983,13,FALSE))</f>
        <v>[119-0420-p2]</v>
      </c>
      <c r="M649" s="53" t="str">
        <f>IF(VLOOKUP($A649,DICO_Complet!$A$3:$U$983,14,FALSE)=0,"",VLOOKUP($A649,DICO_Complet!$A$3:$U$983,14,FALSE))</f>
        <v/>
      </c>
      <c r="N649" s="53" t="str">
        <f>IF(VLOOKUP($A649,DICO_Complet!$A$3:$U$983,15,FALSE)=0,"",VLOOKUP($A649,DICO_Complet!$A$3:$U$983,15,FALSE))</f>
        <v/>
      </c>
      <c r="O649" s="53" t="str">
        <f>IF(VLOOKUP($A649,DICO_Complet!$A$3:$U$983,16,FALSE)=0,"",VLOOKUP($A649,DICO_Complet!$A$3:$U$983,16,FALSE))</f>
        <v/>
      </c>
      <c r="P649" s="53" t="str">
        <f>IF(VLOOKUP($A649,DICO_Complet!$A$3:$U$983,17,FALSE)=0,"",VLOOKUP($A649,DICO_Complet!$A$3:$U$983,17,FALSE))</f>
        <v/>
      </c>
      <c r="Q649" s="53" t="str">
        <f>IF(VLOOKUP($A649,DICO_Complet!$A$3:$U$983,18,FALSE)=0,"",VLOOKUP($A649,DICO_Complet!$A$3:$U$983,18,FALSE))</f>
        <v/>
      </c>
    </row>
    <row r="650" spans="1:17">
      <c r="A650" s="38">
        <v>241112000181</v>
      </c>
      <c r="B650" s="47" t="s">
        <v>858</v>
      </c>
      <c r="C650" s="3" t="str">
        <f>VLOOKUP($A650,DICO_Complet!$A$3:$U$983,3,FALSE)</f>
        <v>Transaction</v>
      </c>
      <c r="D650" s="3" t="str">
        <f>VLOOKUP($A650,DICO_Complet!$A$3:$U$983,4,FALSE)</f>
        <v>originalTransactionData</v>
      </c>
      <c r="E650" s="2" t="str">
        <f>VLOOKUP($A650,DICO_Complet!$A$3:$U$983,5,FALSE)</f>
        <v>cardholderAuthenticationValue</v>
      </c>
      <c r="F650" s="2" t="str">
        <f>VLOOKUP($A650,DICO_Complet!$A$3:$U$983,6,FALSE)</f>
        <v>Min4Max40HexBinaryText</v>
      </c>
      <c r="G650" s="48">
        <f>VLOOKUP($A650,DICO_Complet!$A$3:$U$983,7,FALSE)</f>
        <v>0</v>
      </c>
      <c r="H650" s="48">
        <f>VLOOKUP($A650,DICO_Complet!$A$3:$U$983,8,FALSE)</f>
        <v>0</v>
      </c>
      <c r="I650" s="2" t="str">
        <f>IF(VLOOKUP($A650,DICO_Complet!$A$3:$U$983,9,FALSE)&lt;&gt;0,VLOOKUP($A650,DICO_Complet!$A$3:$U$983,9,FALSE),"")</f>
        <v/>
      </c>
      <c r="J650" s="1" t="str">
        <f>VLOOKUP($A650,DICO_Complet!$A$3:$U$983,10,FALSE)</f>
        <v>Cardholder Authentication value</v>
      </c>
      <c r="K650" s="53" t="str">
        <f>IF(VLOOKUP($A650,DICO_Complet!$A$3:$U$983,12,FALSE)=0,"",VLOOKUP($A650,DICO_Complet!$A$3:$U$983,12,FALSE))</f>
        <v>RSB119_0420_ p6</v>
      </c>
      <c r="L650" s="53" t="str">
        <f>IF(VLOOKUP($A650,DICO_Complet!$A$3:$U$983,13,FALSE)=0,"",VLOOKUP($A650,DICO_Complet!$A$3:$U$983,13,FALSE))</f>
        <v>[119-0420-p6]</v>
      </c>
      <c r="M650" s="53" t="str">
        <f>IF(VLOOKUP($A650,DICO_Complet!$A$3:$U$983,14,FALSE)=0,"",VLOOKUP($A650,DICO_Complet!$A$3:$U$983,14,FALSE))</f>
        <v>58_FF49</v>
      </c>
      <c r="N650" s="53" t="str">
        <f>IF(VLOOKUP($A650,DICO_Complet!$A$3:$U$983,15,FALSE)=0,"",VLOOKUP($A650,DICO_Complet!$A$3:$U$983,15,FALSE))</f>
        <v/>
      </c>
      <c r="O650" s="53" t="str">
        <f>IF(VLOOKUP($A650,DICO_Complet!$A$3:$U$983,16,FALSE)=0,"",VLOOKUP($A650,DICO_Complet!$A$3:$U$983,16,FALSE))</f>
        <v/>
      </c>
      <c r="P650" s="53" t="str">
        <f>IF(VLOOKUP($A650,DICO_Complet!$A$3:$U$983,17,FALSE)=0,"",VLOOKUP($A650,DICO_Complet!$A$3:$U$983,17,FALSE))</f>
        <v/>
      </c>
      <c r="Q650" s="53" t="str">
        <f>IF(VLOOKUP($A650,DICO_Complet!$A$3:$U$983,18,FALSE)=0,"",VLOOKUP($A650,DICO_Complet!$A$3:$U$983,18,FALSE))</f>
        <v/>
      </c>
    </row>
    <row r="651" spans="1:17">
      <c r="A651" s="38">
        <v>241112000182</v>
      </c>
      <c r="B651" s="47" t="s">
        <v>858</v>
      </c>
      <c r="C651" s="3" t="str">
        <f>VLOOKUP($A651,DICO_Complet!$A$3:$U$983,3,FALSE)</f>
        <v>Transaction</v>
      </c>
      <c r="D651" s="3" t="str">
        <f>VLOOKUP($A651,DICO_Complet!$A$3:$U$983,4,FALSE)</f>
        <v>originalTransactionData</v>
      </c>
      <c r="E651" s="2" t="str">
        <f>VLOOKUP($A651,DICO_Complet!$A$3:$U$983,5,FALSE)</f>
        <v>cardholderAuthenticationValueCalculationMethod</v>
      </c>
      <c r="F651" s="2" t="str">
        <f>VLOOKUP($A651,DICO_Complet!$A$3:$U$983,6,FALSE)</f>
        <v>Exact1AlphaNumericText</v>
      </c>
      <c r="G651" s="48">
        <f>VLOOKUP($A651,DICO_Complet!$A$3:$U$983,7,FALSE)</f>
        <v>0</v>
      </c>
      <c r="H651" s="48">
        <f>VLOOKUP($A651,DICO_Complet!$A$3:$U$983,8,FALSE)</f>
        <v>0</v>
      </c>
      <c r="I651" s="2" t="str">
        <f>IF(VLOOKUP($A651,DICO_Complet!$A$3:$U$983,9,FALSE)&lt;&gt;0,VLOOKUP($A651,DICO_Complet!$A$3:$U$983,9,FALSE),"")</f>
        <v/>
      </c>
      <c r="J651" s="1" t="str">
        <f>VLOOKUP($A651,DICO_Complet!$A$3:$U$983,10,FALSE)</f>
        <v>Cardholder authentication value calculation method</v>
      </c>
      <c r="K651" s="53" t="str">
        <f>IF(VLOOKUP($A651,DICO_Complet!$A$3:$U$983,12,FALSE)=0,"",VLOOKUP($A651,DICO_Complet!$A$3:$U$983,12,FALSE))</f>
        <v>RSB119_0420_ p3</v>
      </c>
      <c r="L651" s="53" t="str">
        <f>IF(VLOOKUP($A651,DICO_Complet!$A$3:$U$983,13,FALSE)=0,"",VLOOKUP($A651,DICO_Complet!$A$3:$U$983,13,FALSE))</f>
        <v>[119-0420-p3]</v>
      </c>
      <c r="M651" s="53" t="str">
        <f>IF(VLOOKUP($A651,DICO_Complet!$A$3:$U$983,14,FALSE)=0,"",VLOOKUP($A651,DICO_Complet!$A$3:$U$983,14,FALSE))</f>
        <v/>
      </c>
      <c r="N651" s="53" t="str">
        <f>IF(VLOOKUP($A651,DICO_Complet!$A$3:$U$983,15,FALSE)=0,"",VLOOKUP($A651,DICO_Complet!$A$3:$U$983,15,FALSE))</f>
        <v/>
      </c>
      <c r="O651" s="53" t="str">
        <f>IF(VLOOKUP($A651,DICO_Complet!$A$3:$U$983,16,FALSE)=0,"",VLOOKUP($A651,DICO_Complet!$A$3:$U$983,16,FALSE))</f>
        <v/>
      </c>
      <c r="P651" s="53" t="str">
        <f>IF(VLOOKUP($A651,DICO_Complet!$A$3:$U$983,17,FALSE)=0,"",VLOOKUP($A651,DICO_Complet!$A$3:$U$983,17,FALSE))</f>
        <v/>
      </c>
      <c r="Q651" s="53" t="str">
        <f>IF(VLOOKUP($A651,DICO_Complet!$A$3:$U$983,18,FALSE)=0,"",VLOOKUP($A651,DICO_Complet!$A$3:$U$983,18,FALSE))</f>
        <v/>
      </c>
    </row>
    <row r="652" spans="1:17">
      <c r="A652" s="38">
        <v>241112000183</v>
      </c>
      <c r="B652" s="47" t="s">
        <v>858</v>
      </c>
      <c r="C652" s="3" t="str">
        <f>VLOOKUP($A652,DICO_Complet!$A$3:$U$983,3,FALSE)</f>
        <v>Transaction</v>
      </c>
      <c r="D652" s="3" t="str">
        <f>VLOOKUP($A652,DICO_Complet!$A$3:$U$983,4,FALSE)</f>
        <v>originalTransactionData</v>
      </c>
      <c r="E652" s="2" t="str">
        <f>VLOOKUP($A652,DICO_Complet!$A$3:$U$983,5,FALSE)</f>
        <v>dsTransactionId</v>
      </c>
      <c r="F652" s="2" t="str">
        <f>VLOOKUP($A652,DICO_Complet!$A$3:$U$983,6,FALSE)</f>
        <v>Exact36Text</v>
      </c>
      <c r="G652" s="48">
        <f>VLOOKUP($A652,DICO_Complet!$A$3:$U$983,7,FALSE)</f>
        <v>0</v>
      </c>
      <c r="H652" s="48">
        <f>VLOOKUP($A652,DICO_Complet!$A$3:$U$983,8,FALSE)</f>
        <v>0</v>
      </c>
      <c r="I652" s="2" t="str">
        <f>IF(VLOOKUP($A652,DICO_Complet!$A$3:$U$983,9,FALSE)&lt;&gt;0,VLOOKUP($A652,DICO_Complet!$A$3:$U$983,9,FALSE),"")</f>
        <v/>
      </c>
      <c r="J652" s="1" t="str">
        <f>VLOOKUP($A652,DICO_Complet!$A$3:$U$983,10,FALSE)</f>
        <v>DS Transaction ID</v>
      </c>
      <c r="K652" s="53" t="str">
        <f>IF(VLOOKUP($A652,DICO_Complet!$A$3:$U$983,12,FALSE)=0,"",VLOOKUP($A652,DICO_Complet!$A$3:$U$983,12,FALSE))</f>
        <v>RSB119_0046_ p3</v>
      </c>
      <c r="L652" s="53" t="str">
        <f>IF(VLOOKUP($A652,DICO_Complet!$A$3:$U$983,13,FALSE)=0,"",VLOOKUP($A652,DICO_Complet!$A$3:$U$983,13,FALSE))</f>
        <v>[119-0046-p3]</v>
      </c>
      <c r="M652" s="53" t="str">
        <f>IF(VLOOKUP($A652,DICO_Complet!$A$3:$U$983,14,FALSE)=0,"",VLOOKUP($A652,DICO_Complet!$A$3:$U$983,14,FALSE))</f>
        <v/>
      </c>
      <c r="N652" s="53" t="str">
        <f>IF(VLOOKUP($A652,DICO_Complet!$A$3:$U$983,15,FALSE)=0,"",VLOOKUP($A652,DICO_Complet!$A$3:$U$983,15,FALSE))</f>
        <v/>
      </c>
      <c r="O652" s="53" t="str">
        <f>IF(VLOOKUP($A652,DICO_Complet!$A$3:$U$983,16,FALSE)=0,"",VLOOKUP($A652,DICO_Complet!$A$3:$U$983,16,FALSE))</f>
        <v/>
      </c>
      <c r="P652" s="53" t="str">
        <f>IF(VLOOKUP($A652,DICO_Complet!$A$3:$U$983,17,FALSE)=0,"",VLOOKUP($A652,DICO_Complet!$A$3:$U$983,17,FALSE))</f>
        <v/>
      </c>
      <c r="Q652" s="53" t="str">
        <f>IF(VLOOKUP($A652,DICO_Complet!$A$3:$U$983,18,FALSE)=0,"",VLOOKUP($A652,DICO_Complet!$A$3:$U$983,18,FALSE))</f>
        <v/>
      </c>
    </row>
    <row r="653" spans="1:17">
      <c r="A653" s="38">
        <v>241112000184</v>
      </c>
      <c r="B653" s="47" t="s">
        <v>858</v>
      </c>
      <c r="C653" s="3" t="str">
        <f>VLOOKUP($A653,DICO_Complet!$A$3:$U$983,3,FALSE)</f>
        <v>Transaction</v>
      </c>
      <c r="D653" s="3" t="str">
        <f>VLOOKUP($A653,DICO_Complet!$A$3:$U$983,4,FALSE)</f>
        <v>originalTransactionData</v>
      </c>
      <c r="E653" s="2" t="str">
        <f>VLOOKUP($A653,DICO_Complet!$A$3:$U$983,5,FALSE)</f>
        <v>electronicCommerceAuthentication</v>
      </c>
      <c r="F653" s="2" t="str">
        <f>VLOOKUP($A653,DICO_Complet!$A$3:$U$983,6,FALSE)</f>
        <v>Exact2NumericText</v>
      </c>
      <c r="G653" s="48">
        <f>VLOOKUP($A653,DICO_Complet!$A$3:$U$983,7,FALSE)</f>
        <v>0</v>
      </c>
      <c r="H653" s="48">
        <f>VLOOKUP($A653,DICO_Complet!$A$3:$U$983,8,FALSE)</f>
        <v>0</v>
      </c>
      <c r="I653" s="2" t="str">
        <f>IF(VLOOKUP($A653,DICO_Complet!$A$3:$U$983,9,FALSE)&lt;&gt;0,VLOOKUP($A653,DICO_Complet!$A$3:$U$983,9,FALSE),"")</f>
        <v/>
      </c>
      <c r="J653" s="1" t="str">
        <f>VLOOKUP($A653,DICO_Complet!$A$3:$U$983,10,FALSE)</f>
        <v>Electronic commerce transaction authentication type</v>
      </c>
      <c r="K653" s="53" t="str">
        <f>IF(VLOOKUP($A653,DICO_Complet!$A$3:$U$983,12,FALSE)=0,"",VLOOKUP($A653,DICO_Complet!$A$3:$U$983,12,FALSE))</f>
        <v>RSB119_0420_ p1</v>
      </c>
      <c r="L653" s="53" t="str">
        <f>IF(VLOOKUP($A653,DICO_Complet!$A$3:$U$983,13,FALSE)=0,"",VLOOKUP($A653,DICO_Complet!$A$3:$U$983,13,FALSE))</f>
        <v>[119-0420-p1]</v>
      </c>
      <c r="M653" s="53" t="str">
        <f>IF(VLOOKUP($A653,DICO_Complet!$A$3:$U$983,14,FALSE)=0,"",VLOOKUP($A653,DICO_Complet!$A$3:$U$983,14,FALSE))</f>
        <v/>
      </c>
      <c r="N653" s="53" t="str">
        <f>IF(VLOOKUP($A653,DICO_Complet!$A$3:$U$983,15,FALSE)=0,"",VLOOKUP($A653,DICO_Complet!$A$3:$U$983,15,FALSE))</f>
        <v/>
      </c>
      <c r="O653" s="53" t="str">
        <f>IF(VLOOKUP($A653,DICO_Complet!$A$3:$U$983,16,FALSE)=0,"",VLOOKUP($A653,DICO_Complet!$A$3:$U$983,16,FALSE))</f>
        <v/>
      </c>
      <c r="P653" s="53" t="str">
        <f>IF(VLOOKUP($A653,DICO_Complet!$A$3:$U$983,17,FALSE)=0,"",VLOOKUP($A653,DICO_Complet!$A$3:$U$983,17,FALSE))</f>
        <v/>
      </c>
      <c r="Q653" s="53" t="str">
        <f>IF(VLOOKUP($A653,DICO_Complet!$A$3:$U$983,18,FALSE)=0,"",VLOOKUP($A653,DICO_Complet!$A$3:$U$983,18,FALSE))</f>
        <v/>
      </c>
    </row>
    <row r="654" spans="1:17">
      <c r="A654" s="38">
        <v>250425125002</v>
      </c>
      <c r="B654" s="47" t="s">
        <v>858</v>
      </c>
      <c r="C654" s="3" t="str">
        <f>VLOOKUP($A654,DICO_Complet!$A$3:$U$983,3,FALSE)</f>
        <v>Transaction</v>
      </c>
      <c r="D654" s="3" t="str">
        <f>VLOOKUP($A654,DICO_Complet!$A$3:$U$983,4,FALSE)</f>
        <v>originalTransactionData</v>
      </c>
      <c r="E654" s="2" t="str">
        <f>VLOOKUP($A654,DICO_Complet!$A$3:$U$983,5,FALSE)</f>
        <v>institutionIdCode</v>
      </c>
      <c r="F654" s="2" t="str">
        <f>VLOOKUP($A654,DICO_Complet!$A$3:$U$983,6,FALSE)</f>
        <v>Exact11NumericText</v>
      </c>
      <c r="G654" s="48">
        <f>VLOOKUP($A654,DICO_Complet!$A$3:$U$983,7,FALSE)</f>
        <v>0</v>
      </c>
      <c r="H654" s="48">
        <f>VLOOKUP($A654,DICO_Complet!$A$3:$U$983,8,FALSE)</f>
        <v>0</v>
      </c>
      <c r="I654" s="2" t="str">
        <f>IF(VLOOKUP($A654,DICO_Complet!$A$3:$U$983,9,FALSE)&lt;&gt;0,VLOOKUP($A654,DICO_Complet!$A$3:$U$983,9,FALSE),"")</f>
        <v/>
      </c>
      <c r="J654" s="1" t="str">
        <f>VLOOKUP($A654,DICO_Complet!$A$3:$U$983,10,FALSE)</f>
        <v>acquiring institution identification code in original message</v>
      </c>
      <c r="K654" s="53" t="str">
        <f>IF(VLOOKUP($A654,DICO_Complet!$A$3:$U$983,12,FALSE)=0,"",VLOOKUP($A654,DICO_Complet!$A$3:$U$983,12,FALSE))</f>
        <v/>
      </c>
      <c r="L654" s="53" t="str">
        <f>IF(VLOOKUP($A654,DICO_Complet!$A$3:$U$983,13,FALSE)=0,"",VLOOKUP($A654,DICO_Complet!$A$3:$U$983,13,FALSE))</f>
        <v>RSB93</v>
      </c>
      <c r="M654" s="53" t="str">
        <f>IF(VLOOKUP($A654,DICO_Complet!$A$3:$U$983,14,FALSE)=0,"",VLOOKUP($A654,DICO_Complet!$A$3:$U$983,14,FALSE))</f>
        <v xml:space="preserve">56 _  part 6 </v>
      </c>
      <c r="N654" s="53" t="str">
        <f>IF(VLOOKUP($A654,DICO_Complet!$A$3:$U$983,15,FALSE)=0,"",VLOOKUP($A654,DICO_Complet!$A$3:$U$983,15,FALSE))</f>
        <v/>
      </c>
      <c r="O654" s="53" t="str">
        <f>IF(VLOOKUP($A654,DICO_Complet!$A$3:$U$983,16,FALSE)=0,"",VLOOKUP($A654,DICO_Complet!$A$3:$U$983,16,FALSE))</f>
        <v/>
      </c>
      <c r="P654" s="53" t="str">
        <f>IF(VLOOKUP($A654,DICO_Complet!$A$3:$U$983,17,FALSE)=0,"",VLOOKUP($A654,DICO_Complet!$A$3:$U$983,17,FALSE))</f>
        <v/>
      </c>
      <c r="Q654" s="53" t="str">
        <f>IF(VLOOKUP($A654,DICO_Complet!$A$3:$U$983,18,FALSE)=0,"",VLOOKUP($A654,DICO_Complet!$A$3:$U$983,18,FALSE))</f>
        <v/>
      </c>
    </row>
    <row r="655" spans="1:17">
      <c r="A655" s="38">
        <v>250425125001</v>
      </c>
      <c r="B655" s="47" t="s">
        <v>858</v>
      </c>
      <c r="C655" s="3" t="str">
        <f>VLOOKUP($A655,DICO_Complet!$A$3:$U$983,3,FALSE)</f>
        <v>Transaction</v>
      </c>
      <c r="D655" s="3" t="str">
        <f>VLOOKUP($A655,DICO_Complet!$A$3:$U$983,4,FALSE)</f>
        <v>originalTransactionData</v>
      </c>
      <c r="E655" s="2" t="str">
        <f>VLOOKUP($A655,DICO_Complet!$A$3:$U$983,5,FALSE)</f>
        <v>lengthOfAcquiringInstitutionIdCode</v>
      </c>
      <c r="F655" s="2" t="str">
        <f>VLOOKUP($A655,DICO_Complet!$A$3:$U$983,6,FALSE)</f>
        <v>Exact2NumericText</v>
      </c>
      <c r="G655" s="48">
        <f>VLOOKUP($A655,DICO_Complet!$A$3:$U$983,7,FALSE)</f>
        <v>0</v>
      </c>
      <c r="H655" s="48">
        <f>VLOOKUP($A655,DICO_Complet!$A$3:$U$983,8,FALSE)</f>
        <v>0</v>
      </c>
      <c r="I655" s="2" t="str">
        <f>IF(VLOOKUP($A655,DICO_Complet!$A$3:$U$983,9,FALSE)&lt;&gt;0,VLOOKUP($A655,DICO_Complet!$A$3:$U$983,9,FALSE),"")</f>
        <v/>
      </c>
      <c r="J655" s="1" t="str">
        <f>VLOOKUP($A655,DICO_Complet!$A$3:$U$983,10,FALSE)</f>
        <v>length of the acquiring institution identification code</v>
      </c>
      <c r="K655" s="53" t="str">
        <f>IF(VLOOKUP($A655,DICO_Complet!$A$3:$U$983,12,FALSE)=0,"",VLOOKUP($A655,DICO_Complet!$A$3:$U$983,12,FALSE))</f>
        <v/>
      </c>
      <c r="L655" s="53" t="str">
        <f>IF(VLOOKUP($A655,DICO_Complet!$A$3:$U$983,13,FALSE)=0,"",VLOOKUP($A655,DICO_Complet!$A$3:$U$983,13,FALSE))</f>
        <v>RSB92</v>
      </c>
      <c r="M655" s="53" t="str">
        <f>IF(VLOOKUP($A655,DICO_Complet!$A$3:$U$983,14,FALSE)=0,"",VLOOKUP($A655,DICO_Complet!$A$3:$U$983,14,FALSE))</f>
        <v xml:space="preserve">56 _ part 5 </v>
      </c>
      <c r="N655" s="53" t="str">
        <f>IF(VLOOKUP($A655,DICO_Complet!$A$3:$U$983,15,FALSE)=0,"",VLOOKUP($A655,DICO_Complet!$A$3:$U$983,15,FALSE))</f>
        <v/>
      </c>
      <c r="O655" s="53" t="str">
        <f>IF(VLOOKUP($A655,DICO_Complet!$A$3:$U$983,16,FALSE)=0,"",VLOOKUP($A655,DICO_Complet!$A$3:$U$983,16,FALSE))</f>
        <v/>
      </c>
      <c r="P655" s="53" t="str">
        <f>IF(VLOOKUP($A655,DICO_Complet!$A$3:$U$983,17,FALSE)=0,"",VLOOKUP($A655,DICO_Complet!$A$3:$U$983,17,FALSE))</f>
        <v/>
      </c>
      <c r="Q655" s="53" t="str">
        <f>IF(VLOOKUP($A655,DICO_Complet!$A$3:$U$983,18,FALSE)=0,"",VLOOKUP($A655,DICO_Complet!$A$3:$U$983,18,FALSE))</f>
        <v/>
      </c>
    </row>
    <row r="656" spans="1:17">
      <c r="A656" s="38">
        <v>250425125000</v>
      </c>
      <c r="B656" s="47" t="s">
        <v>858</v>
      </c>
      <c r="C656" s="3" t="str">
        <f>VLOOKUP($A656,DICO_Complet!$A$3:$U$983,3,FALSE)</f>
        <v>Transaction</v>
      </c>
      <c r="D656" s="3" t="str">
        <f>VLOOKUP($A656,DICO_Complet!$A$3:$U$983,4,FALSE)</f>
        <v>originalTransactionData</v>
      </c>
      <c r="E656" s="2" t="str">
        <f>VLOOKUP($A656,DICO_Complet!$A$3:$U$983,5,FALSE)</f>
        <v>localDateTime</v>
      </c>
      <c r="F656" s="2" t="str">
        <f>VLOOKUP($A656,DICO_Complet!$A$3:$U$983,6,FALSE)</f>
        <v>ISODateTime</v>
      </c>
      <c r="G656" s="48">
        <f>VLOOKUP($A656,DICO_Complet!$A$3:$U$983,7,FALSE)</f>
        <v>0</v>
      </c>
      <c r="H656" s="48">
        <f>VLOOKUP($A656,DICO_Complet!$A$3:$U$983,8,FALSE)</f>
        <v>0</v>
      </c>
      <c r="I656" s="2" t="str">
        <f>IF(VLOOKUP($A656,DICO_Complet!$A$3:$U$983,9,FALSE)&lt;&gt;0,VLOOKUP($A656,DICO_Complet!$A$3:$U$983,9,FALSE),"")</f>
        <v/>
      </c>
      <c r="J656" s="1" t="str">
        <f>VLOOKUP($A656,DICO_Complet!$A$3:$U$983,10,FALSE)</f>
        <v>local transaction date time in original message</v>
      </c>
      <c r="K656" s="53" t="str">
        <f>IF(VLOOKUP($A656,DICO_Complet!$A$3:$U$983,12,FALSE)=0,"",VLOOKUP($A656,DICO_Complet!$A$3:$U$983,12,FALSE))</f>
        <v/>
      </c>
      <c r="L656" s="53" t="str">
        <f>IF(VLOOKUP($A656,DICO_Complet!$A$3:$U$983,13,FALSE)=0,"",VLOOKUP($A656,DICO_Complet!$A$3:$U$983,13,FALSE))</f>
        <v>RSB91</v>
      </c>
      <c r="M656" s="53" t="str">
        <f>IF(VLOOKUP($A656,DICO_Complet!$A$3:$U$983,14,FALSE)=0,"",VLOOKUP($A656,DICO_Complet!$A$3:$U$983,14,FALSE))</f>
        <v xml:space="preserve">56 _ part 3 </v>
      </c>
      <c r="N656" s="53" t="str">
        <f>IF(VLOOKUP($A656,DICO_Complet!$A$3:$U$983,15,FALSE)=0,"",VLOOKUP($A656,DICO_Complet!$A$3:$U$983,15,FALSE))</f>
        <v/>
      </c>
      <c r="O656" s="53" t="str">
        <f>IF(VLOOKUP($A656,DICO_Complet!$A$3:$U$983,16,FALSE)=0,"",VLOOKUP($A656,DICO_Complet!$A$3:$U$983,16,FALSE))</f>
        <v/>
      </c>
      <c r="P656" s="53" t="str">
        <f>IF(VLOOKUP($A656,DICO_Complet!$A$3:$U$983,17,FALSE)=0,"",VLOOKUP($A656,DICO_Complet!$A$3:$U$983,17,FALSE))</f>
        <v/>
      </c>
      <c r="Q656" s="53" t="str">
        <f>IF(VLOOKUP($A656,DICO_Complet!$A$3:$U$983,18,FALSE)=0,"",VLOOKUP($A656,DICO_Complet!$A$3:$U$983,18,FALSE))</f>
        <v/>
      </c>
    </row>
    <row r="657" spans="1:17">
      <c r="A657" s="38">
        <v>241112000185</v>
      </c>
      <c r="B657" s="47" t="s">
        <v>858</v>
      </c>
      <c r="C657" s="3" t="str">
        <f>VLOOKUP($A657,DICO_Complet!$A$3:$U$983,3,FALSE)</f>
        <v>Transaction</v>
      </c>
      <c r="D657" s="3" t="str">
        <f>VLOOKUP($A657,DICO_Complet!$A$3:$U$983,4,FALSE)</f>
        <v>originalTransactionData</v>
      </c>
      <c r="E657" s="2" t="str">
        <f>VLOOKUP($A657,DICO_Complet!$A$3:$U$983,5,FALSE)</f>
        <v>merchantName</v>
      </c>
      <c r="F657" s="2" t="str">
        <f>VLOOKUP($A657,DICO_Complet!$A$3:$U$983,6,FALSE)</f>
        <v>Max40Text</v>
      </c>
      <c r="G657" s="48">
        <f>VLOOKUP($A657,DICO_Complet!$A$3:$U$983,7,FALSE)</f>
        <v>0</v>
      </c>
      <c r="H657" s="48">
        <f>VLOOKUP($A657,DICO_Complet!$A$3:$U$983,8,FALSE)</f>
        <v>0</v>
      </c>
      <c r="I657" s="2" t="str">
        <f>IF(VLOOKUP($A657,DICO_Complet!$A$3:$U$983,9,FALSE)&lt;&gt;0,VLOOKUP($A657,DICO_Complet!$A$3:$U$983,9,FALSE),"")</f>
        <v/>
      </c>
      <c r="J657" s="1" t="str">
        <f>VLOOKUP($A657,DICO_Complet!$A$3:$U$983,10,FALSE)</f>
        <v>Merchand Name</v>
      </c>
      <c r="K657" s="53" t="str">
        <f>IF(VLOOKUP($A657,DICO_Complet!$A$3:$U$983,12,FALSE)=0,"",VLOOKUP($A657,DICO_Complet!$A$3:$U$983,12,FALSE))</f>
        <v>RSB119_0046_ p4</v>
      </c>
      <c r="L657" s="53" t="str">
        <f>IF(VLOOKUP($A657,DICO_Complet!$A$3:$U$983,13,FALSE)=0,"",VLOOKUP($A657,DICO_Complet!$A$3:$U$983,13,FALSE))</f>
        <v>[119-0046-p4]</v>
      </c>
      <c r="M657" s="53" t="str">
        <f>IF(VLOOKUP($A657,DICO_Complet!$A$3:$U$983,14,FALSE)=0,"",VLOOKUP($A657,DICO_Complet!$A$3:$U$983,14,FALSE))</f>
        <v/>
      </c>
      <c r="N657" s="53" t="str">
        <f>IF(VLOOKUP($A657,DICO_Complet!$A$3:$U$983,15,FALSE)=0,"",VLOOKUP($A657,DICO_Complet!$A$3:$U$983,15,FALSE))</f>
        <v/>
      </c>
      <c r="O657" s="53" t="str">
        <f>IF(VLOOKUP($A657,DICO_Complet!$A$3:$U$983,16,FALSE)=0,"",VLOOKUP($A657,DICO_Complet!$A$3:$U$983,16,FALSE))</f>
        <v/>
      </c>
      <c r="P657" s="53" t="str">
        <f>IF(VLOOKUP($A657,DICO_Complet!$A$3:$U$983,17,FALSE)=0,"",VLOOKUP($A657,DICO_Complet!$A$3:$U$983,17,FALSE))</f>
        <v/>
      </c>
      <c r="Q657" s="53" t="str">
        <f>IF(VLOOKUP($A657,DICO_Complet!$A$3:$U$983,18,FALSE)=0,"",VLOOKUP($A657,DICO_Complet!$A$3:$U$983,18,FALSE))</f>
        <v/>
      </c>
    </row>
    <row r="658" spans="1:17">
      <c r="A658" s="38">
        <v>250425100319</v>
      </c>
      <c r="B658" s="47" t="s">
        <v>858</v>
      </c>
      <c r="C658" s="3" t="str">
        <f>VLOOKUP($A658,DICO_Complet!$A$3:$U$983,3,FALSE)</f>
        <v>Transaction</v>
      </c>
      <c r="D658" s="3" t="str">
        <f>VLOOKUP($A658,DICO_Complet!$A$3:$U$983,4,FALSE)</f>
        <v>originalTransactionData</v>
      </c>
      <c r="E658" s="2" t="str">
        <f>VLOOKUP($A658,DICO_Complet!$A$3:$U$983,5,FALSE)</f>
        <v>messageId</v>
      </c>
      <c r="F658" s="2" t="str">
        <f>VLOOKUP($A658,DICO_Complet!$A$3:$U$983,6,FALSE)</f>
        <v>Exact4NumericText</v>
      </c>
      <c r="G658" s="48">
        <f>VLOOKUP($A658,DICO_Complet!$A$3:$U$983,7,FALSE)</f>
        <v>0</v>
      </c>
      <c r="H658" s="48">
        <f>VLOOKUP($A658,DICO_Complet!$A$3:$U$983,8,FALSE)</f>
        <v>0</v>
      </c>
      <c r="I658" s="2" t="str">
        <f>IF(VLOOKUP($A658,DICO_Complet!$A$3:$U$983,9,FALSE)&lt;&gt;0,VLOOKUP($A658,DICO_Complet!$A$3:$U$983,9,FALSE),"")</f>
        <v/>
      </c>
      <c r="J658" s="1" t="str">
        <f>VLOOKUP($A658,DICO_Complet!$A$3:$U$983,10,FALSE)</f>
        <v>message identifier</v>
      </c>
      <c r="K658" s="53" t="str">
        <f>IF(VLOOKUP($A658,DICO_Complet!$A$3:$U$983,12,FALSE)=0,"",VLOOKUP($A658,DICO_Complet!$A$3:$U$983,12,FALSE))</f>
        <v/>
      </c>
      <c r="L658" s="53" t="str">
        <f>IF(VLOOKUP($A658,DICO_Complet!$A$3:$U$983,13,FALSE)=0,"",VLOOKUP($A658,DICO_Complet!$A$3:$U$983,13,FALSE))</f>
        <v>RSB90</v>
      </c>
      <c r="M658" s="53" t="str">
        <f>IF(VLOOKUP($A658,DICO_Complet!$A$3:$U$983,14,FALSE)=0,"",VLOOKUP($A658,DICO_Complet!$A$3:$U$983,14,FALSE))</f>
        <v>56 _ part 1</v>
      </c>
      <c r="N658" s="53" t="str">
        <f>IF(VLOOKUP($A658,DICO_Complet!$A$3:$U$983,15,FALSE)=0,"",VLOOKUP($A658,DICO_Complet!$A$3:$U$983,15,FALSE))</f>
        <v/>
      </c>
      <c r="O658" s="53" t="str">
        <f>IF(VLOOKUP($A658,DICO_Complet!$A$3:$U$983,16,FALSE)=0,"",VLOOKUP($A658,DICO_Complet!$A$3:$U$983,16,FALSE))</f>
        <v/>
      </c>
      <c r="P658" s="53" t="str">
        <f>IF(VLOOKUP($A658,DICO_Complet!$A$3:$U$983,17,FALSE)=0,"",VLOOKUP($A658,DICO_Complet!$A$3:$U$983,17,FALSE))</f>
        <v/>
      </c>
      <c r="Q658" s="53" t="str">
        <f>IF(VLOOKUP($A658,DICO_Complet!$A$3:$U$983,18,FALSE)=0,"",VLOOKUP($A658,DICO_Complet!$A$3:$U$983,18,FALSE))</f>
        <v/>
      </c>
    </row>
    <row r="659" spans="1:17">
      <c r="A659" s="38">
        <v>241112000212</v>
      </c>
      <c r="B659" s="47" t="s">
        <v>858</v>
      </c>
      <c r="C659" s="3" t="str">
        <f>VLOOKUP($A659,DICO_Complet!$A$3:$U$983,3,FALSE)</f>
        <v>Transaction</v>
      </c>
      <c r="D659" s="3" t="str">
        <f>VLOOKUP($A659,DICO_Complet!$A$3:$U$983,4,FALSE)</f>
        <v>originalTransactionData</v>
      </c>
      <c r="E659" s="2" t="str">
        <f>VLOOKUP($A659,DICO_Complet!$A$3:$U$983,5,FALSE)</f>
        <v>originalUniqueIdentifier</v>
      </c>
      <c r="F659" s="2" t="str">
        <f>VLOOKUP($A659,DICO_Complet!$A$3:$U$983,6,FALSE)</f>
        <v>Max50Text</v>
      </c>
      <c r="G659" s="48">
        <f>VLOOKUP($A659,DICO_Complet!$A$3:$U$983,7,FALSE)</f>
        <v>0</v>
      </c>
      <c r="H659" s="48">
        <f>VLOOKUP($A659,DICO_Complet!$A$3:$U$983,8,FALSE)</f>
        <v>0</v>
      </c>
      <c r="I659" s="2" t="str">
        <f>IF(VLOOKUP($A659,DICO_Complet!$A$3:$U$983,9,FALSE)&lt;&gt;0,VLOOKUP($A659,DICO_Complet!$A$3:$U$983,9,FALSE),"")</f>
        <v/>
      </c>
      <c r="J659" s="1" t="str">
        <f>VLOOKUP($A659,DICO_Complet!$A$3:$U$983,10,FALSE)</f>
        <v>Debit unique reference identifier</v>
      </c>
      <c r="K659" s="53" t="str">
        <f>IF(VLOOKUP($A659,DICO_Complet!$A$3:$U$983,12,FALSE)=0,"",VLOOKUP($A659,DICO_Complet!$A$3:$U$983,12,FALSE))</f>
        <v>RSB119_0047</v>
      </c>
      <c r="L659" s="53" t="str">
        <f>IF(VLOOKUP($A659,DICO_Complet!$A$3:$U$983,13,FALSE)=0,"",VLOOKUP($A659,DICO_Complet!$A$3:$U$983,13,FALSE))</f>
        <v>[119-0047]</v>
      </c>
      <c r="M659" s="53" t="str">
        <f>IF(VLOOKUP($A659,DICO_Complet!$A$3:$U$983,14,FALSE)=0,"",VLOOKUP($A659,DICO_Complet!$A$3:$U$983,14,FALSE))</f>
        <v>[47_99]</v>
      </c>
      <c r="N659" s="53" t="str">
        <f>IF(VLOOKUP($A659,DICO_Complet!$A$3:$U$983,15,FALSE)=0,"",VLOOKUP($A659,DICO_Complet!$A$3:$U$983,15,FALSE))</f>
        <v/>
      </c>
      <c r="O659" s="53" t="str">
        <f>IF(VLOOKUP($A659,DICO_Complet!$A$3:$U$983,16,FALSE)=0,"",VLOOKUP($A659,DICO_Complet!$A$3:$U$983,16,FALSE))</f>
        <v/>
      </c>
      <c r="P659" s="53" t="str">
        <f>IF(VLOOKUP($A659,DICO_Complet!$A$3:$U$983,17,FALSE)=0,"",VLOOKUP($A659,DICO_Complet!$A$3:$U$983,17,FALSE))</f>
        <v/>
      </c>
      <c r="Q659" s="53" t="str">
        <f>IF(VLOOKUP($A659,DICO_Complet!$A$3:$U$983,18,FALSE)=0,"",VLOOKUP($A659,DICO_Complet!$A$3:$U$983,18,FALSE))</f>
        <v/>
      </c>
    </row>
    <row r="660" spans="1:17">
      <c r="A660" s="38">
        <v>241112000186</v>
      </c>
      <c r="B660" s="47" t="s">
        <v>858</v>
      </c>
      <c r="C660" s="3" t="str">
        <f>VLOOKUP($A660,DICO_Complet!$A$3:$U$983,3,FALSE)</f>
        <v>Transaction</v>
      </c>
      <c r="D660" s="3" t="str">
        <f>VLOOKUP($A660,DICO_Complet!$A$3:$U$983,4,FALSE)</f>
        <v>originalTransactionData</v>
      </c>
      <c r="E660" s="2" t="str">
        <f>VLOOKUP($A660,DICO_Complet!$A$3:$U$983,5,FALSE)</f>
        <v>securedRemotePaymentArchitectureResult</v>
      </c>
      <c r="F660" s="2" t="str">
        <f>VLOOKUP($A660,DICO_Complet!$A$3:$U$983,6,FALSE)</f>
        <v>Max4Text</v>
      </c>
      <c r="G660" s="48">
        <f>VLOOKUP($A660,DICO_Complet!$A$3:$U$983,7,FALSE)</f>
        <v>0</v>
      </c>
      <c r="H660" s="48">
        <f>VLOOKUP($A660,DICO_Complet!$A$3:$U$983,8,FALSE)</f>
        <v>0</v>
      </c>
      <c r="I660" s="2" t="str">
        <f>IF(VLOOKUP($A660,DICO_Complet!$A$3:$U$983,9,FALSE)&lt;&gt;0,VLOOKUP($A660,DICO_Complet!$A$3:$U$983,9,FALSE),"")</f>
        <v/>
      </c>
      <c r="J660" s="1" t="str">
        <f>VLOOKUP($A660,DICO_Complet!$A$3:$U$983,10,FALSE)</f>
        <v>Result of using a secured remote payment architecture</v>
      </c>
      <c r="K660" s="53" t="str">
        <f>IF(VLOOKUP($A660,DICO_Complet!$A$3:$U$983,12,FALSE)=0,"",VLOOKUP($A660,DICO_Complet!$A$3:$U$983,12,FALSE))</f>
        <v>RSB119_0420_ p4</v>
      </c>
      <c r="L660" s="53" t="str">
        <f>IF(VLOOKUP($A660,DICO_Complet!$A$3:$U$983,13,FALSE)=0,"",VLOOKUP($A660,DICO_Complet!$A$3:$U$983,13,FALSE))</f>
        <v>[119-0420-p4]</v>
      </c>
      <c r="M660" s="53" t="str">
        <f>IF(VLOOKUP($A660,DICO_Complet!$A$3:$U$983,14,FALSE)=0,"",VLOOKUP($A660,DICO_Complet!$A$3:$U$983,14,FALSE))</f>
        <v/>
      </c>
      <c r="N660" s="53" t="str">
        <f>IF(VLOOKUP($A660,DICO_Complet!$A$3:$U$983,15,FALSE)=0,"",VLOOKUP($A660,DICO_Complet!$A$3:$U$983,15,FALSE))</f>
        <v/>
      </c>
      <c r="O660" s="53" t="str">
        <f>IF(VLOOKUP($A660,DICO_Complet!$A$3:$U$983,16,FALSE)=0,"",VLOOKUP($A660,DICO_Complet!$A$3:$U$983,16,FALSE))</f>
        <v/>
      </c>
      <c r="P660" s="53" t="str">
        <f>IF(VLOOKUP($A660,DICO_Complet!$A$3:$U$983,17,FALSE)=0,"",VLOOKUP($A660,DICO_Complet!$A$3:$U$983,17,FALSE))</f>
        <v/>
      </c>
      <c r="Q660" s="53" t="str">
        <f>IF(VLOOKUP($A660,DICO_Complet!$A$3:$U$983,18,FALSE)=0,"",VLOOKUP($A660,DICO_Complet!$A$3:$U$983,18,FALSE))</f>
        <v/>
      </c>
    </row>
    <row r="661" spans="1:17">
      <c r="A661" s="38">
        <v>241112000187</v>
      </c>
      <c r="B661" s="47" t="s">
        <v>858</v>
      </c>
      <c r="C661" s="3" t="str">
        <f>VLOOKUP($A661,DICO_Complet!$A$3:$U$983,3,FALSE)</f>
        <v>Transaction</v>
      </c>
      <c r="D661" s="3" t="str">
        <f>VLOOKUP($A661,DICO_Complet!$A$3:$U$983,4,FALSE)</f>
        <v>originalTransactionData</v>
      </c>
      <c r="E661" s="2" t="str">
        <f>VLOOKUP($A661,DICO_Complet!$A$3:$U$983,5,FALSE)</f>
        <v>securedRemotePaymentArchitectureResultExtension</v>
      </c>
      <c r="F661" s="2" t="str">
        <f>VLOOKUP($A661,DICO_Complet!$A$3:$U$983,6,FALSE)</f>
        <v>Max10Text</v>
      </c>
      <c r="G661" s="48">
        <f>VLOOKUP($A661,DICO_Complet!$A$3:$U$983,7,FALSE)</f>
        <v>0</v>
      </c>
      <c r="H661" s="48">
        <f>VLOOKUP($A661,DICO_Complet!$A$3:$U$983,8,FALSE)</f>
        <v>0</v>
      </c>
      <c r="I661" s="2" t="str">
        <f>IF(VLOOKUP($A661,DICO_Complet!$A$3:$U$983,9,FALSE)&lt;&gt;0,VLOOKUP($A661,DICO_Complet!$A$3:$U$983,9,FALSE),"")</f>
        <v/>
      </c>
      <c r="J661" s="1" t="str">
        <f>VLOOKUP($A661,DICO_Complet!$A$3:$U$983,10,FALSE)</f>
        <v>Extension of result of using a secured payment architecture</v>
      </c>
      <c r="K661" s="53" t="str">
        <f>IF(VLOOKUP($A661,DICO_Complet!$A$3:$U$983,12,FALSE)=0,"",VLOOKUP($A661,DICO_Complet!$A$3:$U$983,12,FALSE))</f>
        <v>RSB119_0420_ p5</v>
      </c>
      <c r="L661" s="53" t="str">
        <f>IF(VLOOKUP($A661,DICO_Complet!$A$3:$U$983,13,FALSE)=0,"",VLOOKUP($A661,DICO_Complet!$A$3:$U$983,13,FALSE))</f>
        <v>[119-0420-p5]</v>
      </c>
      <c r="M661" s="53" t="str">
        <f>IF(VLOOKUP($A661,DICO_Complet!$A$3:$U$983,14,FALSE)=0,"",VLOOKUP($A661,DICO_Complet!$A$3:$U$983,14,FALSE))</f>
        <v/>
      </c>
      <c r="N661" s="53" t="str">
        <f>IF(VLOOKUP($A661,DICO_Complet!$A$3:$U$983,15,FALSE)=0,"",VLOOKUP($A661,DICO_Complet!$A$3:$U$983,15,FALSE))</f>
        <v/>
      </c>
      <c r="O661" s="53" t="str">
        <f>IF(VLOOKUP($A661,DICO_Complet!$A$3:$U$983,16,FALSE)=0,"",VLOOKUP($A661,DICO_Complet!$A$3:$U$983,16,FALSE))</f>
        <v/>
      </c>
      <c r="P661" s="53" t="str">
        <f>IF(VLOOKUP($A661,DICO_Complet!$A$3:$U$983,17,FALSE)=0,"",VLOOKUP($A661,DICO_Complet!$A$3:$U$983,17,FALSE))</f>
        <v/>
      </c>
      <c r="Q661" s="53" t="str">
        <f>IF(VLOOKUP($A661,DICO_Complet!$A$3:$U$983,18,FALSE)=0,"",VLOOKUP($A661,DICO_Complet!$A$3:$U$983,18,FALSE))</f>
        <v/>
      </c>
    </row>
    <row r="662" spans="1:17">
      <c r="A662" s="38">
        <v>250408142600</v>
      </c>
      <c r="B662" s="47" t="s">
        <v>858</v>
      </c>
      <c r="C662" s="3" t="str">
        <f>VLOOKUP($A662,DICO_Complet!$A$3:$U$983,3,FALSE)</f>
        <v>Transaction</v>
      </c>
      <c r="D662" s="3" t="str">
        <f>VLOOKUP($A662,DICO_Complet!$A$3:$U$983,4,FALSE)</f>
        <v>originalTransactionData</v>
      </c>
      <c r="E662" s="2" t="str">
        <f>VLOOKUP($A662,DICO_Complet!$A$3:$U$983,5,FALSE)</f>
        <v>serviceCalled</v>
      </c>
      <c r="F662" s="2" t="str">
        <f>VLOOKUP($A662,DICO_Complet!$A$3:$U$983,6,FALSE)</f>
        <v>Max20Text</v>
      </c>
      <c r="G662" s="48">
        <f>VLOOKUP($A662,DICO_Complet!$A$3:$U$983,7,FALSE)</f>
        <v>0</v>
      </c>
      <c r="H662" s="48">
        <f>VLOOKUP($A662,DICO_Complet!$A$3:$U$983,8,FALSE)</f>
        <v>0</v>
      </c>
      <c r="I662" s="2" t="str">
        <f>IF(VLOOKUP($A662,DICO_Complet!$A$3:$U$983,9,FALSE)&lt;&gt;0,VLOOKUP($A662,DICO_Complet!$A$3:$U$983,9,FALSE),"")</f>
        <v/>
      </c>
      <c r="J662" s="1" t="str">
        <f>VLOOKUP($A662,DICO_Complet!$A$3:$U$983,10,FALSE)</f>
        <v>service that SAA has to call</v>
      </c>
      <c r="K662" s="53" t="str">
        <f>IF(VLOOKUP($A662,DICO_Complet!$A$3:$U$983,12,FALSE)=0,"",VLOOKUP($A662,DICO_Complet!$A$3:$U$983,12,FALSE))</f>
        <v>DOPR6</v>
      </c>
      <c r="L662" s="53" t="str">
        <f>IF(VLOOKUP($A662,DICO_Complet!$A$3:$U$983,13,FALSE)=0,"",VLOOKUP($A662,DICO_Complet!$A$3:$U$983,13,FALSE))</f>
        <v/>
      </c>
      <c r="M662" s="53" t="str">
        <f>IF(VLOOKUP($A662,DICO_Complet!$A$3:$U$983,14,FALSE)=0,"",VLOOKUP($A662,DICO_Complet!$A$3:$U$983,14,FALSE))</f>
        <v/>
      </c>
      <c r="N662" s="53" t="str">
        <f>IF(VLOOKUP($A662,DICO_Complet!$A$3:$U$983,15,FALSE)=0,"",VLOOKUP($A662,DICO_Complet!$A$3:$U$983,15,FALSE))</f>
        <v/>
      </c>
      <c r="O662" s="53" t="str">
        <f>IF(VLOOKUP($A662,DICO_Complet!$A$3:$U$983,16,FALSE)=0,"",VLOOKUP($A662,DICO_Complet!$A$3:$U$983,16,FALSE))</f>
        <v/>
      </c>
      <c r="P662" s="53" t="str">
        <f>IF(VLOOKUP($A662,DICO_Complet!$A$3:$U$983,17,FALSE)=0,"",VLOOKUP($A662,DICO_Complet!$A$3:$U$983,17,FALSE))</f>
        <v/>
      </c>
      <c r="Q662" s="53" t="str">
        <f>IF(VLOOKUP($A662,DICO_Complet!$A$3:$U$983,18,FALSE)=0,"",VLOOKUP($A662,DICO_Complet!$A$3:$U$983,18,FALSE))</f>
        <v/>
      </c>
    </row>
    <row r="663" spans="1:17">
      <c r="A663" s="38">
        <v>250327121300</v>
      </c>
      <c r="B663" s="47" t="s">
        <v>858</v>
      </c>
      <c r="C663" s="3" t="str">
        <f>VLOOKUP($A663,DICO_Complet!$A$3:$U$983,3,FALSE)</f>
        <v>Transaction</v>
      </c>
      <c r="D663" s="3" t="str">
        <f>VLOOKUP($A663,DICO_Complet!$A$3:$U$983,4,FALSE)</f>
        <v>originalTransactionData</v>
      </c>
      <c r="E663" s="2" t="str">
        <f>VLOOKUP($A663,DICO_Complet!$A$3:$U$983,5,FALSE)</f>
        <v>technicalInfoTransactionUuid</v>
      </c>
      <c r="F663" s="2" t="str">
        <f>VLOOKUP($A663,DICO_Complet!$A$3:$U$983,6,FALSE)</f>
        <v>Max19AlphaNumericText</v>
      </c>
      <c r="G663" s="48">
        <f>VLOOKUP($A663,DICO_Complet!$A$3:$U$983,7,FALSE)</f>
        <v>0</v>
      </c>
      <c r="H663" s="48">
        <f>VLOOKUP($A663,DICO_Complet!$A$3:$U$983,8,FALSE)</f>
        <v>0</v>
      </c>
      <c r="I663" s="2" t="str">
        <f>IF(VLOOKUP($A663,DICO_Complet!$A$3:$U$983,9,FALSE)&lt;&gt;0,VLOOKUP($A663,DICO_Complet!$A$3:$U$983,9,FALSE),"")</f>
        <v/>
      </c>
      <c r="J663" s="1" t="str">
        <f>VLOOKUP($A663,DICO_Complet!$A$3:$U$983,10,FALSE)</f>
        <v xml:space="preserve">Universal and unique Id from the technical information of the storage transaction </v>
      </c>
      <c r="K663" s="53" t="str">
        <f>IF(VLOOKUP($A663,DICO_Complet!$A$3:$U$983,12,FALSE)=0,"",VLOOKUP($A663,DICO_Complet!$A$3:$U$983,12,FALSE))</f>
        <v>T024</v>
      </c>
      <c r="L663" s="53" t="str">
        <f>IF(VLOOKUP($A663,DICO_Complet!$A$3:$U$983,13,FALSE)=0,"",VLOOKUP($A663,DICO_Complet!$A$3:$U$983,13,FALSE))</f>
        <v/>
      </c>
      <c r="M663" s="53" t="str">
        <f>IF(VLOOKUP($A663,DICO_Complet!$A$3:$U$983,14,FALSE)=0,"",VLOOKUP($A663,DICO_Complet!$A$3:$U$983,14,FALSE))</f>
        <v/>
      </c>
      <c r="N663" s="53" t="str">
        <f>IF(VLOOKUP($A663,DICO_Complet!$A$3:$U$983,15,FALSE)=0,"",VLOOKUP($A663,DICO_Complet!$A$3:$U$983,15,FALSE))</f>
        <v/>
      </c>
      <c r="O663" s="53" t="str">
        <f>IF(VLOOKUP($A663,DICO_Complet!$A$3:$U$983,16,FALSE)=0,"",VLOOKUP($A663,DICO_Complet!$A$3:$U$983,16,FALSE))</f>
        <v/>
      </c>
      <c r="P663" s="53" t="str">
        <f>IF(VLOOKUP($A663,DICO_Complet!$A$3:$U$983,17,FALSE)=0,"",VLOOKUP($A663,DICO_Complet!$A$3:$U$983,17,FALSE))</f>
        <v/>
      </c>
      <c r="Q663" s="53" t="str">
        <f>IF(VLOOKUP($A663,DICO_Complet!$A$3:$U$983,18,FALSE)=0,"",VLOOKUP($A663,DICO_Complet!$A$3:$U$983,18,FALSE))</f>
        <v/>
      </c>
    </row>
    <row r="664" spans="1:17">
      <c r="A664" s="38">
        <v>250327121301</v>
      </c>
      <c r="B664" s="47" t="s">
        <v>858</v>
      </c>
      <c r="C664" s="3" t="str">
        <f>VLOOKUP($A664,DICO_Complet!$A$3:$U$983,3,FALSE)</f>
        <v>Transaction</v>
      </c>
      <c r="D664" s="3" t="str">
        <f>VLOOKUP($A664,DICO_Complet!$A$3:$U$983,4,FALSE)</f>
        <v>originalTransactionData</v>
      </c>
      <c r="E664" s="2" t="str">
        <f>VLOOKUP($A664,DICO_Complet!$A$3:$U$983,5,FALSE)</f>
        <v>technicalInfoTransmissionDateTime</v>
      </c>
      <c r="F664" s="2" t="str">
        <f>VLOOKUP($A664,DICO_Complet!$A$3:$U$983,6,FALSE)</f>
        <v>ISODateTime</v>
      </c>
      <c r="G664" s="48">
        <f>VLOOKUP($A664,DICO_Complet!$A$3:$U$983,7,FALSE)</f>
        <v>0</v>
      </c>
      <c r="H664" s="48">
        <f>VLOOKUP($A664,DICO_Complet!$A$3:$U$983,8,FALSE)</f>
        <v>0</v>
      </c>
      <c r="I664" s="2" t="str">
        <f>IF(VLOOKUP($A664,DICO_Complet!$A$3:$U$983,9,FALSE)&lt;&gt;0,VLOOKUP($A664,DICO_Complet!$A$3:$U$983,9,FALSE),"")</f>
        <v/>
      </c>
      <c r="J664" s="1" t="str">
        <f>VLOOKUP($A664,DICO_Complet!$A$3:$U$983,10,FALSE)</f>
        <v>Date and time from original technical information of the storage transaction</v>
      </c>
      <c r="K664" s="53" t="str">
        <f>IF(VLOOKUP($A664,DICO_Complet!$A$3:$U$983,12,FALSE)=0,"",VLOOKUP($A664,DICO_Complet!$A$3:$U$983,12,FALSE))</f>
        <v>DOPR8</v>
      </c>
      <c r="L664" s="53" t="str">
        <f>IF(VLOOKUP($A664,DICO_Complet!$A$3:$U$983,13,FALSE)=0,"",VLOOKUP($A664,DICO_Complet!$A$3:$U$983,13,FALSE))</f>
        <v/>
      </c>
      <c r="M664" s="53" t="str">
        <f>IF(VLOOKUP($A664,DICO_Complet!$A$3:$U$983,14,FALSE)=0,"",VLOOKUP($A664,DICO_Complet!$A$3:$U$983,14,FALSE))</f>
        <v/>
      </c>
      <c r="N664" s="53" t="str">
        <f>IF(VLOOKUP($A664,DICO_Complet!$A$3:$U$983,15,FALSE)=0,"",VLOOKUP($A664,DICO_Complet!$A$3:$U$983,15,FALSE))</f>
        <v/>
      </c>
      <c r="O664" s="53" t="str">
        <f>IF(VLOOKUP($A664,DICO_Complet!$A$3:$U$983,16,FALSE)=0,"",VLOOKUP($A664,DICO_Complet!$A$3:$U$983,16,FALSE))</f>
        <v/>
      </c>
      <c r="P664" s="53" t="str">
        <f>IF(VLOOKUP($A664,DICO_Complet!$A$3:$U$983,17,FALSE)=0,"",VLOOKUP($A664,DICO_Complet!$A$3:$U$983,17,FALSE))</f>
        <v/>
      </c>
      <c r="Q664" s="53" t="str">
        <f>IF(VLOOKUP($A664,DICO_Complet!$A$3:$U$983,18,FALSE)=0,"",VLOOKUP($A664,DICO_Complet!$A$3:$U$983,18,FALSE))</f>
        <v/>
      </c>
    </row>
    <row r="665" spans="1:17">
      <c r="A665" s="38">
        <v>250327121302</v>
      </c>
      <c r="B665" s="47" t="s">
        <v>858</v>
      </c>
      <c r="C665" s="3" t="str">
        <f>VLOOKUP($A665,DICO_Complet!$A$3:$U$983,3,FALSE)</f>
        <v>Transaction</v>
      </c>
      <c r="D665" s="3" t="str">
        <f>VLOOKUP($A665,DICO_Complet!$A$3:$U$983,4,FALSE)</f>
        <v>originalTransactionData</v>
      </c>
      <c r="E665" s="2" t="str">
        <f>VLOOKUP($A665,DICO_Complet!$A$3:$U$983,5,FALSE)</f>
        <v>technicalInfoTransmittingServerId</v>
      </c>
      <c r="F665" s="2" t="str">
        <f>VLOOKUP($A665,DICO_Complet!$A$3:$U$983,6,FALSE)</f>
        <v>Exact4Text</v>
      </c>
      <c r="G665" s="48">
        <f>VLOOKUP($A665,DICO_Complet!$A$3:$U$983,7,FALSE)</f>
        <v>0</v>
      </c>
      <c r="H665" s="48">
        <f>VLOOKUP($A665,DICO_Complet!$A$3:$U$983,8,FALSE)</f>
        <v>0</v>
      </c>
      <c r="I665" s="2" t="str">
        <f>IF(VLOOKUP($A665,DICO_Complet!$A$3:$U$983,9,FALSE)&lt;&gt;0,VLOOKUP($A665,DICO_Complet!$A$3:$U$983,9,FALSE),"")</f>
        <v/>
      </c>
      <c r="J665" s="1" t="str">
        <f>VLOOKUP($A665,DICO_Complet!$A$3:$U$983,10,FALSE)</f>
        <v>Server id from original technical information of the storage transaction</v>
      </c>
      <c r="K665" s="53" t="str">
        <f>IF(VLOOKUP($A665,DICO_Complet!$A$3:$U$983,12,FALSE)=0,"",VLOOKUP($A665,DICO_Complet!$A$3:$U$983,12,FALSE))</f>
        <v>DOPR9</v>
      </c>
      <c r="L665" s="53" t="str">
        <f>IF(VLOOKUP($A665,DICO_Complet!$A$3:$U$983,13,FALSE)=0,"",VLOOKUP($A665,DICO_Complet!$A$3:$U$983,13,FALSE))</f>
        <v/>
      </c>
      <c r="M665" s="53" t="str">
        <f>IF(VLOOKUP($A665,DICO_Complet!$A$3:$U$983,14,FALSE)=0,"",VLOOKUP($A665,DICO_Complet!$A$3:$U$983,14,FALSE))</f>
        <v/>
      </c>
      <c r="N665" s="53" t="str">
        <f>IF(VLOOKUP($A665,DICO_Complet!$A$3:$U$983,15,FALSE)=0,"",VLOOKUP($A665,DICO_Complet!$A$3:$U$983,15,FALSE))</f>
        <v/>
      </c>
      <c r="O665" s="53" t="str">
        <f>IF(VLOOKUP($A665,DICO_Complet!$A$3:$U$983,16,FALSE)=0,"",VLOOKUP($A665,DICO_Complet!$A$3:$U$983,16,FALSE))</f>
        <v/>
      </c>
      <c r="P665" s="53" t="str">
        <f>IF(VLOOKUP($A665,DICO_Complet!$A$3:$U$983,17,FALSE)=0,"",VLOOKUP($A665,DICO_Complet!$A$3:$U$983,17,FALSE))</f>
        <v/>
      </c>
      <c r="Q665" s="53" t="str">
        <f>IF(VLOOKUP($A665,DICO_Complet!$A$3:$U$983,18,FALSE)=0,"",VLOOKUP($A665,DICO_Complet!$A$3:$U$983,18,FALSE))</f>
        <v/>
      </c>
    </row>
    <row r="666" spans="1:17">
      <c r="A666" s="38">
        <v>241112000176</v>
      </c>
      <c r="B666" s="47" t="s">
        <v>858</v>
      </c>
      <c r="C666" s="3" t="str">
        <f>VLOOKUP($A666,DICO_Complet!$A$3:$U$983,3,FALSE)</f>
        <v>Transaction</v>
      </c>
      <c r="D666" s="3" t="str">
        <f>VLOOKUP($A666,DICO_Complet!$A$3:$U$983,4,FALSE)</f>
        <v>originalTransactionData</v>
      </c>
      <c r="E666" s="2" t="str">
        <f>VLOOKUP($A666,DICO_Complet!$A$3:$U$983,5,FALSE)</f>
        <v>threeDsProtocolVersion</v>
      </c>
      <c r="F666" s="2" t="str">
        <f>VLOOKUP($A666,DICO_Complet!$A$3:$U$983,6,FALSE)</f>
        <v>ThreeDsProtocolVersionCodeset</v>
      </c>
      <c r="G666" s="48">
        <f>VLOOKUP($A666,DICO_Complet!$A$3:$U$983,7,FALSE)</f>
        <v>0</v>
      </c>
      <c r="H666" s="48">
        <f>VLOOKUP($A666,DICO_Complet!$A$3:$U$983,8,FALSE)</f>
        <v>0</v>
      </c>
      <c r="I666" s="2" t="str">
        <f>IF(VLOOKUP($A666,DICO_Complet!$A$3:$U$983,9,FALSE)&lt;&gt;0,VLOOKUP($A666,DICO_Complet!$A$3:$U$983,9,FALSE),"")</f>
        <v/>
      </c>
      <c r="J666" s="1" t="str">
        <f>VLOOKUP($A666,DICO_Complet!$A$3:$U$983,10,FALSE)</f>
        <v>3DS protocol major version</v>
      </c>
      <c r="K666" s="53" t="str">
        <f>IF(VLOOKUP($A666,DICO_Complet!$A$3:$U$983,12,FALSE)=0,"",VLOOKUP($A666,DICO_Complet!$A$3:$U$983,12,FALSE))</f>
        <v>RSB119_0046_ p1</v>
      </c>
      <c r="L666" s="53" t="str">
        <f>IF(VLOOKUP($A666,DICO_Complet!$A$3:$U$983,13,FALSE)=0,"",VLOOKUP($A666,DICO_Complet!$A$3:$U$983,13,FALSE))</f>
        <v>[119-0046-p1]</v>
      </c>
      <c r="M666" s="53" t="str">
        <f>IF(VLOOKUP($A666,DICO_Complet!$A$3:$U$983,14,FALSE)=0,"",VLOOKUP($A666,DICO_Complet!$A$3:$U$983,14,FALSE))</f>
        <v/>
      </c>
      <c r="N666" s="53" t="str">
        <f>IF(VLOOKUP($A666,DICO_Complet!$A$3:$U$983,15,FALSE)=0,"",VLOOKUP($A666,DICO_Complet!$A$3:$U$983,15,FALSE))</f>
        <v/>
      </c>
      <c r="O666" s="53" t="str">
        <f>IF(VLOOKUP($A666,DICO_Complet!$A$3:$U$983,16,FALSE)=0,"",VLOOKUP($A666,DICO_Complet!$A$3:$U$983,16,FALSE))</f>
        <v/>
      </c>
      <c r="P666" s="53" t="str">
        <f>IF(VLOOKUP($A666,DICO_Complet!$A$3:$U$983,17,FALSE)=0,"",VLOOKUP($A666,DICO_Complet!$A$3:$U$983,17,FALSE))</f>
        <v/>
      </c>
      <c r="Q666" s="53" t="str">
        <f>IF(VLOOKUP($A666,DICO_Complet!$A$3:$U$983,18,FALSE)=0,"",VLOOKUP($A666,DICO_Complet!$A$3:$U$983,18,FALSE))</f>
        <v/>
      </c>
    </row>
    <row r="667" spans="1:17">
      <c r="A667" s="38">
        <v>250325134507</v>
      </c>
      <c r="B667" s="47" t="s">
        <v>858</v>
      </c>
      <c r="C667" s="3" t="str">
        <f>VLOOKUP($A667,DICO_Complet!$A$3:$U$983,3,FALSE)</f>
        <v>Transaction</v>
      </c>
      <c r="D667" s="3" t="str">
        <f>VLOOKUP($A667,DICO_Complet!$A$3:$U$983,4,FALSE)</f>
        <v>originalTransactionData</v>
      </c>
      <c r="E667" s="2" t="str">
        <f>VLOOKUP($A667,DICO_Complet!$A$3:$U$983,5,FALSE)</f>
        <v>transactionReference</v>
      </c>
      <c r="F667" s="2" t="str">
        <f>VLOOKUP($A667,DICO_Complet!$A$3:$U$983,6,FALSE)</f>
        <v>Max35Text</v>
      </c>
      <c r="G667" s="48">
        <f>VLOOKUP($A667,DICO_Complet!$A$3:$U$983,7,FALSE)</f>
        <v>0</v>
      </c>
      <c r="H667" s="48">
        <f>VLOOKUP($A667,DICO_Complet!$A$3:$U$983,8,FALSE)</f>
        <v>0</v>
      </c>
      <c r="I667" s="2" t="str">
        <f>IF(VLOOKUP($A667,DICO_Complet!$A$3:$U$983,9,FALSE)&lt;&gt;0,VLOOKUP($A667,DICO_Complet!$A$3:$U$983,9,FALSE),"")</f>
        <v/>
      </c>
      <c r="J667" s="1" t="str">
        <f>VLOOKUP($A667,DICO_Complet!$A$3:$U$983,10,FALSE)</f>
        <v>reference of initial transaction</v>
      </c>
      <c r="K667" s="53" t="str">
        <f>IF(VLOOKUP($A667,DICO_Complet!$A$3:$U$983,12,FALSE)=0,"",VLOOKUP($A667,DICO_Complet!$A$3:$U$983,12,FALSE))</f>
        <v>ISO90</v>
      </c>
      <c r="L667" s="53" t="str">
        <f>IF(VLOOKUP($A667,DICO_Complet!$A$3:$U$983,13,FALSE)=0,"",VLOOKUP($A667,DICO_Complet!$A$3:$U$983,13,FALSE))</f>
        <v>RSB90</v>
      </c>
      <c r="M667" s="53" t="str">
        <f>IF(VLOOKUP($A667,DICO_Complet!$A$3:$U$983,14,FALSE)=0,"",VLOOKUP($A667,DICO_Complet!$A$3:$U$983,14,FALSE))</f>
        <v>56 _ part 2</v>
      </c>
      <c r="N667" s="53" t="str">
        <f>IF(VLOOKUP($A667,DICO_Complet!$A$3:$U$983,15,FALSE)=0,"",VLOOKUP($A667,DICO_Complet!$A$3:$U$983,15,FALSE))</f>
        <v/>
      </c>
      <c r="O667" s="53" t="str">
        <f>IF(VLOOKUP($A667,DICO_Complet!$A$3:$U$983,16,FALSE)=0,"",VLOOKUP($A667,DICO_Complet!$A$3:$U$983,16,FALSE))</f>
        <v/>
      </c>
      <c r="P667" s="53" t="str">
        <f>IF(VLOOKUP($A667,DICO_Complet!$A$3:$U$983,17,FALSE)=0,"",VLOOKUP($A667,DICO_Complet!$A$3:$U$983,17,FALSE))</f>
        <v/>
      </c>
      <c r="Q667" s="53" t="str">
        <f>IF(VLOOKUP($A667,DICO_Complet!$A$3:$U$983,18,FALSE)=0,"",VLOOKUP($A667,DICO_Complet!$A$3:$U$983,18,FALSE))</f>
        <v/>
      </c>
    </row>
    <row r="668" spans="1:17">
      <c r="A668" s="38">
        <v>250325134508</v>
      </c>
      <c r="B668" s="47" t="s">
        <v>858</v>
      </c>
      <c r="C668" s="3" t="str">
        <f>VLOOKUP($A668,DICO_Complet!$A$3:$U$983,3,FALSE)</f>
        <v>Transaction</v>
      </c>
      <c r="D668" s="3" t="str">
        <f>VLOOKUP($A668,DICO_Complet!$A$3:$U$983,4,FALSE)</f>
        <v>originalTransactionData</v>
      </c>
      <c r="E668" s="2" t="str">
        <f>VLOOKUP($A668,DICO_Complet!$A$3:$U$983,5,FALSE)</f>
        <v>transmissionGmtDateTime</v>
      </c>
      <c r="F668" s="2" t="str">
        <f>VLOOKUP($A668,DICO_Complet!$A$3:$U$983,6,FALSE)</f>
        <v>ISODateTime</v>
      </c>
      <c r="G668" s="48">
        <f>VLOOKUP($A668,DICO_Complet!$A$3:$U$983,7,FALSE)</f>
        <v>0</v>
      </c>
      <c r="H668" s="48">
        <f>VLOOKUP($A668,DICO_Complet!$A$3:$U$983,8,FALSE)</f>
        <v>0</v>
      </c>
      <c r="I668" s="2" t="str">
        <f>IF(VLOOKUP($A668,DICO_Complet!$A$3:$U$983,9,FALSE)&lt;&gt;0,VLOOKUP($A668,DICO_Complet!$A$3:$U$983,9,FALSE),"")</f>
        <v/>
      </c>
      <c r="J668" s="1" t="str">
        <f>VLOOKUP($A668,DICO_Complet!$A$3:$U$983,10,FALSE)</f>
        <v>initial transmission gmt date time</v>
      </c>
      <c r="K668" s="53" t="str">
        <f>IF(VLOOKUP($A668,DICO_Complet!$A$3:$U$983,12,FALSE)=0,"",VLOOKUP($A668,DICO_Complet!$A$3:$U$983,12,FALSE))</f>
        <v>ISO90</v>
      </c>
      <c r="L668" s="53" t="str">
        <f>IF(VLOOKUP($A668,DICO_Complet!$A$3:$U$983,13,FALSE)=0,"",VLOOKUP($A668,DICO_Complet!$A$3:$U$983,13,FALSE))</f>
        <v/>
      </c>
      <c r="M668" s="53" t="str">
        <f>IF(VLOOKUP($A668,DICO_Complet!$A$3:$U$983,14,FALSE)=0,"",VLOOKUP($A668,DICO_Complet!$A$3:$U$983,14,FALSE))</f>
        <v/>
      </c>
      <c r="N668" s="53" t="str">
        <f>IF(VLOOKUP($A668,DICO_Complet!$A$3:$U$983,15,FALSE)=0,"",VLOOKUP($A668,DICO_Complet!$A$3:$U$983,15,FALSE))</f>
        <v/>
      </c>
      <c r="O668" s="53" t="str">
        <f>IF(VLOOKUP($A668,DICO_Complet!$A$3:$U$983,16,FALSE)=0,"",VLOOKUP($A668,DICO_Complet!$A$3:$U$983,16,FALSE))</f>
        <v/>
      </c>
      <c r="P668" s="53" t="str">
        <f>IF(VLOOKUP($A668,DICO_Complet!$A$3:$U$983,17,FALSE)=0,"",VLOOKUP($A668,DICO_Complet!$A$3:$U$983,17,FALSE))</f>
        <v/>
      </c>
      <c r="Q668" s="53" t="str">
        <f>IF(VLOOKUP($A668,DICO_Complet!$A$3:$U$983,18,FALSE)=0,"",VLOOKUP($A668,DICO_Complet!$A$3:$U$983,18,FALSE))</f>
        <v/>
      </c>
    </row>
    <row r="669" spans="1:17">
      <c r="A669" s="38">
        <v>250425153907</v>
      </c>
      <c r="B669" s="47" t="s">
        <v>858</v>
      </c>
      <c r="C669" s="3" t="str">
        <f>VLOOKUP($A669,DICO_Complet!$A$3:$U$983,3,FALSE)</f>
        <v>Transaction</v>
      </c>
      <c r="D669" s="3" t="str">
        <f>VLOOKUP($A669,DICO_Complet!$A$3:$U$983,4,FALSE)</f>
        <v>remittanceData</v>
      </c>
      <c r="E669" s="2" t="str">
        <f>VLOOKUP($A669,DICO_Complet!$A$3:$U$983,5,FALSE)</f>
        <v>creditsAmount</v>
      </c>
      <c r="F669" s="2" t="str">
        <f>VLOOKUP($A669,DICO_Complet!$A$3:$U$983,6,FALSE)</f>
        <v>AmountType</v>
      </c>
      <c r="G669" s="48">
        <f>VLOOKUP($A669,DICO_Complet!$A$3:$U$983,7,FALSE)</f>
        <v>0</v>
      </c>
      <c r="H669" s="48">
        <f>VLOOKUP($A669,DICO_Complet!$A$3:$U$983,8,FALSE)</f>
        <v>0</v>
      </c>
      <c r="I669" s="2" t="str">
        <f>IF(VLOOKUP($A669,DICO_Complet!$A$3:$U$983,9,FALSE)&lt;&gt;0,VLOOKUP($A669,DICO_Complet!$A$3:$U$983,9,FALSE),"")</f>
        <v/>
      </c>
      <c r="J669" s="1" t="str">
        <f>VLOOKUP($A669,DICO_Complet!$A$3:$U$983,10,FALSE)</f>
        <v>Credits, amount</v>
      </c>
      <c r="K669" s="53" t="str">
        <f>IF(VLOOKUP($A669,DICO_Complet!$A$3:$U$983,12,FALSE)=0,"",VLOOKUP($A669,DICO_Complet!$A$3:$U$983,12,FALSE))</f>
        <v/>
      </c>
      <c r="L669" s="53" t="str">
        <f>IF(VLOOKUP($A669,DICO_Complet!$A$3:$U$983,13,FALSE)=0,"",VLOOKUP($A669,DICO_Complet!$A$3:$U$983,13,FALSE))</f>
        <v/>
      </c>
      <c r="M669" s="53">
        <f>IF(VLOOKUP($A669,DICO_Complet!$A$3:$U$983,14,FALSE)=0,"",VLOOKUP($A669,DICO_Complet!$A$3:$U$983,14,FALSE))</f>
        <v>86</v>
      </c>
      <c r="N669" s="53" t="str">
        <f>IF(VLOOKUP($A669,DICO_Complet!$A$3:$U$983,15,FALSE)=0,"",VLOOKUP($A669,DICO_Complet!$A$3:$U$983,15,FALSE))</f>
        <v/>
      </c>
      <c r="O669" s="53" t="str">
        <f>IF(VLOOKUP($A669,DICO_Complet!$A$3:$U$983,16,FALSE)=0,"",VLOOKUP($A669,DICO_Complet!$A$3:$U$983,16,FALSE))</f>
        <v/>
      </c>
      <c r="P669" s="53" t="str">
        <f>IF(VLOOKUP($A669,DICO_Complet!$A$3:$U$983,17,FALSE)=0,"",VLOOKUP($A669,DICO_Complet!$A$3:$U$983,17,FALSE))</f>
        <v/>
      </c>
      <c r="Q669" s="53" t="str">
        <f>IF(VLOOKUP($A669,DICO_Complet!$A$3:$U$983,18,FALSE)=0,"",VLOOKUP($A669,DICO_Complet!$A$3:$U$983,18,FALSE))</f>
        <v/>
      </c>
    </row>
    <row r="670" spans="1:17">
      <c r="A670" s="38">
        <v>250425153904</v>
      </c>
      <c r="B670" s="47" t="s">
        <v>858</v>
      </c>
      <c r="C670" s="3" t="str">
        <f>VLOOKUP($A670,DICO_Complet!$A$3:$U$983,3,FALSE)</f>
        <v>Transaction</v>
      </c>
      <c r="D670" s="3" t="str">
        <f>VLOOKUP($A670,DICO_Complet!$A$3:$U$983,4,FALSE)</f>
        <v>remittanceData</v>
      </c>
      <c r="E670" s="2" t="str">
        <f>VLOOKUP($A670,DICO_Complet!$A$3:$U$983,5,FALSE)</f>
        <v>creditsNumber</v>
      </c>
      <c r="F670" s="2" t="str">
        <f>VLOOKUP($A670,DICO_Complet!$A$3:$U$983,6,FALSE)</f>
        <v>Exact10NumericText</v>
      </c>
      <c r="G670" s="48">
        <f>VLOOKUP($A670,DICO_Complet!$A$3:$U$983,7,FALSE)</f>
        <v>0</v>
      </c>
      <c r="H670" s="48">
        <f>VLOOKUP($A670,DICO_Complet!$A$3:$U$983,8,FALSE)</f>
        <v>0</v>
      </c>
      <c r="I670" s="2" t="str">
        <f>IF(VLOOKUP($A670,DICO_Complet!$A$3:$U$983,9,FALSE)&lt;&gt;0,VLOOKUP($A670,DICO_Complet!$A$3:$U$983,9,FALSE),"")</f>
        <v/>
      </c>
      <c r="J670" s="1" t="str">
        <f>VLOOKUP($A670,DICO_Complet!$A$3:$U$983,10,FALSE)</f>
        <v>Credits, number</v>
      </c>
      <c r="K670" s="53" t="str">
        <f>IF(VLOOKUP($A670,DICO_Complet!$A$3:$U$983,12,FALSE)=0,"",VLOOKUP($A670,DICO_Complet!$A$3:$U$983,12,FALSE))</f>
        <v/>
      </c>
      <c r="L670" s="53" t="str">
        <f>IF(VLOOKUP($A670,DICO_Complet!$A$3:$U$983,13,FALSE)=0,"",VLOOKUP($A670,DICO_Complet!$A$3:$U$983,13,FALSE))</f>
        <v/>
      </c>
      <c r="M670" s="53">
        <f>IF(VLOOKUP($A670,DICO_Complet!$A$3:$U$983,14,FALSE)=0,"",VLOOKUP($A670,DICO_Complet!$A$3:$U$983,14,FALSE))</f>
        <v>74</v>
      </c>
      <c r="N670" s="53" t="str">
        <f>IF(VLOOKUP($A670,DICO_Complet!$A$3:$U$983,15,FALSE)=0,"",VLOOKUP($A670,DICO_Complet!$A$3:$U$983,15,FALSE))</f>
        <v/>
      </c>
      <c r="O670" s="53" t="str">
        <f>IF(VLOOKUP($A670,DICO_Complet!$A$3:$U$983,16,FALSE)=0,"",VLOOKUP($A670,DICO_Complet!$A$3:$U$983,16,FALSE))</f>
        <v/>
      </c>
      <c r="P670" s="53" t="str">
        <f>IF(VLOOKUP($A670,DICO_Complet!$A$3:$U$983,17,FALSE)=0,"",VLOOKUP($A670,DICO_Complet!$A$3:$U$983,17,FALSE))</f>
        <v/>
      </c>
      <c r="Q670" s="53" t="str">
        <f>IF(VLOOKUP($A670,DICO_Complet!$A$3:$U$983,18,FALSE)=0,"",VLOOKUP($A670,DICO_Complet!$A$3:$U$983,18,FALSE))</f>
        <v/>
      </c>
    </row>
    <row r="671" spans="1:17">
      <c r="A671" s="38">
        <v>250425153908</v>
      </c>
      <c r="B671" s="47" t="s">
        <v>858</v>
      </c>
      <c r="C671" s="3" t="str">
        <f>VLOOKUP($A671,DICO_Complet!$A$3:$U$983,3,FALSE)</f>
        <v>Transaction</v>
      </c>
      <c r="D671" s="3" t="str">
        <f>VLOOKUP($A671,DICO_Complet!$A$3:$U$983,4,FALSE)</f>
        <v>remittanceData</v>
      </c>
      <c r="E671" s="2" t="str">
        <f>VLOOKUP($A671,DICO_Complet!$A$3:$U$983,5,FALSE)</f>
        <v>debitAmount</v>
      </c>
      <c r="F671" s="2" t="str">
        <f>VLOOKUP($A671,DICO_Complet!$A$3:$U$983,6,FALSE)</f>
        <v>AmountType</v>
      </c>
      <c r="G671" s="48">
        <f>VLOOKUP($A671,DICO_Complet!$A$3:$U$983,7,FALSE)</f>
        <v>0</v>
      </c>
      <c r="H671" s="48">
        <f>VLOOKUP($A671,DICO_Complet!$A$3:$U$983,8,FALSE)</f>
        <v>0</v>
      </c>
      <c r="I671" s="2" t="str">
        <f>IF(VLOOKUP($A671,DICO_Complet!$A$3:$U$983,9,FALSE)&lt;&gt;0,VLOOKUP($A671,DICO_Complet!$A$3:$U$983,9,FALSE),"")</f>
        <v/>
      </c>
      <c r="J671" s="1" t="str">
        <f>VLOOKUP($A671,DICO_Complet!$A$3:$U$983,10,FALSE)</f>
        <v>Debits, amount</v>
      </c>
      <c r="K671" s="53" t="str">
        <f>IF(VLOOKUP($A671,DICO_Complet!$A$3:$U$983,12,FALSE)=0,"",VLOOKUP($A671,DICO_Complet!$A$3:$U$983,12,FALSE))</f>
        <v/>
      </c>
      <c r="L671" s="53" t="str">
        <f>IF(VLOOKUP($A671,DICO_Complet!$A$3:$U$983,13,FALSE)=0,"",VLOOKUP($A671,DICO_Complet!$A$3:$U$983,13,FALSE))</f>
        <v/>
      </c>
      <c r="M671" s="53">
        <f>IF(VLOOKUP($A671,DICO_Complet!$A$3:$U$983,14,FALSE)=0,"",VLOOKUP($A671,DICO_Complet!$A$3:$U$983,14,FALSE))</f>
        <v>88</v>
      </c>
      <c r="N671" s="53" t="str">
        <f>IF(VLOOKUP($A671,DICO_Complet!$A$3:$U$983,15,FALSE)=0,"",VLOOKUP($A671,DICO_Complet!$A$3:$U$983,15,FALSE))</f>
        <v/>
      </c>
      <c r="O671" s="53" t="str">
        <f>IF(VLOOKUP($A671,DICO_Complet!$A$3:$U$983,16,FALSE)=0,"",VLOOKUP($A671,DICO_Complet!$A$3:$U$983,16,FALSE))</f>
        <v/>
      </c>
      <c r="P671" s="53" t="str">
        <f>IF(VLOOKUP($A671,DICO_Complet!$A$3:$U$983,17,FALSE)=0,"",VLOOKUP($A671,DICO_Complet!$A$3:$U$983,17,FALSE))</f>
        <v/>
      </c>
      <c r="Q671" s="53" t="str">
        <f>IF(VLOOKUP($A671,DICO_Complet!$A$3:$U$983,18,FALSE)=0,"",VLOOKUP($A671,DICO_Complet!$A$3:$U$983,18,FALSE))</f>
        <v/>
      </c>
    </row>
    <row r="672" spans="1:17">
      <c r="A672" s="38">
        <v>250425153909</v>
      </c>
      <c r="B672" s="47" t="s">
        <v>858</v>
      </c>
      <c r="C672" s="3" t="str">
        <f>VLOOKUP($A672,DICO_Complet!$A$3:$U$983,3,FALSE)</f>
        <v>Transaction</v>
      </c>
      <c r="D672" s="3" t="str">
        <f>VLOOKUP($A672,DICO_Complet!$A$3:$U$983,4,FALSE)</f>
        <v>remittanceData</v>
      </c>
      <c r="E672" s="2" t="str">
        <f>VLOOKUP($A672,DICO_Complet!$A$3:$U$983,5,FALSE)</f>
        <v>debitReversalAmount</v>
      </c>
      <c r="F672" s="2" t="str">
        <f>VLOOKUP($A672,DICO_Complet!$A$3:$U$983,6,FALSE)</f>
        <v>AmountType</v>
      </c>
      <c r="G672" s="48">
        <f>VLOOKUP($A672,DICO_Complet!$A$3:$U$983,7,FALSE)</f>
        <v>0</v>
      </c>
      <c r="H672" s="48">
        <f>VLOOKUP($A672,DICO_Complet!$A$3:$U$983,8,FALSE)</f>
        <v>0</v>
      </c>
      <c r="I672" s="2" t="str">
        <f>IF(VLOOKUP($A672,DICO_Complet!$A$3:$U$983,9,FALSE)&lt;&gt;0,VLOOKUP($A672,DICO_Complet!$A$3:$U$983,9,FALSE),"")</f>
        <v/>
      </c>
      <c r="J672" s="1" t="str">
        <f>VLOOKUP($A672,DICO_Complet!$A$3:$U$983,10,FALSE)</f>
        <v>Debits, reversal amount</v>
      </c>
      <c r="K672" s="53" t="str">
        <f>IF(VLOOKUP($A672,DICO_Complet!$A$3:$U$983,12,FALSE)=0,"",VLOOKUP($A672,DICO_Complet!$A$3:$U$983,12,FALSE))</f>
        <v/>
      </c>
      <c r="L672" s="53" t="str">
        <f>IF(VLOOKUP($A672,DICO_Complet!$A$3:$U$983,13,FALSE)=0,"",VLOOKUP($A672,DICO_Complet!$A$3:$U$983,13,FALSE))</f>
        <v/>
      </c>
      <c r="M672" s="53">
        <f>IF(VLOOKUP($A672,DICO_Complet!$A$3:$U$983,14,FALSE)=0,"",VLOOKUP($A672,DICO_Complet!$A$3:$U$983,14,FALSE))</f>
        <v>89</v>
      </c>
      <c r="N672" s="53" t="str">
        <f>IF(VLOOKUP($A672,DICO_Complet!$A$3:$U$983,15,FALSE)=0,"",VLOOKUP($A672,DICO_Complet!$A$3:$U$983,15,FALSE))</f>
        <v/>
      </c>
      <c r="O672" s="53" t="str">
        <f>IF(VLOOKUP($A672,DICO_Complet!$A$3:$U$983,16,FALSE)=0,"",VLOOKUP($A672,DICO_Complet!$A$3:$U$983,16,FALSE))</f>
        <v/>
      </c>
      <c r="P672" s="53" t="str">
        <f>IF(VLOOKUP($A672,DICO_Complet!$A$3:$U$983,17,FALSE)=0,"",VLOOKUP($A672,DICO_Complet!$A$3:$U$983,17,FALSE))</f>
        <v/>
      </c>
      <c r="Q672" s="53" t="str">
        <f>IF(VLOOKUP($A672,DICO_Complet!$A$3:$U$983,18,FALSE)=0,"",VLOOKUP($A672,DICO_Complet!$A$3:$U$983,18,FALSE))</f>
        <v/>
      </c>
    </row>
    <row r="673" spans="1:17">
      <c r="A673" s="38">
        <v>250425153905</v>
      </c>
      <c r="B673" s="47" t="s">
        <v>858</v>
      </c>
      <c r="C673" s="3" t="str">
        <f>VLOOKUP($A673,DICO_Complet!$A$3:$U$983,3,FALSE)</f>
        <v>Transaction</v>
      </c>
      <c r="D673" s="3" t="str">
        <f>VLOOKUP($A673,DICO_Complet!$A$3:$U$983,4,FALSE)</f>
        <v>remittanceData</v>
      </c>
      <c r="E673" s="2" t="str">
        <f>VLOOKUP($A673,DICO_Complet!$A$3:$U$983,5,FALSE)</f>
        <v>debitsNumber</v>
      </c>
      <c r="F673" s="2" t="str">
        <f>VLOOKUP($A673,DICO_Complet!$A$3:$U$983,6,FALSE)</f>
        <v>Exact10NumericText</v>
      </c>
      <c r="G673" s="48">
        <f>VLOOKUP($A673,DICO_Complet!$A$3:$U$983,7,FALSE)</f>
        <v>0</v>
      </c>
      <c r="H673" s="48">
        <f>VLOOKUP($A673,DICO_Complet!$A$3:$U$983,8,FALSE)</f>
        <v>0</v>
      </c>
      <c r="I673" s="2" t="str">
        <f>IF(VLOOKUP($A673,DICO_Complet!$A$3:$U$983,9,FALSE)&lt;&gt;0,VLOOKUP($A673,DICO_Complet!$A$3:$U$983,9,FALSE),"")</f>
        <v/>
      </c>
      <c r="J673" s="1" t="str">
        <f>VLOOKUP($A673,DICO_Complet!$A$3:$U$983,10,FALSE)</f>
        <v>Debits, number</v>
      </c>
      <c r="K673" s="53" t="str">
        <f>IF(VLOOKUP($A673,DICO_Complet!$A$3:$U$983,12,FALSE)=0,"",VLOOKUP($A673,DICO_Complet!$A$3:$U$983,12,FALSE))</f>
        <v/>
      </c>
      <c r="L673" s="53" t="str">
        <f>IF(VLOOKUP($A673,DICO_Complet!$A$3:$U$983,13,FALSE)=0,"",VLOOKUP($A673,DICO_Complet!$A$3:$U$983,13,FALSE))</f>
        <v/>
      </c>
      <c r="M673" s="53">
        <f>IF(VLOOKUP($A673,DICO_Complet!$A$3:$U$983,14,FALSE)=0,"",VLOOKUP($A673,DICO_Complet!$A$3:$U$983,14,FALSE))</f>
        <v>76</v>
      </c>
      <c r="N673" s="53" t="str">
        <f>IF(VLOOKUP($A673,DICO_Complet!$A$3:$U$983,15,FALSE)=0,"",VLOOKUP($A673,DICO_Complet!$A$3:$U$983,15,FALSE))</f>
        <v/>
      </c>
      <c r="O673" s="53" t="str">
        <f>IF(VLOOKUP($A673,DICO_Complet!$A$3:$U$983,16,FALSE)=0,"",VLOOKUP($A673,DICO_Complet!$A$3:$U$983,16,FALSE))</f>
        <v/>
      </c>
      <c r="P673" s="53" t="str">
        <f>IF(VLOOKUP($A673,DICO_Complet!$A$3:$U$983,17,FALSE)=0,"",VLOOKUP($A673,DICO_Complet!$A$3:$U$983,17,FALSE))</f>
        <v/>
      </c>
      <c r="Q673" s="53" t="str">
        <f>IF(VLOOKUP($A673,DICO_Complet!$A$3:$U$983,18,FALSE)=0,"",VLOOKUP($A673,DICO_Complet!$A$3:$U$983,18,FALSE))</f>
        <v/>
      </c>
    </row>
    <row r="674" spans="1:17">
      <c r="A674" s="38">
        <v>250425153906</v>
      </c>
      <c r="B674" s="47" t="s">
        <v>858</v>
      </c>
      <c r="C674" s="3" t="str">
        <f>VLOOKUP($A674,DICO_Complet!$A$3:$U$983,3,FALSE)</f>
        <v>Transaction</v>
      </c>
      <c r="D674" s="3" t="str">
        <f>VLOOKUP($A674,DICO_Complet!$A$3:$U$983,4,FALSE)</f>
        <v>remittanceData</v>
      </c>
      <c r="E674" s="2" t="str">
        <f>VLOOKUP($A674,DICO_Complet!$A$3:$U$983,5,FALSE)</f>
        <v>debitsReversalNumber</v>
      </c>
      <c r="F674" s="2" t="str">
        <f>VLOOKUP($A674,DICO_Complet!$A$3:$U$983,6,FALSE)</f>
        <v>Exact10NumericText</v>
      </c>
      <c r="G674" s="48">
        <f>VLOOKUP($A674,DICO_Complet!$A$3:$U$983,7,FALSE)</f>
        <v>0</v>
      </c>
      <c r="H674" s="48">
        <f>VLOOKUP($A674,DICO_Complet!$A$3:$U$983,8,FALSE)</f>
        <v>0</v>
      </c>
      <c r="I674" s="2" t="str">
        <f>IF(VLOOKUP($A674,DICO_Complet!$A$3:$U$983,9,FALSE)&lt;&gt;0,VLOOKUP($A674,DICO_Complet!$A$3:$U$983,9,FALSE),"")</f>
        <v/>
      </c>
      <c r="J674" s="1" t="str">
        <f>VLOOKUP($A674,DICO_Complet!$A$3:$U$983,10,FALSE)</f>
        <v>Debits, reversal number</v>
      </c>
      <c r="K674" s="53" t="str">
        <f>IF(VLOOKUP($A674,DICO_Complet!$A$3:$U$983,12,FALSE)=0,"",VLOOKUP($A674,DICO_Complet!$A$3:$U$983,12,FALSE))</f>
        <v/>
      </c>
      <c r="L674" s="53" t="str">
        <f>IF(VLOOKUP($A674,DICO_Complet!$A$3:$U$983,13,FALSE)=0,"",VLOOKUP($A674,DICO_Complet!$A$3:$U$983,13,FALSE))</f>
        <v/>
      </c>
      <c r="M674" s="53">
        <f>IF(VLOOKUP($A674,DICO_Complet!$A$3:$U$983,14,FALSE)=0,"",VLOOKUP($A674,DICO_Complet!$A$3:$U$983,14,FALSE))</f>
        <v>77</v>
      </c>
      <c r="N674" s="53" t="str">
        <f>IF(VLOOKUP($A674,DICO_Complet!$A$3:$U$983,15,FALSE)=0,"",VLOOKUP($A674,DICO_Complet!$A$3:$U$983,15,FALSE))</f>
        <v/>
      </c>
      <c r="O674" s="53" t="str">
        <f>IF(VLOOKUP($A674,DICO_Complet!$A$3:$U$983,16,FALSE)=0,"",VLOOKUP($A674,DICO_Complet!$A$3:$U$983,16,FALSE))</f>
        <v/>
      </c>
      <c r="P674" s="53" t="str">
        <f>IF(VLOOKUP($A674,DICO_Complet!$A$3:$U$983,17,FALSE)=0,"",VLOOKUP($A674,DICO_Complet!$A$3:$U$983,17,FALSE))</f>
        <v/>
      </c>
      <c r="Q674" s="53" t="str">
        <f>IF(VLOOKUP($A674,DICO_Complet!$A$3:$U$983,18,FALSE)=0,"",VLOOKUP($A674,DICO_Complet!$A$3:$U$983,18,FALSE))</f>
        <v/>
      </c>
    </row>
    <row r="675" spans="1:17">
      <c r="A675" s="38">
        <v>250425151002</v>
      </c>
      <c r="B675" s="47" t="s">
        <v>858</v>
      </c>
      <c r="C675" s="3" t="str">
        <f>VLOOKUP($A675,DICO_Complet!$A$3:$U$983,3,FALSE)</f>
        <v>Transaction</v>
      </c>
      <c r="D675" s="3" t="str">
        <f>VLOOKUP($A675,DICO_Complet!$A$3:$U$983,4,FALSE)</f>
        <v>remittanceData</v>
      </c>
      <c r="E675" s="2" t="str">
        <f>VLOOKUP($A675,DICO_Complet!$A$3:$U$983,5,FALSE)</f>
        <v>debitwithDonationAmount</v>
      </c>
      <c r="F675" s="2" t="str">
        <f>VLOOKUP($A675,DICO_Complet!$A$3:$U$983,6,FALSE)</f>
        <v>Exact16NumericText</v>
      </c>
      <c r="G675" s="48">
        <f>VLOOKUP($A675,DICO_Complet!$A$3:$U$983,7,FALSE)</f>
        <v>0</v>
      </c>
      <c r="H675" s="48">
        <f>VLOOKUP($A675,DICO_Complet!$A$3:$U$983,8,FALSE)</f>
        <v>0</v>
      </c>
      <c r="I675" s="2" t="str">
        <f>IF(VLOOKUP($A675,DICO_Complet!$A$3:$U$983,9,FALSE)&lt;&gt;0,VLOOKUP($A675,DICO_Complet!$A$3:$U$983,9,FALSE),"")</f>
        <v/>
      </c>
      <c r="J675" s="1" t="str">
        <f>VLOOKUP($A675,DICO_Complet!$A$3:$U$983,10,FALSE)</f>
        <v>debit with donation , amount</v>
      </c>
      <c r="K675" s="53" t="str">
        <f>IF(VLOOKUP($A675,DICO_Complet!$A$3:$U$983,12,FALSE)=0,"",VLOOKUP($A675,DICO_Complet!$A$3:$U$983,12,FALSE))</f>
        <v/>
      </c>
      <c r="L675" s="53" t="str">
        <f>IF(VLOOKUP($A675,DICO_Complet!$A$3:$U$983,13,FALSE)=0,"",VLOOKUP($A675,DICO_Complet!$A$3:$U$983,13,FALSE))</f>
        <v/>
      </c>
      <c r="M675" s="53" t="str">
        <f>IF(VLOOKUP($A675,DICO_Complet!$A$3:$U$983,14,FALSE)=0,"",VLOOKUP($A675,DICO_Complet!$A$3:$U$983,14,FALSE))</f>
        <v>113 part 2</v>
      </c>
      <c r="N675" s="53" t="str">
        <f>IF(VLOOKUP($A675,DICO_Complet!$A$3:$U$983,15,FALSE)=0,"",VLOOKUP($A675,DICO_Complet!$A$3:$U$983,15,FALSE))</f>
        <v/>
      </c>
      <c r="O675" s="53" t="str">
        <f>IF(VLOOKUP($A675,DICO_Complet!$A$3:$U$983,16,FALSE)=0,"",VLOOKUP($A675,DICO_Complet!$A$3:$U$983,16,FALSE))</f>
        <v/>
      </c>
      <c r="P675" s="53" t="str">
        <f>IF(VLOOKUP($A675,DICO_Complet!$A$3:$U$983,17,FALSE)=0,"",VLOOKUP($A675,DICO_Complet!$A$3:$U$983,17,FALSE))</f>
        <v/>
      </c>
      <c r="Q675" s="53" t="str">
        <f>IF(VLOOKUP($A675,DICO_Complet!$A$3:$U$983,18,FALSE)=0,"",VLOOKUP($A675,DICO_Complet!$A$3:$U$983,18,FALSE))</f>
        <v/>
      </c>
    </row>
    <row r="676" spans="1:17">
      <c r="A676" s="38">
        <v>250425151001</v>
      </c>
      <c r="B676" s="47" t="s">
        <v>858</v>
      </c>
      <c r="C676" s="3" t="str">
        <f>VLOOKUP($A676,DICO_Complet!$A$3:$U$983,3,FALSE)</f>
        <v>Transaction</v>
      </c>
      <c r="D676" s="3" t="str">
        <f>VLOOKUP($A676,DICO_Complet!$A$3:$U$983,4,FALSE)</f>
        <v>remittanceData</v>
      </c>
      <c r="E676" s="2" t="str">
        <f>VLOOKUP($A676,DICO_Complet!$A$3:$U$983,5,FALSE)</f>
        <v>debitwithDonationNumber</v>
      </c>
      <c r="F676" s="2" t="str">
        <f>VLOOKUP($A676,DICO_Complet!$A$3:$U$983,6,FALSE)</f>
        <v>Exact10NumericText</v>
      </c>
      <c r="G676" s="48">
        <f>VLOOKUP($A676,DICO_Complet!$A$3:$U$983,7,FALSE)</f>
        <v>0</v>
      </c>
      <c r="H676" s="48">
        <f>VLOOKUP($A676,DICO_Complet!$A$3:$U$983,8,FALSE)</f>
        <v>0</v>
      </c>
      <c r="I676" s="2" t="str">
        <f>IF(VLOOKUP($A676,DICO_Complet!$A$3:$U$983,9,FALSE)&lt;&gt;0,VLOOKUP($A676,DICO_Complet!$A$3:$U$983,9,FALSE),"")</f>
        <v/>
      </c>
      <c r="J676" s="1" t="str">
        <f>VLOOKUP($A676,DICO_Complet!$A$3:$U$983,10,FALSE)</f>
        <v>debit with donation , number</v>
      </c>
      <c r="K676" s="53" t="str">
        <f>IF(VLOOKUP($A676,DICO_Complet!$A$3:$U$983,12,FALSE)=0,"",VLOOKUP($A676,DICO_Complet!$A$3:$U$983,12,FALSE))</f>
        <v/>
      </c>
      <c r="L676" s="53" t="str">
        <f>IF(VLOOKUP($A676,DICO_Complet!$A$3:$U$983,13,FALSE)=0,"",VLOOKUP($A676,DICO_Complet!$A$3:$U$983,13,FALSE))</f>
        <v/>
      </c>
      <c r="M676" s="53" t="str">
        <f>IF(VLOOKUP($A676,DICO_Complet!$A$3:$U$983,14,FALSE)=0,"",VLOOKUP($A676,DICO_Complet!$A$3:$U$983,14,FALSE))</f>
        <v>113 part 1</v>
      </c>
      <c r="N676" s="53" t="str">
        <f>IF(VLOOKUP($A676,DICO_Complet!$A$3:$U$983,15,FALSE)=0,"",VLOOKUP($A676,DICO_Complet!$A$3:$U$983,15,FALSE))</f>
        <v/>
      </c>
      <c r="O676" s="53" t="str">
        <f>IF(VLOOKUP($A676,DICO_Complet!$A$3:$U$983,16,FALSE)=0,"",VLOOKUP($A676,DICO_Complet!$A$3:$U$983,16,FALSE))</f>
        <v/>
      </c>
      <c r="P676" s="53" t="str">
        <f>IF(VLOOKUP($A676,DICO_Complet!$A$3:$U$983,17,FALSE)=0,"",VLOOKUP($A676,DICO_Complet!$A$3:$U$983,17,FALSE))</f>
        <v/>
      </c>
      <c r="Q676" s="53" t="str">
        <f>IF(VLOOKUP($A676,DICO_Complet!$A$3:$U$983,18,FALSE)=0,"",VLOOKUP($A676,DICO_Complet!$A$3:$U$983,18,FALSE))</f>
        <v/>
      </c>
    </row>
    <row r="677" spans="1:17">
      <c r="A677" s="38">
        <v>250425150901</v>
      </c>
      <c r="B677" s="47" t="s">
        <v>858</v>
      </c>
      <c r="C677" s="3" t="str">
        <f>VLOOKUP($A677,DICO_Complet!$A$3:$U$983,3,FALSE)</f>
        <v>Transaction</v>
      </c>
      <c r="D677" s="3" t="str">
        <f>VLOOKUP($A677,DICO_Complet!$A$3:$U$983,4,FALSE)</f>
        <v>remittanceData</v>
      </c>
      <c r="E677" s="2" t="str">
        <f>VLOOKUP($A677,DICO_Complet!$A$3:$U$983,5,FALSE)</f>
        <v>debitwithTipAmount</v>
      </c>
      <c r="F677" s="2" t="str">
        <f>VLOOKUP($A677,DICO_Complet!$A$3:$U$983,6,FALSE)</f>
        <v>Exact16NumericText</v>
      </c>
      <c r="G677" s="48">
        <f>VLOOKUP($A677,DICO_Complet!$A$3:$U$983,7,FALSE)</f>
        <v>0</v>
      </c>
      <c r="H677" s="48">
        <f>VLOOKUP($A677,DICO_Complet!$A$3:$U$983,8,FALSE)</f>
        <v>0</v>
      </c>
      <c r="I677" s="2" t="str">
        <f>IF(VLOOKUP($A677,DICO_Complet!$A$3:$U$983,9,FALSE)&lt;&gt;0,VLOOKUP($A677,DICO_Complet!$A$3:$U$983,9,FALSE),"")</f>
        <v/>
      </c>
      <c r="J677" s="1" t="str">
        <f>VLOOKUP($A677,DICO_Complet!$A$3:$U$983,10,FALSE)</f>
        <v>debit with tip , amount</v>
      </c>
      <c r="K677" s="53" t="str">
        <f>IF(VLOOKUP($A677,DICO_Complet!$A$3:$U$983,12,FALSE)=0,"",VLOOKUP($A677,DICO_Complet!$A$3:$U$983,12,FALSE))</f>
        <v/>
      </c>
      <c r="L677" s="53" t="str">
        <f>IF(VLOOKUP($A677,DICO_Complet!$A$3:$U$983,13,FALSE)=0,"",VLOOKUP($A677,DICO_Complet!$A$3:$U$983,13,FALSE))</f>
        <v/>
      </c>
      <c r="M677" s="53" t="str">
        <f>IF(VLOOKUP($A677,DICO_Complet!$A$3:$U$983,14,FALSE)=0,"",VLOOKUP($A677,DICO_Complet!$A$3:$U$983,14,FALSE))</f>
        <v>112 part 2</v>
      </c>
      <c r="N677" s="53" t="str">
        <f>IF(VLOOKUP($A677,DICO_Complet!$A$3:$U$983,15,FALSE)=0,"",VLOOKUP($A677,DICO_Complet!$A$3:$U$983,15,FALSE))</f>
        <v/>
      </c>
      <c r="O677" s="53" t="str">
        <f>IF(VLOOKUP($A677,DICO_Complet!$A$3:$U$983,16,FALSE)=0,"",VLOOKUP($A677,DICO_Complet!$A$3:$U$983,16,FALSE))</f>
        <v/>
      </c>
      <c r="P677" s="53" t="str">
        <f>IF(VLOOKUP($A677,DICO_Complet!$A$3:$U$983,17,FALSE)=0,"",VLOOKUP($A677,DICO_Complet!$A$3:$U$983,17,FALSE))</f>
        <v/>
      </c>
      <c r="Q677" s="53" t="str">
        <f>IF(VLOOKUP($A677,DICO_Complet!$A$3:$U$983,18,FALSE)=0,"",VLOOKUP($A677,DICO_Complet!$A$3:$U$983,18,FALSE))</f>
        <v/>
      </c>
    </row>
    <row r="678" spans="1:17">
      <c r="A678" s="38">
        <v>250425150900</v>
      </c>
      <c r="B678" s="47" t="s">
        <v>858</v>
      </c>
      <c r="C678" s="3" t="str">
        <f>VLOOKUP($A678,DICO_Complet!$A$3:$U$983,3,FALSE)</f>
        <v>Transaction</v>
      </c>
      <c r="D678" s="3" t="str">
        <f>VLOOKUP($A678,DICO_Complet!$A$3:$U$983,4,FALSE)</f>
        <v>remittanceData</v>
      </c>
      <c r="E678" s="2" t="str">
        <f>VLOOKUP($A678,DICO_Complet!$A$3:$U$983,5,FALSE)</f>
        <v>debitwithTipNumber</v>
      </c>
      <c r="F678" s="2" t="str">
        <f>VLOOKUP($A678,DICO_Complet!$A$3:$U$983,6,FALSE)</f>
        <v>Exact10NumericText</v>
      </c>
      <c r="G678" s="48">
        <f>VLOOKUP($A678,DICO_Complet!$A$3:$U$983,7,FALSE)</f>
        <v>0</v>
      </c>
      <c r="H678" s="48">
        <f>VLOOKUP($A678,DICO_Complet!$A$3:$U$983,8,FALSE)</f>
        <v>0</v>
      </c>
      <c r="I678" s="2" t="str">
        <f>IF(VLOOKUP($A678,DICO_Complet!$A$3:$U$983,9,FALSE)&lt;&gt;0,VLOOKUP($A678,DICO_Complet!$A$3:$U$983,9,FALSE),"")</f>
        <v/>
      </c>
      <c r="J678" s="1" t="str">
        <f>VLOOKUP($A678,DICO_Complet!$A$3:$U$983,10,FALSE)</f>
        <v>debit with tip , number</v>
      </c>
      <c r="K678" s="53" t="str">
        <f>IF(VLOOKUP($A678,DICO_Complet!$A$3:$U$983,12,FALSE)=0,"",VLOOKUP($A678,DICO_Complet!$A$3:$U$983,12,FALSE))</f>
        <v/>
      </c>
      <c r="L678" s="53" t="str">
        <f>IF(VLOOKUP($A678,DICO_Complet!$A$3:$U$983,13,FALSE)=0,"",VLOOKUP($A678,DICO_Complet!$A$3:$U$983,13,FALSE))</f>
        <v/>
      </c>
      <c r="M678" s="53" t="str">
        <f>IF(VLOOKUP($A678,DICO_Complet!$A$3:$U$983,14,FALSE)=0,"",VLOOKUP($A678,DICO_Complet!$A$3:$U$983,14,FALSE))</f>
        <v>112 part 1</v>
      </c>
      <c r="N678" s="53" t="str">
        <f>IF(VLOOKUP($A678,DICO_Complet!$A$3:$U$983,15,FALSE)=0,"",VLOOKUP($A678,DICO_Complet!$A$3:$U$983,15,FALSE))</f>
        <v/>
      </c>
      <c r="O678" s="53" t="str">
        <f>IF(VLOOKUP($A678,DICO_Complet!$A$3:$U$983,16,FALSE)=0,"",VLOOKUP($A678,DICO_Complet!$A$3:$U$983,16,FALSE))</f>
        <v/>
      </c>
      <c r="P678" s="53" t="str">
        <f>IF(VLOOKUP($A678,DICO_Complet!$A$3:$U$983,17,FALSE)=0,"",VLOOKUP($A678,DICO_Complet!$A$3:$U$983,17,FALSE))</f>
        <v/>
      </c>
      <c r="Q678" s="53" t="str">
        <f>IF(VLOOKUP($A678,DICO_Complet!$A$3:$U$983,18,FALSE)=0,"",VLOOKUP($A678,DICO_Complet!$A$3:$U$983,18,FALSE))</f>
        <v/>
      </c>
    </row>
    <row r="679" spans="1:17">
      <c r="A679" s="38">
        <v>250418220159</v>
      </c>
      <c r="B679" s="47" t="s">
        <v>858</v>
      </c>
      <c r="C679" s="3" t="str">
        <f>VLOOKUP($A679,DICO_Complet!$A$3:$U$983,3,FALSE)</f>
        <v>Transaction</v>
      </c>
      <c r="D679" s="3" t="str">
        <f>VLOOKUP($A679,DICO_Complet!$A$3:$U$983,4,FALSE)</f>
        <v>remittanceData</v>
      </c>
      <c r="E679" s="2" t="str">
        <f>VLOOKUP($A679,DICO_Complet!$A$3:$U$983,5,FALSE)</f>
        <v>localDateTime</v>
      </c>
      <c r="F679" s="2" t="str">
        <f>VLOOKUP($A679,DICO_Complet!$A$3:$U$983,6,FALSE)</f>
        <v>ISODateTime</v>
      </c>
      <c r="G679" s="48">
        <f>VLOOKUP($A679,DICO_Complet!$A$3:$U$983,7,FALSE)</f>
        <v>0</v>
      </c>
      <c r="H679" s="48">
        <f>VLOOKUP($A679,DICO_Complet!$A$3:$U$983,8,FALSE)</f>
        <v>0</v>
      </c>
      <c r="I679" s="2" t="str">
        <f>IF(VLOOKUP($A679,DICO_Complet!$A$3:$U$983,9,FALSE)&lt;&gt;0,VLOOKUP($A679,DICO_Complet!$A$3:$U$983,9,FALSE),"")</f>
        <v/>
      </c>
      <c r="J679" s="1" t="str">
        <f>VLOOKUP($A679,DICO_Complet!$A$3:$U$983,10,FALSE)</f>
        <v>Date remise commerçant</v>
      </c>
      <c r="K679" s="53" t="str">
        <f>IF(VLOOKUP($A679,DICO_Complet!$A$3:$U$983,12,FALSE)=0,"",VLOOKUP($A679,DICO_Complet!$A$3:$U$983,12,FALSE))</f>
        <v/>
      </c>
      <c r="L679" s="53" t="str">
        <f>IF(VLOOKUP($A679,DICO_Complet!$A$3:$U$983,13,FALSE)=0,"",VLOOKUP($A679,DICO_Complet!$A$3:$U$983,13,FALSE))</f>
        <v/>
      </c>
      <c r="M679" s="53" t="str">
        <f>IF(VLOOKUP($A679,DICO_Complet!$A$3:$U$983,14,FALSE)=0,"",VLOOKUP($A679,DICO_Complet!$A$3:$U$983,14,FALSE))</f>
        <v/>
      </c>
      <c r="N679" s="53" t="str">
        <f>IF(VLOOKUP($A679,DICO_Complet!$A$3:$U$983,15,FALSE)=0,"",VLOOKUP($A679,DICO_Complet!$A$3:$U$983,15,FALSE))</f>
        <v/>
      </c>
      <c r="O679" s="53" t="str">
        <f>IF(VLOOKUP($A679,DICO_Complet!$A$3:$U$983,16,FALSE)=0,"",VLOOKUP($A679,DICO_Complet!$A$3:$U$983,16,FALSE))</f>
        <v/>
      </c>
      <c r="P679" s="53" t="str">
        <f>IF(VLOOKUP($A679,DICO_Complet!$A$3:$U$983,17,FALSE)=0,"",VLOOKUP($A679,DICO_Complet!$A$3:$U$983,17,FALSE))</f>
        <v/>
      </c>
      <c r="Q679" s="53" t="str">
        <f>IF(VLOOKUP($A679,DICO_Complet!$A$3:$U$983,18,FALSE)=0,"",VLOOKUP($A679,DICO_Complet!$A$3:$U$983,18,FALSE))</f>
        <v>DARECW ou DAREC</v>
      </c>
    </row>
    <row r="680" spans="1:17">
      <c r="A680" s="38">
        <v>250425175700</v>
      </c>
      <c r="B680" s="47" t="s">
        <v>858</v>
      </c>
      <c r="C680" s="3" t="str">
        <f>VLOOKUP($A680,DICO_Complet!$A$3:$U$983,3,FALSE)</f>
        <v>Transaction</v>
      </c>
      <c r="D680" s="3" t="str">
        <f>VLOOKUP($A680,DICO_Complet!$A$3:$U$983,4,FALSE)</f>
        <v>remittanceData</v>
      </c>
      <c r="E680" s="2" t="str">
        <f>VLOOKUP($A680,DICO_Complet!$A$3:$U$983,5,FALSE)</f>
        <v>numberOfNonCompletedRemittanceTransactions</v>
      </c>
      <c r="F680" s="2" t="str">
        <f>VLOOKUP($A680,DICO_Complet!$A$3:$U$983,6,FALSE)</f>
        <v>Exact6NumericText</v>
      </c>
      <c r="G680" s="48">
        <f>VLOOKUP($A680,DICO_Complet!$A$3:$U$983,7,FALSE)</f>
        <v>0</v>
      </c>
      <c r="H680" s="48">
        <f>VLOOKUP($A680,DICO_Complet!$A$3:$U$983,8,FALSE)</f>
        <v>0</v>
      </c>
      <c r="I680" s="2" t="str">
        <f>IF(VLOOKUP($A680,DICO_Complet!$A$3:$U$983,9,FALSE)&lt;&gt;0,VLOOKUP($A680,DICO_Complet!$A$3:$U$983,9,FALSE),"")</f>
        <v/>
      </c>
      <c r="J680" s="1" t="str">
        <f>VLOOKUP($A680,DICO_Complet!$A$3:$U$983,10,FALSE)</f>
        <v>Number of non-completed remittance transactions</v>
      </c>
      <c r="K680" s="53" t="str">
        <f>IF(VLOOKUP($A680,DICO_Complet!$A$3:$U$983,12,FALSE)=0,"",VLOOKUP($A680,DICO_Complet!$A$3:$U$983,12,FALSE))</f>
        <v/>
      </c>
      <c r="L680" s="53" t="str">
        <f>IF(VLOOKUP($A680,DICO_Complet!$A$3:$U$983,13,FALSE)=0,"",VLOOKUP($A680,DICO_Complet!$A$3:$U$983,13,FALSE))</f>
        <v/>
      </c>
      <c r="M680" s="53" t="str">
        <f>IF(VLOOKUP($A680,DICO_Complet!$A$3:$U$983,14,FALSE)=0,"",VLOOKUP($A680,DICO_Complet!$A$3:$U$983,14,FALSE))</f>
        <v>47_09</v>
      </c>
      <c r="N680" s="53" t="str">
        <f>IF(VLOOKUP($A680,DICO_Complet!$A$3:$U$983,15,FALSE)=0,"",VLOOKUP($A680,DICO_Complet!$A$3:$U$983,15,FALSE))</f>
        <v/>
      </c>
      <c r="O680" s="53" t="str">
        <f>IF(VLOOKUP($A680,DICO_Complet!$A$3:$U$983,16,FALSE)=0,"",VLOOKUP($A680,DICO_Complet!$A$3:$U$983,16,FALSE))</f>
        <v/>
      </c>
      <c r="P680" s="53" t="str">
        <f>IF(VLOOKUP($A680,DICO_Complet!$A$3:$U$983,17,FALSE)=0,"",VLOOKUP($A680,DICO_Complet!$A$3:$U$983,17,FALSE))</f>
        <v/>
      </c>
      <c r="Q680" s="53" t="str">
        <f>IF(VLOOKUP($A680,DICO_Complet!$A$3:$U$983,18,FALSE)=0,"",VLOOKUP($A680,DICO_Complet!$A$3:$U$983,18,FALSE))</f>
        <v/>
      </c>
    </row>
    <row r="681" spans="1:17">
      <c r="A681" s="38">
        <v>250425153911</v>
      </c>
      <c r="B681" s="47" t="s">
        <v>858</v>
      </c>
      <c r="C681" s="3" t="str">
        <f>VLOOKUP($A681,DICO_Complet!$A$3:$U$983,3,FALSE)</f>
        <v>Transaction</v>
      </c>
      <c r="D681" s="3" t="str">
        <f>VLOOKUP($A681,DICO_Complet!$A$3:$U$983,4,FALSE)</f>
        <v>remittanceData</v>
      </c>
      <c r="E681" s="2" t="str">
        <f>VLOOKUP($A681,DICO_Complet!$A$3:$U$983,5,FALSE)</f>
        <v>numberOfNonCompletedTransactions</v>
      </c>
      <c r="F681" s="2" t="str">
        <f>VLOOKUP($A681,DICO_Complet!$A$3:$U$983,6,FALSE)</f>
        <v>Exact6NumericText</v>
      </c>
      <c r="G681" s="48">
        <f>VLOOKUP($A681,DICO_Complet!$A$3:$U$983,7,FALSE)</f>
        <v>0</v>
      </c>
      <c r="H681" s="48">
        <f>VLOOKUP($A681,DICO_Complet!$A$3:$U$983,8,FALSE)</f>
        <v>0</v>
      </c>
      <c r="I681" s="2" t="str">
        <f>IF(VLOOKUP($A681,DICO_Complet!$A$3:$U$983,9,FALSE)&lt;&gt;0,VLOOKUP($A681,DICO_Complet!$A$3:$U$983,9,FALSE),"")</f>
        <v/>
      </c>
      <c r="J681" s="1" t="str">
        <f>VLOOKUP($A681,DICO_Complet!$A$3:$U$983,10,FALSE)</f>
        <v>Number of non-completed remittance transactions</v>
      </c>
      <c r="K681" s="53" t="str">
        <f>IF(VLOOKUP($A681,DICO_Complet!$A$3:$U$983,12,FALSE)=0,"",VLOOKUP($A681,DICO_Complet!$A$3:$U$983,12,FALSE))</f>
        <v/>
      </c>
      <c r="L681" s="53" t="str">
        <f>IF(VLOOKUP($A681,DICO_Complet!$A$3:$U$983,13,FALSE)=0,"",VLOOKUP($A681,DICO_Complet!$A$3:$U$983,13,FALSE))</f>
        <v/>
      </c>
      <c r="M681" s="53" t="str">
        <f>IF(VLOOKUP($A681,DICO_Complet!$A$3:$U$983,14,FALSE)=0,"",VLOOKUP($A681,DICO_Complet!$A$3:$U$983,14,FALSE))</f>
        <v>47_09</v>
      </c>
      <c r="N681" s="53" t="str">
        <f>IF(VLOOKUP($A681,DICO_Complet!$A$3:$U$983,15,FALSE)=0,"",VLOOKUP($A681,DICO_Complet!$A$3:$U$983,15,FALSE))</f>
        <v/>
      </c>
      <c r="O681" s="53" t="str">
        <f>IF(VLOOKUP($A681,DICO_Complet!$A$3:$U$983,16,FALSE)=0,"",VLOOKUP($A681,DICO_Complet!$A$3:$U$983,16,FALSE))</f>
        <v/>
      </c>
      <c r="P681" s="53" t="str">
        <f>IF(VLOOKUP($A681,DICO_Complet!$A$3:$U$983,17,FALSE)=0,"",VLOOKUP($A681,DICO_Complet!$A$3:$U$983,17,FALSE))</f>
        <v/>
      </c>
      <c r="Q681" s="53" t="str">
        <f>IF(VLOOKUP($A681,DICO_Complet!$A$3:$U$983,18,FALSE)=0,"",VLOOKUP($A681,DICO_Complet!$A$3:$U$983,18,FALSE))</f>
        <v/>
      </c>
    </row>
    <row r="682" spans="1:17">
      <c r="A682" s="38">
        <v>250414091408</v>
      </c>
      <c r="B682" s="47" t="s">
        <v>858</v>
      </c>
      <c r="C682" s="3" t="str">
        <f>VLOOKUP($A682,DICO_Complet!$A$3:$U$983,3,FALSE)</f>
        <v>Transaction</v>
      </c>
      <c r="D682" s="3" t="str">
        <f>VLOOKUP($A682,DICO_Complet!$A$3:$U$983,4,FALSE)</f>
        <v>remittanceData</v>
      </c>
      <c r="E682" s="2" t="str">
        <f>VLOOKUP($A682,DICO_Complet!$A$3:$U$983,5,FALSE)</f>
        <v>remitterGroupingIdentifier</v>
      </c>
      <c r="F682" s="2" t="str">
        <f>VLOOKUP($A682,DICO_Complet!$A$3:$U$983,6,FALSE)</f>
        <v>Exact7AlphaNumericText</v>
      </c>
      <c r="G682" s="48">
        <f>VLOOKUP($A682,DICO_Complet!$A$3:$U$983,7,FALSE)</f>
        <v>0</v>
      </c>
      <c r="H682" s="48">
        <f>VLOOKUP($A682,DICO_Complet!$A$3:$U$983,8,FALSE)</f>
        <v>0</v>
      </c>
      <c r="I682" s="2" t="str">
        <f>IF(VLOOKUP($A682,DICO_Complet!$A$3:$U$983,9,FALSE)&lt;&gt;0,VLOOKUP($A682,DICO_Complet!$A$3:$U$983,9,FALSE),"")</f>
        <v/>
      </c>
      <c r="J682" s="1" t="str">
        <f>VLOOKUP($A682,DICO_Complet!$A$3:$U$983,10,FALSE)</f>
        <v>Remitter grouping identifier</v>
      </c>
      <c r="K682" s="53" t="str">
        <f>IF(VLOOKUP($A682,DICO_Complet!$A$3:$U$983,12,FALSE)=0,"",VLOOKUP($A682,DICO_Complet!$A$3:$U$983,12,FALSE))</f>
        <v/>
      </c>
      <c r="L682" s="53" t="str">
        <f>IF(VLOOKUP($A682,DICO_Complet!$A$3:$U$983,13,FALSE)=0,"",VLOOKUP($A682,DICO_Complet!$A$3:$U$983,13,FALSE))</f>
        <v/>
      </c>
      <c r="M682" s="53" t="str">
        <f>IF(VLOOKUP($A682,DICO_Complet!$A$3:$U$983,14,FALSE)=0,"",VLOOKUP($A682,DICO_Complet!$A$3:$U$983,14,FALSE))</f>
        <v>46 DF61</v>
      </c>
      <c r="N682" s="53" t="str">
        <f>IF(VLOOKUP($A682,DICO_Complet!$A$3:$U$983,15,FALSE)=0,"",VLOOKUP($A682,DICO_Complet!$A$3:$U$983,15,FALSE))</f>
        <v/>
      </c>
      <c r="O682" s="53" t="str">
        <f>IF(VLOOKUP($A682,DICO_Complet!$A$3:$U$983,16,FALSE)=0,"",VLOOKUP($A682,DICO_Complet!$A$3:$U$983,16,FALSE))</f>
        <v/>
      </c>
      <c r="P682" s="53" t="str">
        <f>IF(VLOOKUP($A682,DICO_Complet!$A$3:$U$983,17,FALSE)=0,"",VLOOKUP($A682,DICO_Complet!$A$3:$U$983,17,FALSE))</f>
        <v/>
      </c>
      <c r="Q682" s="53" t="str">
        <f>IF(VLOOKUP($A682,DICO_Complet!$A$3:$U$983,18,FALSE)=0,"",VLOOKUP($A682,DICO_Complet!$A$3:$U$983,18,FALSE))</f>
        <v/>
      </c>
    </row>
    <row r="683" spans="1:17">
      <c r="A683" s="38">
        <v>250430073100</v>
      </c>
      <c r="B683" s="47" t="s">
        <v>858</v>
      </c>
      <c r="C683" s="3" t="str">
        <f>VLOOKUP($A683,DICO_Complet!$A$3:$U$983,3,FALSE)</f>
        <v>Transaction</v>
      </c>
      <c r="D683" s="3" t="str">
        <f>VLOOKUP($A683,DICO_Complet!$A$3:$U$983,4,FALSE)</f>
        <v>remittanceData</v>
      </c>
      <c r="E683" s="2" t="str">
        <f>VLOOKUP($A683,DICO_Complet!$A$3:$U$983,5,FALSE)</f>
        <v>stampingReference</v>
      </c>
      <c r="F683" s="2" t="str">
        <f>VLOOKUP($A683,DICO_Complet!$A$3:$U$983,6,FALSE)</f>
        <v>Exact16AlphaNumericText</v>
      </c>
      <c r="G683" s="141">
        <f>VLOOKUP($A683,DICO_Complet!$A$3:$U$983,7,FALSE)</f>
        <v>0</v>
      </c>
      <c r="H683" s="141">
        <f>VLOOKUP($A683,DICO_Complet!$A$3:$U$983,8,FALSE)</f>
        <v>0</v>
      </c>
      <c r="I683" s="7" t="str">
        <f>IF(VLOOKUP($A683,DICO_Complet!$A$3:$U$983,9,FALSE)&lt;&gt;0,VLOOKUP($A683,DICO_Complet!$A$3:$U$983,9,FALSE),"")</f>
        <v/>
      </c>
      <c r="J683" s="1" t="str">
        <f>VLOOKUP($A683,DICO_Complet!$A$3:$U$983,10,FALSE)</f>
        <v>Remittance stanping Reference</v>
      </c>
      <c r="K683" s="53" t="str">
        <f>IF(VLOOKUP($A683,DICO_Complet!$A$3:$U$983,12,FALSE)=0,"",VLOOKUP($A683,DICO_Complet!$A$3:$U$983,12,FALSE))</f>
        <v/>
      </c>
      <c r="L683" s="53" t="str">
        <f>IF(VLOOKUP($A683,DICO_Complet!$A$3:$U$983,13,FALSE)=0,"",VLOOKUP($A683,DICO_Complet!$A$3:$U$983,13,FALSE))</f>
        <v/>
      </c>
      <c r="M683" s="53" t="str">
        <f>IF(VLOOKUP($A683,DICO_Complet!$A$3:$U$983,14,FALSE)=0,"",VLOOKUP($A683,DICO_Complet!$A$3:$U$983,14,FALSE))</f>
        <v/>
      </c>
      <c r="N683" s="53" t="str">
        <f>IF(VLOOKUP($A683,DICO_Complet!$A$3:$U$983,15,FALSE)=0,"",VLOOKUP($A683,DICO_Complet!$A$3:$U$983,15,FALSE))</f>
        <v/>
      </c>
      <c r="O683" s="53" t="str">
        <f>IF(VLOOKUP($A683,DICO_Complet!$A$3:$U$983,16,FALSE)=0,"",VLOOKUP($A683,DICO_Complet!$A$3:$U$983,16,FALSE))</f>
        <v/>
      </c>
      <c r="P683" s="53" t="str">
        <f>IF(VLOOKUP($A683,DICO_Complet!$A$3:$U$983,17,FALSE)=0,"",VLOOKUP($A683,DICO_Complet!$A$3:$U$983,17,FALSE))</f>
        <v/>
      </c>
      <c r="Q683" s="53" t="str">
        <f>IF(VLOOKUP($A683,DICO_Complet!$A$3:$U$983,18,FALSE)=0,"",VLOOKUP($A683,DICO_Complet!$A$3:$U$983,18,FALSE))</f>
        <v/>
      </c>
    </row>
    <row r="684" spans="1:17">
      <c r="A684" s="38">
        <v>250418220160</v>
      </c>
      <c r="B684" s="47" t="s">
        <v>858</v>
      </c>
      <c r="C684" s="3" t="str">
        <f>VLOOKUP($A684,DICO_Complet!$A$3:$U$983,3,FALSE)</f>
        <v>Transaction</v>
      </c>
      <c r="D684" s="3" t="str">
        <f>VLOOKUP($A684,DICO_Complet!$A$3:$U$983,4,FALSE)</f>
        <v>remittanceData</v>
      </c>
      <c r="E684" s="2" t="str">
        <f>VLOOKUP($A684,DICO_Complet!$A$3:$U$983,5,FALSE)</f>
        <v>temp_grossAmount</v>
      </c>
      <c r="F684" s="2" t="str">
        <f>VLOOKUP($A684,DICO_Complet!$A$3:$U$983,6,FALSE)</f>
        <v>AmountType</v>
      </c>
      <c r="G684" s="48">
        <f>VLOOKUP($A684,DICO_Complet!$A$3:$U$983,7,FALSE)</f>
        <v>0</v>
      </c>
      <c r="H684" s="48">
        <f>VLOOKUP($A684,DICO_Complet!$A$3:$U$983,8,FALSE)</f>
        <v>0</v>
      </c>
      <c r="I684" s="2" t="str">
        <f>IF(VLOOKUP($A684,DICO_Complet!$A$3:$U$983,9,FALSE)&lt;&gt;0,VLOOKUP($A684,DICO_Complet!$A$3:$U$983,9,FALSE),"")</f>
        <v/>
      </c>
      <c r="J684" s="1" t="str">
        <f>VLOOKUP($A684,DICO_Complet!$A$3:$U$983,10,FALSE)</f>
        <v>Montant initial de la remise</v>
      </c>
      <c r="K684" s="53" t="str">
        <f>IF(VLOOKUP($A684,DICO_Complet!$A$3:$U$983,12,FALSE)=0,"",VLOOKUP($A684,DICO_Complet!$A$3:$U$983,12,FALSE))</f>
        <v/>
      </c>
      <c r="L684" s="53" t="str">
        <f>IF(VLOOKUP($A684,DICO_Complet!$A$3:$U$983,13,FALSE)=0,"",VLOOKUP($A684,DICO_Complet!$A$3:$U$983,13,FALSE))</f>
        <v/>
      </c>
      <c r="M684" s="53" t="str">
        <f>IF(VLOOKUP($A684,DICO_Complet!$A$3:$U$983,14,FALSE)=0,"",VLOOKUP($A684,DICO_Complet!$A$3:$U$983,14,FALSE))</f>
        <v/>
      </c>
      <c r="N684" s="53" t="str">
        <f>IF(VLOOKUP($A684,DICO_Complet!$A$3:$U$983,15,FALSE)=0,"",VLOOKUP($A684,DICO_Complet!$A$3:$U$983,15,FALSE))</f>
        <v/>
      </c>
      <c r="O684" s="53" t="str">
        <f>IF(VLOOKUP($A684,DICO_Complet!$A$3:$U$983,16,FALSE)=0,"",VLOOKUP($A684,DICO_Complet!$A$3:$U$983,16,FALSE))</f>
        <v/>
      </c>
      <c r="P684" s="53" t="str">
        <f>IF(VLOOKUP($A684,DICO_Complet!$A$3:$U$983,17,FALSE)=0,"",VLOOKUP($A684,DICO_Complet!$A$3:$U$983,17,FALSE))</f>
        <v/>
      </c>
      <c r="Q684" s="53" t="str">
        <f>IF(VLOOKUP($A684,DICO_Complet!$A$3:$U$983,18,FALSE)=0,"",VLOOKUP($A684,DICO_Complet!$A$3:$U$983,18,FALSE))</f>
        <v>MTBRRI ou MTBRRA et CODVOP ou CODVAM</v>
      </c>
    </row>
    <row r="685" spans="1:17">
      <c r="A685" s="38">
        <v>250418220161</v>
      </c>
      <c r="B685" s="47" t="s">
        <v>858</v>
      </c>
      <c r="C685" s="3" t="str">
        <f>VLOOKUP($A685,DICO_Complet!$A$3:$U$983,3,FALSE)</f>
        <v>Transaction</v>
      </c>
      <c r="D685" s="3" t="str">
        <f>VLOOKUP($A685,DICO_Complet!$A$3:$U$983,4,FALSE)</f>
        <v>remittanceData</v>
      </c>
      <c r="E685" s="2" t="str">
        <f>VLOOKUP($A685,DICO_Complet!$A$3:$U$983,5,FALSE)</f>
        <v>temp_merchantRemittanceNumber</v>
      </c>
      <c r="F685" s="2" t="str">
        <f>VLOOKUP($A685,DICO_Complet!$A$3:$U$983,6,FALSE)</f>
        <v>Exact6NumericText</v>
      </c>
      <c r="G685" s="48">
        <f>VLOOKUP($A685,DICO_Complet!$A$3:$U$983,7,FALSE)</f>
        <v>0</v>
      </c>
      <c r="H685" s="48">
        <f>VLOOKUP($A685,DICO_Complet!$A$3:$U$983,8,FALSE)</f>
        <v>0</v>
      </c>
      <c r="I685" s="2" t="str">
        <f>IF(VLOOKUP($A685,DICO_Complet!$A$3:$U$983,9,FALSE)&lt;&gt;0,VLOOKUP($A685,DICO_Complet!$A$3:$U$983,9,FALSE),"")</f>
        <v/>
      </c>
      <c r="J685" s="1" t="str">
        <f>VLOOKUP($A685,DICO_Complet!$A$3:$U$983,10,FALSE)</f>
        <v>Numero de remise commerçant</v>
      </c>
      <c r="K685" s="53" t="str">
        <f>IF(VLOOKUP($A685,DICO_Complet!$A$3:$U$983,12,FALSE)=0,"",VLOOKUP($A685,DICO_Complet!$A$3:$U$983,12,FALSE))</f>
        <v/>
      </c>
      <c r="L685" s="53" t="str">
        <f>IF(VLOOKUP($A685,DICO_Complet!$A$3:$U$983,13,FALSE)=0,"",VLOOKUP($A685,DICO_Complet!$A$3:$U$983,13,FALSE))</f>
        <v/>
      </c>
      <c r="M685" s="53" t="str">
        <f>IF(VLOOKUP($A685,DICO_Complet!$A$3:$U$983,14,FALSE)=0,"",VLOOKUP($A685,DICO_Complet!$A$3:$U$983,14,FALSE))</f>
        <v/>
      </c>
      <c r="N685" s="53" t="str">
        <f>IF(VLOOKUP($A685,DICO_Complet!$A$3:$U$983,15,FALSE)=0,"",VLOOKUP($A685,DICO_Complet!$A$3:$U$983,15,FALSE))</f>
        <v/>
      </c>
      <c r="O685" s="53" t="str">
        <f>IF(VLOOKUP($A685,DICO_Complet!$A$3:$U$983,16,FALSE)=0,"",VLOOKUP($A685,DICO_Complet!$A$3:$U$983,16,FALSE))</f>
        <v/>
      </c>
      <c r="P685" s="53" t="str">
        <f>IF(VLOOKUP($A685,DICO_Complet!$A$3:$U$983,17,FALSE)=0,"",VLOOKUP($A685,DICO_Complet!$A$3:$U$983,17,FALSE))</f>
        <v/>
      </c>
      <c r="Q685" s="53" t="str">
        <f>IF(VLOOKUP($A685,DICO_Complet!$A$3:$U$983,18,FALSE)=0,"",VLOOKUP($A685,DICO_Complet!$A$3:$U$983,18,FALSE))</f>
        <v>COREMC ou CONUMN</v>
      </c>
    </row>
    <row r="686" spans="1:17">
      <c r="A686" s="38">
        <v>250418220162</v>
      </c>
      <c r="B686" s="47" t="s">
        <v>858</v>
      </c>
      <c r="C686" s="3" t="str">
        <f>VLOOKUP($A686,DICO_Complet!$A$3:$U$983,3,FALSE)</f>
        <v>Transaction</v>
      </c>
      <c r="D686" s="3" t="str">
        <f>VLOOKUP($A686,DICO_Complet!$A$3:$U$983,4,FALSE)</f>
        <v>remittanceData</v>
      </c>
      <c r="E686" s="2" t="str">
        <f>VLOOKUP($A686,DICO_Complet!$A$3:$U$983,5,FALSE)</f>
        <v>temp_sequentialNumber</v>
      </c>
      <c r="F686" s="2" t="str">
        <f>VLOOKUP($A686,DICO_Complet!$A$3:$U$983,6,FALSE)</f>
        <v>Max9NumericText</v>
      </c>
      <c r="G686" s="48">
        <f>VLOOKUP($A686,DICO_Complet!$A$3:$U$983,7,FALSE)</f>
        <v>0</v>
      </c>
      <c r="H686" s="48">
        <f>VLOOKUP($A686,DICO_Complet!$A$3:$U$983,8,FALSE)</f>
        <v>0</v>
      </c>
      <c r="I686" s="2" t="str">
        <f>IF(VLOOKUP($A686,DICO_Complet!$A$3:$U$983,9,FALSE)&lt;&gt;0,VLOOKUP($A686,DICO_Complet!$A$3:$U$983,9,FALSE),"")</f>
        <v/>
      </c>
      <c r="J686" s="1" t="str">
        <f>VLOOKUP($A686,DICO_Complet!$A$3:$U$983,10,FALSE)</f>
        <v>Numero sequentiel de remise</v>
      </c>
      <c r="K686" s="53" t="str">
        <f>IF(VLOOKUP($A686,DICO_Complet!$A$3:$U$983,12,FALSE)=0,"",VLOOKUP($A686,DICO_Complet!$A$3:$U$983,12,FALSE))</f>
        <v/>
      </c>
      <c r="L686" s="53" t="str">
        <f>IF(VLOOKUP($A686,DICO_Complet!$A$3:$U$983,13,FALSE)=0,"",VLOOKUP($A686,DICO_Complet!$A$3:$U$983,13,FALSE))</f>
        <v/>
      </c>
      <c r="M686" s="53" t="str">
        <f>IF(VLOOKUP($A686,DICO_Complet!$A$3:$U$983,14,FALSE)=0,"",VLOOKUP($A686,DICO_Complet!$A$3:$U$983,14,FALSE))</f>
        <v/>
      </c>
      <c r="N686" s="53" t="str">
        <f>IF(VLOOKUP($A686,DICO_Complet!$A$3:$U$983,15,FALSE)=0,"",VLOOKUP($A686,DICO_Complet!$A$3:$U$983,15,FALSE))</f>
        <v/>
      </c>
      <c r="O686" s="53" t="str">
        <f>IF(VLOOKUP($A686,DICO_Complet!$A$3:$U$983,16,FALSE)=0,"",VLOOKUP($A686,DICO_Complet!$A$3:$U$983,16,FALSE))</f>
        <v/>
      </c>
      <c r="P686" s="53" t="str">
        <f>IF(VLOOKUP($A686,DICO_Complet!$A$3:$U$983,17,FALSE)=0,"",VLOOKUP($A686,DICO_Complet!$A$3:$U$983,17,FALSE))</f>
        <v/>
      </c>
      <c r="Q686" s="53" t="str">
        <f>IF(VLOOKUP($A686,DICO_Complet!$A$3:$U$983,18,FALSE)=0,"",VLOOKUP($A686,DICO_Complet!$A$3:$U$983,18,FALSE))</f>
        <v>COSQRE</v>
      </c>
    </row>
    <row r="687" spans="1:17">
      <c r="A687" s="38">
        <v>250418220164</v>
      </c>
      <c r="B687" s="47" t="s">
        <v>858</v>
      </c>
      <c r="C687" s="3" t="str">
        <f>VLOOKUP($A687,DICO_Complet!$A$3:$U$983,3,FALSE)</f>
        <v>Transaction</v>
      </c>
      <c r="D687" s="3" t="str">
        <f>VLOOKUP($A687,DICO_Complet!$A$3:$U$983,4,FALSE)</f>
        <v>remittanceData</v>
      </c>
      <c r="E687" s="2" t="str">
        <f>VLOOKUP($A687,DICO_Complet!$A$3:$U$983,5,FALSE)</f>
        <v>temp_transactionsCount</v>
      </c>
      <c r="F687" s="2" t="str">
        <f>VLOOKUP($A687,DICO_Complet!$A$3:$U$983,6,FALSE)</f>
        <v>Max19NumericText</v>
      </c>
      <c r="G687" s="48">
        <f>VLOOKUP($A687,DICO_Complet!$A$3:$U$983,7,FALSE)</f>
        <v>0</v>
      </c>
      <c r="H687" s="48">
        <f>VLOOKUP($A687,DICO_Complet!$A$3:$U$983,8,FALSE)</f>
        <v>0</v>
      </c>
      <c r="I687" s="2" t="str">
        <f>IF(VLOOKUP($A687,DICO_Complet!$A$3:$U$983,9,FALSE)&lt;&gt;0,VLOOKUP($A687,DICO_Complet!$A$3:$U$983,9,FALSE),"")</f>
        <v/>
      </c>
      <c r="J687" s="1" t="str">
        <f>VLOOKUP($A687,DICO_Complet!$A$3:$U$983,10,FALSE)</f>
        <v>Nombre d'operations de la remise</v>
      </c>
      <c r="K687" s="53" t="str">
        <f>IF(VLOOKUP($A687,DICO_Complet!$A$3:$U$983,12,FALSE)=0,"",VLOOKUP($A687,DICO_Complet!$A$3:$U$983,12,FALSE))</f>
        <v/>
      </c>
      <c r="L687" s="53" t="str">
        <f>IF(VLOOKUP($A687,DICO_Complet!$A$3:$U$983,13,FALSE)=0,"",VLOOKUP($A687,DICO_Complet!$A$3:$U$983,13,FALSE))</f>
        <v/>
      </c>
      <c r="M687" s="53" t="str">
        <f>IF(VLOOKUP($A687,DICO_Complet!$A$3:$U$983,14,FALSE)=0,"",VLOOKUP($A687,DICO_Complet!$A$3:$U$983,14,FALSE))</f>
        <v/>
      </c>
      <c r="N687" s="53" t="str">
        <f>IF(VLOOKUP($A687,DICO_Complet!$A$3:$U$983,15,FALSE)=0,"",VLOOKUP($A687,DICO_Complet!$A$3:$U$983,15,FALSE))</f>
        <v/>
      </c>
      <c r="O687" s="53" t="str">
        <f>IF(VLOOKUP($A687,DICO_Complet!$A$3:$U$983,16,FALSE)=0,"",VLOOKUP($A687,DICO_Complet!$A$3:$U$983,16,FALSE))</f>
        <v/>
      </c>
      <c r="P687" s="53" t="str">
        <f>IF(VLOOKUP($A687,DICO_Complet!$A$3:$U$983,17,FALSE)=0,"",VLOOKUP($A687,DICO_Complet!$A$3:$U$983,17,FALSE))</f>
        <v/>
      </c>
      <c r="Q687" s="53" t="str">
        <f>IF(VLOOKUP($A687,DICO_Complet!$A$3:$U$983,18,FALSE)=0,"",VLOOKUP($A687,DICO_Complet!$A$3:$U$983,18,FALSE))</f>
        <v>QTOPMR ou QTOPM8</v>
      </c>
    </row>
    <row r="688" spans="1:17">
      <c r="A688" s="38">
        <v>250422120104</v>
      </c>
      <c r="B688" s="47" t="s">
        <v>858</v>
      </c>
      <c r="C688" s="3" t="str">
        <f>VLOOKUP($A688,DICO_Complet!$A$3:$U$983,3,FALSE)</f>
        <v>Transaction</v>
      </c>
      <c r="D688" s="3" t="str">
        <f>VLOOKUP($A688,DICO_Complet!$A$3:$U$983,4,FALSE)</f>
        <v>remittanceData</v>
      </c>
      <c r="E688" s="2" t="str">
        <f>VLOOKUP($A688,DICO_Complet!$A$3:$U$983,5,FALSE)</f>
        <v>totalamountOfDebitTransactionsWithDeferredClearing</v>
      </c>
      <c r="F688" s="2" t="str">
        <f>VLOOKUP($A688,DICO_Complet!$A$3:$U$983,6,FALSE)</f>
        <v>AmountType</v>
      </c>
      <c r="G688" s="48">
        <f>VLOOKUP($A688,DICO_Complet!$A$3:$U$983,7,FALSE)</f>
        <v>0</v>
      </c>
      <c r="H688" s="48">
        <f>VLOOKUP($A688,DICO_Complet!$A$3:$U$983,8,FALSE)</f>
        <v>0</v>
      </c>
      <c r="I688" s="2" t="str">
        <f>IF(VLOOKUP($A688,DICO_Complet!$A$3:$U$983,9,FALSE)&lt;&gt;0,VLOOKUP($A688,DICO_Complet!$A$3:$U$983,9,FALSE),"")</f>
        <v/>
      </c>
      <c r="J688" s="1" t="str">
        <f>VLOOKUP($A688,DICO_Complet!$A$3:$U$983,10,FALSE)</f>
        <v>Total amount of debit transactions with deferred clearing</v>
      </c>
      <c r="K688" s="53" t="str">
        <f>IF(VLOOKUP($A688,DICO_Complet!$A$3:$U$983,12,FALSE)=0,"",VLOOKUP($A688,DICO_Complet!$A$3:$U$983,12,FALSE))</f>
        <v/>
      </c>
      <c r="L688" s="53" t="str">
        <f>IF(VLOOKUP($A688,DICO_Complet!$A$3:$U$983,13,FALSE)=0,"",VLOOKUP($A688,DICO_Complet!$A$3:$U$983,13,FALSE))</f>
        <v/>
      </c>
      <c r="M688" s="53" t="str">
        <f>IF(VLOOKUP($A688,DICO_Complet!$A$3:$U$983,14,FALSE)=0,"",VLOOKUP($A688,DICO_Complet!$A$3:$U$983,14,FALSE))</f>
        <v>58_FF36</v>
      </c>
      <c r="N688" s="53" t="str">
        <f>IF(VLOOKUP($A688,DICO_Complet!$A$3:$U$983,15,FALSE)=0,"",VLOOKUP($A688,DICO_Complet!$A$3:$U$983,15,FALSE))</f>
        <v/>
      </c>
      <c r="O688" s="53" t="str">
        <f>IF(VLOOKUP($A688,DICO_Complet!$A$3:$U$983,16,FALSE)=0,"",VLOOKUP($A688,DICO_Complet!$A$3:$U$983,16,FALSE))</f>
        <v/>
      </c>
      <c r="P688" s="53" t="str">
        <f>IF(VLOOKUP($A688,DICO_Complet!$A$3:$U$983,17,FALSE)=0,"",VLOOKUP($A688,DICO_Complet!$A$3:$U$983,17,FALSE))</f>
        <v/>
      </c>
      <c r="Q688" s="53" t="str">
        <f>IF(VLOOKUP($A688,DICO_Complet!$A$3:$U$983,18,FALSE)=0,"",VLOOKUP($A688,DICO_Complet!$A$3:$U$983,18,FALSE))</f>
        <v/>
      </c>
    </row>
    <row r="689" spans="1:17">
      <c r="A689" s="38">
        <v>250425151003</v>
      </c>
      <c r="B689" s="47" t="s">
        <v>858</v>
      </c>
      <c r="C689" s="3" t="str">
        <f>VLOOKUP($A689,DICO_Complet!$A$3:$U$983,3,FALSE)</f>
        <v>Transaction</v>
      </c>
      <c r="D689" s="3" t="str">
        <f>VLOOKUP($A689,DICO_Complet!$A$3:$U$983,4,FALSE)</f>
        <v>remittanceData</v>
      </c>
      <c r="E689" s="2" t="str">
        <f>VLOOKUP($A689,DICO_Complet!$A$3:$U$983,5,FALSE)</f>
        <v>totalDonationAmount</v>
      </c>
      <c r="F689" s="2" t="str">
        <f>VLOOKUP($A689,DICO_Complet!$A$3:$U$983,6,FALSE)</f>
        <v>Exact16NumericText</v>
      </c>
      <c r="G689" s="48">
        <f>VLOOKUP($A689,DICO_Complet!$A$3:$U$983,7,FALSE)</f>
        <v>0</v>
      </c>
      <c r="H689" s="48">
        <f>VLOOKUP($A689,DICO_Complet!$A$3:$U$983,8,FALSE)</f>
        <v>0</v>
      </c>
      <c r="I689" s="2" t="str">
        <f>IF(VLOOKUP($A689,DICO_Complet!$A$3:$U$983,9,FALSE)&lt;&gt;0,VLOOKUP($A689,DICO_Complet!$A$3:$U$983,9,FALSE),"")</f>
        <v/>
      </c>
      <c r="J689" s="1" t="str">
        <f>VLOOKUP($A689,DICO_Complet!$A$3:$U$983,10,FALSE)</f>
        <v>total donation amount</v>
      </c>
      <c r="K689" s="53" t="str">
        <f>IF(VLOOKUP($A689,DICO_Complet!$A$3:$U$983,12,FALSE)=0,"",VLOOKUP($A689,DICO_Complet!$A$3:$U$983,12,FALSE))</f>
        <v/>
      </c>
      <c r="L689" s="53" t="str">
        <f>IF(VLOOKUP($A689,DICO_Complet!$A$3:$U$983,13,FALSE)=0,"",VLOOKUP($A689,DICO_Complet!$A$3:$U$983,13,FALSE))</f>
        <v/>
      </c>
      <c r="M689" s="53" t="str">
        <f>IF(VLOOKUP($A689,DICO_Complet!$A$3:$U$983,14,FALSE)=0,"",VLOOKUP($A689,DICO_Complet!$A$3:$U$983,14,FALSE))</f>
        <v>113 part 3</v>
      </c>
      <c r="N689" s="53" t="str">
        <f>IF(VLOOKUP($A689,DICO_Complet!$A$3:$U$983,15,FALSE)=0,"",VLOOKUP($A689,DICO_Complet!$A$3:$U$983,15,FALSE))</f>
        <v/>
      </c>
      <c r="O689" s="53" t="str">
        <f>IF(VLOOKUP($A689,DICO_Complet!$A$3:$U$983,16,FALSE)=0,"",VLOOKUP($A689,DICO_Complet!$A$3:$U$983,16,FALSE))</f>
        <v/>
      </c>
      <c r="P689" s="53" t="str">
        <f>IF(VLOOKUP($A689,DICO_Complet!$A$3:$U$983,17,FALSE)=0,"",VLOOKUP($A689,DICO_Complet!$A$3:$U$983,17,FALSE))</f>
        <v/>
      </c>
      <c r="Q689" s="53" t="str">
        <f>IF(VLOOKUP($A689,DICO_Complet!$A$3:$U$983,18,FALSE)=0,"",VLOOKUP($A689,DICO_Complet!$A$3:$U$983,18,FALSE))</f>
        <v/>
      </c>
    </row>
    <row r="690" spans="1:17">
      <c r="A690" s="38">
        <v>250422120103</v>
      </c>
      <c r="B690" s="47" t="s">
        <v>858</v>
      </c>
      <c r="C690" s="3" t="str">
        <f>VLOOKUP($A690,DICO_Complet!$A$3:$U$983,3,FALSE)</f>
        <v>Transaction</v>
      </c>
      <c r="D690" s="3" t="str">
        <f>VLOOKUP($A690,DICO_Complet!$A$3:$U$983,4,FALSE)</f>
        <v>remittanceData</v>
      </c>
      <c r="E690" s="2" t="str">
        <f>VLOOKUP($A690,DICO_Complet!$A$3:$U$983,5,FALSE)</f>
        <v>totalNumberOfDebitTransactionsWithDeferredClearing</v>
      </c>
      <c r="F690" s="2" t="str">
        <f>VLOOKUP($A690,DICO_Complet!$A$3:$U$983,6,FALSE)</f>
        <v>Exact10NumericText</v>
      </c>
      <c r="G690" s="48">
        <f>VLOOKUP($A690,DICO_Complet!$A$3:$U$983,7,FALSE)</f>
        <v>0</v>
      </c>
      <c r="H690" s="48">
        <f>VLOOKUP($A690,DICO_Complet!$A$3:$U$983,8,FALSE)</f>
        <v>0</v>
      </c>
      <c r="I690" s="2" t="str">
        <f>IF(VLOOKUP($A690,DICO_Complet!$A$3:$U$983,9,FALSE)&lt;&gt;0,VLOOKUP($A690,DICO_Complet!$A$3:$U$983,9,FALSE),"")</f>
        <v/>
      </c>
      <c r="J690" s="1" t="str">
        <f>VLOOKUP($A690,DICO_Complet!$A$3:$U$983,10,FALSE)</f>
        <v>Total number of debit transactions with deferred clearing</v>
      </c>
      <c r="K690" s="53" t="str">
        <f>IF(VLOOKUP($A690,DICO_Complet!$A$3:$U$983,12,FALSE)=0,"",VLOOKUP($A690,DICO_Complet!$A$3:$U$983,12,FALSE))</f>
        <v/>
      </c>
      <c r="L690" s="53" t="str">
        <f>IF(VLOOKUP($A690,DICO_Complet!$A$3:$U$983,13,FALSE)=0,"",VLOOKUP($A690,DICO_Complet!$A$3:$U$983,13,FALSE))</f>
        <v/>
      </c>
      <c r="M690" s="53" t="str">
        <f>IF(VLOOKUP($A690,DICO_Complet!$A$3:$U$983,14,FALSE)=0,"",VLOOKUP($A690,DICO_Complet!$A$3:$U$983,14,FALSE))</f>
        <v>58_FF35</v>
      </c>
      <c r="N690" s="53" t="str">
        <f>IF(VLOOKUP($A690,DICO_Complet!$A$3:$U$983,15,FALSE)=0,"",VLOOKUP($A690,DICO_Complet!$A$3:$U$983,15,FALSE))</f>
        <v/>
      </c>
      <c r="O690" s="53" t="str">
        <f>IF(VLOOKUP($A690,DICO_Complet!$A$3:$U$983,16,FALSE)=0,"",VLOOKUP($A690,DICO_Complet!$A$3:$U$983,16,FALSE))</f>
        <v/>
      </c>
      <c r="P690" s="53" t="str">
        <f>IF(VLOOKUP($A690,DICO_Complet!$A$3:$U$983,17,FALSE)=0,"",VLOOKUP($A690,DICO_Complet!$A$3:$U$983,17,FALSE))</f>
        <v/>
      </c>
      <c r="Q690" s="53" t="str">
        <f>IF(VLOOKUP($A690,DICO_Complet!$A$3:$U$983,18,FALSE)=0,"",VLOOKUP($A690,DICO_Complet!$A$3:$U$983,18,FALSE))</f>
        <v/>
      </c>
    </row>
    <row r="691" spans="1:17">
      <c r="A691" s="38">
        <v>250422133704</v>
      </c>
      <c r="B691" s="47" t="s">
        <v>858</v>
      </c>
      <c r="C691" s="3" t="str">
        <f>VLOOKUP($A691,DICO_Complet!$A$3:$U$983,3,FALSE)</f>
        <v>Transaction</v>
      </c>
      <c r="D691" s="3" t="str">
        <f>VLOOKUP($A691,DICO_Complet!$A$3:$U$983,4,FALSE)</f>
        <v>remittanceData</v>
      </c>
      <c r="E691" s="2" t="str">
        <f>VLOOKUP($A691,DICO_Complet!$A$3:$U$983,5,FALSE)</f>
        <v>totalNumberOfPayments</v>
      </c>
      <c r="F691" s="2" t="str">
        <f>VLOOKUP($A691,DICO_Complet!$A$3:$U$983,6,FALSE)</f>
        <v>Exact4NumericText</v>
      </c>
      <c r="G691" s="48">
        <f>VLOOKUP($A691,DICO_Complet!$A$3:$U$983,7,FALSE)</f>
        <v>0</v>
      </c>
      <c r="H691" s="48">
        <f>VLOOKUP($A691,DICO_Complet!$A$3:$U$983,8,FALSE)</f>
        <v>0</v>
      </c>
      <c r="I691" s="2" t="str">
        <f>IF(VLOOKUP($A691,DICO_Complet!$A$3:$U$983,9,FALSE)&lt;&gt;0,VLOOKUP($A691,DICO_Complet!$A$3:$U$983,9,FALSE),"")</f>
        <v/>
      </c>
      <c r="J691" s="1" t="str">
        <f>VLOOKUP($A691,DICO_Complet!$A$3:$U$983,10,FALSE)</f>
        <v>Total number of payments</v>
      </c>
      <c r="K691" s="53" t="str">
        <f>IF(VLOOKUP($A691,DICO_Complet!$A$3:$U$983,12,FALSE)=0,"",VLOOKUP($A691,DICO_Complet!$A$3:$U$983,12,FALSE))</f>
        <v/>
      </c>
      <c r="L691" s="53" t="str">
        <f>IF(VLOOKUP($A691,DICO_Complet!$A$3:$U$983,13,FALSE)=0,"",VLOOKUP($A691,DICO_Complet!$A$3:$U$983,13,FALSE))</f>
        <v/>
      </c>
      <c r="M691" s="53" t="str">
        <f>IF(VLOOKUP($A691,DICO_Complet!$A$3:$U$983,14,FALSE)=0,"",VLOOKUP($A691,DICO_Complet!$A$3:$U$983,14,FALSE))</f>
        <v>059_0044</v>
      </c>
      <c r="N691" s="53" t="str">
        <f>IF(VLOOKUP($A691,DICO_Complet!$A$3:$U$983,15,FALSE)=0,"",VLOOKUP($A691,DICO_Complet!$A$3:$U$983,15,FALSE))</f>
        <v/>
      </c>
      <c r="O691" s="53" t="str">
        <f>IF(VLOOKUP($A691,DICO_Complet!$A$3:$U$983,16,FALSE)=0,"",VLOOKUP($A691,DICO_Complet!$A$3:$U$983,16,FALSE))</f>
        <v/>
      </c>
      <c r="P691" s="53" t="str">
        <f>IF(VLOOKUP($A691,DICO_Complet!$A$3:$U$983,17,FALSE)=0,"",VLOOKUP($A691,DICO_Complet!$A$3:$U$983,17,FALSE))</f>
        <v/>
      </c>
      <c r="Q691" s="53" t="str">
        <f>IF(VLOOKUP($A691,DICO_Complet!$A$3:$U$983,18,FALSE)=0,"",VLOOKUP($A691,DICO_Complet!$A$3:$U$983,18,FALSE))</f>
        <v/>
      </c>
    </row>
    <row r="692" spans="1:17">
      <c r="A692" s="38">
        <v>250425151000</v>
      </c>
      <c r="B692" s="47" t="s">
        <v>858</v>
      </c>
      <c r="C692" s="3" t="str">
        <f>VLOOKUP($A692,DICO_Complet!$A$3:$U$983,3,FALSE)</f>
        <v>Transaction</v>
      </c>
      <c r="D692" s="3" t="str">
        <f>VLOOKUP($A692,DICO_Complet!$A$3:$U$983,4,FALSE)</f>
        <v>remittanceData</v>
      </c>
      <c r="E692" s="2" t="str">
        <f>VLOOKUP($A692,DICO_Complet!$A$3:$U$983,5,FALSE)</f>
        <v>totalTipAmount</v>
      </c>
      <c r="F692" s="2" t="str">
        <f>VLOOKUP($A692,DICO_Complet!$A$3:$U$983,6,FALSE)</f>
        <v>Exact16NumericText</v>
      </c>
      <c r="G692" s="48">
        <f>VLOOKUP($A692,DICO_Complet!$A$3:$U$983,7,FALSE)</f>
        <v>0</v>
      </c>
      <c r="H692" s="48">
        <f>VLOOKUP($A692,DICO_Complet!$A$3:$U$983,8,FALSE)</f>
        <v>0</v>
      </c>
      <c r="I692" s="2" t="str">
        <f>IF(VLOOKUP($A692,DICO_Complet!$A$3:$U$983,9,FALSE)&lt;&gt;0,VLOOKUP($A692,DICO_Complet!$A$3:$U$983,9,FALSE),"")</f>
        <v/>
      </c>
      <c r="J692" s="1" t="str">
        <f>VLOOKUP($A692,DICO_Complet!$A$3:$U$983,10,FALSE)</f>
        <v>total tip amount</v>
      </c>
      <c r="K692" s="53" t="str">
        <f>IF(VLOOKUP($A692,DICO_Complet!$A$3:$U$983,12,FALSE)=0,"",VLOOKUP($A692,DICO_Complet!$A$3:$U$983,12,FALSE))</f>
        <v/>
      </c>
      <c r="L692" s="53" t="str">
        <f>IF(VLOOKUP($A692,DICO_Complet!$A$3:$U$983,13,FALSE)=0,"",VLOOKUP($A692,DICO_Complet!$A$3:$U$983,13,FALSE))</f>
        <v/>
      </c>
      <c r="M692" s="53" t="str">
        <f>IF(VLOOKUP($A692,DICO_Complet!$A$3:$U$983,14,FALSE)=0,"",VLOOKUP($A692,DICO_Complet!$A$3:$U$983,14,FALSE))</f>
        <v>112 part 3</v>
      </c>
      <c r="N692" s="53" t="str">
        <f>IF(VLOOKUP($A692,DICO_Complet!$A$3:$U$983,15,FALSE)=0,"",VLOOKUP($A692,DICO_Complet!$A$3:$U$983,15,FALSE))</f>
        <v/>
      </c>
      <c r="O692" s="53" t="str">
        <f>IF(VLOOKUP($A692,DICO_Complet!$A$3:$U$983,16,FALSE)=0,"",VLOOKUP($A692,DICO_Complet!$A$3:$U$983,16,FALSE))</f>
        <v/>
      </c>
      <c r="P692" s="53" t="str">
        <f>IF(VLOOKUP($A692,DICO_Complet!$A$3:$U$983,17,FALSE)=0,"",VLOOKUP($A692,DICO_Complet!$A$3:$U$983,17,FALSE))</f>
        <v/>
      </c>
      <c r="Q692" s="53" t="str">
        <f>IF(VLOOKUP($A692,DICO_Complet!$A$3:$U$983,18,FALSE)=0,"",VLOOKUP($A692,DICO_Complet!$A$3:$U$983,18,FALSE))</f>
        <v/>
      </c>
    </row>
    <row r="693" spans="1:17">
      <c r="A693" s="38">
        <v>241112000261</v>
      </c>
      <c r="B693" s="47" t="s">
        <v>858</v>
      </c>
      <c r="C693" s="3" t="str">
        <f>VLOOKUP($A693,DICO_Complet!$A$3:$U$983,3,FALSE)</f>
        <v>Transaction</v>
      </c>
      <c r="D693" s="3" t="str">
        <f>VLOOKUP($A693,DICO_Complet!$A$3:$U$983,4,FALSE)</f>
        <v>response</v>
      </c>
      <c r="E693" s="2" t="str">
        <f>VLOOKUP($A693,DICO_Complet!$A$3:$U$983,5,FALSE)</f>
        <v>authorisationCode</v>
      </c>
      <c r="F693" s="2" t="str">
        <f>VLOOKUP($A693,DICO_Complet!$A$3:$U$983,6,FALSE)</f>
        <v>Max6AlphaNumericText</v>
      </c>
      <c r="G693" s="48">
        <f>VLOOKUP($A693,DICO_Complet!$A$3:$U$983,7,FALSE)</f>
        <v>0</v>
      </c>
      <c r="H693" s="48">
        <f>VLOOKUP($A693,DICO_Complet!$A$3:$U$983,8,FALSE)</f>
        <v>0</v>
      </c>
      <c r="I693" s="2" t="str">
        <f>IF(VLOOKUP($A693,DICO_Complet!$A$3:$U$983,9,FALSE)&lt;&gt;0,VLOOKUP($A693,DICO_Complet!$A$3:$U$983,9,FALSE),"")</f>
        <v/>
      </c>
      <c r="J693" s="1" t="str">
        <f>VLOOKUP($A693,DICO_Complet!$A$3:$U$983,10,FALSE)</f>
        <v>Autorisation identification response</v>
      </c>
      <c r="K693" s="53" t="str">
        <f>IF(VLOOKUP($A693,DICO_Complet!$A$3:$U$983,12,FALSE)=0,"",VLOOKUP($A693,DICO_Complet!$A$3:$U$983,12,FALSE))</f>
        <v>ISO38</v>
      </c>
      <c r="L693" s="53" t="str">
        <f>IF(VLOOKUP($A693,DICO_Complet!$A$3:$U$983,13,FALSE)=0,"",VLOOKUP($A693,DICO_Complet!$A$3:$U$983,13,FALSE))</f>
        <v>[38]</v>
      </c>
      <c r="M693" s="53" t="str">
        <f>IF(VLOOKUP($A693,DICO_Complet!$A$3:$U$983,14,FALSE)=0,"",VLOOKUP($A693,DICO_Complet!$A$3:$U$983,14,FALSE))</f>
        <v/>
      </c>
      <c r="N693" s="53" t="str">
        <f>IF(VLOOKUP($A693,DICO_Complet!$A$3:$U$983,15,FALSE)=0,"",VLOOKUP($A693,DICO_Complet!$A$3:$U$983,15,FALSE))</f>
        <v/>
      </c>
      <c r="O693" s="53" t="str">
        <f>IF(VLOOKUP($A693,DICO_Complet!$A$3:$U$983,16,FALSE)=0,"",VLOOKUP($A693,DICO_Complet!$A$3:$U$983,16,FALSE))</f>
        <v/>
      </c>
      <c r="P693" s="53" t="str">
        <f>IF(VLOOKUP($A693,DICO_Complet!$A$3:$U$983,17,FALSE)=0,"",VLOOKUP($A693,DICO_Complet!$A$3:$U$983,17,FALSE))</f>
        <v/>
      </c>
      <c r="Q693" s="53" t="str">
        <f>IF(VLOOKUP($A693,DICO_Complet!$A$3:$U$983,18,FALSE)=0,"",VLOOKUP($A693,DICO_Complet!$A$3:$U$983,18,FALSE))</f>
        <v/>
      </c>
    </row>
    <row r="694" spans="1:17">
      <c r="A694" s="38">
        <v>241112000262</v>
      </c>
      <c r="B694" s="47" t="s">
        <v>858</v>
      </c>
      <c r="C694" s="3" t="str">
        <f>VLOOKUP($A694,DICO_Complet!$A$3:$U$983,3,FALSE)</f>
        <v>Transaction</v>
      </c>
      <c r="D694" s="3" t="str">
        <f>VLOOKUP($A694,DICO_Complet!$A$3:$U$983,4,FALSE)</f>
        <v>response</v>
      </c>
      <c r="E694" s="2" t="str">
        <f>VLOOKUP($A694,DICO_Complet!$A$3:$U$983,5,FALSE)</f>
        <v>responseCode</v>
      </c>
      <c r="F694" s="2" t="str">
        <f>VLOOKUP($A694,DICO_Complet!$A$3:$U$983,6,FALSE)</f>
        <v>Max6AlphaNumericText</v>
      </c>
      <c r="G694" s="48">
        <f>VLOOKUP($A694,DICO_Complet!$A$3:$U$983,7,FALSE)</f>
        <v>0</v>
      </c>
      <c r="H694" s="48">
        <f>VLOOKUP($A694,DICO_Complet!$A$3:$U$983,8,FALSE)</f>
        <v>0</v>
      </c>
      <c r="I694" s="2" t="str">
        <f>IF(VLOOKUP($A694,DICO_Complet!$A$3:$U$983,9,FALSE)&lt;&gt;0,VLOOKUP($A694,DICO_Complet!$A$3:$U$983,9,FALSE),"")</f>
        <v/>
      </c>
      <c r="J694" s="1" t="str">
        <f>VLOOKUP($A694,DICO_Complet!$A$3:$U$983,10,FALSE)</f>
        <v>Response Code</v>
      </c>
      <c r="K694" s="53" t="str">
        <f>IF(VLOOKUP($A694,DICO_Complet!$A$3:$U$983,12,FALSE)=0,"",VLOOKUP($A694,DICO_Complet!$A$3:$U$983,12,FALSE))</f>
        <v>ISO39</v>
      </c>
      <c r="L694" s="53" t="str">
        <f>IF(VLOOKUP($A694,DICO_Complet!$A$3:$U$983,13,FALSE)=0,"",VLOOKUP($A694,DICO_Complet!$A$3:$U$983,13,FALSE))</f>
        <v>[39]</v>
      </c>
      <c r="M694" s="53" t="str">
        <f>IF(VLOOKUP($A694,DICO_Complet!$A$3:$U$983,14,FALSE)=0,"",VLOOKUP($A694,DICO_Complet!$A$3:$U$983,14,FALSE))</f>
        <v/>
      </c>
      <c r="N694" s="53" t="str">
        <f>IF(VLOOKUP($A694,DICO_Complet!$A$3:$U$983,15,FALSE)=0,"",VLOOKUP($A694,DICO_Complet!$A$3:$U$983,15,FALSE))</f>
        <v/>
      </c>
      <c r="O694" s="53" t="str">
        <f>IF(VLOOKUP($A694,DICO_Complet!$A$3:$U$983,16,FALSE)=0,"",VLOOKUP($A694,DICO_Complet!$A$3:$U$983,16,FALSE))</f>
        <v/>
      </c>
      <c r="P694" s="53" t="str">
        <f>IF(VLOOKUP($A694,DICO_Complet!$A$3:$U$983,17,FALSE)=0,"",VLOOKUP($A694,DICO_Complet!$A$3:$U$983,17,FALSE))</f>
        <v/>
      </c>
      <c r="Q694" s="53" t="str">
        <f>IF(VLOOKUP($A694,DICO_Complet!$A$3:$U$983,18,FALSE)=0,"",VLOOKUP($A694,DICO_Complet!$A$3:$U$983,18,FALSE))</f>
        <v/>
      </c>
    </row>
    <row r="695" spans="1:17">
      <c r="A695" s="38">
        <v>241114154800</v>
      </c>
      <c r="B695" s="47" t="s">
        <v>858</v>
      </c>
      <c r="C695" s="3" t="str">
        <f>VLOOKUP($A695,DICO_Complet!$A$3:$U$983,3,FALSE)</f>
        <v>Transaction</v>
      </c>
      <c r="D695" s="3" t="str">
        <f>VLOOKUP($A695,DICO_Complet!$A$3:$U$983,4,FALSE)</f>
        <v>response</v>
      </c>
      <c r="E695" s="2" t="str">
        <f>VLOOKUP($A695,DICO_Complet!$A$3:$U$983,5,FALSE)</f>
        <v>responseDateTime</v>
      </c>
      <c r="F695" s="2" t="str">
        <f>VLOOKUP($A695,DICO_Complet!$A$3:$U$983,6,FALSE)</f>
        <v>ISODateTime</v>
      </c>
      <c r="G695" s="48">
        <f>VLOOKUP($A695,DICO_Complet!$A$3:$U$983,7,FALSE)</f>
        <v>0</v>
      </c>
      <c r="H695" s="48">
        <f>VLOOKUP($A695,DICO_Complet!$A$3:$U$983,8,FALSE)</f>
        <v>0</v>
      </c>
      <c r="I695" s="2" t="str">
        <f>IF(VLOOKUP($A695,DICO_Complet!$A$3:$U$983,9,FALSE)&lt;&gt;0,VLOOKUP($A695,DICO_Complet!$A$3:$U$983,9,FALSE),"")</f>
        <v/>
      </c>
      <c r="J695" s="1" t="str">
        <f>VLOOKUP($A695,DICO_Complet!$A$3:$U$983,10,FALSE)</f>
        <v>Response Date Time</v>
      </c>
      <c r="K695" s="53" t="str">
        <f>IF(VLOOKUP($A695,DICO_Complet!$A$3:$U$983,12,FALSE)=0,"",VLOOKUP($A695,DICO_Complet!$A$3:$U$983,12,FALSE))</f>
        <v/>
      </c>
      <c r="L695" s="53" t="str">
        <f>IF(VLOOKUP($A695,DICO_Complet!$A$3:$U$983,13,FALSE)=0,"",VLOOKUP($A695,DICO_Complet!$A$3:$U$983,13,FALSE))</f>
        <v/>
      </c>
      <c r="M695" s="53" t="str">
        <f>IF(VLOOKUP($A695,DICO_Complet!$A$3:$U$983,14,FALSE)=0,"",VLOOKUP($A695,DICO_Complet!$A$3:$U$983,14,FALSE))</f>
        <v/>
      </c>
      <c r="N695" s="53" t="str">
        <f>IF(VLOOKUP($A695,DICO_Complet!$A$3:$U$983,15,FALSE)=0,"",VLOOKUP($A695,DICO_Complet!$A$3:$U$983,15,FALSE))</f>
        <v/>
      </c>
      <c r="O695" s="53" t="str">
        <f>IF(VLOOKUP($A695,DICO_Complet!$A$3:$U$983,16,FALSE)=0,"",VLOOKUP($A695,DICO_Complet!$A$3:$U$983,16,FALSE))</f>
        <v/>
      </c>
      <c r="P695" s="53" t="str">
        <f>IF(VLOOKUP($A695,DICO_Complet!$A$3:$U$983,17,FALSE)=0,"",VLOOKUP($A695,DICO_Complet!$A$3:$U$983,17,FALSE))</f>
        <v/>
      </c>
      <c r="Q695" s="53" t="str">
        <f>IF(VLOOKUP($A695,DICO_Complet!$A$3:$U$983,18,FALSE)=0,"",VLOOKUP($A695,DICO_Complet!$A$3:$U$983,18,FALSE))</f>
        <v/>
      </c>
    </row>
    <row r="696" spans="1:17">
      <c r="A696" s="38">
        <v>250408142700</v>
      </c>
      <c r="B696" s="47" t="s">
        <v>858</v>
      </c>
      <c r="C696" s="3" t="str">
        <f>VLOOKUP($A696,DICO_Complet!$A$3:$U$983,3,FALSE)</f>
        <v>Transaction</v>
      </c>
      <c r="D696" s="3" t="str">
        <f>VLOOKUP($A696,DICO_Complet!$A$3:$U$983,4,FALSE)</f>
        <v>response</v>
      </c>
      <c r="E696" s="2" t="str">
        <f>VLOOKUP($A696,DICO_Complet!$A$3:$U$983,5,FALSE)</f>
        <v>reversalReason</v>
      </c>
      <c r="F696" s="2" t="str">
        <f>VLOOKUP($A696,DICO_Complet!$A$3:$U$983,6,FALSE)</f>
        <v>Max5AlphaNumericText</v>
      </c>
      <c r="G696" s="48">
        <f>VLOOKUP($A696,DICO_Complet!$A$3:$U$983,7,FALSE)</f>
        <v>0</v>
      </c>
      <c r="H696" s="48">
        <f>VLOOKUP($A696,DICO_Complet!$A$3:$U$983,8,FALSE)</f>
        <v>0</v>
      </c>
      <c r="I696" s="2" t="str">
        <f>IF(VLOOKUP($A696,DICO_Complet!$A$3:$U$983,9,FALSE)&lt;&gt;0,VLOOKUP($A696,DICO_Complet!$A$3:$U$983,9,FALSE),"")</f>
        <v/>
      </c>
      <c r="J696" s="1" t="str">
        <f>VLOOKUP($A696,DICO_Complet!$A$3:$U$983,10,FALSE)</f>
        <v>Reason of reversal transported</v>
      </c>
      <c r="K696" s="53" t="str">
        <f>IF(VLOOKUP($A696,DICO_Complet!$A$3:$U$983,12,FALSE)=0,"",VLOOKUP($A696,DICO_Complet!$A$3:$U$983,12,FALSE))</f>
        <v>AUT127</v>
      </c>
      <c r="L696" s="53" t="str">
        <f>IF(VLOOKUP($A696,DICO_Complet!$A$3:$U$983,13,FALSE)=0,"",VLOOKUP($A696,DICO_Complet!$A$3:$U$983,13,FALSE))</f>
        <v/>
      </c>
      <c r="M696" s="53" t="str">
        <f>IF(VLOOKUP($A696,DICO_Complet!$A$3:$U$983,14,FALSE)=0,"",VLOOKUP($A696,DICO_Complet!$A$3:$U$983,14,FALSE))</f>
        <v/>
      </c>
      <c r="N696" s="53" t="str">
        <f>IF(VLOOKUP($A696,DICO_Complet!$A$3:$U$983,15,FALSE)=0,"",VLOOKUP($A696,DICO_Complet!$A$3:$U$983,15,FALSE))</f>
        <v/>
      </c>
      <c r="O696" s="53" t="str">
        <f>IF(VLOOKUP($A696,DICO_Complet!$A$3:$U$983,16,FALSE)=0,"",VLOOKUP($A696,DICO_Complet!$A$3:$U$983,16,FALSE))</f>
        <v/>
      </c>
      <c r="P696" s="53" t="str">
        <f>IF(VLOOKUP($A696,DICO_Complet!$A$3:$U$983,17,FALSE)=0,"",VLOOKUP($A696,DICO_Complet!$A$3:$U$983,17,FALSE))</f>
        <v/>
      </c>
      <c r="Q696" s="53" t="str">
        <f>IF(VLOOKUP($A696,DICO_Complet!$A$3:$U$983,18,FALSE)=0,"",VLOOKUP($A696,DICO_Complet!$A$3:$U$983,18,FALSE))</f>
        <v/>
      </c>
    </row>
    <row r="697" spans="1:17">
      <c r="A697" s="38">
        <v>250408142402</v>
      </c>
      <c r="B697" s="47" t="s">
        <v>858</v>
      </c>
      <c r="C697" s="3" t="str">
        <f>VLOOKUP($A697,DICO_Complet!$A$3:$U$983,3,FALSE)</f>
        <v>Transaction</v>
      </c>
      <c r="D697" s="3" t="str">
        <f>VLOOKUP($A697,DICO_Complet!$A$3:$U$983,4,FALSE)</f>
        <v>response</v>
      </c>
      <c r="E697" s="2" t="str">
        <f>VLOOKUP($A697,DICO_Complet!$A$3:$U$983,5,FALSE)</f>
        <v>storedResponseCode</v>
      </c>
      <c r="F697" s="2" t="str">
        <f>VLOOKUP($A697,DICO_Complet!$A$3:$U$983,6,FALSE)</f>
        <v>AdditionalDataType</v>
      </c>
      <c r="G697" s="48">
        <f>VLOOKUP($A697,DICO_Complet!$A$3:$U$983,7,FALSE)</f>
        <v>0</v>
      </c>
      <c r="H697" s="48">
        <f>VLOOKUP($A697,DICO_Complet!$A$3:$U$983,8,FALSE)</f>
        <v>0</v>
      </c>
      <c r="I697" s="2" t="str">
        <f>IF(VLOOKUP($A697,DICO_Complet!$A$3:$U$983,9,FALSE)&lt;&gt;0,VLOOKUP($A697,DICO_Complet!$A$3:$U$983,9,FALSE),"")</f>
        <v/>
      </c>
      <c r="J697" s="1" t="str">
        <f>VLOOKUP($A697,DICO_Complet!$A$3:$U$983,10,FALSE)</f>
        <v>to store response code from different services</v>
      </c>
      <c r="K697" s="53" t="str">
        <f>IF(VLOOKUP($A697,DICO_Complet!$A$3:$U$983,12,FALSE)=0,"",VLOOKUP($A697,DICO_Complet!$A$3:$U$983,12,FALSE))</f>
        <v/>
      </c>
      <c r="L697" s="53" t="str">
        <f>IF(VLOOKUP($A697,DICO_Complet!$A$3:$U$983,13,FALSE)=0,"",VLOOKUP($A697,DICO_Complet!$A$3:$U$983,13,FALSE))</f>
        <v/>
      </c>
      <c r="M697" s="53" t="str">
        <f>IF(VLOOKUP($A697,DICO_Complet!$A$3:$U$983,14,FALSE)=0,"",VLOOKUP($A697,DICO_Complet!$A$3:$U$983,14,FALSE))</f>
        <v/>
      </c>
      <c r="N697" s="53" t="str">
        <f>IF(VLOOKUP($A697,DICO_Complet!$A$3:$U$983,15,FALSE)=0,"",VLOOKUP($A697,DICO_Complet!$A$3:$U$983,15,FALSE))</f>
        <v/>
      </c>
      <c r="O697" s="53" t="str">
        <f>IF(VLOOKUP($A697,DICO_Complet!$A$3:$U$983,16,FALSE)=0,"",VLOOKUP($A697,DICO_Complet!$A$3:$U$983,16,FALSE))</f>
        <v/>
      </c>
      <c r="P697" s="53" t="str">
        <f>IF(VLOOKUP($A697,DICO_Complet!$A$3:$U$983,17,FALSE)=0,"",VLOOKUP($A697,DICO_Complet!$A$3:$U$983,17,FALSE))</f>
        <v/>
      </c>
      <c r="Q697" s="53" t="str">
        <f>IF(VLOOKUP($A697,DICO_Complet!$A$3:$U$983,18,FALSE)=0,"",VLOOKUP($A697,DICO_Complet!$A$3:$U$983,18,FALSE))</f>
        <v/>
      </c>
    </row>
    <row r="698" spans="1:17">
      <c r="A698" s="38">
        <v>250317120011</v>
      </c>
      <c r="B698" s="47" t="s">
        <v>858</v>
      </c>
      <c r="C698" s="3" t="str">
        <f>VLOOKUP($A698,DICO_Complet!$A$3:$U$983,3,FALSE)</f>
        <v>Transaction</v>
      </c>
      <c r="D698" s="3" t="str">
        <f>VLOOKUP($A698,DICO_Complet!$A$3:$U$983,4,FALSE)</f>
        <v>schemeFees</v>
      </c>
      <c r="E698" s="2" t="str">
        <f>VLOOKUP($A698,DICO_Complet!$A$3:$U$983,5,FALSE)</f>
        <v>schemeFeesDetails</v>
      </c>
      <c r="F698" s="2" t="str">
        <f>VLOOKUP($A698,DICO_Complet!$A$3:$U$983,6,FALSE)</f>
        <v>SchemeFeesType</v>
      </c>
      <c r="G698" s="48">
        <f>VLOOKUP($A698,DICO_Complet!$A$3:$U$983,7,FALSE)</f>
        <v>0</v>
      </c>
      <c r="H698" s="48">
        <f>VLOOKUP($A698,DICO_Complet!$A$3:$U$983,8,FALSE)</f>
        <v>0</v>
      </c>
      <c r="I698" s="2" t="str">
        <f>IF(VLOOKUP($A698,DICO_Complet!$A$3:$U$983,9,FALSE)&lt;&gt;0,VLOOKUP($A698,DICO_Complet!$A$3:$U$983,9,FALSE),"")</f>
        <v/>
      </c>
      <c r="J698" s="1" t="str">
        <f>VLOOKUP($A698,DICO_Complet!$A$3:$U$983,10,FALSE)</f>
        <v>Scheme fee details</v>
      </c>
      <c r="K698" s="53" t="str">
        <f>IF(VLOOKUP($A698,DICO_Complet!$A$3:$U$983,12,FALSE)=0,"",VLOOKUP($A698,DICO_Complet!$A$3:$U$983,12,FALSE))</f>
        <v/>
      </c>
      <c r="L698" s="53" t="str">
        <f>IF(VLOOKUP($A698,DICO_Complet!$A$3:$U$983,13,FALSE)=0,"",VLOOKUP($A698,DICO_Complet!$A$3:$U$983,13,FALSE))</f>
        <v/>
      </c>
      <c r="M698" s="53" t="str">
        <f>IF(VLOOKUP($A698,DICO_Complet!$A$3:$U$983,14,FALSE)=0,"",VLOOKUP($A698,DICO_Complet!$A$3:$U$983,14,FALSE))</f>
        <v/>
      </c>
      <c r="N698" s="53" t="str">
        <f>IF(VLOOKUP($A698,DICO_Complet!$A$3:$U$983,15,FALSE)=0,"",VLOOKUP($A698,DICO_Complet!$A$3:$U$983,15,FALSE))</f>
        <v/>
      </c>
      <c r="O698" s="53" t="str">
        <f>IF(VLOOKUP($A698,DICO_Complet!$A$3:$U$983,16,FALSE)=0,"",VLOOKUP($A698,DICO_Complet!$A$3:$U$983,16,FALSE))</f>
        <v/>
      </c>
      <c r="P698" s="53" t="str">
        <f>IF(VLOOKUP($A698,DICO_Complet!$A$3:$U$983,17,FALSE)=0,"",VLOOKUP($A698,DICO_Complet!$A$3:$U$983,17,FALSE))</f>
        <v/>
      </c>
      <c r="Q698" s="53" t="str">
        <f>IF(VLOOKUP($A698,DICO_Complet!$A$3:$U$983,18,FALSE)=0,"",VLOOKUP($A698,DICO_Complet!$A$3:$U$983,18,FALSE))</f>
        <v/>
      </c>
    </row>
    <row r="699" spans="1:17">
      <c r="A699" s="38">
        <v>250317120012</v>
      </c>
      <c r="B699" s="47" t="s">
        <v>858</v>
      </c>
      <c r="C699" s="3" t="str">
        <f>VLOOKUP($A699,DICO_Complet!$A$3:$U$983,3,FALSE)</f>
        <v>Transaction</v>
      </c>
      <c r="D699" s="3" t="str">
        <f>VLOOKUP($A699,DICO_Complet!$A$3:$U$983,4,FALSE)</f>
        <v>schemeFees</v>
      </c>
      <c r="E699" s="2" t="str">
        <f>VLOOKUP($A699,DICO_Complet!$A$3:$U$983,5,FALSE)</f>
        <v>totalAmount</v>
      </c>
      <c r="F699" s="2" t="str">
        <f>VLOOKUP($A699,DICO_Complet!$A$3:$U$983,6,FALSE)</f>
        <v>AmountType</v>
      </c>
      <c r="G699" s="48">
        <f>VLOOKUP($A699,DICO_Complet!$A$3:$U$983,7,FALSE)</f>
        <v>0</v>
      </c>
      <c r="H699" s="48">
        <f>VLOOKUP($A699,DICO_Complet!$A$3:$U$983,8,FALSE)</f>
        <v>0</v>
      </c>
      <c r="I699" s="2" t="str">
        <f>IF(VLOOKUP($A699,DICO_Complet!$A$3:$U$983,9,FALSE)&lt;&gt;0,VLOOKUP($A699,DICO_Complet!$A$3:$U$983,9,FALSE),"")</f>
        <v/>
      </c>
      <c r="J699" s="1" t="str">
        <f>VLOOKUP($A699,DICO_Complet!$A$3:$U$983,10,FALSE)</f>
        <v>Scheme fees total amount (signed)</v>
      </c>
      <c r="K699" s="53" t="str">
        <f>IF(VLOOKUP($A699,DICO_Complet!$A$3:$U$983,12,FALSE)=0,"",VLOOKUP($A699,DICO_Complet!$A$3:$U$983,12,FALSE))</f>
        <v/>
      </c>
      <c r="L699" s="53" t="str">
        <f>IF(VLOOKUP($A699,DICO_Complet!$A$3:$U$983,13,FALSE)=0,"",VLOOKUP($A699,DICO_Complet!$A$3:$U$983,13,FALSE))</f>
        <v/>
      </c>
      <c r="M699" s="53" t="str">
        <f>IF(VLOOKUP($A699,DICO_Complet!$A$3:$U$983,14,FALSE)=0,"",VLOOKUP($A699,DICO_Complet!$A$3:$U$983,14,FALSE))</f>
        <v/>
      </c>
      <c r="N699" s="53" t="str">
        <f>IF(VLOOKUP($A699,DICO_Complet!$A$3:$U$983,15,FALSE)=0,"",VLOOKUP($A699,DICO_Complet!$A$3:$U$983,15,FALSE))</f>
        <v/>
      </c>
      <c r="O699" s="53" t="str">
        <f>IF(VLOOKUP($A699,DICO_Complet!$A$3:$U$983,16,FALSE)=0,"",VLOOKUP($A699,DICO_Complet!$A$3:$U$983,16,FALSE))</f>
        <v/>
      </c>
      <c r="P699" s="53" t="str">
        <f>IF(VLOOKUP($A699,DICO_Complet!$A$3:$U$983,17,FALSE)=0,"",VLOOKUP($A699,DICO_Complet!$A$3:$U$983,17,FALSE))</f>
        <v/>
      </c>
      <c r="Q699" s="53" t="str">
        <f>IF(VLOOKUP($A699,DICO_Complet!$A$3:$U$983,18,FALSE)=0,"",VLOOKUP($A699,DICO_Complet!$A$3:$U$983,18,FALSE))</f>
        <v/>
      </c>
    </row>
    <row r="700" spans="1:17">
      <c r="A700" s="38">
        <v>250212174516</v>
      </c>
      <c r="B700" s="47" t="s">
        <v>858</v>
      </c>
      <c r="C700" s="3" t="str">
        <f>VLOOKUP($A700,DICO_Complet!$A$3:$U$983,3,FALSE)</f>
        <v>Transaction</v>
      </c>
      <c r="D700" s="3" t="str">
        <f>VLOOKUP($A700,DICO_Complet!$A$3:$U$983,4,FALSE)</f>
        <v>security</v>
      </c>
      <c r="E700" s="2" t="str">
        <f>VLOOKUP($A700,DICO_Complet!$A$3:$U$983,5,FALSE)</f>
        <v>baseDerivationKeyIdentifier</v>
      </c>
      <c r="F700" s="2" t="str">
        <f>VLOOKUP($A700,DICO_Complet!$A$3:$U$983,6,FALSE)</f>
        <v>Max50Text</v>
      </c>
      <c r="G700" s="48">
        <f>VLOOKUP($A700,DICO_Complet!$A$3:$U$983,7,FALSE)</f>
        <v>0</v>
      </c>
      <c r="H700" s="48">
        <f>VLOOKUP($A700,DICO_Complet!$A$3:$U$983,8,FALSE)</f>
        <v>0</v>
      </c>
      <c r="I700" s="2" t="str">
        <f>IF(VLOOKUP($A700,DICO_Complet!$A$3:$U$983,9,FALSE)&lt;&gt;0,VLOOKUP($A700,DICO_Complet!$A$3:$U$983,9,FALSE),"")</f>
        <v/>
      </c>
      <c r="J700" s="1" t="str">
        <f>VLOOKUP($A700,DICO_Complet!$A$3:$U$983,10,FALSE)</f>
        <v xml:space="preserve">Id cle BDK </v>
      </c>
      <c r="K700" s="53" t="str">
        <f>IF(VLOOKUP($A700,DICO_Complet!$A$3:$U$983,12,FALSE)=0,"",VLOOKUP($A700,DICO_Complet!$A$3:$U$983,12,FALSE))</f>
        <v/>
      </c>
      <c r="L700" s="53" t="str">
        <f>IF(VLOOKUP($A700,DICO_Complet!$A$3:$U$983,13,FALSE)=0,"",VLOOKUP($A700,DICO_Complet!$A$3:$U$983,13,FALSE))</f>
        <v/>
      </c>
      <c r="M700" s="53" t="str">
        <f>IF(VLOOKUP($A700,DICO_Complet!$A$3:$U$983,14,FALSE)=0,"",VLOOKUP($A700,DICO_Complet!$A$3:$U$983,14,FALSE))</f>
        <v/>
      </c>
      <c r="N700" s="53" t="str">
        <f>IF(VLOOKUP($A700,DICO_Complet!$A$3:$U$983,15,FALSE)=0,"",VLOOKUP($A700,DICO_Complet!$A$3:$U$983,15,FALSE))</f>
        <v/>
      </c>
      <c r="O700" s="53" t="str">
        <f>IF(VLOOKUP($A700,DICO_Complet!$A$3:$U$983,16,FALSE)=0,"",VLOOKUP($A700,DICO_Complet!$A$3:$U$983,16,FALSE))</f>
        <v/>
      </c>
      <c r="P700" s="53" t="str">
        <f>IF(VLOOKUP($A700,DICO_Complet!$A$3:$U$983,17,FALSE)=0,"",VLOOKUP($A700,DICO_Complet!$A$3:$U$983,17,FALSE))</f>
        <v/>
      </c>
      <c r="Q700" s="53" t="str">
        <f>IF(VLOOKUP($A700,DICO_Complet!$A$3:$U$983,18,FALSE)=0,"",VLOOKUP($A700,DICO_Complet!$A$3:$U$983,18,FALSE))</f>
        <v/>
      </c>
    </row>
    <row r="701" spans="1:17">
      <c r="A701" s="38">
        <v>250408142800</v>
      </c>
      <c r="B701" s="47" t="s">
        <v>858</v>
      </c>
      <c r="C701" s="3" t="str">
        <f>VLOOKUP($A701,DICO_Complet!$A$3:$U$983,3,FALSE)</f>
        <v>Transaction</v>
      </c>
      <c r="D701" s="3" t="str">
        <f>VLOOKUP($A701,DICO_Complet!$A$3:$U$983,4,FALSE)</f>
        <v>security</v>
      </c>
      <c r="E701" s="2" t="str">
        <f>VLOOKUP($A701,DICO_Complet!$A$3:$U$983,5,FALSE)</f>
        <v>baseDerivationKeyName</v>
      </c>
      <c r="F701" s="2" t="str">
        <f>VLOOKUP($A701,DICO_Complet!$A$3:$U$983,6,FALSE)</f>
        <v>Min2Max15HexBinaryText</v>
      </c>
      <c r="G701" s="48">
        <f>VLOOKUP($A701,DICO_Complet!$A$3:$U$983,7,FALSE)</f>
        <v>0</v>
      </c>
      <c r="H701" s="48">
        <f>VLOOKUP($A701,DICO_Complet!$A$3:$U$983,8,FALSE)</f>
        <v>0</v>
      </c>
      <c r="I701" s="2" t="str">
        <f>IF(VLOOKUP($A701,DICO_Complet!$A$3:$U$983,9,FALSE)&lt;&gt;0,VLOOKUP($A701,DICO_Complet!$A$3:$U$983,9,FALSE),"")</f>
        <v/>
      </c>
      <c r="J701" s="1" t="str">
        <f>VLOOKUP($A701,DICO_Complet!$A$3:$U$983,10,FALSE)</f>
        <v>Base derivation key Name</v>
      </c>
      <c r="K701" s="53" t="str">
        <f>IF(VLOOKUP($A701,DICO_Complet!$A$3:$U$983,12,FALSE)=0,"",VLOOKUP($A701,DICO_Complet!$A$3:$U$983,12,FALSE))</f>
        <v/>
      </c>
      <c r="L701" s="53" t="str">
        <f>IF(VLOOKUP($A701,DICO_Complet!$A$3:$U$983,13,FALSE)=0,"",VLOOKUP($A701,DICO_Complet!$A$3:$U$983,13,FALSE))</f>
        <v/>
      </c>
      <c r="M701" s="53" t="str">
        <f>IF(VLOOKUP($A701,DICO_Complet!$A$3:$U$983,14,FALSE)=0,"",VLOOKUP($A701,DICO_Complet!$A$3:$U$983,14,FALSE))</f>
        <v/>
      </c>
      <c r="N701" s="53" t="str">
        <f>IF(VLOOKUP($A701,DICO_Complet!$A$3:$U$983,15,FALSE)=0,"",VLOOKUP($A701,DICO_Complet!$A$3:$U$983,15,FALSE))</f>
        <v>48-0002</v>
      </c>
      <c r="O701" s="53" t="str">
        <f>IF(VLOOKUP($A701,DICO_Complet!$A$3:$U$983,16,FALSE)=0,"",VLOOKUP($A701,DICO_Complet!$A$3:$U$983,16,FALSE))</f>
        <v/>
      </c>
      <c r="P701" s="53" t="str">
        <f>IF(VLOOKUP($A701,DICO_Complet!$A$3:$U$983,17,FALSE)=0,"",VLOOKUP($A701,DICO_Complet!$A$3:$U$983,17,FALSE))</f>
        <v/>
      </c>
      <c r="Q701" s="53" t="str">
        <f>IF(VLOOKUP($A701,DICO_Complet!$A$3:$U$983,18,FALSE)=0,"",VLOOKUP($A701,DICO_Complet!$A$3:$U$983,18,FALSE))</f>
        <v/>
      </c>
    </row>
    <row r="702" spans="1:17">
      <c r="A702" s="38">
        <v>250212174510</v>
      </c>
      <c r="B702" s="47" t="s">
        <v>858</v>
      </c>
      <c r="C702" s="3" t="str">
        <f>VLOOKUP($A702,DICO_Complet!$A$3:$U$983,3,FALSE)</f>
        <v>Transaction</v>
      </c>
      <c r="D702" s="3" t="str">
        <f>VLOOKUP($A702,DICO_Complet!$A$3:$U$983,4,FALSE)</f>
        <v>security</v>
      </c>
      <c r="E702" s="2" t="str">
        <f>VLOOKUP($A702,DICO_Complet!$A$3:$U$983,5,FALSE)</f>
        <v>connexionKeyIdentifier</v>
      </c>
      <c r="F702" s="2" t="str">
        <f>VLOOKUP($A702,DICO_Complet!$A$3:$U$983,6,FALSE)</f>
        <v>Max50Text</v>
      </c>
      <c r="G702" s="48">
        <f>VLOOKUP($A702,DICO_Complet!$A$3:$U$983,7,FALSE)</f>
        <v>0</v>
      </c>
      <c r="H702" s="48">
        <f>VLOOKUP($A702,DICO_Complet!$A$3:$U$983,8,FALSE)</f>
        <v>0</v>
      </c>
      <c r="I702" s="2" t="str">
        <f>IF(VLOOKUP($A702,DICO_Complet!$A$3:$U$983,9,FALSE)&lt;&gt;0,VLOOKUP($A702,DICO_Complet!$A$3:$U$983,9,FALSE),"")</f>
        <v/>
      </c>
      <c r="J702" s="1" t="str">
        <f>VLOOKUP($A702,DICO_Complet!$A$3:$U$983,10,FALSE)</f>
        <v xml:space="preserve">KBPK key </v>
      </c>
      <c r="K702" s="53" t="str">
        <f>IF(VLOOKUP($A702,DICO_Complet!$A$3:$U$983,12,FALSE)=0,"",VLOOKUP($A702,DICO_Complet!$A$3:$U$983,12,FALSE))</f>
        <v/>
      </c>
      <c r="L702" s="53" t="str">
        <f>IF(VLOOKUP($A702,DICO_Complet!$A$3:$U$983,13,FALSE)=0,"",VLOOKUP($A702,DICO_Complet!$A$3:$U$983,13,FALSE))</f>
        <v/>
      </c>
      <c r="M702" s="53" t="str">
        <f>IF(VLOOKUP($A702,DICO_Complet!$A$3:$U$983,14,FALSE)=0,"",VLOOKUP($A702,DICO_Complet!$A$3:$U$983,14,FALSE))</f>
        <v/>
      </c>
      <c r="N702" s="53" t="str">
        <f>IF(VLOOKUP($A702,DICO_Complet!$A$3:$U$983,15,FALSE)=0,"",VLOOKUP($A702,DICO_Complet!$A$3:$U$983,15,FALSE))</f>
        <v/>
      </c>
      <c r="O702" s="53" t="str">
        <f>IF(VLOOKUP($A702,DICO_Complet!$A$3:$U$983,16,FALSE)=0,"",VLOOKUP($A702,DICO_Complet!$A$3:$U$983,16,FALSE))</f>
        <v/>
      </c>
      <c r="P702" s="53" t="str">
        <f>IF(VLOOKUP($A702,DICO_Complet!$A$3:$U$983,17,FALSE)=0,"",VLOOKUP($A702,DICO_Complet!$A$3:$U$983,17,FALSE))</f>
        <v/>
      </c>
      <c r="Q702" s="53" t="str">
        <f>IF(VLOOKUP($A702,DICO_Complet!$A$3:$U$983,18,FALSE)=0,"",VLOOKUP($A702,DICO_Complet!$A$3:$U$983,18,FALSE))</f>
        <v/>
      </c>
    </row>
    <row r="703" spans="1:17">
      <c r="A703" s="38">
        <v>250213180601</v>
      </c>
      <c r="B703" s="47" t="s">
        <v>858</v>
      </c>
      <c r="C703" s="3" t="str">
        <f>VLOOKUP($A703,DICO_Complet!$A$3:$U$983,3,FALSE)</f>
        <v>Transaction</v>
      </c>
      <c r="D703" s="3" t="str">
        <f>VLOOKUP($A703,DICO_Complet!$A$3:$U$983,4,FALSE)</f>
        <v>security</v>
      </c>
      <c r="E703" s="2" t="str">
        <f>VLOOKUP($A703,DICO_Complet!$A$3:$U$983,5,FALSE)</f>
        <v>dataSource</v>
      </c>
      <c r="F703" s="2" t="str">
        <f>VLOOKUP($A703,DICO_Complet!$A$3:$U$983,6,FALSE)</f>
        <v>Max8000Text</v>
      </c>
      <c r="G703" s="48">
        <f>VLOOKUP($A703,DICO_Complet!$A$3:$U$983,7,FALSE)</f>
        <v>0</v>
      </c>
      <c r="H703" s="48">
        <f>VLOOKUP($A703,DICO_Complet!$A$3:$U$983,8,FALSE)</f>
        <v>0</v>
      </c>
      <c r="I703" s="2" t="str">
        <f>IF(VLOOKUP($A703,DICO_Complet!$A$3:$U$983,9,FALSE)&lt;&gt;0,VLOOKUP($A703,DICO_Complet!$A$3:$U$983,9,FALSE),"")</f>
        <v/>
      </c>
      <c r="J703" s="1" t="str">
        <f>VLOOKUP($A703,DICO_Complet!$A$3:$U$983,10,FALSE)</f>
        <v>Data to be encrypted ou decrypted</v>
      </c>
      <c r="K703" s="53" t="str">
        <f>IF(VLOOKUP($A703,DICO_Complet!$A$3:$U$983,12,FALSE)=0,"",VLOOKUP($A703,DICO_Complet!$A$3:$U$983,12,FALSE))</f>
        <v>GES100</v>
      </c>
      <c r="L703" s="53" t="str">
        <f>IF(VLOOKUP($A703,DICO_Complet!$A$3:$U$983,13,FALSE)=0,"",VLOOKUP($A703,DICO_Complet!$A$3:$U$983,13,FALSE))</f>
        <v/>
      </c>
      <c r="M703" s="53" t="str">
        <f>IF(VLOOKUP($A703,DICO_Complet!$A$3:$U$983,14,FALSE)=0,"",VLOOKUP($A703,DICO_Complet!$A$3:$U$983,14,FALSE))</f>
        <v/>
      </c>
      <c r="N703" s="53" t="str">
        <f>IF(VLOOKUP($A703,DICO_Complet!$A$3:$U$983,15,FALSE)=0,"",VLOOKUP($A703,DICO_Complet!$A$3:$U$983,15,FALSE))</f>
        <v/>
      </c>
      <c r="O703" s="53" t="str">
        <f>IF(VLOOKUP($A703,DICO_Complet!$A$3:$U$983,16,FALSE)=0,"",VLOOKUP($A703,DICO_Complet!$A$3:$U$983,16,FALSE))</f>
        <v/>
      </c>
      <c r="P703" s="53" t="str">
        <f>IF(VLOOKUP($A703,DICO_Complet!$A$3:$U$983,17,FALSE)=0,"",VLOOKUP($A703,DICO_Complet!$A$3:$U$983,17,FALSE))</f>
        <v/>
      </c>
      <c r="Q703" s="53" t="str">
        <f>IF(VLOOKUP($A703,DICO_Complet!$A$3:$U$983,18,FALSE)=0,"",VLOOKUP($A703,DICO_Complet!$A$3:$U$983,18,FALSE))</f>
        <v/>
      </c>
    </row>
    <row r="704" spans="1:17">
      <c r="A704" s="38">
        <v>250218114507</v>
      </c>
      <c r="B704" s="47" t="s">
        <v>858</v>
      </c>
      <c r="C704" s="3" t="str">
        <f>VLOOKUP($A704,DICO_Complet!$A$3:$U$983,3,FALSE)</f>
        <v>Transaction</v>
      </c>
      <c r="D704" s="3" t="str">
        <f>VLOOKUP($A704,DICO_Complet!$A$3:$U$983,4,FALSE)</f>
        <v>security</v>
      </c>
      <c r="E704" s="2" t="str">
        <f>VLOOKUP($A704,DICO_Complet!$A$3:$U$983,5,FALSE)</f>
        <v>dataUsedForSign</v>
      </c>
      <c r="F704" s="2" t="str">
        <f>VLOOKUP($A704,DICO_Complet!$A$3:$U$983,6,FALSE)</f>
        <v>Max8000Text</v>
      </c>
      <c r="G704" s="48">
        <f>VLOOKUP($A704,DICO_Complet!$A$3:$U$983,7,FALSE)</f>
        <v>0</v>
      </c>
      <c r="H704" s="48">
        <f>VLOOKUP($A704,DICO_Complet!$A$3:$U$983,8,FALSE)</f>
        <v>0</v>
      </c>
      <c r="I704" s="2" t="str">
        <f>IF(VLOOKUP($A704,DICO_Complet!$A$3:$U$983,9,FALSE)&lt;&gt;0,VLOOKUP($A704,DICO_Complet!$A$3:$U$983,9,FALSE),"")</f>
        <v/>
      </c>
      <c r="J704" s="1" t="str">
        <f>VLOOKUP($A704,DICO_Complet!$A$3:$U$983,10,FALSE)</f>
        <v>Data used in signature calculation</v>
      </c>
      <c r="K704" s="53" t="str">
        <f>IF(VLOOKUP($A704,DICO_Complet!$A$3:$U$983,12,FALSE)=0,"",VLOOKUP($A704,DICO_Complet!$A$3:$U$983,12,FALSE))</f>
        <v/>
      </c>
      <c r="L704" s="53" t="str">
        <f>IF(VLOOKUP($A704,DICO_Complet!$A$3:$U$983,13,FALSE)=0,"",VLOOKUP($A704,DICO_Complet!$A$3:$U$983,13,FALSE))</f>
        <v/>
      </c>
      <c r="M704" s="53" t="str">
        <f>IF(VLOOKUP($A704,DICO_Complet!$A$3:$U$983,14,FALSE)=0,"",VLOOKUP($A704,DICO_Complet!$A$3:$U$983,14,FALSE))</f>
        <v/>
      </c>
      <c r="N704" s="53" t="str">
        <f>IF(VLOOKUP($A704,DICO_Complet!$A$3:$U$983,15,FALSE)=0,"",VLOOKUP($A704,DICO_Complet!$A$3:$U$983,15,FALSE))</f>
        <v/>
      </c>
      <c r="O704" s="53" t="str">
        <f>IF(VLOOKUP($A704,DICO_Complet!$A$3:$U$983,16,FALSE)=0,"",VLOOKUP($A704,DICO_Complet!$A$3:$U$983,16,FALSE))</f>
        <v/>
      </c>
      <c r="P704" s="53" t="str">
        <f>IF(VLOOKUP($A704,DICO_Complet!$A$3:$U$983,17,FALSE)=0,"",VLOOKUP($A704,DICO_Complet!$A$3:$U$983,17,FALSE))</f>
        <v/>
      </c>
      <c r="Q704" s="53" t="str">
        <f>IF(VLOOKUP($A704,DICO_Complet!$A$3:$U$983,18,FALSE)=0,"",VLOOKUP($A704,DICO_Complet!$A$3:$U$983,18,FALSE))</f>
        <v/>
      </c>
    </row>
    <row r="705" spans="1:17">
      <c r="A705" s="38">
        <v>250213180603</v>
      </c>
      <c r="B705" s="47" t="s">
        <v>858</v>
      </c>
      <c r="C705" s="3" t="str">
        <f>VLOOKUP($A705,DICO_Complet!$A$3:$U$983,3,FALSE)</f>
        <v>Transaction</v>
      </c>
      <c r="D705" s="3" t="str">
        <f>VLOOKUP($A705,DICO_Complet!$A$3:$U$983,4,FALSE)</f>
        <v>security</v>
      </c>
      <c r="E705" s="2" t="str">
        <f>VLOOKUP($A705,DICO_Complet!$A$3:$U$983,5,FALSE)</f>
        <v>diversificationValue</v>
      </c>
      <c r="F705" s="2" t="str">
        <f>VLOOKUP($A705,DICO_Complet!$A$3:$U$983,6,FALSE)</f>
        <v>Min8Max16HexBinaryText</v>
      </c>
      <c r="G705" s="48">
        <f>VLOOKUP($A705,DICO_Complet!$A$3:$U$983,7,FALSE)</f>
        <v>0</v>
      </c>
      <c r="H705" s="48">
        <f>VLOOKUP($A705,DICO_Complet!$A$3:$U$983,8,FALSE)</f>
        <v>0</v>
      </c>
      <c r="I705" s="2" t="str">
        <f>IF(VLOOKUP($A705,DICO_Complet!$A$3:$U$983,9,FALSE)&lt;&gt;0,VLOOKUP($A705,DICO_Complet!$A$3:$U$983,9,FALSE),"")</f>
        <v/>
      </c>
      <c r="J705" s="1" t="str">
        <f>VLOOKUP($A705,DICO_Complet!$A$3:$U$983,10,FALSE)</f>
        <v>Diversification value</v>
      </c>
      <c r="K705" s="53" t="str">
        <f>IF(VLOOKUP($A705,DICO_Complet!$A$3:$U$983,12,FALSE)=0,"",VLOOKUP($A705,DICO_Complet!$A$3:$U$983,12,FALSE))</f>
        <v>GES102</v>
      </c>
      <c r="L705" s="53" t="str">
        <f>IF(VLOOKUP($A705,DICO_Complet!$A$3:$U$983,13,FALSE)=0,"",VLOOKUP($A705,DICO_Complet!$A$3:$U$983,13,FALSE))</f>
        <v/>
      </c>
      <c r="M705" s="53" t="str">
        <f>IF(VLOOKUP($A705,DICO_Complet!$A$3:$U$983,14,FALSE)=0,"",VLOOKUP($A705,DICO_Complet!$A$3:$U$983,14,FALSE))</f>
        <v/>
      </c>
      <c r="N705" s="53" t="str">
        <f>IF(VLOOKUP($A705,DICO_Complet!$A$3:$U$983,15,FALSE)=0,"",VLOOKUP($A705,DICO_Complet!$A$3:$U$983,15,FALSE))</f>
        <v/>
      </c>
      <c r="O705" s="53" t="str">
        <f>IF(VLOOKUP($A705,DICO_Complet!$A$3:$U$983,16,FALSE)=0,"",VLOOKUP($A705,DICO_Complet!$A$3:$U$983,16,FALSE))</f>
        <v/>
      </c>
      <c r="P705" s="53" t="str">
        <f>IF(VLOOKUP($A705,DICO_Complet!$A$3:$U$983,17,FALSE)=0,"",VLOOKUP($A705,DICO_Complet!$A$3:$U$983,17,FALSE))</f>
        <v/>
      </c>
      <c r="Q705" s="53" t="str">
        <f>IF(VLOOKUP($A705,DICO_Complet!$A$3:$U$983,18,FALSE)=0,"",VLOOKUP($A705,DICO_Complet!$A$3:$U$983,18,FALSE))</f>
        <v/>
      </c>
    </row>
    <row r="706" spans="1:17">
      <c r="A706" s="38">
        <v>250212174505</v>
      </c>
      <c r="B706" s="47" t="s">
        <v>858</v>
      </c>
      <c r="C706" s="3" t="str">
        <f>VLOOKUP($A706,DICO_Complet!$A$3:$U$983,3,FALSE)</f>
        <v>Transaction</v>
      </c>
      <c r="D706" s="3" t="str">
        <f>VLOOKUP($A706,DICO_Complet!$A$3:$U$983,4,FALSE)</f>
        <v>security</v>
      </c>
      <c r="E706" s="2" t="str">
        <f>VLOOKUP($A706,DICO_Complet!$A$3:$U$983,5,FALSE)</f>
        <v>dynKeyIdentifier</v>
      </c>
      <c r="F706" s="2" t="str">
        <f>VLOOKUP($A706,DICO_Complet!$A$3:$U$983,6,FALSE)</f>
        <v>Max50Text</v>
      </c>
      <c r="G706" s="48">
        <f>VLOOKUP($A706,DICO_Complet!$A$3:$U$983,7,FALSE)</f>
        <v>0</v>
      </c>
      <c r="H706" s="48">
        <f>VLOOKUP($A706,DICO_Complet!$A$3:$U$983,8,FALSE)</f>
        <v>0</v>
      </c>
      <c r="I706" s="2" t="str">
        <f>IF(VLOOKUP($A706,DICO_Complet!$A$3:$U$983,9,FALSE)&lt;&gt;0,VLOOKUP($A706,DICO_Complet!$A$3:$U$983,9,FALSE),"")</f>
        <v/>
      </c>
      <c r="J706" s="1" t="str">
        <f>VLOOKUP($A706,DICO_Complet!$A$3:$U$983,10,FALSE)</f>
        <v>dynamic Key identifier</v>
      </c>
      <c r="K706" s="53" t="str">
        <f>IF(VLOOKUP($A706,DICO_Complet!$A$3:$U$983,12,FALSE)=0,"",VLOOKUP($A706,DICO_Complet!$A$3:$U$983,12,FALSE))</f>
        <v/>
      </c>
      <c r="L706" s="53" t="str">
        <f>IF(VLOOKUP($A706,DICO_Complet!$A$3:$U$983,13,FALSE)=0,"",VLOOKUP($A706,DICO_Complet!$A$3:$U$983,13,FALSE))</f>
        <v/>
      </c>
      <c r="M706" s="53" t="str">
        <f>IF(VLOOKUP($A706,DICO_Complet!$A$3:$U$983,14,FALSE)=0,"",VLOOKUP($A706,DICO_Complet!$A$3:$U$983,14,FALSE))</f>
        <v/>
      </c>
      <c r="N706" s="53" t="str">
        <f>IF(VLOOKUP($A706,DICO_Complet!$A$3:$U$983,15,FALSE)=0,"",VLOOKUP($A706,DICO_Complet!$A$3:$U$983,15,FALSE))</f>
        <v/>
      </c>
      <c r="O706" s="53" t="str">
        <f>IF(VLOOKUP($A706,DICO_Complet!$A$3:$U$983,16,FALSE)=0,"",VLOOKUP($A706,DICO_Complet!$A$3:$U$983,16,FALSE))</f>
        <v/>
      </c>
      <c r="P706" s="53" t="str">
        <f>IF(VLOOKUP($A706,DICO_Complet!$A$3:$U$983,17,FALSE)=0,"",VLOOKUP($A706,DICO_Complet!$A$3:$U$983,17,FALSE))</f>
        <v/>
      </c>
      <c r="Q706" s="53" t="str">
        <f>IF(VLOOKUP($A706,DICO_Complet!$A$3:$U$983,18,FALSE)=0,"",VLOOKUP($A706,DICO_Complet!$A$3:$U$983,18,FALSE))</f>
        <v/>
      </c>
    </row>
    <row r="707" spans="1:17">
      <c r="A707" s="38">
        <v>250212174515</v>
      </c>
      <c r="B707" s="47" t="s">
        <v>858</v>
      </c>
      <c r="C707" s="3" t="str">
        <f>VLOOKUP($A707,DICO_Complet!$A$3:$U$983,3,FALSE)</f>
        <v>Transaction</v>
      </c>
      <c r="D707" s="3" t="str">
        <f>VLOOKUP($A707,DICO_Complet!$A$3:$U$983,4,FALSE)</f>
        <v>security</v>
      </c>
      <c r="E707" s="2" t="str">
        <f>VLOOKUP($A707,DICO_Complet!$A$3:$U$983,5,FALSE)</f>
        <v>encryptionAlgorithm</v>
      </c>
      <c r="F707" s="2" t="str">
        <f>VLOOKUP($A707,DICO_Complet!$A$3:$U$983,6,FALSE)</f>
        <v>EncryptionAlgorithmCodeset</v>
      </c>
      <c r="G707" s="48">
        <f>VLOOKUP($A707,DICO_Complet!$A$3:$U$983,7,FALSE)</f>
        <v>0</v>
      </c>
      <c r="H707" s="48">
        <f>VLOOKUP($A707,DICO_Complet!$A$3:$U$983,8,FALSE)</f>
        <v>0</v>
      </c>
      <c r="I707" s="2" t="str">
        <f>IF(VLOOKUP($A707,DICO_Complet!$A$3:$U$983,9,FALSE)&lt;&gt;0,VLOOKUP($A707,DICO_Complet!$A$3:$U$983,9,FALSE),"")</f>
        <v/>
      </c>
      <c r="J707" s="1" t="str">
        <f>VLOOKUP($A707,DICO_Complet!$A$3:$U$983,10,FALSE)</f>
        <v>Algorithme de chiffrement du PINBLock</v>
      </c>
      <c r="K707" s="53" t="str">
        <f>IF(VLOOKUP($A707,DICO_Complet!$A$3:$U$983,12,FALSE)=0,"",VLOOKUP($A707,DICO_Complet!$A$3:$U$983,12,FALSE))</f>
        <v>GES507</v>
      </c>
      <c r="L707" s="53" t="str">
        <f>IF(VLOOKUP($A707,DICO_Complet!$A$3:$U$983,13,FALSE)=0,"",VLOOKUP($A707,DICO_Complet!$A$3:$U$983,13,FALSE))</f>
        <v/>
      </c>
      <c r="M707" s="53" t="str">
        <f>IF(VLOOKUP($A707,DICO_Complet!$A$3:$U$983,14,FALSE)=0,"",VLOOKUP($A707,DICO_Complet!$A$3:$U$983,14,FALSE))</f>
        <v/>
      </c>
      <c r="N707" s="53" t="str">
        <f>IF(VLOOKUP($A707,DICO_Complet!$A$3:$U$983,15,FALSE)=0,"",VLOOKUP($A707,DICO_Complet!$A$3:$U$983,15,FALSE))</f>
        <v/>
      </c>
      <c r="O707" s="53" t="str">
        <f>IF(VLOOKUP($A707,DICO_Complet!$A$3:$U$983,16,FALSE)=0,"",VLOOKUP($A707,DICO_Complet!$A$3:$U$983,16,FALSE))</f>
        <v/>
      </c>
      <c r="P707" s="53" t="str">
        <f>IF(VLOOKUP($A707,DICO_Complet!$A$3:$U$983,17,FALSE)=0,"",VLOOKUP($A707,DICO_Complet!$A$3:$U$983,17,FALSE))</f>
        <v/>
      </c>
      <c r="Q707" s="53" t="str">
        <f>IF(VLOOKUP($A707,DICO_Complet!$A$3:$U$983,18,FALSE)=0,"",VLOOKUP($A707,DICO_Complet!$A$3:$U$983,18,FALSE))</f>
        <v/>
      </c>
    </row>
    <row r="708" spans="1:17">
      <c r="A708" s="38">
        <v>250409080001</v>
      </c>
      <c r="B708" s="47" t="s">
        <v>858</v>
      </c>
      <c r="C708" s="3" t="str">
        <f>VLOOKUP($A708,DICO_Complet!$A$3:$U$983,3,FALSE)</f>
        <v>Transaction</v>
      </c>
      <c r="D708" s="3" t="str">
        <f>VLOOKUP($A708,DICO_Complet!$A$3:$U$983,4,FALSE)</f>
        <v>security</v>
      </c>
      <c r="E708" s="2" t="str">
        <f>VLOOKUP($A708,DICO_Complet!$A$3:$U$983,5,FALSE)</f>
        <v>jsonWebKeyIdentifier</v>
      </c>
      <c r="F708" s="2" t="str">
        <f>VLOOKUP($A708,DICO_Complet!$A$3:$U$983,6,FALSE)</f>
        <v>Max50Text</v>
      </c>
      <c r="G708" s="48">
        <f>VLOOKUP($A708,DICO_Complet!$A$3:$U$983,7,FALSE)</f>
        <v>0</v>
      </c>
      <c r="H708" s="48">
        <f>VLOOKUP($A708,DICO_Complet!$A$3:$U$983,8,FALSE)</f>
        <v>0</v>
      </c>
      <c r="I708" s="2" t="str">
        <f>IF(VLOOKUP($A708,DICO_Complet!$A$3:$U$983,9,FALSE)&lt;&gt;0,VLOOKUP($A708,DICO_Complet!$A$3:$U$983,9,FALSE),"")</f>
        <v/>
      </c>
      <c r="J708" s="1" t="str">
        <f>VLOOKUP($A708,DICO_Complet!$A$3:$U$983,10,FALSE)</f>
        <v>JSON Web Key Identifier (JWK)</v>
      </c>
      <c r="K708" s="53" t="str">
        <f>IF(VLOOKUP($A708,DICO_Complet!$A$3:$U$983,12,FALSE)=0,"",VLOOKUP($A708,DICO_Complet!$A$3:$U$983,12,FALSE))</f>
        <v/>
      </c>
      <c r="L708" s="53" t="str">
        <f>IF(VLOOKUP($A708,DICO_Complet!$A$3:$U$983,13,FALSE)=0,"",VLOOKUP($A708,DICO_Complet!$A$3:$U$983,13,FALSE))</f>
        <v/>
      </c>
      <c r="M708" s="53" t="str">
        <f>IF(VLOOKUP($A708,DICO_Complet!$A$3:$U$983,14,FALSE)=0,"",VLOOKUP($A708,DICO_Complet!$A$3:$U$983,14,FALSE))</f>
        <v/>
      </c>
      <c r="N708" s="53" t="str">
        <f>IF(VLOOKUP($A708,DICO_Complet!$A$3:$U$983,15,FALSE)=0,"",VLOOKUP($A708,DICO_Complet!$A$3:$U$983,15,FALSE))</f>
        <v/>
      </c>
      <c r="O708" s="53" t="str">
        <f>IF(VLOOKUP($A708,DICO_Complet!$A$3:$U$983,16,FALSE)=0,"",VLOOKUP($A708,DICO_Complet!$A$3:$U$983,16,FALSE))</f>
        <v/>
      </c>
      <c r="P708" s="53" t="str">
        <f>IF(VLOOKUP($A708,DICO_Complet!$A$3:$U$983,17,FALSE)=0,"",VLOOKUP($A708,DICO_Complet!$A$3:$U$983,17,FALSE))</f>
        <v/>
      </c>
      <c r="Q708" s="53" t="str">
        <f>IF(VLOOKUP($A708,DICO_Complet!$A$3:$U$983,18,FALSE)=0,"",VLOOKUP($A708,DICO_Complet!$A$3:$U$983,18,FALSE))</f>
        <v/>
      </c>
    </row>
    <row r="709" spans="1:17">
      <c r="A709" s="38">
        <v>250409080002</v>
      </c>
      <c r="B709" s="47" t="s">
        <v>858</v>
      </c>
      <c r="C709" s="3" t="str">
        <f>VLOOKUP($A709,DICO_Complet!$A$3:$U$983,3,FALSE)</f>
        <v>Transaction</v>
      </c>
      <c r="D709" s="3" t="str">
        <f>VLOOKUP($A709,DICO_Complet!$A$3:$U$983,4,FALSE)</f>
        <v>security</v>
      </c>
      <c r="E709" s="2" t="str">
        <f>VLOOKUP($A709,DICO_Complet!$A$3:$U$983,5,FALSE)</f>
        <v>jsonWebSignature</v>
      </c>
      <c r="F709" s="2" t="str">
        <f>VLOOKUP($A709,DICO_Complet!$A$3:$U$983,6,FALSE)</f>
        <v>Max758Text</v>
      </c>
      <c r="G709" s="48">
        <f>VLOOKUP($A709,DICO_Complet!$A$3:$U$983,7,FALSE)</f>
        <v>0</v>
      </c>
      <c r="H709" s="48">
        <f>VLOOKUP($A709,DICO_Complet!$A$3:$U$983,8,FALSE)</f>
        <v>0</v>
      </c>
      <c r="I709" s="2" t="str">
        <f>IF(VLOOKUP($A709,DICO_Complet!$A$3:$U$983,9,FALSE)&lt;&gt;0,VLOOKUP($A709,DICO_Complet!$A$3:$U$983,9,FALSE),"")</f>
        <v/>
      </c>
      <c r="J709" s="1" t="str">
        <f>VLOOKUP($A709,DICO_Complet!$A$3:$U$983,10,FALSE)</f>
        <v>JSON Web Signature (JWS)</v>
      </c>
      <c r="K709" s="53" t="str">
        <f>IF(VLOOKUP($A709,DICO_Complet!$A$3:$U$983,12,FALSE)=0,"",VLOOKUP($A709,DICO_Complet!$A$3:$U$983,12,FALSE))</f>
        <v/>
      </c>
      <c r="L709" s="53" t="str">
        <f>IF(VLOOKUP($A709,DICO_Complet!$A$3:$U$983,13,FALSE)=0,"",VLOOKUP($A709,DICO_Complet!$A$3:$U$983,13,FALSE))</f>
        <v/>
      </c>
      <c r="M709" s="53" t="str">
        <f>IF(VLOOKUP($A709,DICO_Complet!$A$3:$U$983,14,FALSE)=0,"",VLOOKUP($A709,DICO_Complet!$A$3:$U$983,14,FALSE))</f>
        <v/>
      </c>
      <c r="N709" s="53" t="str">
        <f>IF(VLOOKUP($A709,DICO_Complet!$A$3:$U$983,15,FALSE)=0,"",VLOOKUP($A709,DICO_Complet!$A$3:$U$983,15,FALSE))</f>
        <v/>
      </c>
      <c r="O709" s="53" t="str">
        <f>IF(VLOOKUP($A709,DICO_Complet!$A$3:$U$983,16,FALSE)=0,"",VLOOKUP($A709,DICO_Complet!$A$3:$U$983,16,FALSE))</f>
        <v/>
      </c>
      <c r="P709" s="53" t="str">
        <f>IF(VLOOKUP($A709,DICO_Complet!$A$3:$U$983,17,FALSE)=0,"",VLOOKUP($A709,DICO_Complet!$A$3:$U$983,17,FALSE))</f>
        <v/>
      </c>
      <c r="Q709" s="53" t="str">
        <f>IF(VLOOKUP($A709,DICO_Complet!$A$3:$U$983,18,FALSE)=0,"",VLOOKUP($A709,DICO_Complet!$A$3:$U$983,18,FALSE))</f>
        <v/>
      </c>
    </row>
    <row r="710" spans="1:17">
      <c r="A710" s="38">
        <v>250203163500</v>
      </c>
      <c r="B710" s="47" t="s">
        <v>858</v>
      </c>
      <c r="C710" s="3" t="str">
        <f>VLOOKUP($A710,DICO_Complet!$A$3:$U$983,3,FALSE)</f>
        <v>Transaction</v>
      </c>
      <c r="D710" s="3" t="str">
        <f>VLOOKUP($A710,DICO_Complet!$A$3:$U$983,4,FALSE)</f>
        <v>security</v>
      </c>
      <c r="E710" s="2" t="str">
        <f>VLOOKUP($A710,DICO_Complet!$A$3:$U$983,5,FALSE)</f>
        <v>keyingMaterialSecurityData</v>
      </c>
      <c r="F710" s="2" t="str">
        <f>VLOOKUP($A710,DICO_Complet!$A$3:$U$983,6,FALSE)</f>
        <v>Max255HexBinaryText</v>
      </c>
      <c r="G710" s="48">
        <f>VLOOKUP($A710,DICO_Complet!$A$3:$U$983,7,FALSE)</f>
        <v>0</v>
      </c>
      <c r="H710" s="48">
        <f>VLOOKUP($A710,DICO_Complet!$A$3:$U$983,8,FALSE)</f>
        <v>0</v>
      </c>
      <c r="I710" s="2" t="str">
        <f>IF(VLOOKUP($A710,DICO_Complet!$A$3:$U$983,9,FALSE)&lt;&gt;0,VLOOKUP($A710,DICO_Complet!$A$3:$U$983,9,FALSE),"")</f>
        <v/>
      </c>
      <c r="J710" s="1" t="str">
        <f>VLOOKUP($A710,DICO_Complet!$A$3:$U$983,10,FALSE)</f>
        <v>Transport des cles dans les messages 08xx</v>
      </c>
      <c r="K710" s="53" t="str">
        <f>IF(VLOOKUP($A710,DICO_Complet!$A$3:$U$983,12,FALSE)=0,"",VLOOKUP($A710,DICO_Complet!$A$3:$U$983,12,FALSE))</f>
        <v/>
      </c>
      <c r="L710" s="53" t="str">
        <f>IF(VLOOKUP($A710,DICO_Complet!$A$3:$U$983,13,FALSE)=0,"",VLOOKUP($A710,DICO_Complet!$A$3:$U$983,13,FALSE))</f>
        <v>[55-0071]</v>
      </c>
      <c r="M710" s="53" t="str">
        <f>IF(VLOOKUP($A710,DICO_Complet!$A$3:$U$983,14,FALSE)=0,"",VLOOKUP($A710,DICO_Complet!$A$3:$U$983,14,FALSE))</f>
        <v/>
      </c>
      <c r="N710" s="53" t="str">
        <f>IF(VLOOKUP($A710,DICO_Complet!$A$3:$U$983,15,FALSE)=0,"",VLOOKUP($A710,DICO_Complet!$A$3:$U$983,15,FALSE))</f>
        <v/>
      </c>
      <c r="O710" s="53" t="str">
        <f>IF(VLOOKUP($A710,DICO_Complet!$A$3:$U$983,16,FALSE)=0,"",VLOOKUP($A710,DICO_Complet!$A$3:$U$983,16,FALSE))</f>
        <v/>
      </c>
      <c r="P710" s="53" t="str">
        <f>IF(VLOOKUP($A710,DICO_Complet!$A$3:$U$983,17,FALSE)=0,"",VLOOKUP($A710,DICO_Complet!$A$3:$U$983,17,FALSE))</f>
        <v/>
      </c>
      <c r="Q710" s="53" t="str">
        <f>IF(VLOOKUP($A710,DICO_Complet!$A$3:$U$983,18,FALSE)=0,"",VLOOKUP($A710,DICO_Complet!$A$3:$U$983,18,FALSE))</f>
        <v/>
      </c>
    </row>
    <row r="711" spans="1:17">
      <c r="A711" s="38">
        <v>250212174506</v>
      </c>
      <c r="B711" s="47" t="s">
        <v>858</v>
      </c>
      <c r="C711" s="3" t="str">
        <f>VLOOKUP($A711,DICO_Complet!$A$3:$U$983,3,FALSE)</f>
        <v>Transaction</v>
      </c>
      <c r="D711" s="3" t="str">
        <f>VLOOKUP($A711,DICO_Complet!$A$3:$U$983,4,FALSE)</f>
        <v>security</v>
      </c>
      <c r="E711" s="2" t="str">
        <f>VLOOKUP($A711,DICO_Complet!$A$3:$U$983,5,FALSE)</f>
        <v>keyLength</v>
      </c>
      <c r="F711" s="2" t="str">
        <f>VLOOKUP($A711,DICO_Complet!$A$3:$U$983,6,FALSE)</f>
        <v>Max4NumericText</v>
      </c>
      <c r="G711" s="48">
        <f>VLOOKUP($A711,DICO_Complet!$A$3:$U$983,7,FALSE)</f>
        <v>0</v>
      </c>
      <c r="H711" s="48">
        <f>VLOOKUP($A711,DICO_Complet!$A$3:$U$983,8,FALSE)</f>
        <v>0</v>
      </c>
      <c r="I711" s="2" t="str">
        <f>IF(VLOOKUP($A711,DICO_Complet!$A$3:$U$983,9,FALSE)&lt;&gt;0,VLOOKUP($A711,DICO_Complet!$A$3:$U$983,9,FALSE),"")</f>
        <v/>
      </c>
      <c r="J711" s="1" t="str">
        <f>VLOOKUP($A711,DICO_Complet!$A$3:$U$983,10,FALSE)</f>
        <v>key length</v>
      </c>
      <c r="K711" s="53" t="str">
        <f>IF(VLOOKUP($A711,DICO_Complet!$A$3:$U$983,12,FALSE)=0,"",VLOOKUP($A711,DICO_Complet!$A$3:$U$983,12,FALSE))</f>
        <v>GES68</v>
      </c>
      <c r="L711" s="53" t="str">
        <f>IF(VLOOKUP($A711,DICO_Complet!$A$3:$U$983,13,FALSE)=0,"",VLOOKUP($A711,DICO_Complet!$A$3:$U$983,13,FALSE))</f>
        <v/>
      </c>
      <c r="M711" s="53" t="str">
        <f>IF(VLOOKUP($A711,DICO_Complet!$A$3:$U$983,14,FALSE)=0,"",VLOOKUP($A711,DICO_Complet!$A$3:$U$983,14,FALSE))</f>
        <v/>
      </c>
      <c r="N711" s="53" t="str">
        <f>IF(VLOOKUP($A711,DICO_Complet!$A$3:$U$983,15,FALSE)=0,"",VLOOKUP($A711,DICO_Complet!$A$3:$U$983,15,FALSE))</f>
        <v/>
      </c>
      <c r="O711" s="53" t="str">
        <f>IF(VLOOKUP($A711,DICO_Complet!$A$3:$U$983,16,FALSE)=0,"",VLOOKUP($A711,DICO_Complet!$A$3:$U$983,16,FALSE))</f>
        <v/>
      </c>
      <c r="P711" s="53" t="str">
        <f>IF(VLOOKUP($A711,DICO_Complet!$A$3:$U$983,17,FALSE)=0,"",VLOOKUP($A711,DICO_Complet!$A$3:$U$983,17,FALSE))</f>
        <v/>
      </c>
      <c r="Q711" s="53" t="str">
        <f>IF(VLOOKUP($A711,DICO_Complet!$A$3:$U$983,18,FALSE)=0,"",VLOOKUP($A711,DICO_Complet!$A$3:$U$983,18,FALSE))</f>
        <v/>
      </c>
    </row>
    <row r="712" spans="1:17">
      <c r="A712" s="38">
        <v>250212174514</v>
      </c>
      <c r="B712" s="47" t="s">
        <v>858</v>
      </c>
      <c r="C712" s="3" t="str">
        <f>VLOOKUP($A712,DICO_Complet!$A$3:$U$983,3,FALSE)</f>
        <v>Transaction</v>
      </c>
      <c r="D712" s="3" t="str">
        <f>VLOOKUP($A712,DICO_Complet!$A$3:$U$983,4,FALSE)</f>
        <v>security</v>
      </c>
      <c r="E712" s="2" t="str">
        <f>VLOOKUP($A712,DICO_Complet!$A$3:$U$983,5,FALSE)</f>
        <v>keySerialNumber</v>
      </c>
      <c r="F712" s="2" t="str">
        <f>VLOOKUP($A712,DICO_Complet!$A$3:$U$983,6,FALSE)</f>
        <v>Min10Max12HexBinaryText</v>
      </c>
      <c r="G712" s="48">
        <f>VLOOKUP($A712,DICO_Complet!$A$3:$U$983,7,FALSE)</f>
        <v>0</v>
      </c>
      <c r="H712" s="48">
        <f>VLOOKUP($A712,DICO_Complet!$A$3:$U$983,8,FALSE)</f>
        <v>0</v>
      </c>
      <c r="I712" s="2" t="str">
        <f>IF(VLOOKUP($A712,DICO_Complet!$A$3:$U$983,9,FALSE)&lt;&gt;0,VLOOKUP($A712,DICO_Complet!$A$3:$U$983,9,FALSE),"")</f>
        <v/>
      </c>
      <c r="J712" s="1" t="str">
        <f>VLOOKUP($A712,DICO_Complet!$A$3:$U$983,10,FALSE)</f>
        <v>KSN</v>
      </c>
      <c r="K712" s="53" t="str">
        <f>IF(VLOOKUP($A712,DICO_Complet!$A$3:$U$983,12,FALSE)=0,"",VLOOKUP($A712,DICO_Complet!$A$3:$U$983,12,FALSE))</f>
        <v>GES067</v>
      </c>
      <c r="L712" s="53" t="str">
        <f>IF(VLOOKUP($A712,DICO_Complet!$A$3:$U$983,13,FALSE)=0,"",VLOOKUP($A712,DICO_Complet!$A$3:$U$983,13,FALSE))</f>
        <v/>
      </c>
      <c r="M712" s="53" t="str">
        <f>IF(VLOOKUP($A712,DICO_Complet!$A$3:$U$983,14,FALSE)=0,"",VLOOKUP($A712,DICO_Complet!$A$3:$U$983,14,FALSE))</f>
        <v/>
      </c>
      <c r="N712" s="53" t="str">
        <f>IF(VLOOKUP($A712,DICO_Complet!$A$3:$U$983,15,FALSE)=0,"",VLOOKUP($A712,DICO_Complet!$A$3:$U$983,15,FALSE))</f>
        <v/>
      </c>
      <c r="O712" s="53" t="str">
        <f>IF(VLOOKUP($A712,DICO_Complet!$A$3:$U$983,16,FALSE)=0,"",VLOOKUP($A712,DICO_Complet!$A$3:$U$983,16,FALSE))</f>
        <v/>
      </c>
      <c r="P712" s="53" t="str">
        <f>IF(VLOOKUP($A712,DICO_Complet!$A$3:$U$983,17,FALSE)=0,"",VLOOKUP($A712,DICO_Complet!$A$3:$U$983,17,FALSE))</f>
        <v/>
      </c>
      <c r="Q712" s="53" t="str">
        <f>IF(VLOOKUP($A712,DICO_Complet!$A$3:$U$983,18,FALSE)=0,"",VLOOKUP($A712,DICO_Complet!$A$3:$U$983,18,FALSE))</f>
        <v/>
      </c>
    </row>
    <row r="713" spans="1:17">
      <c r="A713" s="38">
        <v>250213180605</v>
      </c>
      <c r="B713" s="47" t="s">
        <v>858</v>
      </c>
      <c r="C713" s="3" t="str">
        <f>VLOOKUP($A713,DICO_Complet!$A$3:$U$983,3,FALSE)</f>
        <v>Transaction</v>
      </c>
      <c r="D713" s="3" t="str">
        <f>VLOOKUP($A713,DICO_Complet!$A$3:$U$983,4,FALSE)</f>
        <v>security</v>
      </c>
      <c r="E713" s="2" t="str">
        <f>VLOOKUP($A713,DICO_Complet!$A$3:$U$983,5,FALSE)</f>
        <v>macAlgorithm</v>
      </c>
      <c r="F713" s="2" t="str">
        <f>VLOOKUP($A713,DICO_Complet!$A$3:$U$983,6,FALSE)</f>
        <v>Max2NumericText</v>
      </c>
      <c r="G713" s="48">
        <f>VLOOKUP($A713,DICO_Complet!$A$3:$U$983,7,FALSE)</f>
        <v>0</v>
      </c>
      <c r="H713" s="48">
        <f>VLOOKUP($A713,DICO_Complet!$A$3:$U$983,8,FALSE)</f>
        <v>0</v>
      </c>
      <c r="I713" s="2" t="str">
        <f>IF(VLOOKUP($A713,DICO_Complet!$A$3:$U$983,9,FALSE)&lt;&gt;0,VLOOKUP($A713,DICO_Complet!$A$3:$U$983,9,FALSE),"")</f>
        <v/>
      </c>
      <c r="J713" s="1" t="str">
        <f>VLOOKUP($A713,DICO_Complet!$A$3:$U$983,10,FALSE)</f>
        <v>MAC sealing algorithm</v>
      </c>
      <c r="K713" s="53" t="str">
        <f>IF(VLOOKUP($A713,DICO_Complet!$A$3:$U$983,12,FALSE)=0,"",VLOOKUP($A713,DICO_Complet!$A$3:$U$983,12,FALSE))</f>
        <v>GES123</v>
      </c>
      <c r="L713" s="53" t="str">
        <f>IF(VLOOKUP($A713,DICO_Complet!$A$3:$U$983,13,FALSE)=0,"",VLOOKUP($A713,DICO_Complet!$A$3:$U$983,13,FALSE))</f>
        <v/>
      </c>
      <c r="M713" s="53" t="str">
        <f>IF(VLOOKUP($A713,DICO_Complet!$A$3:$U$983,14,FALSE)=0,"",VLOOKUP($A713,DICO_Complet!$A$3:$U$983,14,FALSE))</f>
        <v/>
      </c>
      <c r="N713" s="53" t="str">
        <f>IF(VLOOKUP($A713,DICO_Complet!$A$3:$U$983,15,FALSE)=0,"",VLOOKUP($A713,DICO_Complet!$A$3:$U$983,15,FALSE))</f>
        <v/>
      </c>
      <c r="O713" s="53" t="str">
        <f>IF(VLOOKUP($A713,DICO_Complet!$A$3:$U$983,16,FALSE)=0,"",VLOOKUP($A713,DICO_Complet!$A$3:$U$983,16,FALSE))</f>
        <v/>
      </c>
      <c r="P713" s="53" t="str">
        <f>IF(VLOOKUP($A713,DICO_Complet!$A$3:$U$983,17,FALSE)=0,"",VLOOKUP($A713,DICO_Complet!$A$3:$U$983,17,FALSE))</f>
        <v/>
      </c>
      <c r="Q713" s="53" t="str">
        <f>IF(VLOOKUP($A713,DICO_Complet!$A$3:$U$983,18,FALSE)=0,"",VLOOKUP($A713,DICO_Complet!$A$3:$U$983,18,FALSE))</f>
        <v/>
      </c>
    </row>
    <row r="714" spans="1:17">
      <c r="A714" s="38">
        <v>250213180600</v>
      </c>
      <c r="B714" s="47" t="s">
        <v>858</v>
      </c>
      <c r="C714" s="3" t="str">
        <f>VLOOKUP($A714,DICO_Complet!$A$3:$U$983,3,FALSE)</f>
        <v>Transaction</v>
      </c>
      <c r="D714" s="3" t="str">
        <f>VLOOKUP($A714,DICO_Complet!$A$3:$U$983,4,FALSE)</f>
        <v>security</v>
      </c>
      <c r="E714" s="2" t="str">
        <f>VLOOKUP($A714,DICO_Complet!$A$3:$U$983,5,FALSE)</f>
        <v>macKeyIdentifier</v>
      </c>
      <c r="F714" s="2" t="str">
        <f>VLOOKUP($A714,DICO_Complet!$A$3:$U$983,6,FALSE)</f>
        <v>Max50Text</v>
      </c>
      <c r="G714" s="48">
        <f>VLOOKUP($A714,DICO_Complet!$A$3:$U$983,7,FALSE)</f>
        <v>0</v>
      </c>
      <c r="H714" s="48">
        <f>VLOOKUP($A714,DICO_Complet!$A$3:$U$983,8,FALSE)</f>
        <v>0</v>
      </c>
      <c r="I714" s="2" t="str">
        <f>IF(VLOOKUP($A714,DICO_Complet!$A$3:$U$983,9,FALSE)&lt;&gt;0,VLOOKUP($A714,DICO_Complet!$A$3:$U$983,9,FALSE),"")</f>
        <v/>
      </c>
      <c r="J714" s="1" t="str">
        <f>VLOOKUP($A714,DICO_Complet!$A$3:$U$983,10,FALSE)</f>
        <v>Cle KSC - Cle de Scellement - Sealing Key</v>
      </c>
      <c r="K714" s="53" t="str">
        <f>IF(VLOOKUP($A714,DICO_Complet!$A$3:$U$983,12,FALSE)=0,"",VLOOKUP($A714,DICO_Complet!$A$3:$U$983,12,FALSE))</f>
        <v/>
      </c>
      <c r="L714" s="53" t="str">
        <f>IF(VLOOKUP($A714,DICO_Complet!$A$3:$U$983,13,FALSE)=0,"",VLOOKUP($A714,DICO_Complet!$A$3:$U$983,13,FALSE))</f>
        <v/>
      </c>
      <c r="M714" s="53" t="str">
        <f>IF(VLOOKUP($A714,DICO_Complet!$A$3:$U$983,14,FALSE)=0,"",VLOOKUP($A714,DICO_Complet!$A$3:$U$983,14,FALSE))</f>
        <v/>
      </c>
      <c r="N714" s="53" t="str">
        <f>IF(VLOOKUP($A714,DICO_Complet!$A$3:$U$983,15,FALSE)=0,"",VLOOKUP($A714,DICO_Complet!$A$3:$U$983,15,FALSE))</f>
        <v/>
      </c>
      <c r="O714" s="53" t="str">
        <f>IF(VLOOKUP($A714,DICO_Complet!$A$3:$U$983,16,FALSE)=0,"",VLOOKUP($A714,DICO_Complet!$A$3:$U$983,16,FALSE))</f>
        <v/>
      </c>
      <c r="P714" s="53" t="str">
        <f>IF(VLOOKUP($A714,DICO_Complet!$A$3:$U$983,17,FALSE)=0,"",VLOOKUP($A714,DICO_Complet!$A$3:$U$983,17,FALSE))</f>
        <v/>
      </c>
      <c r="Q714" s="53" t="str">
        <f>IF(VLOOKUP($A714,DICO_Complet!$A$3:$U$983,18,FALSE)=0,"",VLOOKUP($A714,DICO_Complet!$A$3:$U$983,18,FALSE))</f>
        <v/>
      </c>
    </row>
    <row r="715" spans="1:17">
      <c r="A715" s="38">
        <v>250213180604</v>
      </c>
      <c r="B715" s="47" t="s">
        <v>858</v>
      </c>
      <c r="C715" s="3" t="str">
        <f>VLOOKUP($A715,DICO_Complet!$A$3:$U$983,3,FALSE)</f>
        <v>Transaction</v>
      </c>
      <c r="D715" s="3" t="str">
        <f>VLOOKUP($A715,DICO_Complet!$A$3:$U$983,4,FALSE)</f>
        <v>security</v>
      </c>
      <c r="E715" s="2" t="str">
        <f>VLOOKUP($A715,DICO_Complet!$A$3:$U$983,5,FALSE)</f>
        <v>macLength</v>
      </c>
      <c r="F715" s="2" t="str">
        <f>VLOOKUP($A715,DICO_Complet!$A$3:$U$983,6,FALSE)</f>
        <v>Max2NumericText</v>
      </c>
      <c r="G715" s="48">
        <f>VLOOKUP($A715,DICO_Complet!$A$3:$U$983,7,FALSE)</f>
        <v>0</v>
      </c>
      <c r="H715" s="48">
        <f>VLOOKUP($A715,DICO_Complet!$A$3:$U$983,8,FALSE)</f>
        <v>0</v>
      </c>
      <c r="I715" s="2" t="str">
        <f>IF(VLOOKUP($A715,DICO_Complet!$A$3:$U$983,9,FALSE)&lt;&gt;0,VLOOKUP($A715,DICO_Complet!$A$3:$U$983,9,FALSE),"")</f>
        <v/>
      </c>
      <c r="J715" s="1" t="str">
        <f>VLOOKUP($A715,DICO_Complet!$A$3:$U$983,10,FALSE)</f>
        <v>length of the MAC</v>
      </c>
      <c r="K715" s="53" t="str">
        <f>IF(VLOOKUP($A715,DICO_Complet!$A$3:$U$983,12,FALSE)=0,"",VLOOKUP($A715,DICO_Complet!$A$3:$U$983,12,FALSE))</f>
        <v>GES103</v>
      </c>
      <c r="L715" s="53" t="str">
        <f>IF(VLOOKUP($A715,DICO_Complet!$A$3:$U$983,13,FALSE)=0,"",VLOOKUP($A715,DICO_Complet!$A$3:$U$983,13,FALSE))</f>
        <v/>
      </c>
      <c r="M715" s="53" t="str">
        <f>IF(VLOOKUP($A715,DICO_Complet!$A$3:$U$983,14,FALSE)=0,"",VLOOKUP($A715,DICO_Complet!$A$3:$U$983,14,FALSE))</f>
        <v/>
      </c>
      <c r="N715" s="53" t="str">
        <f>IF(VLOOKUP($A715,DICO_Complet!$A$3:$U$983,15,FALSE)=0,"",VLOOKUP($A715,DICO_Complet!$A$3:$U$983,15,FALSE))</f>
        <v/>
      </c>
      <c r="O715" s="53" t="str">
        <f>IF(VLOOKUP($A715,DICO_Complet!$A$3:$U$983,16,FALSE)=0,"",VLOOKUP($A715,DICO_Complet!$A$3:$U$983,16,FALSE))</f>
        <v/>
      </c>
      <c r="P715" s="53" t="str">
        <f>IF(VLOOKUP($A715,DICO_Complet!$A$3:$U$983,17,FALSE)=0,"",VLOOKUP($A715,DICO_Complet!$A$3:$U$983,17,FALSE))</f>
        <v/>
      </c>
      <c r="Q715" s="53" t="str">
        <f>IF(VLOOKUP($A715,DICO_Complet!$A$3:$U$983,18,FALSE)=0,"",VLOOKUP($A715,DICO_Complet!$A$3:$U$983,18,FALSE))</f>
        <v/>
      </c>
    </row>
    <row r="716" spans="1:17">
      <c r="A716" s="38">
        <v>250212174200</v>
      </c>
      <c r="B716" s="47" t="s">
        <v>858</v>
      </c>
      <c r="C716" s="3" t="str">
        <f>VLOOKUP($A716,DICO_Complet!$A$3:$U$983,3,FALSE)</f>
        <v>Transaction</v>
      </c>
      <c r="D716" s="3" t="str">
        <f>VLOOKUP($A716,DICO_Complet!$A$3:$U$983,4,FALSE)</f>
        <v>security</v>
      </c>
      <c r="E716" s="2" t="str">
        <f>VLOOKUP($A716,DICO_Complet!$A$3:$U$983,5,FALSE)</f>
        <v>macValue</v>
      </c>
      <c r="F716" s="2" t="str">
        <f>VLOOKUP($A716,DICO_Complet!$A$3:$U$983,6,FALSE)</f>
        <v>Min4Max64HexBinaryText</v>
      </c>
      <c r="G716" s="48">
        <f>VLOOKUP($A716,DICO_Complet!$A$3:$U$983,7,FALSE)</f>
        <v>0</v>
      </c>
      <c r="H716" s="48">
        <f>VLOOKUP($A716,DICO_Complet!$A$3:$U$983,8,FALSE)</f>
        <v>0</v>
      </c>
      <c r="I716" s="2" t="str">
        <f>IF(VLOOKUP($A716,DICO_Complet!$A$3:$U$983,9,FALSE)&lt;&gt;0,VLOOKUP($A716,DICO_Complet!$A$3:$U$983,9,FALSE),"")</f>
        <v/>
      </c>
      <c r="J716" s="1" t="str">
        <f>VLOOKUP($A716,DICO_Complet!$A$3:$U$983,10,FALSE)</f>
        <v>MAC, Authenticated Data</v>
      </c>
      <c r="K716" s="53" t="str">
        <f>IF(VLOOKUP($A716,DICO_Complet!$A$3:$U$983,12,FALSE)=0,"",VLOOKUP($A716,DICO_Complet!$A$3:$U$983,12,FALSE))</f>
        <v>RSB64 / RSB128</v>
      </c>
      <c r="L716" s="53" t="str">
        <f>IF(VLOOKUP($A716,DICO_Complet!$A$3:$U$983,13,FALSE)=0,"",VLOOKUP($A716,DICO_Complet!$A$3:$U$983,13,FALSE))</f>
        <v>[128;64]</v>
      </c>
      <c r="M716" s="53" t="str">
        <f>IF(VLOOKUP($A716,DICO_Complet!$A$3:$U$983,14,FALSE)=0,"",VLOOKUP($A716,DICO_Complet!$A$3:$U$983,14,FALSE))</f>
        <v/>
      </c>
      <c r="N716" s="53" t="str">
        <f>IF(VLOOKUP($A716,DICO_Complet!$A$3:$U$983,15,FALSE)=0,"",VLOOKUP($A716,DICO_Complet!$A$3:$U$983,15,FALSE))</f>
        <v/>
      </c>
      <c r="O716" s="53" t="str">
        <f>IF(VLOOKUP($A716,DICO_Complet!$A$3:$U$983,16,FALSE)=0,"",VLOOKUP($A716,DICO_Complet!$A$3:$U$983,16,FALSE))</f>
        <v/>
      </c>
      <c r="P716" s="53" t="str">
        <f>IF(VLOOKUP($A716,DICO_Complet!$A$3:$U$983,17,FALSE)=0,"",VLOOKUP($A716,DICO_Complet!$A$3:$U$983,17,FALSE))</f>
        <v/>
      </c>
      <c r="Q716" s="53" t="str">
        <f>IF(VLOOKUP($A716,DICO_Complet!$A$3:$U$983,18,FALSE)=0,"",VLOOKUP($A716,DICO_Complet!$A$3:$U$983,18,FALSE))</f>
        <v/>
      </c>
    </row>
    <row r="717" spans="1:17">
      <c r="A717" s="38">
        <v>250218114504</v>
      </c>
      <c r="B717" s="47" t="s">
        <v>858</v>
      </c>
      <c r="C717" s="3" t="str">
        <f>VLOOKUP($A717,DICO_Complet!$A$3:$U$983,3,FALSE)</f>
        <v>Transaction</v>
      </c>
      <c r="D717" s="3" t="str">
        <f>VLOOKUP($A717,DICO_Complet!$A$3:$U$983,4,FALSE)</f>
        <v>security</v>
      </c>
      <c r="E717" s="2" t="str">
        <f>VLOOKUP($A717,DICO_Complet!$A$3:$U$983,5,FALSE)</f>
        <v>maskGeneratorAlgorithm</v>
      </c>
      <c r="F717" s="2" t="str">
        <f>VLOOKUP($A717,DICO_Complet!$A$3:$U$983,6,FALSE)</f>
        <v>MaskGeneratorAlgorithmCodeset</v>
      </c>
      <c r="G717" s="48">
        <f>VLOOKUP($A717,DICO_Complet!$A$3:$U$983,7,FALSE)</f>
        <v>0</v>
      </c>
      <c r="H717" s="48">
        <f>VLOOKUP($A717,DICO_Complet!$A$3:$U$983,8,FALSE)</f>
        <v>0</v>
      </c>
      <c r="I717" s="2" t="str">
        <f>IF(VLOOKUP($A717,DICO_Complet!$A$3:$U$983,9,FALSE)&lt;&gt;0,VLOOKUP($A717,DICO_Complet!$A$3:$U$983,9,FALSE),"")</f>
        <v/>
      </c>
      <c r="J717" s="1" t="str">
        <f>VLOOKUP($A717,DICO_Complet!$A$3:$U$983,10,FALSE)</f>
        <v>Mask generator function cryptographic algorithm</v>
      </c>
      <c r="K717" s="53" t="str">
        <f>IF(VLOOKUP($A717,DICO_Complet!$A$3:$U$983,12,FALSE)=0,"",VLOOKUP($A717,DICO_Complet!$A$3:$U$983,12,FALSE))</f>
        <v/>
      </c>
      <c r="L717" s="53" t="str">
        <f>IF(VLOOKUP($A717,DICO_Complet!$A$3:$U$983,13,FALSE)=0,"",VLOOKUP($A717,DICO_Complet!$A$3:$U$983,13,FALSE))</f>
        <v/>
      </c>
      <c r="M717" s="53" t="str">
        <f>IF(VLOOKUP($A717,DICO_Complet!$A$3:$U$983,14,FALSE)=0,"",VLOOKUP($A717,DICO_Complet!$A$3:$U$983,14,FALSE))</f>
        <v/>
      </c>
      <c r="N717" s="53" t="str">
        <f>IF(VLOOKUP($A717,DICO_Complet!$A$3:$U$983,15,FALSE)=0,"",VLOOKUP($A717,DICO_Complet!$A$3:$U$983,15,FALSE))</f>
        <v/>
      </c>
      <c r="O717" s="53" t="str">
        <f>IF(VLOOKUP($A717,DICO_Complet!$A$3:$U$983,16,FALSE)=0,"",VLOOKUP($A717,DICO_Complet!$A$3:$U$983,16,FALSE))</f>
        <v/>
      </c>
      <c r="P717" s="53" t="str">
        <f>IF(VLOOKUP($A717,DICO_Complet!$A$3:$U$983,17,FALSE)=0,"",VLOOKUP($A717,DICO_Complet!$A$3:$U$983,17,FALSE))</f>
        <v/>
      </c>
      <c r="Q717" s="53" t="str">
        <f>IF(VLOOKUP($A717,DICO_Complet!$A$3:$U$983,18,FALSE)=0,"",VLOOKUP($A717,DICO_Complet!$A$3:$U$983,18,FALSE))</f>
        <v/>
      </c>
    </row>
    <row r="718" spans="1:17">
      <c r="A718" s="38">
        <v>250213180602</v>
      </c>
      <c r="B718" s="47" t="s">
        <v>858</v>
      </c>
      <c r="C718" s="3" t="str">
        <f>VLOOKUP($A718,DICO_Complet!$A$3:$U$983,3,FALSE)</f>
        <v>Transaction</v>
      </c>
      <c r="D718" s="3" t="str">
        <f>VLOOKUP($A718,DICO_Complet!$A$3:$U$983,4,FALSE)</f>
        <v>security</v>
      </c>
      <c r="E718" s="2" t="str">
        <f>VLOOKUP($A718,DICO_Complet!$A$3:$U$983,5,FALSE)</f>
        <v>paddingMethod</v>
      </c>
      <c r="F718" s="2" t="str">
        <f>VLOOKUP($A718,DICO_Complet!$A$3:$U$983,6,FALSE)</f>
        <v>Max2NumericText</v>
      </c>
      <c r="G718" s="48">
        <f>VLOOKUP($A718,DICO_Complet!$A$3:$U$983,7,FALSE)</f>
        <v>0</v>
      </c>
      <c r="H718" s="48">
        <f>VLOOKUP($A718,DICO_Complet!$A$3:$U$983,8,FALSE)</f>
        <v>0</v>
      </c>
      <c r="I718" s="2" t="str">
        <f>IF(VLOOKUP($A718,DICO_Complet!$A$3:$U$983,9,FALSE)&lt;&gt;0,VLOOKUP($A718,DICO_Complet!$A$3:$U$983,9,FALSE),"")</f>
        <v/>
      </c>
      <c r="J718" s="1" t="str">
        <f>VLOOKUP($A718,DICO_Complet!$A$3:$U$983,10,FALSE)</f>
        <v>Padding method for max calculation or mac verification</v>
      </c>
      <c r="K718" s="53" t="str">
        <f>IF(VLOOKUP($A718,DICO_Complet!$A$3:$U$983,12,FALSE)=0,"",VLOOKUP($A718,DICO_Complet!$A$3:$U$983,12,FALSE))</f>
        <v>GES101</v>
      </c>
      <c r="L718" s="53" t="str">
        <f>IF(VLOOKUP($A718,DICO_Complet!$A$3:$U$983,13,FALSE)=0,"",VLOOKUP($A718,DICO_Complet!$A$3:$U$983,13,FALSE))</f>
        <v/>
      </c>
      <c r="M718" s="53" t="str">
        <f>IF(VLOOKUP($A718,DICO_Complet!$A$3:$U$983,14,FALSE)=0,"",VLOOKUP($A718,DICO_Complet!$A$3:$U$983,14,FALSE))</f>
        <v/>
      </c>
      <c r="N718" s="53" t="str">
        <f>IF(VLOOKUP($A718,DICO_Complet!$A$3:$U$983,15,FALSE)=0,"",VLOOKUP($A718,DICO_Complet!$A$3:$U$983,15,FALSE))</f>
        <v/>
      </c>
      <c r="O718" s="53" t="str">
        <f>IF(VLOOKUP($A718,DICO_Complet!$A$3:$U$983,16,FALSE)=0,"",VLOOKUP($A718,DICO_Complet!$A$3:$U$983,16,FALSE))</f>
        <v/>
      </c>
      <c r="P718" s="53" t="str">
        <f>IF(VLOOKUP($A718,DICO_Complet!$A$3:$U$983,17,FALSE)=0,"",VLOOKUP($A718,DICO_Complet!$A$3:$U$983,17,FALSE))</f>
        <v/>
      </c>
      <c r="Q718" s="53" t="str">
        <f>IF(VLOOKUP($A718,DICO_Complet!$A$3:$U$983,18,FALSE)=0,"",VLOOKUP($A718,DICO_Complet!$A$3:$U$983,18,FALSE))</f>
        <v/>
      </c>
    </row>
    <row r="719" spans="1:17">
      <c r="A719" s="38">
        <v>250307142400</v>
      </c>
      <c r="B719" s="47" t="s">
        <v>858</v>
      </c>
      <c r="C719" s="3" t="str">
        <f>VLOOKUP($A719,DICO_Complet!$A$3:$U$983,3,FALSE)</f>
        <v>Transaction</v>
      </c>
      <c r="D719" s="3" t="str">
        <f>VLOOKUP($A719,DICO_Complet!$A$3:$U$983,4,FALSE)</f>
        <v>security</v>
      </c>
      <c r="E719" s="2" t="str">
        <f>VLOOKUP($A719,DICO_Complet!$A$3:$U$983,5,FALSE)</f>
        <v>partialHash</v>
      </c>
      <c r="F719" s="2" t="str">
        <f>VLOOKUP($A719,DICO_Complet!$A$3:$U$983,6,FALSE)</f>
        <v>Min20Max64HexBinaryText</v>
      </c>
      <c r="G719" s="48">
        <f>VLOOKUP($A719,DICO_Complet!$A$3:$U$983,7,FALSE)</f>
        <v>0</v>
      </c>
      <c r="H719" s="48">
        <f>VLOOKUP($A719,DICO_Complet!$A$3:$U$983,8,FALSE)</f>
        <v>0</v>
      </c>
      <c r="I719" s="2" t="str">
        <f>IF(VLOOKUP($A719,DICO_Complet!$A$3:$U$983,9,FALSE)&lt;&gt;0,VLOOKUP($A719,DICO_Complet!$A$3:$U$983,9,FALSE),"")</f>
        <v/>
      </c>
      <c r="J719" s="1" t="str">
        <f>VLOOKUP($A719,DICO_Complet!$A$3:$U$983,10,FALSE)</f>
        <v>hash of the data to sign</v>
      </c>
      <c r="K719" s="53" t="str">
        <f>IF(VLOOKUP($A719,DICO_Complet!$A$3:$U$983,12,FALSE)=0,"",VLOOKUP($A719,DICO_Complet!$A$3:$U$983,12,FALSE))</f>
        <v/>
      </c>
      <c r="L719" s="53" t="str">
        <f>IF(VLOOKUP($A719,DICO_Complet!$A$3:$U$983,13,FALSE)=0,"",VLOOKUP($A719,DICO_Complet!$A$3:$U$983,13,FALSE))</f>
        <v/>
      </c>
      <c r="M719" s="53" t="str">
        <f>IF(VLOOKUP($A719,DICO_Complet!$A$3:$U$983,14,FALSE)=0,"",VLOOKUP($A719,DICO_Complet!$A$3:$U$983,14,FALSE))</f>
        <v/>
      </c>
      <c r="N719" s="53" t="str">
        <f>IF(VLOOKUP($A719,DICO_Complet!$A$3:$U$983,15,FALSE)=0,"",VLOOKUP($A719,DICO_Complet!$A$3:$U$983,15,FALSE))</f>
        <v/>
      </c>
      <c r="O719" s="53" t="str">
        <f>IF(VLOOKUP($A719,DICO_Complet!$A$3:$U$983,16,FALSE)=0,"",VLOOKUP($A719,DICO_Complet!$A$3:$U$983,16,FALSE))</f>
        <v/>
      </c>
      <c r="P719" s="53" t="str">
        <f>IF(VLOOKUP($A719,DICO_Complet!$A$3:$U$983,17,FALSE)=0,"",VLOOKUP($A719,DICO_Complet!$A$3:$U$983,17,FALSE))</f>
        <v/>
      </c>
      <c r="Q719" s="53" t="str">
        <f>IF(VLOOKUP($A719,DICO_Complet!$A$3:$U$983,18,FALSE)=0,"",VLOOKUP($A719,DICO_Complet!$A$3:$U$983,18,FALSE))</f>
        <v/>
      </c>
    </row>
    <row r="720" spans="1:17">
      <c r="A720" s="38">
        <v>250307142401</v>
      </c>
      <c r="B720" s="47" t="s">
        <v>858</v>
      </c>
      <c r="C720" s="3" t="str">
        <f>VLOOKUP($A720,DICO_Complet!$A$3:$U$983,3,FALSE)</f>
        <v>Transaction</v>
      </c>
      <c r="D720" s="3" t="str">
        <f>VLOOKUP($A720,DICO_Complet!$A$3:$U$983,4,FALSE)</f>
        <v>security</v>
      </c>
      <c r="E720" s="2" t="str">
        <f>VLOOKUP($A720,DICO_Complet!$A$3:$U$983,5,FALSE)</f>
        <v>partialHashLength</v>
      </c>
      <c r="F720" s="2" t="str">
        <f>VLOOKUP($A720,DICO_Complet!$A$3:$U$983,6,FALSE)</f>
        <v>Exact8NumericText</v>
      </c>
      <c r="G720" s="48">
        <f>VLOOKUP($A720,DICO_Complet!$A$3:$U$983,7,FALSE)</f>
        <v>0</v>
      </c>
      <c r="H720" s="48">
        <f>VLOOKUP($A720,DICO_Complet!$A$3:$U$983,8,FALSE)</f>
        <v>0</v>
      </c>
      <c r="I720" s="2" t="str">
        <f>IF(VLOOKUP($A720,DICO_Complet!$A$3:$U$983,9,FALSE)&lt;&gt;0,VLOOKUP($A720,DICO_Complet!$A$3:$U$983,9,FALSE),"")</f>
        <v/>
      </c>
      <c r="J720" s="1" t="str">
        <f>VLOOKUP($A720,DICO_Complet!$A$3:$U$983,10,FALSE)</f>
        <v>hash length of the data to sign</v>
      </c>
      <c r="K720" s="53" t="str">
        <f>IF(VLOOKUP($A720,DICO_Complet!$A$3:$U$983,12,FALSE)=0,"",VLOOKUP($A720,DICO_Complet!$A$3:$U$983,12,FALSE))</f>
        <v/>
      </c>
      <c r="L720" s="53" t="str">
        <f>IF(VLOOKUP($A720,DICO_Complet!$A$3:$U$983,13,FALSE)=0,"",VLOOKUP($A720,DICO_Complet!$A$3:$U$983,13,FALSE))</f>
        <v/>
      </c>
      <c r="M720" s="53" t="str">
        <f>IF(VLOOKUP($A720,DICO_Complet!$A$3:$U$983,14,FALSE)=0,"",VLOOKUP($A720,DICO_Complet!$A$3:$U$983,14,FALSE))</f>
        <v/>
      </c>
      <c r="N720" s="53" t="str">
        <f>IF(VLOOKUP($A720,DICO_Complet!$A$3:$U$983,15,FALSE)=0,"",VLOOKUP($A720,DICO_Complet!$A$3:$U$983,15,FALSE))</f>
        <v/>
      </c>
      <c r="O720" s="53" t="str">
        <f>IF(VLOOKUP($A720,DICO_Complet!$A$3:$U$983,16,FALSE)=0,"",VLOOKUP($A720,DICO_Complet!$A$3:$U$983,16,FALSE))</f>
        <v/>
      </c>
      <c r="P720" s="53" t="str">
        <f>IF(VLOOKUP($A720,DICO_Complet!$A$3:$U$983,17,FALSE)=0,"",VLOOKUP($A720,DICO_Complet!$A$3:$U$983,17,FALSE))</f>
        <v/>
      </c>
      <c r="Q720" s="53" t="str">
        <f>IF(VLOOKUP($A720,DICO_Complet!$A$3:$U$983,18,FALSE)=0,"",VLOOKUP($A720,DICO_Complet!$A$3:$U$983,18,FALSE))</f>
        <v/>
      </c>
    </row>
    <row r="721" spans="1:17">
      <c r="A721" s="38">
        <v>250325134506</v>
      </c>
      <c r="B721" s="47" t="s">
        <v>858</v>
      </c>
      <c r="C721" s="3" t="str">
        <f>VLOOKUP($A721,DICO_Complet!$A$3:$U$983,3,FALSE)</f>
        <v>Transaction</v>
      </c>
      <c r="D721" s="3" t="str">
        <f>VLOOKUP($A721,DICO_Complet!$A$3:$U$983,4,FALSE)</f>
        <v>security</v>
      </c>
      <c r="E721" s="2" t="str">
        <f>VLOOKUP($A721,DICO_Complet!$A$3:$U$983,5,FALSE)</f>
        <v>pinBlockEncryptionFormat</v>
      </c>
      <c r="F721" s="2" t="str">
        <f>VLOOKUP($A721,DICO_Complet!$A$3:$U$983,6,FALSE)</f>
        <v>PinBlockEncryptionFormatCodeset</v>
      </c>
      <c r="G721" s="48">
        <f>VLOOKUP($A721,DICO_Complet!$A$3:$U$983,7,FALSE)</f>
        <v>0</v>
      </c>
      <c r="H721" s="48">
        <f>VLOOKUP($A721,DICO_Complet!$A$3:$U$983,8,FALSE)</f>
        <v>0</v>
      </c>
      <c r="I721" s="2" t="str">
        <f>IF(VLOOKUP($A721,DICO_Complet!$A$3:$U$983,9,FALSE)&lt;&gt;0,VLOOKUP($A721,DICO_Complet!$A$3:$U$983,9,FALSE),"")</f>
        <v/>
      </c>
      <c r="J721" s="1" t="str">
        <f>VLOOKUP($A721,DICO_Complet!$A$3:$U$983,10,FALSE)</f>
        <v>Format of pin block encryption</v>
      </c>
      <c r="K721" s="53" t="str">
        <f>IF(VLOOKUP($A721,DICO_Complet!$A$3:$U$983,12,FALSE)=0,"",VLOOKUP($A721,DICO_Complet!$A$3:$U$983,12,FALSE))</f>
        <v/>
      </c>
      <c r="L721" s="53" t="str">
        <f>IF(VLOOKUP($A721,DICO_Complet!$A$3:$U$983,13,FALSE)=0,"",VLOOKUP($A721,DICO_Complet!$A$3:$U$983,13,FALSE))</f>
        <v/>
      </c>
      <c r="M721" s="53" t="str">
        <f>IF(VLOOKUP($A721,DICO_Complet!$A$3:$U$983,14,FALSE)=0,"",VLOOKUP($A721,DICO_Complet!$A$3:$U$983,14,FALSE))</f>
        <v/>
      </c>
      <c r="N721" s="53" t="str">
        <f>IF(VLOOKUP($A721,DICO_Complet!$A$3:$U$983,15,FALSE)=0,"",VLOOKUP($A721,DICO_Complet!$A$3:$U$983,15,FALSE))</f>
        <v>53 quartet 6</v>
      </c>
      <c r="O721" s="53" t="str">
        <f>IF(VLOOKUP($A721,DICO_Complet!$A$3:$U$983,16,FALSE)=0,"",VLOOKUP($A721,DICO_Complet!$A$3:$U$983,16,FALSE))</f>
        <v/>
      </c>
      <c r="P721" s="53" t="str">
        <f>IF(VLOOKUP($A721,DICO_Complet!$A$3:$U$983,17,FALSE)=0,"",VLOOKUP($A721,DICO_Complet!$A$3:$U$983,17,FALSE))</f>
        <v/>
      </c>
      <c r="Q721" s="53" t="str">
        <f>IF(VLOOKUP($A721,DICO_Complet!$A$3:$U$983,18,FALSE)=0,"",VLOOKUP($A721,DICO_Complet!$A$3:$U$983,18,FALSE))</f>
        <v/>
      </c>
    </row>
    <row r="722" spans="1:17">
      <c r="A722" s="38">
        <v>241112000070</v>
      </c>
      <c r="B722" s="47" t="s">
        <v>858</v>
      </c>
      <c r="C722" s="3" t="str">
        <f>VLOOKUP($A722,DICO_Complet!$A$3:$U$983,3,FALSE)</f>
        <v>Transaction</v>
      </c>
      <c r="D722" s="3" t="str">
        <f>VLOOKUP($A722,DICO_Complet!$A$3:$U$983,4,FALSE)</f>
        <v>security</v>
      </c>
      <c r="E722" s="2" t="str">
        <f>VLOOKUP($A722,DICO_Complet!$A$3:$U$983,5,FALSE)</f>
        <v>pinBlockFormat</v>
      </c>
      <c r="F722" s="2" t="str">
        <f>VLOOKUP($A722,DICO_Complet!$A$3:$U$983,6,FALSE)</f>
        <v>PinBlockFormatCodeset</v>
      </c>
      <c r="G722" s="48">
        <f>VLOOKUP($A722,DICO_Complet!$A$3:$U$983,7,FALSE)</f>
        <v>0</v>
      </c>
      <c r="H722" s="48">
        <f>VLOOKUP($A722,DICO_Complet!$A$3:$U$983,8,FALSE)</f>
        <v>0</v>
      </c>
      <c r="I722" s="2" t="str">
        <f>IF(VLOOKUP($A722,DICO_Complet!$A$3:$U$983,9,FALSE)&lt;&gt;0,VLOOKUP($A722,DICO_Complet!$A$3:$U$983,9,FALSE),"")</f>
        <v/>
      </c>
      <c r="J722" s="1" t="str">
        <f>VLOOKUP($A722,DICO_Complet!$A$3:$U$983,10,FALSE)</f>
        <v>Format of pin block</v>
      </c>
      <c r="K722" s="53" t="str">
        <f>IF(VLOOKUP($A722,DICO_Complet!$A$3:$U$983,12,FALSE)=0,"",VLOOKUP($A722,DICO_Complet!$A$3:$U$983,12,FALSE))</f>
        <v>AUT50 / GES504</v>
      </c>
      <c r="L722" s="53" t="str">
        <f>IF(VLOOKUP($A722,DICO_Complet!$A$3:$U$983,13,FALSE)=0,"",VLOOKUP($A722,DICO_Complet!$A$3:$U$983,13,FALSE))</f>
        <v/>
      </c>
      <c r="M722" s="53" t="str">
        <f>IF(VLOOKUP($A722,DICO_Complet!$A$3:$U$983,14,FALSE)=0,"",VLOOKUP($A722,DICO_Complet!$A$3:$U$983,14,FALSE))</f>
        <v/>
      </c>
      <c r="N722" s="53" t="str">
        <f>IF(VLOOKUP($A722,DICO_Complet!$A$3:$U$983,15,FALSE)=0,"",VLOOKUP($A722,DICO_Complet!$A$3:$U$983,15,FALSE))</f>
        <v/>
      </c>
      <c r="O722" s="53" t="str">
        <f>IF(VLOOKUP($A722,DICO_Complet!$A$3:$U$983,16,FALSE)=0,"",VLOOKUP($A722,DICO_Complet!$A$3:$U$983,16,FALSE))</f>
        <v/>
      </c>
      <c r="P722" s="53" t="str">
        <f>IF(VLOOKUP($A722,DICO_Complet!$A$3:$U$983,17,FALSE)=0,"",VLOOKUP($A722,DICO_Complet!$A$3:$U$983,17,FALSE))</f>
        <v/>
      </c>
      <c r="Q722" s="53" t="str">
        <f>IF(VLOOKUP($A722,DICO_Complet!$A$3:$U$983,18,FALSE)=0,"",VLOOKUP($A722,DICO_Complet!$A$3:$U$983,18,FALSE))</f>
        <v/>
      </c>
    </row>
    <row r="723" spans="1:17">
      <c r="A723" s="38">
        <v>250328145000</v>
      </c>
      <c r="B723" s="47" t="s">
        <v>858</v>
      </c>
      <c r="C723" s="3" t="str">
        <f>VLOOKUP($A723,DICO_Complet!$A$3:$U$983,3,FALSE)</f>
        <v>Transaction</v>
      </c>
      <c r="D723" s="3" t="str">
        <f>VLOOKUP($A723,DICO_Complet!$A$3:$U$983,4,FALSE)</f>
        <v>security</v>
      </c>
      <c r="E723" s="2" t="str">
        <f>VLOOKUP($A723,DICO_Complet!$A$3:$U$983,5,FALSE)</f>
        <v>pinVerificationResult</v>
      </c>
      <c r="F723" s="2" t="str">
        <f>VLOOKUP($A723,DICO_Complet!$A$3:$U$983,6,FALSE)</f>
        <v>PinVerificationResultCodeset</v>
      </c>
      <c r="G723" s="48">
        <f>VLOOKUP($A723,DICO_Complet!$A$3:$U$983,7,FALSE)</f>
        <v>0</v>
      </c>
      <c r="H723" s="48">
        <f>VLOOKUP($A723,DICO_Complet!$A$3:$U$983,8,FALSE)</f>
        <v>0</v>
      </c>
      <c r="I723" s="2" t="str">
        <f>IF(VLOOKUP($A723,DICO_Complet!$A$3:$U$983,9,FALSE)&lt;&gt;0,VLOOKUP($A723,DICO_Complet!$A$3:$U$983,9,FALSE),"")</f>
        <v/>
      </c>
      <c r="J723" s="1" t="str">
        <f>VLOOKUP($A723,DICO_Complet!$A$3:$U$983,10,FALSE)</f>
        <v>Verifications used by the requester</v>
      </c>
      <c r="K723" s="53" t="str">
        <f>IF(VLOOKUP($A723,DICO_Complet!$A$3:$U$983,12,FALSE)=0,"",VLOOKUP($A723,DICO_Complet!$A$3:$U$983,12,FALSE))</f>
        <v>AUT53</v>
      </c>
      <c r="L723" s="53" t="str">
        <f>IF(VLOOKUP($A723,DICO_Complet!$A$3:$U$983,13,FALSE)=0,"",VLOOKUP($A723,DICO_Complet!$A$3:$U$983,13,FALSE))</f>
        <v/>
      </c>
      <c r="M723" s="53" t="str">
        <f>IF(VLOOKUP($A723,DICO_Complet!$A$3:$U$983,14,FALSE)=0,"",VLOOKUP($A723,DICO_Complet!$A$3:$U$983,14,FALSE))</f>
        <v/>
      </c>
      <c r="N723" s="53" t="str">
        <f>IF(VLOOKUP($A723,DICO_Complet!$A$3:$U$983,15,FALSE)=0,"",VLOOKUP($A723,DICO_Complet!$A$3:$U$983,15,FALSE))</f>
        <v>53 quartet 2</v>
      </c>
      <c r="O723" s="53" t="str">
        <f>IF(VLOOKUP($A723,DICO_Complet!$A$3:$U$983,16,FALSE)=0,"",VLOOKUP($A723,DICO_Complet!$A$3:$U$983,16,FALSE))</f>
        <v/>
      </c>
      <c r="P723" s="53" t="str">
        <f>IF(VLOOKUP($A723,DICO_Complet!$A$3:$U$983,17,FALSE)=0,"",VLOOKUP($A723,DICO_Complet!$A$3:$U$983,17,FALSE))</f>
        <v/>
      </c>
      <c r="Q723" s="53" t="str">
        <f>IF(VLOOKUP($A723,DICO_Complet!$A$3:$U$983,18,FALSE)=0,"",VLOOKUP($A723,DICO_Complet!$A$3:$U$983,18,FALSE))</f>
        <v/>
      </c>
    </row>
    <row r="724" spans="1:17">
      <c r="A724" s="38">
        <v>250218114505</v>
      </c>
      <c r="B724" s="47" t="s">
        <v>858</v>
      </c>
      <c r="C724" s="3" t="str">
        <f>VLOOKUP($A724,DICO_Complet!$A$3:$U$983,3,FALSE)</f>
        <v>Transaction</v>
      </c>
      <c r="D724" s="3" t="str">
        <f>VLOOKUP($A724,DICO_Complet!$A$3:$U$983,4,FALSE)</f>
        <v>security</v>
      </c>
      <c r="E724" s="2" t="str">
        <f>VLOOKUP($A724,DICO_Complet!$A$3:$U$983,5,FALSE)</f>
        <v>saltLength</v>
      </c>
      <c r="F724" s="2" t="str">
        <f>VLOOKUP($A724,DICO_Complet!$A$3:$U$983,6,FALSE)</f>
        <v>Exact2NumericText</v>
      </c>
      <c r="G724" s="48">
        <f>VLOOKUP($A724,DICO_Complet!$A$3:$U$983,7,FALSE)</f>
        <v>0</v>
      </c>
      <c r="H724" s="48">
        <f>VLOOKUP($A724,DICO_Complet!$A$3:$U$983,8,FALSE)</f>
        <v>0</v>
      </c>
      <c r="I724" s="2" t="str">
        <f>IF(VLOOKUP($A724,DICO_Complet!$A$3:$U$983,9,FALSE)&lt;&gt;0,VLOOKUP($A724,DICO_Complet!$A$3:$U$983,9,FALSE),"")</f>
        <v/>
      </c>
      <c r="J724" s="1" t="str">
        <f>VLOOKUP($A724,DICO_Complet!$A$3:$U$983,10,FALSE)</f>
        <v>Length of the salt to include in the signature</v>
      </c>
      <c r="K724" s="53" t="str">
        <f>IF(VLOOKUP($A724,DICO_Complet!$A$3:$U$983,12,FALSE)=0,"",VLOOKUP($A724,DICO_Complet!$A$3:$U$983,12,FALSE))</f>
        <v/>
      </c>
      <c r="L724" s="53" t="str">
        <f>IF(VLOOKUP($A724,DICO_Complet!$A$3:$U$983,13,FALSE)=0,"",VLOOKUP($A724,DICO_Complet!$A$3:$U$983,13,FALSE))</f>
        <v/>
      </c>
      <c r="M724" s="53" t="str">
        <f>IF(VLOOKUP($A724,DICO_Complet!$A$3:$U$983,14,FALSE)=0,"",VLOOKUP($A724,DICO_Complet!$A$3:$U$983,14,FALSE))</f>
        <v/>
      </c>
      <c r="N724" s="53" t="str">
        <f>IF(VLOOKUP($A724,DICO_Complet!$A$3:$U$983,15,FALSE)=0,"",VLOOKUP($A724,DICO_Complet!$A$3:$U$983,15,FALSE))</f>
        <v/>
      </c>
      <c r="O724" s="53" t="str">
        <f>IF(VLOOKUP($A724,DICO_Complet!$A$3:$U$983,16,FALSE)=0,"",VLOOKUP($A724,DICO_Complet!$A$3:$U$983,16,FALSE))</f>
        <v/>
      </c>
      <c r="P724" s="53" t="str">
        <f>IF(VLOOKUP($A724,DICO_Complet!$A$3:$U$983,17,FALSE)=0,"",VLOOKUP($A724,DICO_Complet!$A$3:$U$983,17,FALSE))</f>
        <v/>
      </c>
      <c r="Q724" s="53" t="str">
        <f>IF(VLOOKUP($A724,DICO_Complet!$A$3:$U$983,18,FALSE)=0,"",VLOOKUP($A724,DICO_Complet!$A$3:$U$983,18,FALSE))</f>
        <v/>
      </c>
    </row>
    <row r="725" spans="1:17">
      <c r="A725" s="38">
        <v>250212174517</v>
      </c>
      <c r="B725" s="47" t="s">
        <v>858</v>
      </c>
      <c r="C725" s="3" t="str">
        <f>VLOOKUP($A725,DICO_Complet!$A$3:$U$983,3,FALSE)</f>
        <v>Transaction</v>
      </c>
      <c r="D725" s="3" t="str">
        <f>VLOOKUP($A725,DICO_Complet!$A$3:$U$983,4,FALSE)</f>
        <v>security</v>
      </c>
      <c r="E725" s="2" t="str">
        <f>VLOOKUP($A725,DICO_Complet!$A$3:$U$983,5,FALSE)</f>
        <v>securePinBlockKeyIdentifier</v>
      </c>
      <c r="F725" s="2" t="str">
        <f>VLOOKUP($A725,DICO_Complet!$A$3:$U$983,6,FALSE)</f>
        <v>Max50Text</v>
      </c>
      <c r="G725" s="48">
        <f>VLOOKUP($A725,DICO_Complet!$A$3:$U$983,7,FALSE)</f>
        <v>0</v>
      </c>
      <c r="H725" s="48">
        <f>VLOOKUP($A725,DICO_Complet!$A$3:$U$983,8,FALSE)</f>
        <v>0</v>
      </c>
      <c r="I725" s="2" t="str">
        <f>IF(VLOOKUP($A725,DICO_Complet!$A$3:$U$983,9,FALSE)&lt;&gt;0,VLOOKUP($A725,DICO_Complet!$A$3:$U$983,9,FALSE),"")</f>
        <v/>
      </c>
      <c r="J725" s="1" t="str">
        <f>VLOOKUP($A725,DICO_Complet!$A$3:$U$983,10,FALSE)</f>
        <v>Id cle KT pour le transchiffrement</v>
      </c>
      <c r="K725" s="53" t="str">
        <f>IF(VLOOKUP($A725,DICO_Complet!$A$3:$U$983,12,FALSE)=0,"",VLOOKUP($A725,DICO_Complet!$A$3:$U$983,12,FALSE))</f>
        <v/>
      </c>
      <c r="L725" s="53" t="str">
        <f>IF(VLOOKUP($A725,DICO_Complet!$A$3:$U$983,13,FALSE)=0,"",VLOOKUP($A725,DICO_Complet!$A$3:$U$983,13,FALSE))</f>
        <v/>
      </c>
      <c r="M725" s="53" t="str">
        <f>IF(VLOOKUP($A725,DICO_Complet!$A$3:$U$983,14,FALSE)=0,"",VLOOKUP($A725,DICO_Complet!$A$3:$U$983,14,FALSE))</f>
        <v/>
      </c>
      <c r="N725" s="53" t="str">
        <f>IF(VLOOKUP($A725,DICO_Complet!$A$3:$U$983,15,FALSE)=0,"",VLOOKUP($A725,DICO_Complet!$A$3:$U$983,15,FALSE))</f>
        <v/>
      </c>
      <c r="O725" s="53" t="str">
        <f>IF(VLOOKUP($A725,DICO_Complet!$A$3:$U$983,16,FALSE)=0,"",VLOOKUP($A725,DICO_Complet!$A$3:$U$983,16,FALSE))</f>
        <v/>
      </c>
      <c r="P725" s="53" t="str">
        <f>IF(VLOOKUP($A725,DICO_Complet!$A$3:$U$983,17,FALSE)=0,"",VLOOKUP($A725,DICO_Complet!$A$3:$U$983,17,FALSE))</f>
        <v/>
      </c>
      <c r="Q725" s="53" t="str">
        <f>IF(VLOOKUP($A725,DICO_Complet!$A$3:$U$983,18,FALSE)=0,"",VLOOKUP($A725,DICO_Complet!$A$3:$U$983,18,FALSE))</f>
        <v/>
      </c>
    </row>
    <row r="726" spans="1:17">
      <c r="A726" s="38">
        <v>250218114506</v>
      </c>
      <c r="B726" s="47" t="s">
        <v>858</v>
      </c>
      <c r="C726" s="3" t="str">
        <f>VLOOKUP($A726,DICO_Complet!$A$3:$U$983,3,FALSE)</f>
        <v>Transaction</v>
      </c>
      <c r="D726" s="3" t="str">
        <f>VLOOKUP($A726,DICO_Complet!$A$3:$U$983,4,FALSE)</f>
        <v>security</v>
      </c>
      <c r="E726" s="2" t="str">
        <f>VLOOKUP($A726,DICO_Complet!$A$3:$U$983,5,FALSE)</f>
        <v>signature</v>
      </c>
      <c r="F726" s="2" t="str">
        <f>VLOOKUP($A726,DICO_Complet!$A$3:$U$983,6,FALSE)</f>
        <v>Max512HexBinaryText</v>
      </c>
      <c r="G726" s="48">
        <f>VLOOKUP($A726,DICO_Complet!$A$3:$U$983,7,FALSE)</f>
        <v>0</v>
      </c>
      <c r="H726" s="48">
        <f>VLOOKUP($A726,DICO_Complet!$A$3:$U$983,8,FALSE)</f>
        <v>0</v>
      </c>
      <c r="I726" s="2" t="str">
        <f>IF(VLOOKUP($A726,DICO_Complet!$A$3:$U$983,9,FALSE)&lt;&gt;0,VLOOKUP($A726,DICO_Complet!$A$3:$U$983,9,FALSE),"")</f>
        <v/>
      </c>
      <c r="J726" s="1" t="str">
        <f>VLOOKUP($A726,DICO_Complet!$A$3:$U$983,10,FALSE)</f>
        <v>Signature</v>
      </c>
      <c r="K726" s="53" t="str">
        <f>IF(VLOOKUP($A726,DICO_Complet!$A$3:$U$983,12,FALSE)=0,"",VLOOKUP($A726,DICO_Complet!$A$3:$U$983,12,FALSE))</f>
        <v/>
      </c>
      <c r="L726" s="53" t="str">
        <f>IF(VLOOKUP($A726,DICO_Complet!$A$3:$U$983,13,FALSE)=0,"",VLOOKUP($A726,DICO_Complet!$A$3:$U$983,13,FALSE))</f>
        <v/>
      </c>
      <c r="M726" s="53" t="str">
        <f>IF(VLOOKUP($A726,DICO_Complet!$A$3:$U$983,14,FALSE)=0,"",VLOOKUP($A726,DICO_Complet!$A$3:$U$983,14,FALSE))</f>
        <v/>
      </c>
      <c r="N726" s="53" t="str">
        <f>IF(VLOOKUP($A726,DICO_Complet!$A$3:$U$983,15,FALSE)=0,"",VLOOKUP($A726,DICO_Complet!$A$3:$U$983,15,FALSE))</f>
        <v/>
      </c>
      <c r="O726" s="53" t="str">
        <f>IF(VLOOKUP($A726,DICO_Complet!$A$3:$U$983,16,FALSE)=0,"",VLOOKUP($A726,DICO_Complet!$A$3:$U$983,16,FALSE))</f>
        <v/>
      </c>
      <c r="P726" s="53" t="str">
        <f>IF(VLOOKUP($A726,DICO_Complet!$A$3:$U$983,17,FALSE)=0,"",VLOOKUP($A726,DICO_Complet!$A$3:$U$983,17,FALSE))</f>
        <v/>
      </c>
      <c r="Q726" s="53" t="str">
        <f>IF(VLOOKUP($A726,DICO_Complet!$A$3:$U$983,18,FALSE)=0,"",VLOOKUP($A726,DICO_Complet!$A$3:$U$983,18,FALSE))</f>
        <v/>
      </c>
    </row>
    <row r="727" spans="1:17">
      <c r="A727" s="38">
        <v>250218114502</v>
      </c>
      <c r="B727" s="47" t="s">
        <v>858</v>
      </c>
      <c r="C727" s="3" t="str">
        <f>VLOOKUP($A727,DICO_Complet!$A$3:$U$983,3,FALSE)</f>
        <v>Transaction</v>
      </c>
      <c r="D727" s="3" t="str">
        <f>VLOOKUP($A727,DICO_Complet!$A$3:$U$983,4,FALSE)</f>
        <v>security</v>
      </c>
      <c r="E727" s="2" t="str">
        <f>VLOOKUP($A727,DICO_Complet!$A$3:$U$983,5,FALSE)</f>
        <v>signatureAlgorithm</v>
      </c>
      <c r="F727" s="2" t="str">
        <f>VLOOKUP($A727,DICO_Complet!$A$3:$U$983,6,FALSE)</f>
        <v>SignatureAlgorithmCodeset</v>
      </c>
      <c r="G727" s="48">
        <f>VLOOKUP($A727,DICO_Complet!$A$3:$U$983,7,FALSE)</f>
        <v>0</v>
      </c>
      <c r="H727" s="48">
        <f>VLOOKUP($A727,DICO_Complet!$A$3:$U$983,8,FALSE)</f>
        <v>0</v>
      </c>
      <c r="I727" s="2" t="str">
        <f>IF(VLOOKUP($A727,DICO_Complet!$A$3:$U$983,9,FALSE)&lt;&gt;0,VLOOKUP($A727,DICO_Complet!$A$3:$U$983,9,FALSE),"")</f>
        <v/>
      </c>
      <c r="J727" s="1" t="str">
        <f>VLOOKUP($A727,DICO_Complet!$A$3:$U$983,10,FALSE)</f>
        <v>Identification of the algorithm for a signature</v>
      </c>
      <c r="K727" s="53" t="str">
        <f>IF(VLOOKUP($A727,DICO_Complet!$A$3:$U$983,12,FALSE)=0,"",VLOOKUP($A727,DICO_Complet!$A$3:$U$983,12,FALSE))</f>
        <v/>
      </c>
      <c r="L727" s="53" t="str">
        <f>IF(VLOOKUP($A727,DICO_Complet!$A$3:$U$983,13,FALSE)=0,"",VLOOKUP($A727,DICO_Complet!$A$3:$U$983,13,FALSE))</f>
        <v/>
      </c>
      <c r="M727" s="53" t="str">
        <f>IF(VLOOKUP($A727,DICO_Complet!$A$3:$U$983,14,FALSE)=0,"",VLOOKUP($A727,DICO_Complet!$A$3:$U$983,14,FALSE))</f>
        <v/>
      </c>
      <c r="N727" s="53" t="str">
        <f>IF(VLOOKUP($A727,DICO_Complet!$A$3:$U$983,15,FALSE)=0,"",VLOOKUP($A727,DICO_Complet!$A$3:$U$983,15,FALSE))</f>
        <v/>
      </c>
      <c r="O727" s="53" t="str">
        <f>IF(VLOOKUP($A727,DICO_Complet!$A$3:$U$983,16,FALSE)=0,"",VLOOKUP($A727,DICO_Complet!$A$3:$U$983,16,FALSE))</f>
        <v/>
      </c>
      <c r="P727" s="53" t="str">
        <f>IF(VLOOKUP($A727,DICO_Complet!$A$3:$U$983,17,FALSE)=0,"",VLOOKUP($A727,DICO_Complet!$A$3:$U$983,17,FALSE))</f>
        <v/>
      </c>
      <c r="Q727" s="53" t="str">
        <f>IF(VLOOKUP($A727,DICO_Complet!$A$3:$U$983,18,FALSE)=0,"",VLOOKUP($A727,DICO_Complet!$A$3:$U$983,18,FALSE))</f>
        <v/>
      </c>
    </row>
    <row r="728" spans="1:17">
      <c r="A728" s="38">
        <v>250218114503</v>
      </c>
      <c r="B728" s="47" t="s">
        <v>858</v>
      </c>
      <c r="C728" s="3" t="str">
        <f>VLOOKUP($A728,DICO_Complet!$A$3:$U$983,3,FALSE)</f>
        <v>Transaction</v>
      </c>
      <c r="D728" s="3" t="str">
        <f>VLOOKUP($A728,DICO_Complet!$A$3:$U$983,4,FALSE)</f>
        <v>security</v>
      </c>
      <c r="E728" s="2" t="str">
        <f>VLOOKUP($A728,DICO_Complet!$A$3:$U$983,5,FALSE)</f>
        <v>signatureDigestAlgorithm</v>
      </c>
      <c r="F728" s="2" t="str">
        <f>VLOOKUP($A728,DICO_Complet!$A$3:$U$983,6,FALSE)</f>
        <v>SignatureDigestAlgorithmCodeset</v>
      </c>
      <c r="G728" s="48">
        <f>VLOOKUP($A728,DICO_Complet!$A$3:$U$983,7,FALSE)</f>
        <v>0</v>
      </c>
      <c r="H728" s="48">
        <f>VLOOKUP($A728,DICO_Complet!$A$3:$U$983,8,FALSE)</f>
        <v>0</v>
      </c>
      <c r="I728" s="2" t="str">
        <f>IF(VLOOKUP($A728,DICO_Complet!$A$3:$U$983,9,FALSE)&lt;&gt;0,VLOOKUP($A728,DICO_Complet!$A$3:$U$983,9,FALSE),"")</f>
        <v/>
      </c>
      <c r="J728" s="1" t="str">
        <f>VLOOKUP($A728,DICO_Complet!$A$3:$U$983,10,FALSE)</f>
        <v>Identification of the digest algorithm for a signature</v>
      </c>
      <c r="K728" s="53" t="str">
        <f>IF(VLOOKUP($A728,DICO_Complet!$A$3:$U$983,12,FALSE)=0,"",VLOOKUP($A728,DICO_Complet!$A$3:$U$983,12,FALSE))</f>
        <v/>
      </c>
      <c r="L728" s="53" t="str">
        <f>IF(VLOOKUP($A728,DICO_Complet!$A$3:$U$983,13,FALSE)=0,"",VLOOKUP($A728,DICO_Complet!$A$3:$U$983,13,FALSE))</f>
        <v/>
      </c>
      <c r="M728" s="53" t="str">
        <f>IF(VLOOKUP($A728,DICO_Complet!$A$3:$U$983,14,FALSE)=0,"",VLOOKUP($A728,DICO_Complet!$A$3:$U$983,14,FALSE))</f>
        <v/>
      </c>
      <c r="N728" s="53" t="str">
        <f>IF(VLOOKUP($A728,DICO_Complet!$A$3:$U$983,15,FALSE)=0,"",VLOOKUP($A728,DICO_Complet!$A$3:$U$983,15,FALSE))</f>
        <v/>
      </c>
      <c r="O728" s="53" t="str">
        <f>IF(VLOOKUP($A728,DICO_Complet!$A$3:$U$983,16,FALSE)=0,"",VLOOKUP($A728,DICO_Complet!$A$3:$U$983,16,FALSE))</f>
        <v/>
      </c>
      <c r="P728" s="53" t="str">
        <f>IF(VLOOKUP($A728,DICO_Complet!$A$3:$U$983,17,FALSE)=0,"",VLOOKUP($A728,DICO_Complet!$A$3:$U$983,17,FALSE))</f>
        <v/>
      </c>
      <c r="Q728" s="53" t="str">
        <f>IF(VLOOKUP($A728,DICO_Complet!$A$3:$U$983,18,FALSE)=0,"",VLOOKUP($A728,DICO_Complet!$A$3:$U$983,18,FALSE))</f>
        <v/>
      </c>
    </row>
    <row r="729" spans="1:17">
      <c r="A729" s="38">
        <v>250218114501</v>
      </c>
      <c r="B729" s="47" t="s">
        <v>858</v>
      </c>
      <c r="C729" s="3" t="str">
        <f>VLOOKUP($A729,DICO_Complet!$A$3:$U$983,3,FALSE)</f>
        <v>Transaction</v>
      </c>
      <c r="D729" s="3" t="str">
        <f>VLOOKUP($A729,DICO_Complet!$A$3:$U$983,4,FALSE)</f>
        <v>security</v>
      </c>
      <c r="E729" s="2" t="str">
        <f>VLOOKUP($A729,DICO_Complet!$A$3:$U$983,5,FALSE)</f>
        <v>signatureKeyIdentifier</v>
      </c>
      <c r="F729" s="2" t="str">
        <f>VLOOKUP($A729,DICO_Complet!$A$3:$U$983,6,FALSE)</f>
        <v>Max50Text</v>
      </c>
      <c r="G729" s="48">
        <f>VLOOKUP($A729,DICO_Complet!$A$3:$U$983,7,FALSE)</f>
        <v>0</v>
      </c>
      <c r="H729" s="48">
        <f>VLOOKUP($A729,DICO_Complet!$A$3:$U$983,8,FALSE)</f>
        <v>0</v>
      </c>
      <c r="I729" s="2" t="str">
        <f>IF(VLOOKUP($A729,DICO_Complet!$A$3:$U$983,9,FALSE)&lt;&gt;0,VLOOKUP($A729,DICO_Complet!$A$3:$U$983,9,FALSE),"")</f>
        <v/>
      </c>
      <c r="J729" s="1" t="str">
        <f>VLOOKUP($A729,DICO_Complet!$A$3:$U$983,10,FALSE)</f>
        <v>Identification of the key for a signature</v>
      </c>
      <c r="K729" s="53" t="str">
        <f>IF(VLOOKUP($A729,DICO_Complet!$A$3:$U$983,12,FALSE)=0,"",VLOOKUP($A729,DICO_Complet!$A$3:$U$983,12,FALSE))</f>
        <v/>
      </c>
      <c r="L729" s="53" t="str">
        <f>IF(VLOOKUP($A729,DICO_Complet!$A$3:$U$983,13,FALSE)=0,"",VLOOKUP($A729,DICO_Complet!$A$3:$U$983,13,FALSE))</f>
        <v/>
      </c>
      <c r="M729" s="53" t="str">
        <f>IF(VLOOKUP($A729,DICO_Complet!$A$3:$U$983,14,FALSE)=0,"",VLOOKUP($A729,DICO_Complet!$A$3:$U$983,14,FALSE))</f>
        <v/>
      </c>
      <c r="N729" s="53" t="str">
        <f>IF(VLOOKUP($A729,DICO_Complet!$A$3:$U$983,15,FALSE)=0,"",VLOOKUP($A729,DICO_Complet!$A$3:$U$983,15,FALSE))</f>
        <v/>
      </c>
      <c r="O729" s="53" t="str">
        <f>IF(VLOOKUP($A729,DICO_Complet!$A$3:$U$983,16,FALSE)=0,"",VLOOKUP($A729,DICO_Complet!$A$3:$U$983,16,FALSE))</f>
        <v/>
      </c>
      <c r="P729" s="53" t="str">
        <f>IF(VLOOKUP($A729,DICO_Complet!$A$3:$U$983,17,FALSE)=0,"",VLOOKUP($A729,DICO_Complet!$A$3:$U$983,17,FALSE))</f>
        <v/>
      </c>
      <c r="Q729" s="53" t="str">
        <f>IF(VLOOKUP($A729,DICO_Complet!$A$3:$U$983,18,FALSE)=0,"",VLOOKUP($A729,DICO_Complet!$A$3:$U$983,18,FALSE))</f>
        <v/>
      </c>
    </row>
    <row r="730" spans="1:17">
      <c r="A730" s="38">
        <v>250212174511</v>
      </c>
      <c r="B730" s="47" t="s">
        <v>858</v>
      </c>
      <c r="C730" s="3" t="str">
        <f>VLOOKUP($A730,DICO_Complet!$A$3:$U$983,3,FALSE)</f>
        <v>Transaction</v>
      </c>
      <c r="D730" s="3" t="str">
        <f>VLOOKUP($A730,DICO_Complet!$A$3:$U$983,4,FALSE)</f>
        <v>security</v>
      </c>
      <c r="E730" s="2" t="str">
        <f>VLOOKUP($A730,DICO_Complet!$A$3:$U$983,5,FALSE)</f>
        <v>storageKeyIdentifier</v>
      </c>
      <c r="F730" s="2" t="str">
        <f>VLOOKUP($A730,DICO_Complet!$A$3:$U$983,6,FALSE)</f>
        <v>Max50Text</v>
      </c>
      <c r="G730" s="48">
        <f>VLOOKUP($A730,DICO_Complet!$A$3:$U$983,7,FALSE)</f>
        <v>0</v>
      </c>
      <c r="H730" s="48">
        <f>VLOOKUP($A730,DICO_Complet!$A$3:$U$983,8,FALSE)</f>
        <v>0</v>
      </c>
      <c r="I730" s="2" t="str">
        <f>IF(VLOOKUP($A730,DICO_Complet!$A$3:$U$983,9,FALSE)&lt;&gt;0,VLOOKUP($A730,DICO_Complet!$A$3:$U$983,9,FALSE),"")</f>
        <v/>
      </c>
      <c r="J730" s="1" t="str">
        <f>VLOOKUP($A730,DICO_Complet!$A$3:$U$983,10,FALSE)</f>
        <v>Id cle de stockage de la nouvelle cle</v>
      </c>
      <c r="K730" s="53" t="str">
        <f>IF(VLOOKUP($A730,DICO_Complet!$A$3:$U$983,12,FALSE)=0,"",VLOOKUP($A730,DICO_Complet!$A$3:$U$983,12,FALSE))</f>
        <v/>
      </c>
      <c r="L730" s="53" t="str">
        <f>IF(VLOOKUP($A730,DICO_Complet!$A$3:$U$983,13,FALSE)=0,"",VLOOKUP($A730,DICO_Complet!$A$3:$U$983,13,FALSE))</f>
        <v/>
      </c>
      <c r="M730" s="53" t="str">
        <f>IF(VLOOKUP($A730,DICO_Complet!$A$3:$U$983,14,FALSE)=0,"",VLOOKUP($A730,DICO_Complet!$A$3:$U$983,14,FALSE))</f>
        <v/>
      </c>
      <c r="N730" s="53" t="str">
        <f>IF(VLOOKUP($A730,DICO_Complet!$A$3:$U$983,15,FALSE)=0,"",VLOOKUP($A730,DICO_Complet!$A$3:$U$983,15,FALSE))</f>
        <v/>
      </c>
      <c r="O730" s="53" t="str">
        <f>IF(VLOOKUP($A730,DICO_Complet!$A$3:$U$983,16,FALSE)=0,"",VLOOKUP($A730,DICO_Complet!$A$3:$U$983,16,FALSE))</f>
        <v/>
      </c>
      <c r="P730" s="53" t="str">
        <f>IF(VLOOKUP($A730,DICO_Complet!$A$3:$U$983,17,FALSE)=0,"",VLOOKUP($A730,DICO_Complet!$A$3:$U$983,17,FALSE))</f>
        <v/>
      </c>
      <c r="Q730" s="53" t="str">
        <f>IF(VLOOKUP($A730,DICO_Complet!$A$3:$U$983,18,FALSE)=0,"",VLOOKUP($A730,DICO_Complet!$A$3:$U$983,18,FALSE))</f>
        <v/>
      </c>
    </row>
    <row r="731" spans="1:17">
      <c r="A731" s="38">
        <v>250212174509</v>
      </c>
      <c r="B731" s="47" t="s">
        <v>858</v>
      </c>
      <c r="C731" s="3" t="str">
        <f>VLOOKUP($A731,DICO_Complet!$A$3:$U$983,3,FALSE)</f>
        <v>Transaction</v>
      </c>
      <c r="D731" s="3" t="str">
        <f>VLOOKUP($A731,DICO_Complet!$A$3:$U$983,4,FALSE)</f>
        <v>security</v>
      </c>
      <c r="E731" s="2" t="str">
        <f>VLOOKUP($A731,DICO_Complet!$A$3:$U$983,5,FALSE)</f>
        <v>tr31AdditionalData</v>
      </c>
      <c r="F731" s="2" t="str">
        <f>VLOOKUP($A731,DICO_Complet!$A$3:$U$983,6,FALSE)</f>
        <v>Min2Max226Text</v>
      </c>
      <c r="G731" s="48">
        <f>VLOOKUP($A731,DICO_Complet!$A$3:$U$983,7,FALSE)</f>
        <v>0</v>
      </c>
      <c r="H731" s="48">
        <f>VLOOKUP($A731,DICO_Complet!$A$3:$U$983,8,FALSE)</f>
        <v>0</v>
      </c>
      <c r="I731" s="2" t="str">
        <f>IF(VLOOKUP($A731,DICO_Complet!$A$3:$U$983,9,FALSE)&lt;&gt;0,VLOOKUP($A731,DICO_Complet!$A$3:$U$983,9,FALSE),"")</f>
        <v/>
      </c>
      <c r="J731" s="1" t="str">
        <f>VLOOKUP($A731,DICO_Complet!$A$3:$U$983,10,FALSE)</f>
        <v>number of optional bloc</v>
      </c>
      <c r="K731" s="53" t="str">
        <f>IF(VLOOKUP($A731,DICO_Complet!$A$3:$U$983,12,FALSE)=0,"",VLOOKUP($A731,DICO_Complet!$A$3:$U$983,12,FALSE))</f>
        <v>GES71</v>
      </c>
      <c r="L731" s="53" t="str">
        <f>IF(VLOOKUP($A731,DICO_Complet!$A$3:$U$983,13,FALSE)=0,"",VLOOKUP($A731,DICO_Complet!$A$3:$U$983,13,FALSE))</f>
        <v/>
      </c>
      <c r="M731" s="53" t="str">
        <f>IF(VLOOKUP($A731,DICO_Complet!$A$3:$U$983,14,FALSE)=0,"",VLOOKUP($A731,DICO_Complet!$A$3:$U$983,14,FALSE))</f>
        <v/>
      </c>
      <c r="N731" s="53" t="str">
        <f>IF(VLOOKUP($A731,DICO_Complet!$A$3:$U$983,15,FALSE)=0,"",VLOOKUP($A731,DICO_Complet!$A$3:$U$983,15,FALSE))</f>
        <v/>
      </c>
      <c r="O731" s="53" t="str">
        <f>IF(VLOOKUP($A731,DICO_Complet!$A$3:$U$983,16,FALSE)=0,"",VLOOKUP($A731,DICO_Complet!$A$3:$U$983,16,FALSE))</f>
        <v/>
      </c>
      <c r="P731" s="53" t="str">
        <f>IF(VLOOKUP($A731,DICO_Complet!$A$3:$U$983,17,FALSE)=0,"",VLOOKUP($A731,DICO_Complet!$A$3:$U$983,17,FALSE))</f>
        <v/>
      </c>
      <c r="Q731" s="53" t="str">
        <f>IF(VLOOKUP($A731,DICO_Complet!$A$3:$U$983,18,FALSE)=0,"",VLOOKUP($A731,DICO_Complet!$A$3:$U$983,18,FALSE))</f>
        <v/>
      </c>
    </row>
    <row r="732" spans="1:17">
      <c r="A732" s="38">
        <v>250212174512</v>
      </c>
      <c r="B732" s="47" t="s">
        <v>858</v>
      </c>
      <c r="C732" s="3" t="str">
        <f>VLOOKUP($A732,DICO_Complet!$A$3:$U$983,3,FALSE)</f>
        <v>Transaction</v>
      </c>
      <c r="D732" s="3" t="str">
        <f>VLOOKUP($A732,DICO_Complet!$A$3:$U$983,4,FALSE)</f>
        <v>security</v>
      </c>
      <c r="E732" s="2" t="str">
        <f>VLOOKUP($A732,DICO_Complet!$A$3:$U$983,5,FALSE)</f>
        <v>tr31KeyBlock</v>
      </c>
      <c r="F732" s="2" t="str">
        <f>VLOOKUP($A732,DICO_Complet!$A$3:$U$983,6,FALSE)</f>
        <v>Min72Max296Text</v>
      </c>
      <c r="G732" s="48">
        <f>VLOOKUP($A732,DICO_Complet!$A$3:$U$983,7,FALSE)</f>
        <v>0</v>
      </c>
      <c r="H732" s="48">
        <f>VLOOKUP($A732,DICO_Complet!$A$3:$U$983,8,FALSE)</f>
        <v>0</v>
      </c>
      <c r="I732" s="2" t="str">
        <f>IF(VLOOKUP($A732,DICO_Complet!$A$3:$U$983,9,FALSE)&lt;&gt;0,VLOOKUP($A732,DICO_Complet!$A$3:$U$983,9,FALSE),"")</f>
        <v/>
      </c>
      <c r="J732" s="1" t="str">
        <f>VLOOKUP($A732,DICO_Complet!$A$3:$U$983,10,FALSE)</f>
        <v>Bloc de cle au format TR31</v>
      </c>
      <c r="K732" s="53" t="str">
        <f>IF(VLOOKUP($A732,DICO_Complet!$A$3:$U$983,12,FALSE)=0,"",VLOOKUP($A732,DICO_Complet!$A$3:$U$983,12,FALSE))</f>
        <v>GES72</v>
      </c>
      <c r="L732" s="53" t="str">
        <f>IF(VLOOKUP($A732,DICO_Complet!$A$3:$U$983,13,FALSE)=0,"",VLOOKUP($A732,DICO_Complet!$A$3:$U$983,13,FALSE))</f>
        <v/>
      </c>
      <c r="M732" s="53" t="str">
        <f>IF(VLOOKUP($A732,DICO_Complet!$A$3:$U$983,14,FALSE)=0,"",VLOOKUP($A732,DICO_Complet!$A$3:$U$983,14,FALSE))</f>
        <v/>
      </c>
      <c r="N732" s="53" t="str">
        <f>IF(VLOOKUP($A732,DICO_Complet!$A$3:$U$983,15,FALSE)=0,"",VLOOKUP($A732,DICO_Complet!$A$3:$U$983,15,FALSE))</f>
        <v/>
      </c>
      <c r="O732" s="53" t="str">
        <f>IF(VLOOKUP($A732,DICO_Complet!$A$3:$U$983,16,FALSE)=0,"",VLOOKUP($A732,DICO_Complet!$A$3:$U$983,16,FALSE))</f>
        <v/>
      </c>
      <c r="P732" s="53" t="str">
        <f>IF(VLOOKUP($A732,DICO_Complet!$A$3:$U$983,17,FALSE)=0,"",VLOOKUP($A732,DICO_Complet!$A$3:$U$983,17,FALSE))</f>
        <v/>
      </c>
      <c r="Q732" s="53" t="str">
        <f>IF(VLOOKUP($A732,DICO_Complet!$A$3:$U$983,18,FALSE)=0,"",VLOOKUP($A732,DICO_Complet!$A$3:$U$983,18,FALSE))</f>
        <v/>
      </c>
    </row>
    <row r="733" spans="1:17">
      <c r="A733" s="38">
        <v>250212174507</v>
      </c>
      <c r="B733" s="47" t="s">
        <v>858</v>
      </c>
      <c r="C733" s="3" t="str">
        <f>VLOOKUP($A733,DICO_Complet!$A$3:$U$983,3,FALSE)</f>
        <v>Transaction</v>
      </c>
      <c r="D733" s="3" t="str">
        <f>VLOOKUP($A733,DICO_Complet!$A$3:$U$983,4,FALSE)</f>
        <v>security</v>
      </c>
      <c r="E733" s="2" t="str">
        <f>VLOOKUP($A733,DICO_Complet!$A$3:$U$983,5,FALSE)</f>
        <v>tr31KeyFunction</v>
      </c>
      <c r="F733" s="2" t="str">
        <f>VLOOKUP($A733,DICO_Complet!$A$3:$U$983,6,FALSE)</f>
        <v>Exact1Text</v>
      </c>
      <c r="G733" s="48">
        <f>VLOOKUP($A733,DICO_Complet!$A$3:$U$983,7,FALSE)</f>
        <v>0</v>
      </c>
      <c r="H733" s="48">
        <f>VLOOKUP($A733,DICO_Complet!$A$3:$U$983,8,FALSE)</f>
        <v>0</v>
      </c>
      <c r="I733" s="2" t="str">
        <f>IF(VLOOKUP($A733,DICO_Complet!$A$3:$U$983,9,FALSE)&lt;&gt;0,VLOOKUP($A733,DICO_Complet!$A$3:$U$983,9,FALSE),"")</f>
        <v/>
      </c>
      <c r="J733" s="1" t="str">
        <f>VLOOKUP($A733,DICO_Complet!$A$3:$U$983,10,FALSE)</f>
        <v xml:space="preserve">Mode d’usage dans le bloc de cle TR31. </v>
      </c>
      <c r="K733" s="53" t="str">
        <f>IF(VLOOKUP($A733,DICO_Complet!$A$3:$U$983,12,FALSE)=0,"",VLOOKUP($A733,DICO_Complet!$A$3:$U$983,12,FALSE))</f>
        <v>GES69</v>
      </c>
      <c r="L733" s="53" t="str">
        <f>IF(VLOOKUP($A733,DICO_Complet!$A$3:$U$983,13,FALSE)=0,"",VLOOKUP($A733,DICO_Complet!$A$3:$U$983,13,FALSE))</f>
        <v/>
      </c>
      <c r="M733" s="53" t="str">
        <f>IF(VLOOKUP($A733,DICO_Complet!$A$3:$U$983,14,FALSE)=0,"",VLOOKUP($A733,DICO_Complet!$A$3:$U$983,14,FALSE))</f>
        <v/>
      </c>
      <c r="N733" s="53" t="str">
        <f>IF(VLOOKUP($A733,DICO_Complet!$A$3:$U$983,15,FALSE)=0,"",VLOOKUP($A733,DICO_Complet!$A$3:$U$983,15,FALSE))</f>
        <v/>
      </c>
      <c r="O733" s="53" t="str">
        <f>IF(VLOOKUP($A733,DICO_Complet!$A$3:$U$983,16,FALSE)=0,"",VLOOKUP($A733,DICO_Complet!$A$3:$U$983,16,FALSE))</f>
        <v/>
      </c>
      <c r="P733" s="53" t="str">
        <f>IF(VLOOKUP($A733,DICO_Complet!$A$3:$U$983,17,FALSE)=0,"",VLOOKUP($A733,DICO_Complet!$A$3:$U$983,17,FALSE))</f>
        <v/>
      </c>
      <c r="Q733" s="53" t="str">
        <f>IF(VLOOKUP($A733,DICO_Complet!$A$3:$U$983,18,FALSE)=0,"",VLOOKUP($A733,DICO_Complet!$A$3:$U$983,18,FALSE))</f>
        <v/>
      </c>
    </row>
    <row r="734" spans="1:17">
      <c r="A734" s="38">
        <v>250212174508</v>
      </c>
      <c r="B734" s="47" t="s">
        <v>858</v>
      </c>
      <c r="C734" s="3" t="str">
        <f>VLOOKUP($A734,DICO_Complet!$A$3:$U$983,3,FALSE)</f>
        <v>Transaction</v>
      </c>
      <c r="D734" s="3" t="str">
        <f>VLOOKUP($A734,DICO_Complet!$A$3:$U$983,4,FALSE)</f>
        <v>security</v>
      </c>
      <c r="E734" s="2" t="str">
        <f>VLOOKUP($A734,DICO_Complet!$A$3:$U$983,5,FALSE)</f>
        <v>tr31KeyVersion</v>
      </c>
      <c r="F734" s="2" t="str">
        <f>VLOOKUP($A734,DICO_Complet!$A$3:$U$983,6,FALSE)</f>
        <v>Exact2AlphaNumericText</v>
      </c>
      <c r="G734" s="48">
        <f>VLOOKUP($A734,DICO_Complet!$A$3:$U$983,7,FALSE)</f>
        <v>0</v>
      </c>
      <c r="H734" s="48">
        <f>VLOOKUP($A734,DICO_Complet!$A$3:$U$983,8,FALSE)</f>
        <v>0</v>
      </c>
      <c r="I734" s="2" t="str">
        <f>IF(VLOOKUP($A734,DICO_Complet!$A$3:$U$983,9,FALSE)&lt;&gt;0,VLOOKUP($A734,DICO_Complet!$A$3:$U$983,9,FALSE),"")</f>
        <v/>
      </c>
      <c r="J734" s="1" t="str">
        <f>VLOOKUP($A734,DICO_Complet!$A$3:$U$983,10,FALSE)</f>
        <v>Version de cle dans le header TR31, code en numerique hexadecimal</v>
      </c>
      <c r="K734" s="53" t="str">
        <f>IF(VLOOKUP($A734,DICO_Complet!$A$3:$U$983,12,FALSE)=0,"",VLOOKUP($A734,DICO_Complet!$A$3:$U$983,12,FALSE))</f>
        <v>GES70</v>
      </c>
      <c r="L734" s="53" t="str">
        <f>IF(VLOOKUP($A734,DICO_Complet!$A$3:$U$983,13,FALSE)=0,"",VLOOKUP($A734,DICO_Complet!$A$3:$U$983,13,FALSE))</f>
        <v/>
      </c>
      <c r="M734" s="53" t="str">
        <f>IF(VLOOKUP($A734,DICO_Complet!$A$3:$U$983,14,FALSE)=0,"",VLOOKUP($A734,DICO_Complet!$A$3:$U$983,14,FALSE))</f>
        <v/>
      </c>
      <c r="N734" s="53" t="str">
        <f>IF(VLOOKUP($A734,DICO_Complet!$A$3:$U$983,15,FALSE)=0,"",VLOOKUP($A734,DICO_Complet!$A$3:$U$983,15,FALSE))</f>
        <v/>
      </c>
      <c r="O734" s="53" t="str">
        <f>IF(VLOOKUP($A734,DICO_Complet!$A$3:$U$983,16,FALSE)=0,"",VLOOKUP($A734,DICO_Complet!$A$3:$U$983,16,FALSE))</f>
        <v/>
      </c>
      <c r="P734" s="53" t="str">
        <f>IF(VLOOKUP($A734,DICO_Complet!$A$3:$U$983,17,FALSE)=0,"",VLOOKUP($A734,DICO_Complet!$A$3:$U$983,17,FALSE))</f>
        <v/>
      </c>
      <c r="Q734" s="53" t="str">
        <f>IF(VLOOKUP($A734,DICO_Complet!$A$3:$U$983,18,FALSE)=0,"",VLOOKUP($A734,DICO_Complet!$A$3:$U$983,18,FALSE))</f>
        <v/>
      </c>
    </row>
    <row r="735" spans="1:17">
      <c r="A735" s="38">
        <v>241112000157</v>
      </c>
      <c r="B735" s="47" t="s">
        <v>858</v>
      </c>
      <c r="C735" s="3" t="str">
        <f>VLOOKUP($A735,DICO_Complet!$A$3:$U$983,3,FALSE)</f>
        <v>Transaction</v>
      </c>
      <c r="D735" s="3" t="str">
        <f>VLOOKUP($A735,DICO_Complet!$A$3:$U$983,4,FALSE)</f>
        <v>threeDs</v>
      </c>
      <c r="E735" s="2" t="str">
        <f>VLOOKUP($A735,DICO_Complet!$A$3:$U$983,5,FALSE)</f>
        <v>threeDsAuthenticationCategory</v>
      </c>
      <c r="F735" s="2" t="str">
        <f>VLOOKUP($A735,DICO_Complet!$A$3:$U$983,6,FALSE)</f>
        <v>ThreeDsAuthenticationCategoryCodeset</v>
      </c>
      <c r="G735" s="48">
        <f>VLOOKUP($A735,DICO_Complet!$A$3:$U$983,7,FALSE)</f>
        <v>0</v>
      </c>
      <c r="H735" s="48">
        <f>VLOOKUP($A735,DICO_Complet!$A$3:$U$983,8,FALSE)</f>
        <v>0</v>
      </c>
      <c r="I735" s="2" t="str">
        <f>IF(VLOOKUP($A735,DICO_Complet!$A$3:$U$983,9,FALSE)&lt;&gt;0,VLOOKUP($A735,DICO_Complet!$A$3:$U$983,9,FALSE),"")</f>
        <v/>
      </c>
      <c r="J735" s="1" t="str">
        <f>VLOOKUP($A735,DICO_Complet!$A$3:$U$983,10,FALSE)</f>
        <v>3DS authentication type</v>
      </c>
      <c r="K735" s="53" t="str">
        <f>IF(VLOOKUP($A735,DICO_Complet!$A$3:$U$983,12,FALSE)=0,"",VLOOKUP($A735,DICO_Complet!$A$3:$U$983,12,FALSE))</f>
        <v>RSB59_419 _p1</v>
      </c>
      <c r="L735" s="53" t="str">
        <f>IF(VLOOKUP($A735,DICO_Complet!$A$3:$U$983,13,FALSE)=0,"",VLOOKUP($A735,DICO_Complet!$A$3:$U$983,13,FALSE))</f>
        <v>[59-0419-p1]</v>
      </c>
      <c r="M735" s="53" t="str">
        <f>IF(VLOOKUP($A735,DICO_Complet!$A$3:$U$983,14,FALSE)=0,"",VLOOKUP($A735,DICO_Complet!$A$3:$U$983,14,FALSE))</f>
        <v>58_419</v>
      </c>
      <c r="N735" s="53" t="str">
        <f>IF(VLOOKUP($A735,DICO_Complet!$A$3:$U$983,15,FALSE)=0,"",VLOOKUP($A735,DICO_Complet!$A$3:$U$983,15,FALSE))</f>
        <v/>
      </c>
      <c r="O735" s="53" t="str">
        <f>IF(VLOOKUP($A735,DICO_Complet!$A$3:$U$983,16,FALSE)=0,"",VLOOKUP($A735,DICO_Complet!$A$3:$U$983,16,FALSE))</f>
        <v/>
      </c>
      <c r="P735" s="53" t="str">
        <f>IF(VLOOKUP($A735,DICO_Complet!$A$3:$U$983,17,FALSE)=0,"",VLOOKUP($A735,DICO_Complet!$A$3:$U$983,17,FALSE))</f>
        <v/>
      </c>
      <c r="Q735" s="53" t="str">
        <f>IF(VLOOKUP($A735,DICO_Complet!$A$3:$U$983,18,FALSE)=0,"",VLOOKUP($A735,DICO_Complet!$A$3:$U$983,18,FALSE))</f>
        <v/>
      </c>
    </row>
    <row r="736" spans="1:17">
      <c r="A736" s="38">
        <v>241112000158</v>
      </c>
      <c r="B736" s="47" t="s">
        <v>858</v>
      </c>
      <c r="C736" s="3" t="str">
        <f>VLOOKUP($A736,DICO_Complet!$A$3:$U$983,3,FALSE)</f>
        <v>Transaction</v>
      </c>
      <c r="D736" s="3" t="str">
        <f>VLOOKUP($A736,DICO_Complet!$A$3:$U$983,4,FALSE)</f>
        <v>threeDs</v>
      </c>
      <c r="E736" s="2" t="str">
        <f>VLOOKUP($A736,DICO_Complet!$A$3:$U$983,5,FALSE)</f>
        <v>threeDsComponentsAvailability</v>
      </c>
      <c r="F736" s="2" t="str">
        <f>VLOOKUP($A736,DICO_Complet!$A$3:$U$983,6,FALSE)</f>
        <v>Exact1AlphaNumericText</v>
      </c>
      <c r="G736" s="48">
        <f>VLOOKUP($A736,DICO_Complet!$A$3:$U$983,7,FALSE)</f>
        <v>0</v>
      </c>
      <c r="H736" s="48">
        <f>VLOOKUP($A736,DICO_Complet!$A$3:$U$983,8,FALSE)</f>
        <v>0</v>
      </c>
      <c r="I736" s="2" t="str">
        <f>IF(VLOOKUP($A736,DICO_Complet!$A$3:$U$983,9,FALSE)&lt;&gt;0,VLOOKUP($A736,DICO_Complet!$A$3:$U$983,9,FALSE),"")</f>
        <v/>
      </c>
      <c r="J736" s="1" t="str">
        <f>VLOOKUP($A736,DICO_Complet!$A$3:$U$983,10,FALSE)</f>
        <v>3DS components availability</v>
      </c>
      <c r="K736" s="53" t="str">
        <f>IF(VLOOKUP($A736,DICO_Complet!$A$3:$U$983,12,FALSE)=0,"",VLOOKUP($A736,DICO_Complet!$A$3:$U$983,12,FALSE))</f>
        <v>RSB119_0013</v>
      </c>
      <c r="L736" s="53" t="str">
        <f>IF(VLOOKUP($A736,DICO_Complet!$A$3:$U$983,13,FALSE)=0,"",VLOOKUP($A736,DICO_Complet!$A$3:$U$983,13,FALSE))</f>
        <v>[119-0013]</v>
      </c>
      <c r="M736" s="53" t="str">
        <f>IF(VLOOKUP($A736,DICO_Complet!$A$3:$U$983,14,FALSE)=0,"",VLOOKUP($A736,DICO_Complet!$A$3:$U$983,14,FALSE))</f>
        <v/>
      </c>
      <c r="N736" s="53" t="str">
        <f>IF(VLOOKUP($A736,DICO_Complet!$A$3:$U$983,15,FALSE)=0,"",VLOOKUP($A736,DICO_Complet!$A$3:$U$983,15,FALSE))</f>
        <v/>
      </c>
      <c r="O736" s="53" t="str">
        <f>IF(VLOOKUP($A736,DICO_Complet!$A$3:$U$983,16,FALSE)=0,"",VLOOKUP($A736,DICO_Complet!$A$3:$U$983,16,FALSE))</f>
        <v/>
      </c>
      <c r="P736" s="53" t="str">
        <f>IF(VLOOKUP($A736,DICO_Complet!$A$3:$U$983,17,FALSE)=0,"",VLOOKUP($A736,DICO_Complet!$A$3:$U$983,17,FALSE))</f>
        <v/>
      </c>
      <c r="Q736" s="53" t="str">
        <f>IF(VLOOKUP($A736,DICO_Complet!$A$3:$U$983,18,FALSE)=0,"",VLOOKUP($A736,DICO_Complet!$A$3:$U$983,18,FALSE))</f>
        <v/>
      </c>
    </row>
    <row r="737" spans="1:17">
      <c r="A737" s="38">
        <v>250212174203</v>
      </c>
      <c r="B737" s="47" t="s">
        <v>858</v>
      </c>
      <c r="C737" s="3" t="str">
        <f>VLOOKUP($A737,DICO_Complet!$A$3:$U$983,3,FALSE)</f>
        <v>Transaction</v>
      </c>
      <c r="D737" s="3" t="str">
        <f>VLOOKUP($A737,DICO_Complet!$A$3:$U$983,4,FALSE)</f>
        <v>threeDs</v>
      </c>
      <c r="E737" s="2" t="str">
        <f>VLOOKUP($A737,DICO_Complet!$A$3:$U$983,5,FALSE)</f>
        <v>threeDsIndicator</v>
      </c>
      <c r="F737" s="2" t="str">
        <f>VLOOKUP($A737,DICO_Complet!$A$3:$U$983,6,FALSE)</f>
        <v>ThreeDsIndicatorCodeset</v>
      </c>
      <c r="G737" s="48">
        <f>VLOOKUP($A737,DICO_Complet!$A$3:$U$983,7,FALSE)</f>
        <v>0</v>
      </c>
      <c r="H737" s="48">
        <f>VLOOKUP($A737,DICO_Complet!$A$3:$U$983,8,FALSE)</f>
        <v>0</v>
      </c>
      <c r="I737" s="2" t="str">
        <f>IF(VLOOKUP($A737,DICO_Complet!$A$3:$U$983,9,FALSE)&lt;&gt;0,VLOOKUP($A737,DICO_Complet!$A$3:$U$983,9,FALSE),"")</f>
        <v/>
      </c>
      <c r="J737" s="1" t="str">
        <f>VLOOKUP($A737,DICO_Complet!$A$3:$U$983,10,FALSE)</f>
        <v xml:space="preserve">3D-Secure indicator </v>
      </c>
      <c r="K737" s="53" t="str">
        <f>IF(VLOOKUP($A737,DICO_Complet!$A$3:$U$983,12,FALSE)=0,"",VLOOKUP($A737,DICO_Complet!$A$3:$U$983,12,FALSE))</f>
        <v>RSB119_0007</v>
      </c>
      <c r="L737" s="53" t="str">
        <f>IF(VLOOKUP($A737,DICO_Complet!$A$3:$U$983,13,FALSE)=0,"",VLOOKUP($A737,DICO_Complet!$A$3:$U$983,13,FALSE))</f>
        <v>[119-0007]</v>
      </c>
      <c r="M737" s="53" t="str">
        <f>IF(VLOOKUP($A737,DICO_Complet!$A$3:$U$983,14,FALSE)=0,"",VLOOKUP($A737,DICO_Complet!$A$3:$U$983,14,FALSE))</f>
        <v/>
      </c>
      <c r="N737" s="53" t="str">
        <f>IF(VLOOKUP($A737,DICO_Complet!$A$3:$U$983,15,FALSE)=0,"",VLOOKUP($A737,DICO_Complet!$A$3:$U$983,15,FALSE))</f>
        <v/>
      </c>
      <c r="O737" s="53" t="str">
        <f>IF(VLOOKUP($A737,DICO_Complet!$A$3:$U$983,16,FALSE)=0,"",VLOOKUP($A737,DICO_Complet!$A$3:$U$983,16,FALSE))</f>
        <v>VISA 126.20</v>
      </c>
      <c r="P737" s="53" t="str">
        <f>IF(VLOOKUP($A737,DICO_Complet!$A$3:$U$983,17,FALSE)=0,"",VLOOKUP($A737,DICO_Complet!$A$3:$U$983,17,FALSE))</f>
        <v/>
      </c>
      <c r="Q737" s="53" t="str">
        <f>IF(VLOOKUP($A737,DICO_Complet!$A$3:$U$983,18,FALSE)=0,"",VLOOKUP($A737,DICO_Complet!$A$3:$U$983,18,FALSE))</f>
        <v/>
      </c>
    </row>
    <row r="738" spans="1:17">
      <c r="A738" s="38">
        <v>250414121806</v>
      </c>
      <c r="B738" s="47" t="s">
        <v>858</v>
      </c>
      <c r="C738" s="3" t="str">
        <f>VLOOKUP($A738,DICO_Complet!$A$3:$U$983,3,FALSE)</f>
        <v>Transaction</v>
      </c>
      <c r="D738" s="3" t="str">
        <f>VLOOKUP($A738,DICO_Complet!$A$3:$U$983,4,FALSE)</f>
        <v>threeDs</v>
      </c>
      <c r="E738" s="2" t="str">
        <f>VLOOKUP($A738,DICO_Complet!$A$3:$U$983,5,FALSE)</f>
        <v>threeDsMerchantRequestAuthentication</v>
      </c>
      <c r="F738" s="2" t="str">
        <f>VLOOKUP($A738,DICO_Complet!$A$3:$U$983,6,FALSE)</f>
        <v>ThreeDsMerchantRequestAuthenticationCodeset</v>
      </c>
      <c r="G738" s="48">
        <f>VLOOKUP($A738,DICO_Complet!$A$3:$U$983,7,FALSE)</f>
        <v>0</v>
      </c>
      <c r="H738" s="48">
        <f>VLOOKUP($A738,DICO_Complet!$A$3:$U$983,8,FALSE)</f>
        <v>0</v>
      </c>
      <c r="I738" s="2" t="str">
        <f>IF(VLOOKUP($A738,DICO_Complet!$A$3:$U$983,9,FALSE)&lt;&gt;0,VLOOKUP($A738,DICO_Complet!$A$3:$U$983,9,FALSE),"")</f>
        <v/>
      </c>
      <c r="J738" s="1" t="str">
        <f>VLOOKUP($A738,DICO_Complet!$A$3:$U$983,10,FALSE)</f>
        <v xml:space="preserve"> Merchant request for authentication</v>
      </c>
      <c r="K738" s="53" t="str">
        <f>IF(VLOOKUP($A738,DICO_Complet!$A$3:$U$983,12,FALSE)=0,"",VLOOKUP($A738,DICO_Complet!$A$3:$U$983,12,FALSE))</f>
        <v/>
      </c>
      <c r="L738" s="53" t="str">
        <f>IF(VLOOKUP($A738,DICO_Complet!$A$3:$U$983,13,FALSE)=0,"",VLOOKUP($A738,DICO_Complet!$A$3:$U$983,13,FALSE))</f>
        <v/>
      </c>
      <c r="M738" s="53" t="str">
        <f>IF(VLOOKUP($A738,DICO_Complet!$A$3:$U$983,14,FALSE)=0,"",VLOOKUP($A738,DICO_Complet!$A$3:$U$983,14,FALSE))</f>
        <v>58_0419 part 2</v>
      </c>
      <c r="N738" s="53" t="str">
        <f>IF(VLOOKUP($A738,DICO_Complet!$A$3:$U$983,15,FALSE)=0,"",VLOOKUP($A738,DICO_Complet!$A$3:$U$983,15,FALSE))</f>
        <v/>
      </c>
      <c r="O738" s="53" t="str">
        <f>IF(VLOOKUP($A738,DICO_Complet!$A$3:$U$983,16,FALSE)=0,"",VLOOKUP($A738,DICO_Complet!$A$3:$U$983,16,FALSE))</f>
        <v/>
      </c>
      <c r="P738" s="53" t="str">
        <f>IF(VLOOKUP($A738,DICO_Complet!$A$3:$U$983,17,FALSE)=0,"",VLOOKUP($A738,DICO_Complet!$A$3:$U$983,17,FALSE))</f>
        <v/>
      </c>
      <c r="Q738" s="53" t="str">
        <f>IF(VLOOKUP($A738,DICO_Complet!$A$3:$U$983,18,FALSE)=0,"",VLOOKUP($A738,DICO_Complet!$A$3:$U$983,18,FALSE))</f>
        <v/>
      </c>
    </row>
    <row r="739" spans="1:17">
      <c r="A739" s="38">
        <v>241112000160</v>
      </c>
      <c r="B739" s="47" t="s">
        <v>858</v>
      </c>
      <c r="C739" s="3" t="str">
        <f>VLOOKUP($A739,DICO_Complet!$A$3:$U$983,3,FALSE)</f>
        <v>Transaction</v>
      </c>
      <c r="D739" s="3" t="str">
        <f>VLOOKUP($A739,DICO_Complet!$A$3:$U$983,4,FALSE)</f>
        <v>threeDs</v>
      </c>
      <c r="E739" s="2" t="str">
        <f>VLOOKUP($A739,DICO_Complet!$A$3:$U$983,5,FALSE)</f>
        <v>threeDsProtocolVersion</v>
      </c>
      <c r="F739" s="2" t="str">
        <f>VLOOKUP($A739,DICO_Complet!$A$3:$U$983,6,FALSE)</f>
        <v>ThreeDsProtocolVersionCodeset</v>
      </c>
      <c r="G739" s="48">
        <f>VLOOKUP($A739,DICO_Complet!$A$3:$U$983,7,FALSE)</f>
        <v>0</v>
      </c>
      <c r="H739" s="48">
        <f>VLOOKUP($A739,DICO_Complet!$A$3:$U$983,8,FALSE)</f>
        <v>0</v>
      </c>
      <c r="I739" s="2" t="str">
        <f>IF(VLOOKUP($A739,DICO_Complet!$A$3:$U$983,9,FALSE)&lt;&gt;0,VLOOKUP($A739,DICO_Complet!$A$3:$U$983,9,FALSE),"")</f>
        <v/>
      </c>
      <c r="J739" s="1" t="str">
        <f>VLOOKUP($A739,DICO_Complet!$A$3:$U$983,10,FALSE)</f>
        <v>3DS Protocol Version</v>
      </c>
      <c r="K739" s="53" t="str">
        <f>IF(VLOOKUP($A739,DICO_Complet!$A$3:$U$983,12,FALSE)=0,"",VLOOKUP($A739,DICO_Complet!$A$3:$U$983,12,FALSE))</f>
        <v>RSB57_22_p1</v>
      </c>
      <c r="L739" s="53" t="str">
        <f>IF(VLOOKUP($A739,DICO_Complet!$A$3:$U$983,13,FALSE)=0,"",VLOOKUP($A739,DICO_Complet!$A$3:$U$983,13,FALSE))</f>
        <v>[57-0022-p1]</v>
      </c>
      <c r="M739" s="53" t="str">
        <f>IF(VLOOKUP($A739,DICO_Complet!$A$3:$U$983,14,FALSE)=0,"",VLOOKUP($A739,DICO_Complet!$A$3:$U$983,14,FALSE))</f>
        <v/>
      </c>
      <c r="N739" s="53" t="str">
        <f>IF(VLOOKUP($A739,DICO_Complet!$A$3:$U$983,15,FALSE)=0,"",VLOOKUP($A739,DICO_Complet!$A$3:$U$983,15,FALSE))</f>
        <v/>
      </c>
      <c r="O739" s="53" t="str">
        <f>IF(VLOOKUP($A739,DICO_Complet!$A$3:$U$983,16,FALSE)=0,"",VLOOKUP($A739,DICO_Complet!$A$3:$U$983,16,FALSE))</f>
        <v/>
      </c>
      <c r="P739" s="53" t="str">
        <f>IF(VLOOKUP($A739,DICO_Complet!$A$3:$U$983,17,FALSE)=0,"",VLOOKUP($A739,DICO_Complet!$A$3:$U$983,17,FALSE))</f>
        <v/>
      </c>
      <c r="Q739" s="53" t="str">
        <f>IF(VLOOKUP($A739,DICO_Complet!$A$3:$U$983,18,FALSE)=0,"",VLOOKUP($A739,DICO_Complet!$A$3:$U$983,18,FALSE))</f>
        <v/>
      </c>
    </row>
    <row r="740" spans="1:17">
      <c r="A740" s="38">
        <v>241112000161</v>
      </c>
      <c r="B740" s="47" t="s">
        <v>858</v>
      </c>
      <c r="C740" s="3" t="str">
        <f>VLOOKUP($A740,DICO_Complet!$A$3:$U$983,3,FALSE)</f>
        <v>Transaction</v>
      </c>
      <c r="D740" s="3" t="str">
        <f>VLOOKUP($A740,DICO_Complet!$A$3:$U$983,4,FALSE)</f>
        <v>threeDs</v>
      </c>
      <c r="E740" s="2" t="str">
        <f>VLOOKUP($A740,DICO_Complet!$A$3:$U$983,5,FALSE)</f>
        <v>threeDsProtocolVersionSchemeSpecific</v>
      </c>
      <c r="F740" s="2" t="str">
        <f>VLOOKUP($A740,DICO_Complet!$A$3:$U$983,6,FALSE)</f>
        <v>Max7AlphaNumericText</v>
      </c>
      <c r="G740" s="48">
        <f>VLOOKUP($A740,DICO_Complet!$A$3:$U$983,7,FALSE)</f>
        <v>0</v>
      </c>
      <c r="H740" s="48">
        <f>VLOOKUP($A740,DICO_Complet!$A$3:$U$983,8,FALSE)</f>
        <v>0</v>
      </c>
      <c r="I740" s="2" t="str">
        <f>IF(VLOOKUP($A740,DICO_Complet!$A$3:$U$983,9,FALSE)&lt;&gt;0,VLOOKUP($A740,DICO_Complet!$A$3:$U$983,9,FALSE),"")</f>
        <v/>
      </c>
      <c r="J740" s="1" t="str">
        <f>VLOOKUP($A740,DICO_Complet!$A$3:$U$983,10,FALSE)</f>
        <v>3DS Protocol Version Scheme Specific</v>
      </c>
      <c r="K740" s="53" t="str">
        <f>IF(VLOOKUP($A740,DICO_Complet!$A$3:$U$983,12,FALSE)=0,"",VLOOKUP($A740,DICO_Complet!$A$3:$U$983,12,FALSE))</f>
        <v>RSB57_22_p2</v>
      </c>
      <c r="L740" s="53" t="str">
        <f>IF(VLOOKUP($A740,DICO_Complet!$A$3:$U$983,13,FALSE)=0,"",VLOOKUP($A740,DICO_Complet!$A$3:$U$983,13,FALSE))</f>
        <v>[57-0022-p2]</v>
      </c>
      <c r="M740" s="53" t="str">
        <f>IF(VLOOKUP($A740,DICO_Complet!$A$3:$U$983,14,FALSE)=0,"",VLOOKUP($A740,DICO_Complet!$A$3:$U$983,14,FALSE))</f>
        <v/>
      </c>
      <c r="N740" s="53" t="str">
        <f>IF(VLOOKUP($A740,DICO_Complet!$A$3:$U$983,15,FALSE)=0,"",VLOOKUP($A740,DICO_Complet!$A$3:$U$983,15,FALSE))</f>
        <v/>
      </c>
      <c r="O740" s="53" t="str">
        <f>IF(VLOOKUP($A740,DICO_Complet!$A$3:$U$983,16,FALSE)=0,"",VLOOKUP($A740,DICO_Complet!$A$3:$U$983,16,FALSE))</f>
        <v/>
      </c>
      <c r="P740" s="53" t="str">
        <f>IF(VLOOKUP($A740,DICO_Complet!$A$3:$U$983,17,FALSE)=0,"",VLOOKUP($A740,DICO_Complet!$A$3:$U$983,17,FALSE))</f>
        <v/>
      </c>
      <c r="Q740" s="53" t="str">
        <f>IF(VLOOKUP($A740,DICO_Complet!$A$3:$U$983,18,FALSE)=0,"",VLOOKUP($A740,DICO_Complet!$A$3:$U$983,18,FALSE))</f>
        <v/>
      </c>
    </row>
    <row r="741" spans="1:17">
      <c r="A741" s="38">
        <v>241112000162</v>
      </c>
      <c r="B741" s="47" t="s">
        <v>858</v>
      </c>
      <c r="C741" s="3" t="str">
        <f>VLOOKUP($A741,DICO_Complet!$A$3:$U$983,3,FALSE)</f>
        <v>Transaction</v>
      </c>
      <c r="D741" s="3" t="str">
        <f>VLOOKUP($A741,DICO_Complet!$A$3:$U$983,4,FALSE)</f>
        <v>threeDs</v>
      </c>
      <c r="E741" s="2" t="str">
        <f>VLOOKUP($A741,DICO_Complet!$A$3:$U$983,5,FALSE)</f>
        <v>threeDsResultsCardHolderAuthentication</v>
      </c>
      <c r="F741" s="2" t="str">
        <f>VLOOKUP($A741,DICO_Complet!$A$3:$U$983,6,FALSE)</f>
        <v>Exact1Text</v>
      </c>
      <c r="G741" s="48">
        <f>VLOOKUP($A741,DICO_Complet!$A$3:$U$983,7,FALSE)</f>
        <v>0</v>
      </c>
      <c r="H741" s="48">
        <f>VLOOKUP($A741,DICO_Complet!$A$3:$U$983,8,FALSE)</f>
        <v>0</v>
      </c>
      <c r="I741" s="2" t="str">
        <f>IF(VLOOKUP($A741,DICO_Complet!$A$3:$U$983,9,FALSE)&lt;&gt;0,VLOOKUP($A741,DICO_Complet!$A$3:$U$983,9,FALSE),"")</f>
        <v/>
      </c>
      <c r="J741" s="1" t="str">
        <f>VLOOKUP($A741,DICO_Complet!$A$3:$U$983,10,FALSE)</f>
        <v>Cardholder authentication</v>
      </c>
      <c r="K741" s="53" t="str">
        <f>IF(VLOOKUP($A741,DICO_Complet!$A$3:$U$983,12,FALSE)=0,"",VLOOKUP($A741,DICO_Complet!$A$3:$U$983,12,FALSE))</f>
        <v>RSB59_412_p2</v>
      </c>
      <c r="L741" s="53" t="str">
        <f>IF(VLOOKUP($A741,DICO_Complet!$A$3:$U$983,13,FALSE)=0,"",VLOOKUP($A741,DICO_Complet!$A$3:$U$983,13,FALSE))</f>
        <v>[59-0412-p2]</v>
      </c>
      <c r="M741" s="53" t="str">
        <f>IF(VLOOKUP($A741,DICO_Complet!$A$3:$U$983,14,FALSE)=0,"",VLOOKUP($A741,DICO_Complet!$A$3:$U$983,14,FALSE))</f>
        <v/>
      </c>
      <c r="N741" s="53" t="str">
        <f>IF(VLOOKUP($A741,DICO_Complet!$A$3:$U$983,15,FALSE)=0,"",VLOOKUP($A741,DICO_Complet!$A$3:$U$983,15,FALSE))</f>
        <v/>
      </c>
      <c r="O741" s="53" t="str">
        <f>IF(VLOOKUP($A741,DICO_Complet!$A$3:$U$983,16,FALSE)=0,"",VLOOKUP($A741,DICO_Complet!$A$3:$U$983,16,FALSE))</f>
        <v/>
      </c>
      <c r="P741" s="53" t="str">
        <f>IF(VLOOKUP($A741,DICO_Complet!$A$3:$U$983,17,FALSE)=0,"",VLOOKUP($A741,DICO_Complet!$A$3:$U$983,17,FALSE))</f>
        <v/>
      </c>
      <c r="Q741" s="53" t="str">
        <f>IF(VLOOKUP($A741,DICO_Complet!$A$3:$U$983,18,FALSE)=0,"",VLOOKUP($A741,DICO_Complet!$A$3:$U$983,18,FALSE))</f>
        <v/>
      </c>
    </row>
    <row r="742" spans="1:17">
      <c r="A742" s="38">
        <v>241112000163</v>
      </c>
      <c r="B742" s="47" t="s">
        <v>858</v>
      </c>
      <c r="C742" s="3" t="str">
        <f>VLOOKUP($A742,DICO_Complet!$A$3:$U$983,3,FALSE)</f>
        <v>Transaction</v>
      </c>
      <c r="D742" s="3" t="str">
        <f>VLOOKUP($A742,DICO_Complet!$A$3:$U$983,4,FALSE)</f>
        <v>threeDs</v>
      </c>
      <c r="E742" s="2" t="str">
        <f>VLOOKUP($A742,DICO_Complet!$A$3:$U$983,5,FALSE)</f>
        <v>threeDsResultsNomenclature</v>
      </c>
      <c r="F742" s="2" t="str">
        <f>VLOOKUP($A742,DICO_Complet!$A$3:$U$983,6,FALSE)</f>
        <v>NetworkCodeset</v>
      </c>
      <c r="G742" s="48">
        <f>VLOOKUP($A742,DICO_Complet!$A$3:$U$983,7,FALSE)</f>
        <v>0</v>
      </c>
      <c r="H742" s="48">
        <f>VLOOKUP($A742,DICO_Complet!$A$3:$U$983,8,FALSE)</f>
        <v>0</v>
      </c>
      <c r="I742" s="2" t="str">
        <f>IF(VLOOKUP($A742,DICO_Complet!$A$3:$U$983,9,FALSE)&lt;&gt;0,VLOOKUP($A742,DICO_Complet!$A$3:$U$983,9,FALSE),"")</f>
        <v/>
      </c>
      <c r="J742" s="1" t="str">
        <f>VLOOKUP($A742,DICO_Complet!$A$3:$U$983,10,FALSE)</f>
        <v>Three DS Results Nomenclature</v>
      </c>
      <c r="K742" s="53" t="str">
        <f>IF(VLOOKUP($A742,DICO_Complet!$A$3:$U$983,12,FALSE)=0,"",VLOOKUP($A742,DICO_Complet!$A$3:$U$983,12,FALSE))</f>
        <v>RSB59_412_p1</v>
      </c>
      <c r="L742" s="53" t="str">
        <f>IF(VLOOKUP($A742,DICO_Complet!$A$3:$U$983,13,FALSE)=0,"",VLOOKUP($A742,DICO_Complet!$A$3:$U$983,13,FALSE))</f>
        <v>[59-0412-p1]</v>
      </c>
      <c r="M742" s="53" t="str">
        <f>IF(VLOOKUP($A742,DICO_Complet!$A$3:$U$983,14,FALSE)=0,"",VLOOKUP($A742,DICO_Complet!$A$3:$U$983,14,FALSE))</f>
        <v/>
      </c>
      <c r="N742" s="53" t="str">
        <f>IF(VLOOKUP($A742,DICO_Complet!$A$3:$U$983,15,FALSE)=0,"",VLOOKUP($A742,DICO_Complet!$A$3:$U$983,15,FALSE))</f>
        <v/>
      </c>
      <c r="O742" s="53" t="str">
        <f>IF(VLOOKUP($A742,DICO_Complet!$A$3:$U$983,16,FALSE)=0,"",VLOOKUP($A742,DICO_Complet!$A$3:$U$983,16,FALSE))</f>
        <v/>
      </c>
      <c r="P742" s="53" t="str">
        <f>IF(VLOOKUP($A742,DICO_Complet!$A$3:$U$983,17,FALSE)=0,"",VLOOKUP($A742,DICO_Complet!$A$3:$U$983,17,FALSE))</f>
        <v/>
      </c>
      <c r="Q742" s="53" t="str">
        <f>IF(VLOOKUP($A742,DICO_Complet!$A$3:$U$983,18,FALSE)=0,"",VLOOKUP($A742,DICO_Complet!$A$3:$U$983,18,FALSE))</f>
        <v/>
      </c>
    </row>
    <row r="743" spans="1:17">
      <c r="A743" s="38">
        <v>241112000164</v>
      </c>
      <c r="B743" s="47" t="s">
        <v>858</v>
      </c>
      <c r="C743" s="3" t="str">
        <f>VLOOKUP($A743,DICO_Complet!$A$3:$U$983,3,FALSE)</f>
        <v>Transaction</v>
      </c>
      <c r="D743" s="3" t="str">
        <f>VLOOKUP($A743,DICO_Complet!$A$3:$U$983,4,FALSE)</f>
        <v>threeDs</v>
      </c>
      <c r="E743" s="2" t="str">
        <f>VLOOKUP($A743,DICO_Complet!$A$3:$U$983,5,FALSE)</f>
        <v>threeDsScore</v>
      </c>
      <c r="F743" s="2" t="str">
        <f>VLOOKUP($A743,DICO_Complet!$A$3:$U$983,6,FALSE)</f>
        <v>Max2Text</v>
      </c>
      <c r="G743" s="48">
        <f>VLOOKUP($A743,DICO_Complet!$A$3:$U$983,7,FALSE)</f>
        <v>0</v>
      </c>
      <c r="H743" s="48">
        <f>VLOOKUP($A743,DICO_Complet!$A$3:$U$983,8,FALSE)</f>
        <v>0</v>
      </c>
      <c r="I743" s="2" t="str">
        <f>IF(VLOOKUP($A743,DICO_Complet!$A$3:$U$983,9,FALSE)&lt;&gt;0,VLOOKUP($A743,DICO_Complet!$A$3:$U$983,9,FALSE),"")</f>
        <v/>
      </c>
      <c r="J743" s="1" t="str">
        <f>VLOOKUP($A743,DICO_Complet!$A$3:$U$983,10,FALSE)</f>
        <v>CB 3DS score</v>
      </c>
      <c r="K743" s="53" t="str">
        <f>IF(VLOOKUP($A743,DICO_Complet!$A$3:$U$983,12,FALSE)=0,"",VLOOKUP($A743,DICO_Complet!$A$3:$U$983,12,FALSE))</f>
        <v>RSB59_419 _p5</v>
      </c>
      <c r="L743" s="53" t="str">
        <f>IF(VLOOKUP($A743,DICO_Complet!$A$3:$U$983,13,FALSE)=0,"",VLOOKUP($A743,DICO_Complet!$A$3:$U$983,13,FALSE))</f>
        <v>[59-0419-p5]</v>
      </c>
      <c r="M743" s="53" t="str">
        <f>IF(VLOOKUP($A743,DICO_Complet!$A$3:$U$983,14,FALSE)=0,"",VLOOKUP($A743,DICO_Complet!$A$3:$U$983,14,FALSE))</f>
        <v/>
      </c>
      <c r="N743" s="53" t="str">
        <f>IF(VLOOKUP($A743,DICO_Complet!$A$3:$U$983,15,FALSE)=0,"",VLOOKUP($A743,DICO_Complet!$A$3:$U$983,15,FALSE))</f>
        <v/>
      </c>
      <c r="O743" s="53" t="str">
        <f>IF(VLOOKUP($A743,DICO_Complet!$A$3:$U$983,16,FALSE)=0,"",VLOOKUP($A743,DICO_Complet!$A$3:$U$983,16,FALSE))</f>
        <v/>
      </c>
      <c r="P743" s="53" t="str">
        <f>IF(VLOOKUP($A743,DICO_Complet!$A$3:$U$983,17,FALSE)=0,"",VLOOKUP($A743,DICO_Complet!$A$3:$U$983,17,FALSE))</f>
        <v/>
      </c>
      <c r="Q743" s="53" t="str">
        <f>IF(VLOOKUP($A743,DICO_Complet!$A$3:$U$983,18,FALSE)=0,"",VLOOKUP($A743,DICO_Complet!$A$3:$U$983,18,FALSE))</f>
        <v/>
      </c>
    </row>
    <row r="744" spans="1:17">
      <c r="A744" s="38">
        <v>241112000165</v>
      </c>
      <c r="B744" s="47" t="s">
        <v>858</v>
      </c>
      <c r="C744" s="3" t="str">
        <f>VLOOKUP($A744,DICO_Complet!$A$3:$U$983,3,FALSE)</f>
        <v>Transaction</v>
      </c>
      <c r="D744" s="3" t="str">
        <f>VLOOKUP($A744,DICO_Complet!$A$3:$U$983,4,FALSE)</f>
        <v>threeDs</v>
      </c>
      <c r="E744" s="2" t="str">
        <f>VLOOKUP($A744,DICO_Complet!$A$3:$U$983,5,FALSE)</f>
        <v>threeDsTransactionCancellationIndicator</v>
      </c>
      <c r="F744" s="2" t="str">
        <f>VLOOKUP($A744,DICO_Complet!$A$3:$U$983,6,FALSE)</f>
        <v>Exact2NumericText</v>
      </c>
      <c r="G744" s="48">
        <f>VLOOKUP($A744,DICO_Complet!$A$3:$U$983,7,FALSE)</f>
        <v>0</v>
      </c>
      <c r="H744" s="48">
        <f>VLOOKUP($A744,DICO_Complet!$A$3:$U$983,8,FALSE)</f>
        <v>0</v>
      </c>
      <c r="I744" s="2" t="str">
        <f>IF(VLOOKUP($A744,DICO_Complet!$A$3:$U$983,9,FALSE)&lt;&gt;0,VLOOKUP($A744,DICO_Complet!$A$3:$U$983,9,FALSE),"")</f>
        <v/>
      </c>
      <c r="J744" s="1" t="str">
        <f>VLOOKUP($A744,DICO_Complet!$A$3:$U$983,10,FALSE)</f>
        <v>Transaction cancellation indicator</v>
      </c>
      <c r="K744" s="53" t="str">
        <f>IF(VLOOKUP($A744,DICO_Complet!$A$3:$U$983,12,FALSE)=0,"",VLOOKUP($A744,DICO_Complet!$A$3:$U$983,12,FALSE))</f>
        <v>RSB59_419 _p4</v>
      </c>
      <c r="L744" s="53" t="str">
        <f>IF(VLOOKUP($A744,DICO_Complet!$A$3:$U$983,13,FALSE)=0,"",VLOOKUP($A744,DICO_Complet!$A$3:$U$983,13,FALSE))</f>
        <v>[59-0419-p4]</v>
      </c>
      <c r="M744" s="53" t="str">
        <f>IF(VLOOKUP($A744,DICO_Complet!$A$3:$U$983,14,FALSE)=0,"",VLOOKUP($A744,DICO_Complet!$A$3:$U$983,14,FALSE))</f>
        <v/>
      </c>
      <c r="N744" s="53" t="str">
        <f>IF(VLOOKUP($A744,DICO_Complet!$A$3:$U$983,15,FALSE)=0,"",VLOOKUP($A744,DICO_Complet!$A$3:$U$983,15,FALSE))</f>
        <v/>
      </c>
      <c r="O744" s="53" t="str">
        <f>IF(VLOOKUP($A744,DICO_Complet!$A$3:$U$983,16,FALSE)=0,"",VLOOKUP($A744,DICO_Complet!$A$3:$U$983,16,FALSE))</f>
        <v/>
      </c>
      <c r="P744" s="53" t="str">
        <f>IF(VLOOKUP($A744,DICO_Complet!$A$3:$U$983,17,FALSE)=0,"",VLOOKUP($A744,DICO_Complet!$A$3:$U$983,17,FALSE))</f>
        <v/>
      </c>
      <c r="Q744" s="53" t="str">
        <f>IF(VLOOKUP($A744,DICO_Complet!$A$3:$U$983,18,FALSE)=0,"",VLOOKUP($A744,DICO_Complet!$A$3:$U$983,18,FALSE))</f>
        <v/>
      </c>
    </row>
    <row r="745" spans="1:17">
      <c r="A745" s="38">
        <v>241112000166</v>
      </c>
      <c r="B745" s="47" t="s">
        <v>858</v>
      </c>
      <c r="C745" s="3" t="str">
        <f>VLOOKUP($A745,DICO_Complet!$A$3:$U$983,3,FALSE)</f>
        <v>Transaction</v>
      </c>
      <c r="D745" s="3" t="str">
        <f>VLOOKUP($A745,DICO_Complet!$A$3:$U$983,4,FALSE)</f>
        <v>threeDs</v>
      </c>
      <c r="E745" s="2" t="str">
        <f>VLOOKUP($A745,DICO_Complet!$A$3:$U$983,5,FALSE)</f>
        <v>threeDsTransactionStatusReason</v>
      </c>
      <c r="F745" s="2" t="str">
        <f>VLOOKUP($A745,DICO_Complet!$A$3:$U$983,6,FALSE)</f>
        <v>Exact2NumericText</v>
      </c>
      <c r="G745" s="48">
        <f>VLOOKUP($A745,DICO_Complet!$A$3:$U$983,7,FALSE)</f>
        <v>0</v>
      </c>
      <c r="H745" s="48">
        <f>VLOOKUP($A745,DICO_Complet!$A$3:$U$983,8,FALSE)</f>
        <v>0</v>
      </c>
      <c r="I745" s="2" t="str">
        <f>IF(VLOOKUP($A745,DICO_Complet!$A$3:$U$983,9,FALSE)&lt;&gt;0,VLOOKUP($A745,DICO_Complet!$A$3:$U$983,9,FALSE),"")</f>
        <v/>
      </c>
      <c r="J745" s="1" t="str">
        <f>VLOOKUP($A745,DICO_Complet!$A$3:$U$983,10,FALSE)</f>
        <v>Transaction status reason</v>
      </c>
      <c r="K745" s="53" t="str">
        <f>IF(VLOOKUP($A745,DICO_Complet!$A$3:$U$983,12,FALSE)=0,"",VLOOKUP($A745,DICO_Complet!$A$3:$U$983,12,FALSE))</f>
        <v>RSB59_419 _p3</v>
      </c>
      <c r="L745" s="53" t="str">
        <f>IF(VLOOKUP($A745,DICO_Complet!$A$3:$U$983,13,FALSE)=0,"",VLOOKUP($A745,DICO_Complet!$A$3:$U$983,13,FALSE))</f>
        <v>[59-0419-p3]</v>
      </c>
      <c r="M745" s="53" t="str">
        <f>IF(VLOOKUP($A745,DICO_Complet!$A$3:$U$983,14,FALSE)=0,"",VLOOKUP($A745,DICO_Complet!$A$3:$U$983,14,FALSE))</f>
        <v/>
      </c>
      <c r="N745" s="53" t="str">
        <f>IF(VLOOKUP($A745,DICO_Complet!$A$3:$U$983,15,FALSE)=0,"",VLOOKUP($A745,DICO_Complet!$A$3:$U$983,15,FALSE))</f>
        <v/>
      </c>
      <c r="O745" s="53" t="str">
        <f>IF(VLOOKUP($A745,DICO_Complet!$A$3:$U$983,16,FALSE)=0,"",VLOOKUP($A745,DICO_Complet!$A$3:$U$983,16,FALSE))</f>
        <v/>
      </c>
      <c r="P745" s="53" t="str">
        <f>IF(VLOOKUP($A745,DICO_Complet!$A$3:$U$983,17,FALSE)=0,"",VLOOKUP($A745,DICO_Complet!$A$3:$U$983,17,FALSE))</f>
        <v/>
      </c>
      <c r="Q745" s="53" t="str">
        <f>IF(VLOOKUP($A745,DICO_Complet!$A$3:$U$983,18,FALSE)=0,"",VLOOKUP($A745,DICO_Complet!$A$3:$U$983,18,FALSE))</f>
        <v/>
      </c>
    </row>
    <row r="746" spans="1:17">
      <c r="A746" s="38">
        <v>250425100305</v>
      </c>
      <c r="B746" s="47" t="s">
        <v>858</v>
      </c>
      <c r="C746" s="3" t="str">
        <f>VLOOKUP($A746,DICO_Complet!$A$3:$U$983,3,FALSE)</f>
        <v>Transaction</v>
      </c>
      <c r="D746" s="3" t="str">
        <f>VLOOKUP($A746,DICO_Complet!$A$3:$U$983,4,FALSE)</f>
        <v>transactionDetails</v>
      </c>
      <c r="E746" s="2" t="str">
        <f>VLOOKUP($A746,DICO_Complet!$A$3:$U$983,5,FALSE)</f>
        <v>acceptanceSystemTransactionNumber</v>
      </c>
      <c r="F746" s="2" t="str">
        <f>VLOOKUP($A746,DICO_Complet!$A$3:$U$983,6,FALSE)</f>
        <v>Exact6NumericText</v>
      </c>
      <c r="G746" s="48">
        <f>VLOOKUP($A746,DICO_Complet!$A$3:$U$983,7,FALSE)</f>
        <v>0</v>
      </c>
      <c r="H746" s="48">
        <f>VLOOKUP($A746,DICO_Complet!$A$3:$U$983,8,FALSE)</f>
        <v>0</v>
      </c>
      <c r="I746" s="2" t="str">
        <f>IF(VLOOKUP($A746,DICO_Complet!$A$3:$U$983,9,FALSE)&lt;&gt;0,VLOOKUP($A746,DICO_Complet!$A$3:$U$983,9,FALSE),"")</f>
        <v/>
      </c>
      <c r="J746" s="1" t="str">
        <f>VLOOKUP($A746,DICO_Complet!$A$3:$U$983,10,FALSE)</f>
        <v>Transaction number generated by acceptance system</v>
      </c>
      <c r="K746" s="53" t="str">
        <f>IF(VLOOKUP($A746,DICO_Complet!$A$3:$U$983,12,FALSE)=0,"",VLOOKUP($A746,DICO_Complet!$A$3:$U$983,12,FALSE))</f>
        <v/>
      </c>
      <c r="L746" s="53" t="str">
        <f>IF(VLOOKUP($A746,DICO_Complet!$A$3:$U$983,13,FALSE)=0,"",VLOOKUP($A746,DICO_Complet!$A$3:$U$983,13,FALSE))</f>
        <v/>
      </c>
      <c r="M746" s="53" t="str">
        <f>IF(VLOOKUP($A746,DICO_Complet!$A$3:$U$983,14,FALSE)=0,"",VLOOKUP($A746,DICO_Complet!$A$3:$U$983,14,FALSE))</f>
        <v>47_10</v>
      </c>
      <c r="N746" s="53" t="str">
        <f>IF(VLOOKUP($A746,DICO_Complet!$A$3:$U$983,15,FALSE)=0,"",VLOOKUP($A746,DICO_Complet!$A$3:$U$983,15,FALSE))</f>
        <v/>
      </c>
      <c r="O746" s="53" t="str">
        <f>IF(VLOOKUP($A746,DICO_Complet!$A$3:$U$983,16,FALSE)=0,"",VLOOKUP($A746,DICO_Complet!$A$3:$U$983,16,FALSE))</f>
        <v/>
      </c>
      <c r="P746" s="53" t="str">
        <f>IF(VLOOKUP($A746,DICO_Complet!$A$3:$U$983,17,FALSE)=0,"",VLOOKUP($A746,DICO_Complet!$A$3:$U$983,17,FALSE))</f>
        <v/>
      </c>
      <c r="Q746" s="53" t="str">
        <f>IF(VLOOKUP($A746,DICO_Complet!$A$3:$U$983,18,FALSE)=0,"",VLOOKUP($A746,DICO_Complet!$A$3:$U$983,18,FALSE))</f>
        <v/>
      </c>
    </row>
    <row r="747" spans="1:17">
      <c r="A747" s="38">
        <v>250425100300</v>
      </c>
      <c r="B747" s="47" t="s">
        <v>858</v>
      </c>
      <c r="C747" s="3" t="str">
        <f>VLOOKUP($A747,DICO_Complet!$A$3:$U$983,3,FALSE)</f>
        <v>Transaction</v>
      </c>
      <c r="D747" s="3" t="str">
        <f>VLOOKUP($A747,DICO_Complet!$A$3:$U$983,4,FALSE)</f>
        <v>transactionDetails</v>
      </c>
      <c r="E747" s="2" t="str">
        <f>VLOOKUP($A747,DICO_Complet!$A$3:$U$983,5,FALSE)</f>
        <v>acceptorMessageNumber</v>
      </c>
      <c r="F747" s="2" t="str">
        <f>VLOOKUP($A747,DICO_Complet!$A$3:$U$983,6,FALSE)</f>
        <v>Exact5NumericText</v>
      </c>
      <c r="G747" s="48">
        <f>VLOOKUP($A747,DICO_Complet!$A$3:$U$983,7,FALSE)</f>
        <v>0</v>
      </c>
      <c r="H747" s="48">
        <f>VLOOKUP($A747,DICO_Complet!$A$3:$U$983,8,FALSE)</f>
        <v>0</v>
      </c>
      <c r="I747" s="2" t="str">
        <f>IF(VLOOKUP($A747,DICO_Complet!$A$3:$U$983,9,FALSE)&lt;&gt;0,VLOOKUP($A747,DICO_Complet!$A$3:$U$983,9,FALSE),"")</f>
        <v/>
      </c>
      <c r="J747" s="1" t="str">
        <f>VLOOKUP($A747,DICO_Complet!$A$3:$U$983,10,FALSE)</f>
        <v>Message number</v>
      </c>
      <c r="K747" s="53" t="str">
        <f>IF(VLOOKUP($A747,DICO_Complet!$A$3:$U$983,12,FALSE)=0,"",VLOOKUP($A747,DICO_Complet!$A$3:$U$983,12,FALSE))</f>
        <v/>
      </c>
      <c r="L747" s="53" t="str">
        <f>IF(VLOOKUP($A747,DICO_Complet!$A$3:$U$983,13,FALSE)=0,"",VLOOKUP($A747,DICO_Complet!$A$3:$U$983,13,FALSE))</f>
        <v/>
      </c>
      <c r="M747" s="53" t="str">
        <f>IF(VLOOKUP($A747,DICO_Complet!$A$3:$U$983,14,FALSE)=0,"",VLOOKUP($A747,DICO_Complet!$A$3:$U$983,14,FALSE))</f>
        <v>26 _ part 2</v>
      </c>
      <c r="N747" s="53" t="str">
        <f>IF(VLOOKUP($A747,DICO_Complet!$A$3:$U$983,15,FALSE)=0,"",VLOOKUP($A747,DICO_Complet!$A$3:$U$983,15,FALSE))</f>
        <v/>
      </c>
      <c r="O747" s="53" t="str">
        <f>IF(VLOOKUP($A747,DICO_Complet!$A$3:$U$983,16,FALSE)=0,"",VLOOKUP($A747,DICO_Complet!$A$3:$U$983,16,FALSE))</f>
        <v/>
      </c>
      <c r="P747" s="53" t="str">
        <f>IF(VLOOKUP($A747,DICO_Complet!$A$3:$U$983,17,FALSE)=0,"",VLOOKUP($A747,DICO_Complet!$A$3:$U$983,17,FALSE))</f>
        <v/>
      </c>
      <c r="Q747" s="53" t="str">
        <f>IF(VLOOKUP($A747,DICO_Complet!$A$3:$U$983,18,FALSE)=0,"",VLOOKUP($A747,DICO_Complet!$A$3:$U$983,18,FALSE))</f>
        <v/>
      </c>
    </row>
    <row r="748" spans="1:17">
      <c r="A748" s="38">
        <v>250414115103</v>
      </c>
      <c r="B748" s="47" t="s">
        <v>858</v>
      </c>
      <c r="C748" s="3" t="str">
        <f>VLOOKUP($A748,DICO_Complet!$A$3:$U$983,3,FALSE)</f>
        <v>Transaction</v>
      </c>
      <c r="D748" s="3" t="str">
        <f>VLOOKUP($A748,DICO_Complet!$A$3:$U$983,4,FALSE)</f>
        <v>transactionDetails</v>
      </c>
      <c r="E748" s="2" t="str">
        <f>VLOOKUP($A748,DICO_Complet!$A$3:$U$983,5,FALSE)</f>
        <v>accountBalance</v>
      </c>
      <c r="F748" s="2" t="str">
        <f>VLOOKUP($A748,DICO_Complet!$A$3:$U$983,6,FALSE)</f>
        <v>AmountType</v>
      </c>
      <c r="G748" s="48">
        <f>VLOOKUP($A748,DICO_Complet!$A$3:$U$983,7,FALSE)</f>
        <v>0</v>
      </c>
      <c r="H748" s="48">
        <f>VLOOKUP($A748,DICO_Complet!$A$3:$U$983,8,FALSE)</f>
        <v>0</v>
      </c>
      <c r="I748" s="2" t="str">
        <f>IF(VLOOKUP($A748,DICO_Complet!$A$3:$U$983,9,FALSE)&lt;&gt;0,VLOOKUP($A748,DICO_Complet!$A$3:$U$983,9,FALSE),"")</f>
        <v/>
      </c>
      <c r="J748" s="1" t="str">
        <f>VLOOKUP($A748,DICO_Complet!$A$3:$U$983,10,FALSE)</f>
        <v>Account balance (all cards)</v>
      </c>
      <c r="K748" s="53" t="str">
        <f>IF(VLOOKUP($A748,DICO_Complet!$A$3:$U$983,12,FALSE)=0,"",VLOOKUP($A748,DICO_Complet!$A$3:$U$983,12,FALSE))</f>
        <v/>
      </c>
      <c r="L748" s="53" t="str">
        <f>IF(VLOOKUP($A748,DICO_Complet!$A$3:$U$983,13,FALSE)=0,"",VLOOKUP($A748,DICO_Complet!$A$3:$U$983,13,FALSE))</f>
        <v>54 Amount type 02</v>
      </c>
      <c r="M748" s="53" t="str">
        <f>IF(VLOOKUP($A748,DICO_Complet!$A$3:$U$983,14,FALSE)=0,"",VLOOKUP($A748,DICO_Complet!$A$3:$U$983,14,FALSE))</f>
        <v/>
      </c>
      <c r="N748" s="53" t="str">
        <f>IF(VLOOKUP($A748,DICO_Complet!$A$3:$U$983,15,FALSE)=0,"",VLOOKUP($A748,DICO_Complet!$A$3:$U$983,15,FALSE))</f>
        <v/>
      </c>
      <c r="O748" s="53" t="str">
        <f>IF(VLOOKUP($A748,DICO_Complet!$A$3:$U$983,16,FALSE)=0,"",VLOOKUP($A748,DICO_Complet!$A$3:$U$983,16,FALSE))</f>
        <v/>
      </c>
      <c r="P748" s="53" t="str">
        <f>IF(VLOOKUP($A748,DICO_Complet!$A$3:$U$983,17,FALSE)=0,"",VLOOKUP($A748,DICO_Complet!$A$3:$U$983,17,FALSE))</f>
        <v/>
      </c>
      <c r="Q748" s="53" t="str">
        <f>IF(VLOOKUP($A748,DICO_Complet!$A$3:$U$983,18,FALSE)=0,"",VLOOKUP($A748,DICO_Complet!$A$3:$U$983,18,FALSE))</f>
        <v/>
      </c>
    </row>
    <row r="749" spans="1:17">
      <c r="A749" s="38">
        <v>241112000188</v>
      </c>
      <c r="B749" s="47" t="s">
        <v>858</v>
      </c>
      <c r="C749" s="3" t="str">
        <f>VLOOKUP($A749,DICO_Complet!$A$3:$U$983,3,FALSE)</f>
        <v>Transaction</v>
      </c>
      <c r="D749" s="3" t="str">
        <f>VLOOKUP($A749,DICO_Complet!$A$3:$U$983,4,FALSE)</f>
        <v>transactionDetails</v>
      </c>
      <c r="E749" s="2" t="str">
        <f>VLOOKUP($A749,DICO_Complet!$A$3:$U$983,5,FALSE)</f>
        <v>accountFromUsage</v>
      </c>
      <c r="F749" s="2" t="str">
        <f>VLOOKUP($A749,DICO_Complet!$A$3:$U$983,6,FALSE)</f>
        <v>AccountUsageCodeset</v>
      </c>
      <c r="G749" s="48">
        <f>VLOOKUP($A749,DICO_Complet!$A$3:$U$983,7,FALSE)</f>
        <v>0</v>
      </c>
      <c r="H749" s="48">
        <f>VLOOKUP($A749,DICO_Complet!$A$3:$U$983,8,FALSE)</f>
        <v>0</v>
      </c>
      <c r="I749" s="2" t="str">
        <f>IF(VLOOKUP($A749,DICO_Complet!$A$3:$U$983,9,FALSE)&lt;&gt;0,VLOOKUP($A749,DICO_Complet!$A$3:$U$983,9,FALSE),"")</f>
        <v/>
      </c>
      <c r="J749" s="1" t="str">
        <f>VLOOKUP($A749,DICO_Complet!$A$3:$U$983,10,FALSE)</f>
        <v>Account From - Usage</v>
      </c>
      <c r="K749" s="53" t="str">
        <f>IF(VLOOKUP($A749,DICO_Complet!$A$3:$U$983,12,FALSE)=0,"",VLOOKUP($A749,DICO_Complet!$A$3:$U$983,12,FALSE))</f>
        <v>ISO3_p2</v>
      </c>
      <c r="L749" s="53" t="str">
        <f>IF(VLOOKUP($A749,DICO_Complet!$A$3:$U$983,13,FALSE)=0,"",VLOOKUP($A749,DICO_Complet!$A$3:$U$983,13,FALSE))</f>
        <v>Field 3 part 2</v>
      </c>
      <c r="M749" s="53" t="str">
        <f>IF(VLOOKUP($A749,DICO_Complet!$A$3:$U$983,14,FALSE)=0,"",VLOOKUP($A749,DICO_Complet!$A$3:$U$983,14,FALSE))</f>
        <v/>
      </c>
      <c r="N749" s="53" t="str">
        <f>IF(VLOOKUP($A749,DICO_Complet!$A$3:$U$983,15,FALSE)=0,"",VLOOKUP($A749,DICO_Complet!$A$3:$U$983,15,FALSE))</f>
        <v>Field 3 part 2</v>
      </c>
      <c r="O749" s="53" t="str">
        <f>IF(VLOOKUP($A749,DICO_Complet!$A$3:$U$983,16,FALSE)=0,"",VLOOKUP($A749,DICO_Complet!$A$3:$U$983,16,FALSE))</f>
        <v/>
      </c>
      <c r="P749" s="53" t="str">
        <f>IF(VLOOKUP($A749,DICO_Complet!$A$3:$U$983,17,FALSE)=0,"",VLOOKUP($A749,DICO_Complet!$A$3:$U$983,17,FALSE))</f>
        <v/>
      </c>
      <c r="Q749" s="53" t="str">
        <f>IF(VLOOKUP($A749,DICO_Complet!$A$3:$U$983,18,FALSE)=0,"",VLOOKUP($A749,DICO_Complet!$A$3:$U$983,18,FALSE))</f>
        <v/>
      </c>
    </row>
    <row r="750" spans="1:17">
      <c r="A750" s="38">
        <v>241112000189</v>
      </c>
      <c r="B750" s="47" t="s">
        <v>858</v>
      </c>
      <c r="C750" s="3" t="str">
        <f>VLOOKUP($A750,DICO_Complet!$A$3:$U$983,3,FALSE)</f>
        <v>Transaction</v>
      </c>
      <c r="D750" s="3" t="str">
        <f>VLOOKUP($A750,DICO_Complet!$A$3:$U$983,4,FALSE)</f>
        <v>transactionDetails</v>
      </c>
      <c r="E750" s="2" t="str">
        <f>VLOOKUP($A750,DICO_Complet!$A$3:$U$983,5,FALSE)</f>
        <v>accountToUsage</v>
      </c>
      <c r="F750" s="2" t="str">
        <f>VLOOKUP($A750,DICO_Complet!$A$3:$U$983,6,FALSE)</f>
        <v>AccountUsageCodeset</v>
      </c>
      <c r="G750" s="48">
        <f>VLOOKUP($A750,DICO_Complet!$A$3:$U$983,7,FALSE)</f>
        <v>0</v>
      </c>
      <c r="H750" s="48">
        <f>VLOOKUP($A750,DICO_Complet!$A$3:$U$983,8,FALSE)</f>
        <v>0</v>
      </c>
      <c r="I750" s="2" t="str">
        <f>IF(VLOOKUP($A750,DICO_Complet!$A$3:$U$983,9,FALSE)&lt;&gt;0,VLOOKUP($A750,DICO_Complet!$A$3:$U$983,9,FALSE),"")</f>
        <v/>
      </c>
      <c r="J750" s="1" t="str">
        <f>VLOOKUP($A750,DICO_Complet!$A$3:$U$983,10,FALSE)</f>
        <v>Account To - Usage</v>
      </c>
      <c r="K750" s="53" t="str">
        <f>IF(VLOOKUP($A750,DICO_Complet!$A$3:$U$983,12,FALSE)=0,"",VLOOKUP($A750,DICO_Complet!$A$3:$U$983,12,FALSE))</f>
        <v>ISO3_p3</v>
      </c>
      <c r="L750" s="53" t="str">
        <f>IF(VLOOKUP($A750,DICO_Complet!$A$3:$U$983,13,FALSE)=0,"",VLOOKUP($A750,DICO_Complet!$A$3:$U$983,13,FALSE))</f>
        <v>Field 3 part 3</v>
      </c>
      <c r="M750" s="53" t="str">
        <f>IF(VLOOKUP($A750,DICO_Complet!$A$3:$U$983,14,FALSE)=0,"",VLOOKUP($A750,DICO_Complet!$A$3:$U$983,14,FALSE))</f>
        <v/>
      </c>
      <c r="N750" s="53" t="str">
        <f>IF(VLOOKUP($A750,DICO_Complet!$A$3:$U$983,15,FALSE)=0,"",VLOOKUP($A750,DICO_Complet!$A$3:$U$983,15,FALSE))</f>
        <v>Field 3 part 3</v>
      </c>
      <c r="O750" s="53" t="str">
        <f>IF(VLOOKUP($A750,DICO_Complet!$A$3:$U$983,16,FALSE)=0,"",VLOOKUP($A750,DICO_Complet!$A$3:$U$983,16,FALSE))</f>
        <v/>
      </c>
      <c r="P750" s="53" t="str">
        <f>IF(VLOOKUP($A750,DICO_Complet!$A$3:$U$983,17,FALSE)=0,"",VLOOKUP($A750,DICO_Complet!$A$3:$U$983,17,FALSE))</f>
        <v/>
      </c>
      <c r="Q750" s="53" t="str">
        <f>IF(VLOOKUP($A750,DICO_Complet!$A$3:$U$983,18,FALSE)=0,"",VLOOKUP($A750,DICO_Complet!$A$3:$U$983,18,FALSE))</f>
        <v/>
      </c>
    </row>
    <row r="751" spans="1:17">
      <c r="A751" s="38">
        <v>241112000190</v>
      </c>
      <c r="B751" s="47" t="s">
        <v>858</v>
      </c>
      <c r="C751" s="3" t="str">
        <f>VLOOKUP($A751,DICO_Complet!$A$3:$U$983,3,FALSE)</f>
        <v>Transaction</v>
      </c>
      <c r="D751" s="3" t="str">
        <f>VLOOKUP($A751,DICO_Complet!$A$3:$U$983,4,FALSE)</f>
        <v>transactionDetails</v>
      </c>
      <c r="E751" s="2" t="str">
        <f>VLOOKUP($A751,DICO_Complet!$A$3:$U$983,5,FALSE)</f>
        <v>accountUsage</v>
      </c>
      <c r="F751" s="2" t="str">
        <f>VLOOKUP($A751,DICO_Complet!$A$3:$U$983,6,FALSE)</f>
        <v>AccountUsageCodeset</v>
      </c>
      <c r="G751" s="48">
        <f>VLOOKUP($A751,DICO_Complet!$A$3:$U$983,7,FALSE)</f>
        <v>0</v>
      </c>
      <c r="H751" s="48">
        <f>VLOOKUP($A751,DICO_Complet!$A$3:$U$983,8,FALSE)</f>
        <v>0</v>
      </c>
      <c r="I751" s="2" t="str">
        <f>IF(VLOOKUP($A751,DICO_Complet!$A$3:$U$983,9,FALSE)&lt;&gt;0,VLOOKUP($A751,DICO_Complet!$A$3:$U$983,9,FALSE),"")</f>
        <v/>
      </c>
      <c r="J751" s="1" t="str">
        <f>VLOOKUP($A751,DICO_Complet!$A$3:$U$983,10,FALSE)</f>
        <v>Account - Usage</v>
      </c>
      <c r="K751" s="53" t="str">
        <f>IF(VLOOKUP($A751,DICO_Complet!$A$3:$U$983,12,FALSE)=0,"",VLOOKUP($A751,DICO_Complet!$A$3:$U$983,12,FALSE))</f>
        <v>ISO54</v>
      </c>
      <c r="L751" s="53">
        <f>IF(VLOOKUP($A751,DICO_Complet!$A$3:$U$983,13,FALSE)=0,"",VLOOKUP($A751,DICO_Complet!$A$3:$U$983,13,FALSE))</f>
        <v>54</v>
      </c>
      <c r="M751" s="53" t="str">
        <f>IF(VLOOKUP($A751,DICO_Complet!$A$3:$U$983,14,FALSE)=0,"",VLOOKUP($A751,DICO_Complet!$A$3:$U$983,14,FALSE))</f>
        <v/>
      </c>
      <c r="N751" s="53" t="str">
        <f>IF(VLOOKUP($A751,DICO_Complet!$A$3:$U$983,15,FALSE)=0,"",VLOOKUP($A751,DICO_Complet!$A$3:$U$983,15,FALSE))</f>
        <v/>
      </c>
      <c r="O751" s="53" t="str">
        <f>IF(VLOOKUP($A751,DICO_Complet!$A$3:$U$983,16,FALSE)=0,"",VLOOKUP($A751,DICO_Complet!$A$3:$U$983,16,FALSE))</f>
        <v/>
      </c>
      <c r="P751" s="53" t="str">
        <f>IF(VLOOKUP($A751,DICO_Complet!$A$3:$U$983,17,FALSE)=0,"",VLOOKUP($A751,DICO_Complet!$A$3:$U$983,17,FALSE))</f>
        <v/>
      </c>
      <c r="Q751" s="53" t="str">
        <f>IF(VLOOKUP($A751,DICO_Complet!$A$3:$U$983,18,FALSE)=0,"",VLOOKUP($A751,DICO_Complet!$A$3:$U$983,18,FALSE))</f>
        <v/>
      </c>
    </row>
    <row r="752" spans="1:17">
      <c r="A752" s="38">
        <v>241112000191</v>
      </c>
      <c r="B752" s="47" t="s">
        <v>858</v>
      </c>
      <c r="C752" s="3" t="str">
        <f>VLOOKUP($A752,DICO_Complet!$A$3:$U$983,3,FALSE)</f>
        <v>Transaction</v>
      </c>
      <c r="D752" s="3" t="str">
        <f>VLOOKUP($A752,DICO_Complet!$A$3:$U$983,4,FALSE)</f>
        <v>transactionDetails</v>
      </c>
      <c r="E752" s="2" t="str">
        <f>VLOOKUP($A752,DICO_Complet!$A$3:$U$983,5,FALSE)</f>
        <v>additionalAmount</v>
      </c>
      <c r="F752" s="2" t="str">
        <f>VLOOKUP($A752,DICO_Complet!$A$3:$U$983,6,FALSE)</f>
        <v>AmountType</v>
      </c>
      <c r="G752" s="48">
        <f>VLOOKUP($A752,DICO_Complet!$A$3:$U$983,7,FALSE)</f>
        <v>0</v>
      </c>
      <c r="H752" s="48">
        <f>VLOOKUP($A752,DICO_Complet!$A$3:$U$983,8,FALSE)</f>
        <v>0</v>
      </c>
      <c r="I752" s="2" t="str">
        <f>IF(VLOOKUP($A752,DICO_Complet!$A$3:$U$983,9,FALSE)&lt;&gt;0,VLOOKUP($A752,DICO_Complet!$A$3:$U$983,9,FALSE),"")</f>
        <v/>
      </c>
      <c r="J752" s="1" t="str">
        <f>VLOOKUP($A752,DICO_Complet!$A$3:$U$983,10,FALSE)</f>
        <v>Additional amount</v>
      </c>
      <c r="K752" s="53" t="str">
        <f>IF(VLOOKUP($A752,DICO_Complet!$A$3:$U$983,12,FALSE)=0,"",VLOOKUP($A752,DICO_Complet!$A$3:$U$983,12,FALSE))</f>
        <v>ISO54</v>
      </c>
      <c r="L752" s="53">
        <f>IF(VLOOKUP($A752,DICO_Complet!$A$3:$U$983,13,FALSE)=0,"",VLOOKUP($A752,DICO_Complet!$A$3:$U$983,13,FALSE))</f>
        <v>54</v>
      </c>
      <c r="M752" s="53" t="str">
        <f>IF(VLOOKUP($A752,DICO_Complet!$A$3:$U$983,14,FALSE)=0,"",VLOOKUP($A752,DICO_Complet!$A$3:$U$983,14,FALSE))</f>
        <v/>
      </c>
      <c r="N752" s="53" t="str">
        <f>IF(VLOOKUP($A752,DICO_Complet!$A$3:$U$983,15,FALSE)=0,"",VLOOKUP($A752,DICO_Complet!$A$3:$U$983,15,FALSE))</f>
        <v/>
      </c>
      <c r="O752" s="53" t="str">
        <f>IF(VLOOKUP($A752,DICO_Complet!$A$3:$U$983,16,FALSE)=0,"",VLOOKUP($A752,DICO_Complet!$A$3:$U$983,16,FALSE))</f>
        <v/>
      </c>
      <c r="P752" s="53" t="str">
        <f>IF(VLOOKUP($A752,DICO_Complet!$A$3:$U$983,17,FALSE)=0,"",VLOOKUP($A752,DICO_Complet!$A$3:$U$983,17,FALSE))</f>
        <v/>
      </c>
      <c r="Q752" s="53" t="str">
        <f>IF(VLOOKUP($A752,DICO_Complet!$A$3:$U$983,18,FALSE)=0,"",VLOOKUP($A752,DICO_Complet!$A$3:$U$983,18,FALSE))</f>
        <v/>
      </c>
    </row>
    <row r="753" spans="1:17">
      <c r="A753" s="38">
        <v>250414115107</v>
      </c>
      <c r="B753" s="47" t="s">
        <v>858</v>
      </c>
      <c r="C753" s="3" t="str">
        <f>VLOOKUP($A753,DICO_Complet!$A$3:$U$983,3,FALSE)</f>
        <v>Transaction</v>
      </c>
      <c r="D753" s="3" t="str">
        <f>VLOOKUP($A753,DICO_Complet!$A$3:$U$983,4,FALSE)</f>
        <v>transactionDetails</v>
      </c>
      <c r="E753" s="2" t="str">
        <f>VLOOKUP($A753,DICO_Complet!$A$3:$U$983,5,FALSE)</f>
        <v>additionalTransactioFee1</v>
      </c>
      <c r="F753" s="2" t="str">
        <f>VLOOKUP($A753,DICO_Complet!$A$3:$U$983,6,FALSE)</f>
        <v>AmountType</v>
      </c>
      <c r="G753" s="48">
        <f>VLOOKUP($A753,DICO_Complet!$A$3:$U$983,7,FALSE)</f>
        <v>0</v>
      </c>
      <c r="H753" s="48">
        <f>VLOOKUP($A753,DICO_Complet!$A$3:$U$983,8,FALSE)</f>
        <v>0</v>
      </c>
      <c r="I753" s="2" t="str">
        <f>IF(VLOOKUP($A753,DICO_Complet!$A$3:$U$983,9,FALSE)&lt;&gt;0,VLOOKUP($A753,DICO_Complet!$A$3:$U$983,9,FALSE),"")</f>
        <v/>
      </c>
      <c r="J753" s="1" t="str">
        <f>VLOOKUP($A753,DICO_Complet!$A$3:$U$983,10,FALSE)</f>
        <v>Additional transaction fee 1</v>
      </c>
      <c r="K753" s="53" t="str">
        <f>IF(VLOOKUP($A753,DICO_Complet!$A$3:$U$983,12,FALSE)=0,"",VLOOKUP($A753,DICO_Complet!$A$3:$U$983,12,FALSE))</f>
        <v/>
      </c>
      <c r="L753" s="53" t="str">
        <f>IF(VLOOKUP($A753,DICO_Complet!$A$3:$U$983,13,FALSE)=0,"",VLOOKUP($A753,DICO_Complet!$A$3:$U$983,13,FALSE))</f>
        <v>54 Amount type 88</v>
      </c>
      <c r="M753" s="53" t="str">
        <f>IF(VLOOKUP($A753,DICO_Complet!$A$3:$U$983,14,FALSE)=0,"",VLOOKUP($A753,DICO_Complet!$A$3:$U$983,14,FALSE))</f>
        <v/>
      </c>
      <c r="N753" s="53" t="str">
        <f>IF(VLOOKUP($A753,DICO_Complet!$A$3:$U$983,15,FALSE)=0,"",VLOOKUP($A753,DICO_Complet!$A$3:$U$983,15,FALSE))</f>
        <v/>
      </c>
      <c r="O753" s="53" t="str">
        <f>IF(VLOOKUP($A753,DICO_Complet!$A$3:$U$983,16,FALSE)=0,"",VLOOKUP($A753,DICO_Complet!$A$3:$U$983,16,FALSE))</f>
        <v/>
      </c>
      <c r="P753" s="53" t="str">
        <f>IF(VLOOKUP($A753,DICO_Complet!$A$3:$U$983,17,FALSE)=0,"",VLOOKUP($A753,DICO_Complet!$A$3:$U$983,17,FALSE))</f>
        <v/>
      </c>
      <c r="Q753" s="53" t="str">
        <f>IF(VLOOKUP($A753,DICO_Complet!$A$3:$U$983,18,FALSE)=0,"",VLOOKUP($A753,DICO_Complet!$A$3:$U$983,18,FALSE))</f>
        <v/>
      </c>
    </row>
    <row r="754" spans="1:17">
      <c r="A754" s="38">
        <v>250414115108</v>
      </c>
      <c r="B754" s="47" t="s">
        <v>858</v>
      </c>
      <c r="C754" s="3" t="str">
        <f>VLOOKUP($A754,DICO_Complet!$A$3:$U$983,3,FALSE)</f>
        <v>Transaction</v>
      </c>
      <c r="D754" s="3" t="str">
        <f>VLOOKUP($A754,DICO_Complet!$A$3:$U$983,4,FALSE)</f>
        <v>transactionDetails</v>
      </c>
      <c r="E754" s="2" t="str">
        <f>VLOOKUP($A754,DICO_Complet!$A$3:$U$983,5,FALSE)</f>
        <v>additionalTransactionFee2</v>
      </c>
      <c r="F754" s="2" t="str">
        <f>VLOOKUP($A754,DICO_Complet!$A$3:$U$983,6,FALSE)</f>
        <v>AmountType</v>
      </c>
      <c r="G754" s="48">
        <f>VLOOKUP($A754,DICO_Complet!$A$3:$U$983,7,FALSE)</f>
        <v>0</v>
      </c>
      <c r="H754" s="48">
        <f>VLOOKUP($A754,DICO_Complet!$A$3:$U$983,8,FALSE)</f>
        <v>0</v>
      </c>
      <c r="I754" s="2" t="str">
        <f>IF(VLOOKUP($A754,DICO_Complet!$A$3:$U$983,9,FALSE)&lt;&gt;0,VLOOKUP($A754,DICO_Complet!$A$3:$U$983,9,FALSE),"")</f>
        <v/>
      </c>
      <c r="J754" s="1" t="str">
        <f>VLOOKUP($A754,DICO_Complet!$A$3:$U$983,10,FALSE)</f>
        <v>Additional transaction fee 2</v>
      </c>
      <c r="K754" s="53" t="str">
        <f>IF(VLOOKUP($A754,DICO_Complet!$A$3:$U$983,12,FALSE)=0,"",VLOOKUP($A754,DICO_Complet!$A$3:$U$983,12,FALSE))</f>
        <v/>
      </c>
      <c r="L754" s="53" t="str">
        <f>IF(VLOOKUP($A754,DICO_Complet!$A$3:$U$983,13,FALSE)=0,"",VLOOKUP($A754,DICO_Complet!$A$3:$U$983,13,FALSE))</f>
        <v>54 Amount type 89</v>
      </c>
      <c r="M754" s="53" t="str">
        <f>IF(VLOOKUP($A754,DICO_Complet!$A$3:$U$983,14,FALSE)=0,"",VLOOKUP($A754,DICO_Complet!$A$3:$U$983,14,FALSE))</f>
        <v/>
      </c>
      <c r="N754" s="53" t="str">
        <f>IF(VLOOKUP($A754,DICO_Complet!$A$3:$U$983,15,FALSE)=0,"",VLOOKUP($A754,DICO_Complet!$A$3:$U$983,15,FALSE))</f>
        <v/>
      </c>
      <c r="O754" s="53" t="str">
        <f>IF(VLOOKUP($A754,DICO_Complet!$A$3:$U$983,16,FALSE)=0,"",VLOOKUP($A754,DICO_Complet!$A$3:$U$983,16,FALSE))</f>
        <v/>
      </c>
      <c r="P754" s="53" t="str">
        <f>IF(VLOOKUP($A754,DICO_Complet!$A$3:$U$983,17,FALSE)=0,"",VLOOKUP($A754,DICO_Complet!$A$3:$U$983,17,FALSE))</f>
        <v/>
      </c>
      <c r="Q754" s="53" t="str">
        <f>IF(VLOOKUP($A754,DICO_Complet!$A$3:$U$983,18,FALSE)=0,"",VLOOKUP($A754,DICO_Complet!$A$3:$U$983,18,FALSE))</f>
        <v/>
      </c>
    </row>
    <row r="755" spans="1:17">
      <c r="A755" s="38">
        <v>250331151802</v>
      </c>
      <c r="B755" s="47" t="s">
        <v>858</v>
      </c>
      <c r="C755" s="3" t="str">
        <f>VLOOKUP($A755,DICO_Complet!$A$3:$U$983,3,FALSE)</f>
        <v>Transaction</v>
      </c>
      <c r="D755" s="3" t="str">
        <f>VLOOKUP($A755,DICO_Complet!$A$3:$U$983,4,FALSE)</f>
        <v>transactionDetails</v>
      </c>
      <c r="E755" s="2" t="str">
        <f>VLOOKUP($A755,DICO_Complet!$A$3:$U$983,5,FALSE)</f>
        <v>additionnalInformationForImmediateAction</v>
      </c>
      <c r="F755" s="2" t="str">
        <f>VLOOKUP($A755,DICO_Complet!$A$3:$U$983,6,FALSE)</f>
        <v>AdditionnalInformationForImmediateActionCodeset</v>
      </c>
      <c r="G755" s="48">
        <f>VLOOKUP($A755,DICO_Complet!$A$3:$U$983,7,FALSE)</f>
        <v>0</v>
      </c>
      <c r="H755" s="48">
        <f>VLOOKUP($A755,DICO_Complet!$A$3:$U$983,8,FALSE)</f>
        <v>0</v>
      </c>
      <c r="I755" s="2" t="str">
        <f>IF(VLOOKUP($A755,DICO_Complet!$A$3:$U$983,9,FALSE)&lt;&gt;0,VLOOKUP($A755,DICO_Complet!$A$3:$U$983,9,FALSE),"")</f>
        <v/>
      </c>
      <c r="J755" s="1" t="str">
        <f>VLOOKUP($A755,DICO_Complet!$A$3:$U$983,10,FALSE)</f>
        <v>Additionnal information for immediate action</v>
      </c>
      <c r="K755" s="53" t="str">
        <f>IF(VLOOKUP($A755,DICO_Complet!$A$3:$U$983,12,FALSE)=0,"",VLOOKUP($A755,DICO_Complet!$A$3:$U$983,12,FALSE))</f>
        <v/>
      </c>
      <c r="L755" s="53" t="str">
        <f>IF(VLOOKUP($A755,DICO_Complet!$A$3:$U$983,13,FALSE)=0,"",VLOOKUP($A755,DICO_Complet!$A$3:$U$983,13,FALSE))</f>
        <v/>
      </c>
      <c r="M755" s="53" t="str">
        <f>IF(VLOOKUP($A755,DICO_Complet!$A$3:$U$983,14,FALSE)=0,"",VLOOKUP($A755,DICO_Complet!$A$3:$U$983,14,FALSE))</f>
        <v>39 part 3</v>
      </c>
      <c r="N755" s="53" t="str">
        <f>IF(VLOOKUP($A755,DICO_Complet!$A$3:$U$983,15,FALSE)=0,"",VLOOKUP($A755,DICO_Complet!$A$3:$U$983,15,FALSE))</f>
        <v/>
      </c>
      <c r="O755" s="53" t="str">
        <f>IF(VLOOKUP($A755,DICO_Complet!$A$3:$U$983,16,FALSE)=0,"",VLOOKUP($A755,DICO_Complet!$A$3:$U$983,16,FALSE))</f>
        <v/>
      </c>
      <c r="P755" s="53" t="str">
        <f>IF(VLOOKUP($A755,DICO_Complet!$A$3:$U$983,17,FALSE)=0,"",VLOOKUP($A755,DICO_Complet!$A$3:$U$983,17,FALSE))</f>
        <v/>
      </c>
      <c r="Q755" s="53" t="str">
        <f>IF(VLOOKUP($A755,DICO_Complet!$A$3:$U$983,18,FALSE)=0,"",VLOOKUP($A755,DICO_Complet!$A$3:$U$983,18,FALSE))</f>
        <v/>
      </c>
    </row>
    <row r="756" spans="1:17">
      <c r="A756" s="38">
        <v>250214095200</v>
      </c>
      <c r="B756" s="47" t="s">
        <v>858</v>
      </c>
      <c r="C756" s="3" t="str">
        <f>VLOOKUP($A756,DICO_Complet!$A$3:$U$983,3,FALSE)</f>
        <v>Transaction</v>
      </c>
      <c r="D756" s="3" t="str">
        <f>VLOOKUP($A756,DICO_Complet!$A$3:$U$983,4,FALSE)</f>
        <v>transactionDetails</v>
      </c>
      <c r="E756" s="2" t="str">
        <f>VLOOKUP($A756,DICO_Complet!$A$3:$U$983,5,FALSE)</f>
        <v>agreementId</v>
      </c>
      <c r="F756" s="2" t="str">
        <f>VLOOKUP($A756,DICO_Complet!$A$3:$U$983,6,FALSE)</f>
        <v>Exact4Text</v>
      </c>
      <c r="G756" s="48">
        <f>VLOOKUP($A756,DICO_Complet!$A$3:$U$983,7,FALSE)</f>
        <v>0</v>
      </c>
      <c r="H756" s="48">
        <f>VLOOKUP($A756,DICO_Complet!$A$3:$U$983,8,FALSE)</f>
        <v>0</v>
      </c>
      <c r="I756" s="2" t="str">
        <f>IF(VLOOKUP($A756,DICO_Complet!$A$3:$U$983,9,FALSE)&lt;&gt;0,VLOOKUP($A756,DICO_Complet!$A$3:$U$983,9,FALSE),"")</f>
        <v/>
      </c>
      <c r="J756" s="1" t="str">
        <f>VLOOKUP($A756,DICO_Complet!$A$3:$U$983,10,FALSE)</f>
        <v>Contains the agreement ID associated with the agreed fee rate</v>
      </c>
      <c r="K756" s="53" t="str">
        <f>IF(VLOOKUP($A756,DICO_Complet!$A$3:$U$983,12,FALSE)=0,"",VLOOKUP($A756,DICO_Complet!$A$3:$U$983,12,FALSE))</f>
        <v/>
      </c>
      <c r="L756" s="53" t="str">
        <f>IF(VLOOKUP($A756,DICO_Complet!$A$3:$U$983,13,FALSE)=0,"",VLOOKUP($A756,DICO_Complet!$A$3:$U$983,13,FALSE))</f>
        <v/>
      </c>
      <c r="M756" s="53" t="str">
        <f>IF(VLOOKUP($A756,DICO_Complet!$A$3:$U$983,14,FALSE)=0,"",VLOOKUP($A756,DICO_Complet!$A$3:$U$983,14,FALSE))</f>
        <v/>
      </c>
      <c r="N756" s="53" t="str">
        <f>IF(VLOOKUP($A756,DICO_Complet!$A$3:$U$983,15,FALSE)=0,"",VLOOKUP($A756,DICO_Complet!$A$3:$U$983,15,FALSE))</f>
        <v/>
      </c>
      <c r="O756" s="53" t="str">
        <f>IF(VLOOKUP($A756,DICO_Complet!$A$3:$U$983,16,FALSE)=0,"",VLOOKUP($A756,DICO_Complet!$A$3:$U$983,16,FALSE))</f>
        <v/>
      </c>
      <c r="P756" s="53" t="str">
        <f>IF(VLOOKUP($A756,DICO_Complet!$A$3:$U$983,17,FALSE)=0,"",VLOOKUP($A756,DICO_Complet!$A$3:$U$983,17,FALSE))</f>
        <v/>
      </c>
      <c r="Q756" s="53" t="str">
        <f>IF(VLOOKUP($A756,DICO_Complet!$A$3:$U$983,18,FALSE)=0,"",VLOOKUP($A756,DICO_Complet!$A$3:$U$983,18,FALSE))</f>
        <v/>
      </c>
    </row>
    <row r="757" spans="1:17">
      <c r="A757" s="38">
        <v>250425100306</v>
      </c>
      <c r="B757" s="47" t="s">
        <v>858</v>
      </c>
      <c r="C757" s="3" t="str">
        <f>VLOOKUP($A757,DICO_Complet!$A$3:$U$983,3,FALSE)</f>
        <v>Transaction</v>
      </c>
      <c r="D757" s="3" t="str">
        <f>VLOOKUP($A757,DICO_Complet!$A$3:$U$983,4,FALSE)</f>
        <v>transactionDetails</v>
      </c>
      <c r="E757" s="2" t="str">
        <f>VLOOKUP($A757,DICO_Complet!$A$3:$U$983,5,FALSE)</f>
        <v>amountAnticipated</v>
      </c>
      <c r="F757" s="2" t="str">
        <f>VLOOKUP($A757,DICO_Complet!$A$3:$U$983,6,FALSE)</f>
        <v>AmountType</v>
      </c>
      <c r="G757" s="48">
        <f>VLOOKUP($A757,DICO_Complet!$A$3:$U$983,7,FALSE)</f>
        <v>0</v>
      </c>
      <c r="H757" s="48">
        <f>VLOOKUP($A757,DICO_Complet!$A$3:$U$983,8,FALSE)</f>
        <v>0</v>
      </c>
      <c r="I757" s="2" t="str">
        <f>IF(VLOOKUP($A757,DICO_Complet!$A$3:$U$983,9,FALSE)&lt;&gt;0,VLOOKUP($A757,DICO_Complet!$A$3:$U$983,9,FALSE),"")</f>
        <v/>
      </c>
      <c r="J757" s="1" t="str">
        <f>VLOOKUP($A757,DICO_Complet!$A$3:$U$983,10,FALSE)</f>
        <v>Amount, Anticipated</v>
      </c>
      <c r="K757" s="53" t="str">
        <f>IF(VLOOKUP($A757,DICO_Complet!$A$3:$U$983,12,FALSE)=0,"",VLOOKUP($A757,DICO_Complet!$A$3:$U$983,12,FALSE))</f>
        <v/>
      </c>
      <c r="L757" s="53" t="str">
        <f>IF(VLOOKUP($A757,DICO_Complet!$A$3:$U$983,13,FALSE)=0,"",VLOOKUP($A757,DICO_Complet!$A$3:$U$983,13,FALSE))</f>
        <v/>
      </c>
      <c r="M757" s="53" t="str">
        <f>IF(VLOOKUP($A757,DICO_Complet!$A$3:$U$983,14,FALSE)=0,"",VLOOKUP($A757,DICO_Complet!$A$3:$U$983,14,FALSE))</f>
        <v>54 _ Amount_90</v>
      </c>
      <c r="N757" s="53" t="str">
        <f>IF(VLOOKUP($A757,DICO_Complet!$A$3:$U$983,15,FALSE)=0,"",VLOOKUP($A757,DICO_Complet!$A$3:$U$983,15,FALSE))</f>
        <v/>
      </c>
      <c r="O757" s="53" t="str">
        <f>IF(VLOOKUP($A757,DICO_Complet!$A$3:$U$983,16,FALSE)=0,"",VLOOKUP($A757,DICO_Complet!$A$3:$U$983,16,FALSE))</f>
        <v/>
      </c>
      <c r="P757" s="53" t="str">
        <f>IF(VLOOKUP($A757,DICO_Complet!$A$3:$U$983,17,FALSE)=0,"",VLOOKUP($A757,DICO_Complet!$A$3:$U$983,17,FALSE))</f>
        <v/>
      </c>
      <c r="Q757" s="53" t="str">
        <f>IF(VLOOKUP($A757,DICO_Complet!$A$3:$U$983,18,FALSE)=0,"",VLOOKUP($A757,DICO_Complet!$A$3:$U$983,18,FALSE))</f>
        <v/>
      </c>
    </row>
    <row r="758" spans="1:17">
      <c r="A758" s="38">
        <v>241112000193</v>
      </c>
      <c r="B758" s="47" t="s">
        <v>858</v>
      </c>
      <c r="C758" s="3" t="str">
        <f>VLOOKUP($A758,DICO_Complet!$A$3:$U$983,3,FALSE)</f>
        <v>Transaction</v>
      </c>
      <c r="D758" s="3" t="str">
        <f>VLOOKUP($A758,DICO_Complet!$A$3:$U$983,4,FALSE)</f>
        <v>transactionDetails</v>
      </c>
      <c r="E758" s="2" t="str">
        <f>VLOOKUP($A758,DICO_Complet!$A$3:$U$983,5,FALSE)</f>
        <v>applicationTransactionCounter</v>
      </c>
      <c r="F758" s="2" t="str">
        <f>VLOOKUP($A758,DICO_Complet!$A$3:$U$983,6,FALSE)</f>
        <v>Exact2HexBinaryText</v>
      </c>
      <c r="G758" s="48">
        <f>VLOOKUP($A758,DICO_Complet!$A$3:$U$983,7,FALSE)</f>
        <v>0</v>
      </c>
      <c r="H758" s="48">
        <f>VLOOKUP($A758,DICO_Complet!$A$3:$U$983,8,FALSE)</f>
        <v>0</v>
      </c>
      <c r="I758" s="2" t="str">
        <f>IF(VLOOKUP($A758,DICO_Complet!$A$3:$U$983,9,FALSE)&lt;&gt;0,VLOOKUP($A758,DICO_Complet!$A$3:$U$983,9,FALSE),"")</f>
        <v/>
      </c>
      <c r="J758" s="1" t="str">
        <f>VLOOKUP($A758,DICO_Complet!$A$3:$U$983,10,FALSE)</f>
        <v>Application Transaction Counter</v>
      </c>
      <c r="K758" s="53" t="str">
        <f>IF(VLOOKUP($A758,DICO_Complet!$A$3:$U$983,12,FALSE)=0,"",VLOOKUP($A758,DICO_Complet!$A$3:$U$983,12,FALSE))</f>
        <v>RSB55_9F36</v>
      </c>
      <c r="L758" s="53" t="str">
        <f>IF(VLOOKUP($A758,DICO_Complet!$A$3:$U$983,13,FALSE)=0,"",VLOOKUP($A758,DICO_Complet!$A$3:$U$983,13,FALSE))</f>
        <v>[55-9F36]</v>
      </c>
      <c r="M758" s="53" t="str">
        <f>IF(VLOOKUP($A758,DICO_Complet!$A$3:$U$983,14,FALSE)=0,"",VLOOKUP($A758,DICO_Complet!$A$3:$U$983,14,FALSE))</f>
        <v>55_9F36</v>
      </c>
      <c r="N758" s="53" t="str">
        <f>IF(VLOOKUP($A758,DICO_Complet!$A$3:$U$983,15,FALSE)=0,"",VLOOKUP($A758,DICO_Complet!$A$3:$U$983,15,FALSE))</f>
        <v/>
      </c>
      <c r="O758" s="53" t="str">
        <f>IF(VLOOKUP($A758,DICO_Complet!$A$3:$U$983,16,FALSE)=0,"",VLOOKUP($A758,DICO_Complet!$A$3:$U$983,16,FALSE))</f>
        <v/>
      </c>
      <c r="P758" s="53" t="str">
        <f>IF(VLOOKUP($A758,DICO_Complet!$A$3:$U$983,17,FALSE)=0,"",VLOOKUP($A758,DICO_Complet!$A$3:$U$983,17,FALSE))</f>
        <v/>
      </c>
      <c r="Q758" s="53" t="str">
        <f>IF(VLOOKUP($A758,DICO_Complet!$A$3:$U$983,18,FALSE)=0,"",VLOOKUP($A758,DICO_Complet!$A$3:$U$983,18,FALSE))</f>
        <v/>
      </c>
    </row>
    <row r="759" spans="1:17">
      <c r="A759" s="38">
        <v>250414110800</v>
      </c>
      <c r="B759" s="47" t="s">
        <v>858</v>
      </c>
      <c r="C759" s="3" t="str">
        <f>VLOOKUP($A759,DICO_Complet!$A$3:$U$983,3,FALSE)</f>
        <v>Transaction</v>
      </c>
      <c r="D759" s="3" t="str">
        <f>VLOOKUP($A759,DICO_Complet!$A$3:$U$983,4,FALSE)</f>
        <v>transactionDetails</v>
      </c>
      <c r="E759" s="2" t="str">
        <f>VLOOKUP($A759,DICO_Complet!$A$3:$U$983,5,FALSE)</f>
        <v>authorisationForcingCode</v>
      </c>
      <c r="F759" s="2" t="str">
        <f>VLOOKUP($A759,DICO_Complet!$A$3:$U$983,6,FALSE)</f>
        <v>AuthorisationForcingCodeCodeset</v>
      </c>
      <c r="G759" s="48">
        <f>VLOOKUP($A759,DICO_Complet!$A$3:$U$983,7,FALSE)</f>
        <v>0</v>
      </c>
      <c r="H759" s="48">
        <f>VLOOKUP($A759,DICO_Complet!$A$3:$U$983,8,FALSE)</f>
        <v>0</v>
      </c>
      <c r="I759" s="2" t="str">
        <f>IF(VLOOKUP($A759,DICO_Complet!$A$3:$U$983,9,FALSE)&lt;&gt;0,VLOOKUP($A759,DICO_Complet!$A$3:$U$983,9,FALSE),"")</f>
        <v/>
      </c>
      <c r="J759" s="1" t="str">
        <f>VLOOKUP($A759,DICO_Complet!$A$3:$U$983,10,FALSE)</f>
        <v>Authorisation forcing code</v>
      </c>
      <c r="K759" s="53" t="str">
        <f>IF(VLOOKUP($A759,DICO_Complet!$A$3:$U$983,12,FALSE)=0,"",VLOOKUP($A759,DICO_Complet!$A$3:$U$983,12,FALSE))</f>
        <v/>
      </c>
      <c r="L759" s="53" t="str">
        <f>IF(VLOOKUP($A759,DICO_Complet!$A$3:$U$983,13,FALSE)=0,"",VLOOKUP($A759,DICO_Complet!$A$3:$U$983,13,FALSE))</f>
        <v/>
      </c>
      <c r="M759" s="53" t="str">
        <f>IF(VLOOKUP($A759,DICO_Complet!$A$3:$U$983,14,FALSE)=0,"",VLOOKUP($A759,DICO_Complet!$A$3:$U$983,14,FALSE))</f>
        <v>47_05</v>
      </c>
      <c r="N759" s="53" t="str">
        <f>IF(VLOOKUP($A759,DICO_Complet!$A$3:$U$983,15,FALSE)=0,"",VLOOKUP($A759,DICO_Complet!$A$3:$U$983,15,FALSE))</f>
        <v/>
      </c>
      <c r="O759" s="53" t="str">
        <f>IF(VLOOKUP($A759,DICO_Complet!$A$3:$U$983,16,FALSE)=0,"",VLOOKUP($A759,DICO_Complet!$A$3:$U$983,16,FALSE))</f>
        <v/>
      </c>
      <c r="P759" s="53" t="str">
        <f>IF(VLOOKUP($A759,DICO_Complet!$A$3:$U$983,17,FALSE)=0,"",VLOOKUP($A759,DICO_Complet!$A$3:$U$983,17,FALSE))</f>
        <v/>
      </c>
      <c r="Q759" s="53" t="str">
        <f>IF(VLOOKUP($A759,DICO_Complet!$A$3:$U$983,18,FALSE)=0,"",VLOOKUP($A759,DICO_Complet!$A$3:$U$983,18,FALSE))</f>
        <v/>
      </c>
    </row>
    <row r="760" spans="1:17">
      <c r="A760" s="38">
        <v>241112000194</v>
      </c>
      <c r="B760" s="47" t="s">
        <v>858</v>
      </c>
      <c r="C760" s="3" t="str">
        <f>VLOOKUP($A760,DICO_Complet!$A$3:$U$983,3,FALSE)</f>
        <v>Transaction</v>
      </c>
      <c r="D760" s="3" t="str">
        <f>VLOOKUP($A760,DICO_Complet!$A$3:$U$983,4,FALSE)</f>
        <v>transactionDetails</v>
      </c>
      <c r="E760" s="2" t="str">
        <f>VLOOKUP($A760,DICO_Complet!$A$3:$U$983,5,FALSE)</f>
        <v>authorisedAmount</v>
      </c>
      <c r="F760" s="2" t="str">
        <f>VLOOKUP($A760,DICO_Complet!$A$3:$U$983,6,FALSE)</f>
        <v>AmountType</v>
      </c>
      <c r="G760" s="48">
        <f>VLOOKUP($A760,DICO_Complet!$A$3:$U$983,7,FALSE)</f>
        <v>0</v>
      </c>
      <c r="H760" s="48">
        <f>VLOOKUP($A760,DICO_Complet!$A$3:$U$983,8,FALSE)</f>
        <v>0</v>
      </c>
      <c r="I760" s="2" t="str">
        <f>IF(VLOOKUP($A760,DICO_Complet!$A$3:$U$983,9,FALSE)&lt;&gt;0,VLOOKUP($A760,DICO_Complet!$A$3:$U$983,9,FALSE),"")</f>
        <v/>
      </c>
      <c r="J760" s="1" t="str">
        <f>VLOOKUP($A760,DICO_Complet!$A$3:$U$983,10,FALSE)</f>
        <v>Authorised Amount</v>
      </c>
      <c r="K760" s="53" t="str">
        <f>IF(VLOOKUP($A760,DICO_Complet!$A$3:$U$983,12,FALSE)=0,"",VLOOKUP($A760,DICO_Complet!$A$3:$U$983,12,FALSE))</f>
        <v>RSB55_9F02</v>
      </c>
      <c r="L760" s="53" t="str">
        <f>IF(VLOOKUP($A760,DICO_Complet!$A$3:$U$983,13,FALSE)=0,"",VLOOKUP($A760,DICO_Complet!$A$3:$U$983,13,FALSE))</f>
        <v>[55-9F02]</v>
      </c>
      <c r="M760" s="53" t="str">
        <f>IF(VLOOKUP($A760,DICO_Complet!$A$3:$U$983,14,FALSE)=0,"",VLOOKUP($A760,DICO_Complet!$A$3:$U$983,14,FALSE))</f>
        <v>55_9F02</v>
      </c>
      <c r="N760" s="53" t="str">
        <f>IF(VLOOKUP($A760,DICO_Complet!$A$3:$U$983,15,FALSE)=0,"",VLOOKUP($A760,DICO_Complet!$A$3:$U$983,15,FALSE))</f>
        <v/>
      </c>
      <c r="O760" s="53" t="str">
        <f>IF(VLOOKUP($A760,DICO_Complet!$A$3:$U$983,16,FALSE)=0,"",VLOOKUP($A760,DICO_Complet!$A$3:$U$983,16,FALSE))</f>
        <v/>
      </c>
      <c r="P760" s="53" t="str">
        <f>IF(VLOOKUP($A760,DICO_Complet!$A$3:$U$983,17,FALSE)=0,"",VLOOKUP($A760,DICO_Complet!$A$3:$U$983,17,FALSE))</f>
        <v/>
      </c>
      <c r="Q760" s="53" t="str">
        <f>IF(VLOOKUP($A760,DICO_Complet!$A$3:$U$983,18,FALSE)=0,"",VLOOKUP($A760,DICO_Complet!$A$3:$U$983,18,FALSE))</f>
        <v/>
      </c>
    </row>
    <row r="761" spans="1:17">
      <c r="A761" s="38">
        <v>250414110600</v>
      </c>
      <c r="B761" s="47" t="s">
        <v>858</v>
      </c>
      <c r="C761" s="3" t="str">
        <f>VLOOKUP($A761,DICO_Complet!$A$3:$U$983,3,FALSE)</f>
        <v>Transaction</v>
      </c>
      <c r="D761" s="3" t="str">
        <f>VLOOKUP($A761,DICO_Complet!$A$3:$U$983,4,FALSE)</f>
        <v>transactionDetails</v>
      </c>
      <c r="E761" s="2" t="str">
        <f>VLOOKUP($A761,DICO_Complet!$A$3:$U$983,5,FALSE)</f>
        <v>authorisedLocalDateTime</v>
      </c>
      <c r="F761" s="2" t="str">
        <f>VLOOKUP($A761,DICO_Complet!$A$3:$U$983,6,FALSE)</f>
        <v>ISODateTime</v>
      </c>
      <c r="G761" s="48">
        <f>VLOOKUP($A761,DICO_Complet!$A$3:$U$983,7,FALSE)</f>
        <v>0</v>
      </c>
      <c r="H761" s="48">
        <f>VLOOKUP($A761,DICO_Complet!$A$3:$U$983,8,FALSE)</f>
        <v>0</v>
      </c>
      <c r="I761" s="2" t="str">
        <f>IF(VLOOKUP($A761,DICO_Complet!$A$3:$U$983,9,FALSE)&lt;&gt;0,VLOOKUP($A761,DICO_Complet!$A$3:$U$983,9,FALSE),"")</f>
        <v/>
      </c>
      <c r="J761" s="1" t="str">
        <f>VLOOKUP($A761,DICO_Complet!$A$3:$U$983,10,FALSE)</f>
        <v>Local date and time, authorisation request</v>
      </c>
      <c r="K761" s="53" t="str">
        <f>IF(VLOOKUP($A761,DICO_Complet!$A$3:$U$983,12,FALSE)=0,"",VLOOKUP($A761,DICO_Complet!$A$3:$U$983,12,FALSE))</f>
        <v/>
      </c>
      <c r="L761" s="53" t="str">
        <f>IF(VLOOKUP($A761,DICO_Complet!$A$3:$U$983,13,FALSE)=0,"",VLOOKUP($A761,DICO_Complet!$A$3:$U$983,13,FALSE))</f>
        <v/>
      </c>
      <c r="M761" s="53" t="str">
        <f>IF(VLOOKUP($A761,DICO_Complet!$A$3:$U$983,14,FALSE)=0,"",VLOOKUP($A761,DICO_Complet!$A$3:$U$983,14,FALSE))</f>
        <v>47_04</v>
      </c>
      <c r="N761" s="53" t="str">
        <f>IF(VLOOKUP($A761,DICO_Complet!$A$3:$U$983,15,FALSE)=0,"",VLOOKUP($A761,DICO_Complet!$A$3:$U$983,15,FALSE))</f>
        <v/>
      </c>
      <c r="O761" s="53" t="str">
        <f>IF(VLOOKUP($A761,DICO_Complet!$A$3:$U$983,16,FALSE)=0,"",VLOOKUP($A761,DICO_Complet!$A$3:$U$983,16,FALSE))</f>
        <v/>
      </c>
      <c r="P761" s="53" t="str">
        <f>IF(VLOOKUP($A761,DICO_Complet!$A$3:$U$983,17,FALSE)=0,"",VLOOKUP($A761,DICO_Complet!$A$3:$U$983,17,FALSE))</f>
        <v/>
      </c>
      <c r="Q761" s="53" t="str">
        <f>IF(VLOOKUP($A761,DICO_Complet!$A$3:$U$983,18,FALSE)=0,"",VLOOKUP($A761,DICO_Complet!$A$3:$U$983,18,FALSE))</f>
        <v/>
      </c>
    </row>
    <row r="762" spans="1:17">
      <c r="A762" s="38">
        <v>241112000196</v>
      </c>
      <c r="B762" s="47" t="s">
        <v>858</v>
      </c>
      <c r="C762" s="3" t="str">
        <f>VLOOKUP($A762,DICO_Complet!$A$3:$U$983,3,FALSE)</f>
        <v>Transaction</v>
      </c>
      <c r="D762" s="3" t="str">
        <f>VLOOKUP($A762,DICO_Complet!$A$3:$U$983,4,FALSE)</f>
        <v>transactionDetails</v>
      </c>
      <c r="E762" s="2" t="str">
        <f>VLOOKUP($A762,DICO_Complet!$A$3:$U$983,5,FALSE)</f>
        <v>billingAmount</v>
      </c>
      <c r="F762" s="2" t="str">
        <f>VLOOKUP($A762,DICO_Complet!$A$3:$U$983,6,FALSE)</f>
        <v>AmountType</v>
      </c>
      <c r="G762" s="48">
        <f>VLOOKUP($A762,DICO_Complet!$A$3:$U$983,7,FALSE)</f>
        <v>0</v>
      </c>
      <c r="H762" s="48">
        <f>VLOOKUP($A762,DICO_Complet!$A$3:$U$983,8,FALSE)</f>
        <v>0</v>
      </c>
      <c r="I762" s="2" t="str">
        <f>IF(VLOOKUP($A762,DICO_Complet!$A$3:$U$983,9,FALSE)&lt;&gt;0,VLOOKUP($A762,DICO_Complet!$A$3:$U$983,9,FALSE),"")</f>
        <v/>
      </c>
      <c r="J762" s="1" t="str">
        <f>VLOOKUP($A762,DICO_Complet!$A$3:$U$983,10,FALSE)</f>
        <v>Billing amount currency</v>
      </c>
      <c r="K762" s="53" t="str">
        <f>IF(VLOOKUP($A762,DICO_Complet!$A$3:$U$983,12,FALSE)=0,"",VLOOKUP($A762,DICO_Complet!$A$3:$U$983,12,FALSE))</f>
        <v>ISO51</v>
      </c>
      <c r="L762" s="53" t="str">
        <f>IF(VLOOKUP($A762,DICO_Complet!$A$3:$U$983,13,FALSE)=0,"",VLOOKUP($A762,DICO_Complet!$A$3:$U$983,13,FALSE))</f>
        <v>[51]</v>
      </c>
      <c r="M762" s="53" t="str">
        <f>IF(VLOOKUP($A762,DICO_Complet!$A$3:$U$983,14,FALSE)=0,"",VLOOKUP($A762,DICO_Complet!$A$3:$U$983,14,FALSE))</f>
        <v/>
      </c>
      <c r="N762" s="53" t="str">
        <f>IF(VLOOKUP($A762,DICO_Complet!$A$3:$U$983,15,FALSE)=0,"",VLOOKUP($A762,DICO_Complet!$A$3:$U$983,15,FALSE))</f>
        <v/>
      </c>
      <c r="O762" s="53" t="str">
        <f>IF(VLOOKUP($A762,DICO_Complet!$A$3:$U$983,16,FALSE)=0,"",VLOOKUP($A762,DICO_Complet!$A$3:$U$983,16,FALSE))</f>
        <v/>
      </c>
      <c r="P762" s="53" t="str">
        <f>IF(VLOOKUP($A762,DICO_Complet!$A$3:$U$983,17,FALSE)=0,"",VLOOKUP($A762,DICO_Complet!$A$3:$U$983,17,FALSE))</f>
        <v/>
      </c>
      <c r="Q762" s="53" t="str">
        <f>IF(VLOOKUP($A762,DICO_Complet!$A$3:$U$983,18,FALSE)=0,"",VLOOKUP($A762,DICO_Complet!$A$3:$U$983,18,FALSE))</f>
        <v/>
      </c>
    </row>
    <row r="763" spans="1:17">
      <c r="A763" s="38">
        <v>241112000197</v>
      </c>
      <c r="B763" s="47" t="s">
        <v>858</v>
      </c>
      <c r="C763" s="3" t="str">
        <f>VLOOKUP($A763,DICO_Complet!$A$3:$U$983,3,FALSE)</f>
        <v>Transaction</v>
      </c>
      <c r="D763" s="3" t="str">
        <f>VLOOKUP($A763,DICO_Complet!$A$3:$U$983,4,FALSE)</f>
        <v>transactionDetails</v>
      </c>
      <c r="E763" s="2" t="str">
        <f>VLOOKUP($A763,DICO_Complet!$A$3:$U$983,5,FALSE)</f>
        <v>cardBrandApplied</v>
      </c>
      <c r="F763" s="2" t="str">
        <f>VLOOKUP($A763,DICO_Complet!$A$3:$U$983,6,FALSE)</f>
        <v>BrandCodeset</v>
      </c>
      <c r="G763" s="48">
        <f>VLOOKUP($A763,DICO_Complet!$A$3:$U$983,7,FALSE)</f>
        <v>0</v>
      </c>
      <c r="H763" s="48">
        <f>VLOOKUP($A763,DICO_Complet!$A$3:$U$983,8,FALSE)</f>
        <v>0</v>
      </c>
      <c r="I763" s="2" t="str">
        <f>IF(VLOOKUP($A763,DICO_Complet!$A$3:$U$983,9,FALSE)&lt;&gt;0,VLOOKUP($A763,DICO_Complet!$A$3:$U$983,9,FALSE),"")</f>
        <v/>
      </c>
      <c r="J763" s="1" t="str">
        <f>VLOOKUP($A763,DICO_Complet!$A$3:$U$983,10,FALSE)</f>
        <v>Brand selected</v>
      </c>
      <c r="K763" s="53" t="str">
        <f>IF(VLOOKUP($A763,DICO_Complet!$A$3:$U$983,12,FALSE)=0,"",VLOOKUP($A763,DICO_Complet!$A$3:$U$983,12,FALSE))</f>
        <v>RSB57_3</v>
      </c>
      <c r="L763" s="53" t="str">
        <f>IF(VLOOKUP($A763,DICO_Complet!$A$3:$U$983,13,FALSE)=0,"",VLOOKUP($A763,DICO_Complet!$A$3:$U$983,13,FALSE))</f>
        <v>[57-0003]</v>
      </c>
      <c r="M763" s="53" t="str">
        <f>IF(VLOOKUP($A763,DICO_Complet!$A$3:$U$983,14,FALSE)=0,"",VLOOKUP($A763,DICO_Complet!$A$3:$U$983,14,FALSE))</f>
        <v/>
      </c>
      <c r="N763" s="53" t="str">
        <f>IF(VLOOKUP($A763,DICO_Complet!$A$3:$U$983,15,FALSE)=0,"",VLOOKUP($A763,DICO_Complet!$A$3:$U$983,15,FALSE))</f>
        <v/>
      </c>
      <c r="O763" s="53" t="str">
        <f>IF(VLOOKUP($A763,DICO_Complet!$A$3:$U$983,16,FALSE)=0,"",VLOOKUP($A763,DICO_Complet!$A$3:$U$983,16,FALSE))</f>
        <v/>
      </c>
      <c r="P763" s="53" t="str">
        <f>IF(VLOOKUP($A763,DICO_Complet!$A$3:$U$983,17,FALSE)=0,"",VLOOKUP($A763,DICO_Complet!$A$3:$U$983,17,FALSE))</f>
        <v/>
      </c>
      <c r="Q763" s="53" t="str">
        <f>IF(VLOOKUP($A763,DICO_Complet!$A$3:$U$983,18,FALSE)=0,"",VLOOKUP($A763,DICO_Complet!$A$3:$U$983,18,FALSE))</f>
        <v/>
      </c>
    </row>
    <row r="764" spans="1:17">
      <c r="A764" s="38">
        <v>250331112000</v>
      </c>
      <c r="B764" s="47" t="s">
        <v>858</v>
      </c>
      <c r="C764" s="3" t="str">
        <f>VLOOKUP($A764,DICO_Complet!$A$3:$U$983,3,FALSE)</f>
        <v>Transaction</v>
      </c>
      <c r="D764" s="3" t="str">
        <f>VLOOKUP($A764,DICO_Complet!$A$3:$U$983,4,FALSE)</f>
        <v>transactionDetails</v>
      </c>
      <c r="E764" s="2" t="str">
        <f>VLOOKUP($A764,DICO_Complet!$A$3:$U$983,5,FALSE)</f>
        <v>cardBrandForcingIndicator</v>
      </c>
      <c r="F764" s="2" t="str">
        <f>VLOOKUP($A764,DICO_Complet!$A$3:$U$983,6,FALSE)</f>
        <v>TrueFalseIndicator</v>
      </c>
      <c r="G764" s="48">
        <f>VLOOKUP($A764,DICO_Complet!$A$3:$U$983,7,FALSE)</f>
        <v>0</v>
      </c>
      <c r="H764" s="48">
        <f>VLOOKUP($A764,DICO_Complet!$A$3:$U$983,8,FALSE)</f>
        <v>0</v>
      </c>
      <c r="I764" s="2" t="str">
        <f>IF(VLOOKUP($A764,DICO_Complet!$A$3:$U$983,9,FALSE)&lt;&gt;0,VLOOKUP($A764,DICO_Complet!$A$3:$U$983,9,FALSE),"")</f>
        <v/>
      </c>
      <c r="J764" s="1" t="str">
        <f>VLOOKUP($A764,DICO_Complet!$A$3:$U$983,10,FALSE)</f>
        <v>Brand have been forced by process</v>
      </c>
      <c r="K764" s="53" t="str">
        <f>IF(VLOOKUP($A764,DICO_Complet!$A$3:$U$983,12,FALSE)=0,"",VLOOKUP($A764,DICO_Complet!$A$3:$U$983,12,FALSE))</f>
        <v/>
      </c>
      <c r="L764" s="53" t="str">
        <f>IF(VLOOKUP($A764,DICO_Complet!$A$3:$U$983,13,FALSE)=0,"",VLOOKUP($A764,DICO_Complet!$A$3:$U$983,13,FALSE))</f>
        <v/>
      </c>
      <c r="M764" s="53" t="str">
        <f>IF(VLOOKUP($A764,DICO_Complet!$A$3:$U$983,14,FALSE)=0,"",VLOOKUP($A764,DICO_Complet!$A$3:$U$983,14,FALSE))</f>
        <v/>
      </c>
      <c r="N764" s="53" t="str">
        <f>IF(VLOOKUP($A764,DICO_Complet!$A$3:$U$983,15,FALSE)=0,"",VLOOKUP($A764,DICO_Complet!$A$3:$U$983,15,FALSE))</f>
        <v/>
      </c>
      <c r="O764" s="53" t="str">
        <f>IF(VLOOKUP($A764,DICO_Complet!$A$3:$U$983,16,FALSE)=0,"",VLOOKUP($A764,DICO_Complet!$A$3:$U$983,16,FALSE))</f>
        <v/>
      </c>
      <c r="P764" s="53" t="str">
        <f>IF(VLOOKUP($A764,DICO_Complet!$A$3:$U$983,17,FALSE)=0,"",VLOOKUP($A764,DICO_Complet!$A$3:$U$983,17,FALSE))</f>
        <v/>
      </c>
      <c r="Q764" s="53" t="str">
        <f>IF(VLOOKUP($A764,DICO_Complet!$A$3:$U$983,18,FALSE)=0,"",VLOOKUP($A764,DICO_Complet!$A$3:$U$983,18,FALSE))</f>
        <v/>
      </c>
    </row>
    <row r="765" spans="1:17">
      <c r="A765" s="38">
        <v>241112000198</v>
      </c>
      <c r="B765" s="47" t="s">
        <v>858</v>
      </c>
      <c r="C765" s="3" t="str">
        <f>VLOOKUP($A765,DICO_Complet!$A$3:$U$983,3,FALSE)</f>
        <v>Transaction</v>
      </c>
      <c r="D765" s="3" t="str">
        <f>VLOOKUP($A765,DICO_Complet!$A$3:$U$983,4,FALSE)</f>
        <v>transactionDetails</v>
      </c>
      <c r="E765" s="2" t="str">
        <f>VLOOKUP($A765,DICO_Complet!$A$3:$U$983,5,FALSE)</f>
        <v>cardholderAuthenticationValue</v>
      </c>
      <c r="F765" s="2" t="str">
        <f>VLOOKUP($A765,DICO_Complet!$A$3:$U$983,6,FALSE)</f>
        <v>Min4Max40HexBinaryText</v>
      </c>
      <c r="G765" s="48">
        <f>VLOOKUP($A765,DICO_Complet!$A$3:$U$983,7,FALSE)</f>
        <v>0</v>
      </c>
      <c r="H765" s="48">
        <f>VLOOKUP($A765,DICO_Complet!$A$3:$U$983,8,FALSE)</f>
        <v>0</v>
      </c>
      <c r="I765" s="2" t="str">
        <f>IF(VLOOKUP($A765,DICO_Complet!$A$3:$U$983,9,FALSE)&lt;&gt;0,VLOOKUP($A765,DICO_Complet!$A$3:$U$983,9,FALSE),"")</f>
        <v/>
      </c>
      <c r="J765" s="1" t="str">
        <f>VLOOKUP($A765,DICO_Complet!$A$3:$U$983,10,FALSE)</f>
        <v>Cardholder authentication value</v>
      </c>
      <c r="K765" s="53" t="str">
        <f>IF(VLOOKUP($A765,DICO_Complet!$A$3:$U$983,12,FALSE)=0,"",VLOOKUP($A765,DICO_Complet!$A$3:$U$983,12,FALSE))</f>
        <v>RSB59_401</v>
      </c>
      <c r="L765" s="53" t="str">
        <f>IF(VLOOKUP($A765,DICO_Complet!$A$3:$U$983,13,FALSE)=0,"",VLOOKUP($A765,DICO_Complet!$A$3:$U$983,13,FALSE))</f>
        <v>[59-0401]</v>
      </c>
      <c r="M765" s="53" t="str">
        <f>IF(VLOOKUP($A765,DICO_Complet!$A$3:$U$983,14,FALSE)=0,"",VLOOKUP($A765,DICO_Complet!$A$3:$U$983,14,FALSE))</f>
        <v/>
      </c>
      <c r="N765" s="53" t="str">
        <f>IF(VLOOKUP($A765,DICO_Complet!$A$3:$U$983,15,FALSE)=0,"",VLOOKUP($A765,DICO_Complet!$A$3:$U$983,15,FALSE))</f>
        <v/>
      </c>
      <c r="O765" s="53" t="str">
        <f>IF(VLOOKUP($A765,DICO_Complet!$A$3:$U$983,16,FALSE)=0,"",VLOOKUP($A765,DICO_Complet!$A$3:$U$983,16,FALSE))</f>
        <v/>
      </c>
      <c r="P765" s="53" t="str">
        <f>IF(VLOOKUP($A765,DICO_Complet!$A$3:$U$983,17,FALSE)=0,"",VLOOKUP($A765,DICO_Complet!$A$3:$U$983,17,FALSE))</f>
        <v/>
      </c>
      <c r="Q765" s="53" t="str">
        <f>IF(VLOOKUP($A765,DICO_Complet!$A$3:$U$983,18,FALSE)=0,"",VLOOKUP($A765,DICO_Complet!$A$3:$U$983,18,FALSE))</f>
        <v/>
      </c>
    </row>
    <row r="766" spans="1:17">
      <c r="A766" s="38">
        <v>250414115104</v>
      </c>
      <c r="B766" s="47" t="s">
        <v>858</v>
      </c>
      <c r="C766" s="3" t="str">
        <f>VLOOKUP($A766,DICO_Complet!$A$3:$U$983,3,FALSE)</f>
        <v>Transaction</v>
      </c>
      <c r="D766" s="3" t="str">
        <f>VLOOKUP($A766,DICO_Complet!$A$3:$U$983,4,FALSE)</f>
        <v>transactionDetails</v>
      </c>
      <c r="E766" s="2" t="str">
        <f>VLOOKUP($A766,DICO_Complet!$A$3:$U$983,5,FALSE)</f>
        <v>cardholderAvailableBalance</v>
      </c>
      <c r="F766" s="2" t="str">
        <f>VLOOKUP($A766,DICO_Complet!$A$3:$U$983,6,FALSE)</f>
        <v>AmountType</v>
      </c>
      <c r="G766" s="48">
        <f>VLOOKUP($A766,DICO_Complet!$A$3:$U$983,7,FALSE)</f>
        <v>0</v>
      </c>
      <c r="H766" s="48">
        <f>VLOOKUP($A766,DICO_Complet!$A$3:$U$983,8,FALSE)</f>
        <v>0</v>
      </c>
      <c r="I766" s="2" t="str">
        <f>IF(VLOOKUP($A766,DICO_Complet!$A$3:$U$983,9,FALSE)&lt;&gt;0,VLOOKUP($A766,DICO_Complet!$A$3:$U$983,9,FALSE),"")</f>
        <v/>
      </c>
      <c r="J766" s="1" t="str">
        <f>VLOOKUP($A766,DICO_Complet!$A$3:$U$983,10,FALSE)</f>
        <v>Cardholder available balance</v>
      </c>
      <c r="K766" s="53" t="str">
        <f>IF(VLOOKUP($A766,DICO_Complet!$A$3:$U$983,12,FALSE)=0,"",VLOOKUP($A766,DICO_Complet!$A$3:$U$983,12,FALSE))</f>
        <v/>
      </c>
      <c r="L766" s="53" t="str">
        <f>IF(VLOOKUP($A766,DICO_Complet!$A$3:$U$983,13,FALSE)=0,"",VLOOKUP($A766,DICO_Complet!$A$3:$U$983,13,FALSE))</f>
        <v>54 Amount type 05</v>
      </c>
      <c r="M766" s="53" t="str">
        <f>IF(VLOOKUP($A766,DICO_Complet!$A$3:$U$983,14,FALSE)=0,"",VLOOKUP($A766,DICO_Complet!$A$3:$U$983,14,FALSE))</f>
        <v/>
      </c>
      <c r="N766" s="53" t="str">
        <f>IF(VLOOKUP($A766,DICO_Complet!$A$3:$U$983,15,FALSE)=0,"",VLOOKUP($A766,DICO_Complet!$A$3:$U$983,15,FALSE))</f>
        <v/>
      </c>
      <c r="O766" s="53" t="str">
        <f>IF(VLOOKUP($A766,DICO_Complet!$A$3:$U$983,16,FALSE)=0,"",VLOOKUP($A766,DICO_Complet!$A$3:$U$983,16,FALSE))</f>
        <v/>
      </c>
      <c r="P766" s="53" t="str">
        <f>IF(VLOOKUP($A766,DICO_Complet!$A$3:$U$983,17,FALSE)=0,"",VLOOKUP($A766,DICO_Complet!$A$3:$U$983,17,FALSE))</f>
        <v/>
      </c>
      <c r="Q766" s="53" t="str">
        <f>IF(VLOOKUP($A766,DICO_Complet!$A$3:$U$983,18,FALSE)=0,"",VLOOKUP($A766,DICO_Complet!$A$3:$U$983,18,FALSE))</f>
        <v/>
      </c>
    </row>
    <row r="767" spans="1:17">
      <c r="A767" s="38">
        <v>241112000199</v>
      </c>
      <c r="B767" s="47" t="s">
        <v>858</v>
      </c>
      <c r="C767" s="3" t="str">
        <f>VLOOKUP($A767,DICO_Complet!$A$3:$U$983,3,FALSE)</f>
        <v>Transaction</v>
      </c>
      <c r="D767" s="3" t="str">
        <f>VLOOKUP($A767,DICO_Complet!$A$3:$U$983,4,FALSE)</f>
        <v>transactionDetails</v>
      </c>
      <c r="E767" s="2" t="str">
        <f>VLOOKUP($A767,DICO_Complet!$A$3:$U$983,5,FALSE)</f>
        <v>cardholderTotalAmount</v>
      </c>
      <c r="F767" s="2" t="str">
        <f>VLOOKUP($A767,DICO_Complet!$A$3:$U$983,6,FALSE)</f>
        <v>AmountType</v>
      </c>
      <c r="G767" s="48">
        <f>VLOOKUP($A767,DICO_Complet!$A$3:$U$983,7,FALSE)</f>
        <v>0</v>
      </c>
      <c r="H767" s="48">
        <f>VLOOKUP($A767,DICO_Complet!$A$3:$U$983,8,FALSE)</f>
        <v>0</v>
      </c>
      <c r="I767" s="2" t="str">
        <f>IF(VLOOKUP($A767,DICO_Complet!$A$3:$U$983,9,FALSE)&lt;&gt;0,VLOOKUP($A767,DICO_Complet!$A$3:$U$983,9,FALSE),"")</f>
        <v/>
      </c>
      <c r="J767" s="1" t="str">
        <f>VLOOKUP($A767,DICO_Complet!$A$3:$U$983,10,FALSE)</f>
        <v>Cardholder total amount</v>
      </c>
      <c r="K767" s="53" t="str">
        <f>IF(VLOOKUP($A767,DICO_Complet!$A$3:$U$983,12,FALSE)=0,"",VLOOKUP($A767,DICO_Complet!$A$3:$U$983,12,FALSE))</f>
        <v>RSB59_207</v>
      </c>
      <c r="L767" s="53" t="str">
        <f>IF(VLOOKUP($A767,DICO_Complet!$A$3:$U$983,13,FALSE)=0,"",VLOOKUP($A767,DICO_Complet!$A$3:$U$983,13,FALSE))</f>
        <v>[59-0207]</v>
      </c>
      <c r="M767" s="53" t="str">
        <f>IF(VLOOKUP($A767,DICO_Complet!$A$3:$U$983,14,FALSE)=0,"",VLOOKUP($A767,DICO_Complet!$A$3:$U$983,14,FALSE))</f>
        <v/>
      </c>
      <c r="N767" s="53" t="str">
        <f>IF(VLOOKUP($A767,DICO_Complet!$A$3:$U$983,15,FALSE)=0,"",VLOOKUP($A767,DICO_Complet!$A$3:$U$983,15,FALSE))</f>
        <v/>
      </c>
      <c r="O767" s="53" t="str">
        <f>IF(VLOOKUP($A767,DICO_Complet!$A$3:$U$983,16,FALSE)=0,"",VLOOKUP($A767,DICO_Complet!$A$3:$U$983,16,FALSE))</f>
        <v/>
      </c>
      <c r="P767" s="53" t="str">
        <f>IF(VLOOKUP($A767,DICO_Complet!$A$3:$U$983,17,FALSE)=0,"",VLOOKUP($A767,DICO_Complet!$A$3:$U$983,17,FALSE))</f>
        <v/>
      </c>
      <c r="Q767" s="53" t="str">
        <f>IF(VLOOKUP($A767,DICO_Complet!$A$3:$U$983,18,FALSE)=0,"",VLOOKUP($A767,DICO_Complet!$A$3:$U$983,18,FALSE))</f>
        <v/>
      </c>
    </row>
    <row r="768" spans="1:17">
      <c r="A768" s="38">
        <v>250425100310</v>
      </c>
      <c r="B768" s="47" t="s">
        <v>858</v>
      </c>
      <c r="C768" s="3" t="str">
        <f>VLOOKUP($A768,DICO_Complet!$A$3:$U$983,3,FALSE)</f>
        <v>Transaction</v>
      </c>
      <c r="D768" s="3" t="str">
        <f>VLOOKUP($A768,DICO_Complet!$A$3:$U$983,4,FALSE)</f>
        <v>transactionDetails</v>
      </c>
      <c r="E768" s="2" t="str">
        <f>VLOOKUP($A768,DICO_Complet!$A$3:$U$983,5,FALSE)</f>
        <v>cardholderVerificationMethodlist</v>
      </c>
      <c r="F768" s="2" t="str">
        <f>VLOOKUP($A768,DICO_Complet!$A$3:$U$983,6,FALSE)</f>
        <v>Exact2HexBinaryText</v>
      </c>
      <c r="G768" s="48">
        <f>VLOOKUP($A768,DICO_Complet!$A$3:$U$983,7,FALSE)</f>
        <v>0</v>
      </c>
      <c r="H768" s="48">
        <f>VLOOKUP($A768,DICO_Complet!$A$3:$U$983,8,FALSE)</f>
        <v>0</v>
      </c>
      <c r="I768" s="2" t="str">
        <f>IF(VLOOKUP($A768,DICO_Complet!$A$3:$U$983,9,FALSE)&lt;&gt;0,VLOOKUP($A768,DICO_Complet!$A$3:$U$983,9,FALSE),"")</f>
        <v/>
      </c>
      <c r="J768" s="1" t="str">
        <f>VLOOKUP($A768,DICO_Complet!$A$3:$U$983,10,FALSE)</f>
        <v xml:space="preserve">cvm list (cardholder verification method list) </v>
      </c>
      <c r="K768" s="53" t="str">
        <f>IF(VLOOKUP($A768,DICO_Complet!$A$3:$U$983,12,FALSE)=0,"",VLOOKUP($A768,DICO_Complet!$A$3:$U$983,12,FALSE))</f>
        <v/>
      </c>
      <c r="L768" s="53" t="str">
        <f>IF(VLOOKUP($A768,DICO_Complet!$A$3:$U$983,13,FALSE)=0,"",VLOOKUP($A768,DICO_Complet!$A$3:$U$983,13,FALSE))</f>
        <v/>
      </c>
      <c r="M768" s="53" t="str">
        <f>IF(VLOOKUP($A768,DICO_Complet!$A$3:$U$983,14,FALSE)=0,"",VLOOKUP($A768,DICO_Complet!$A$3:$U$983,14,FALSE))</f>
        <v>55_008E</v>
      </c>
      <c r="N768" s="53" t="str">
        <f>IF(VLOOKUP($A768,DICO_Complet!$A$3:$U$983,15,FALSE)=0,"",VLOOKUP($A768,DICO_Complet!$A$3:$U$983,15,FALSE))</f>
        <v/>
      </c>
      <c r="O768" s="53" t="str">
        <f>IF(VLOOKUP($A768,DICO_Complet!$A$3:$U$983,16,FALSE)=0,"",VLOOKUP($A768,DICO_Complet!$A$3:$U$983,16,FALSE))</f>
        <v/>
      </c>
      <c r="P768" s="53" t="str">
        <f>IF(VLOOKUP($A768,DICO_Complet!$A$3:$U$983,17,FALSE)=0,"",VLOOKUP($A768,DICO_Complet!$A$3:$U$983,17,FALSE))</f>
        <v/>
      </c>
      <c r="Q768" s="53" t="str">
        <f>IF(VLOOKUP($A768,DICO_Complet!$A$3:$U$983,18,FALSE)=0,"",VLOOKUP($A768,DICO_Complet!$A$3:$U$983,18,FALSE))</f>
        <v/>
      </c>
    </row>
    <row r="769" spans="1:17">
      <c r="A769" s="38">
        <v>241112000200</v>
      </c>
      <c r="B769" s="47" t="s">
        <v>858</v>
      </c>
      <c r="C769" s="3" t="str">
        <f>VLOOKUP($A769,DICO_Complet!$A$3:$U$983,3,FALSE)</f>
        <v>Transaction</v>
      </c>
      <c r="D769" s="3" t="str">
        <f>VLOOKUP($A769,DICO_Complet!$A$3:$U$983,4,FALSE)</f>
        <v>transactionDetails</v>
      </c>
      <c r="E769" s="2" t="str">
        <f>VLOOKUP($A769,DICO_Complet!$A$3:$U$983,5,FALSE)</f>
        <v>cardholderVerificationMethodResult</v>
      </c>
      <c r="F769" s="2" t="str">
        <f>VLOOKUP($A769,DICO_Complet!$A$3:$U$983,6,FALSE)</f>
        <v>Exact3HexBinaryText</v>
      </c>
      <c r="G769" s="48">
        <f>VLOOKUP($A769,DICO_Complet!$A$3:$U$983,7,FALSE)</f>
        <v>0</v>
      </c>
      <c r="H769" s="48">
        <f>VLOOKUP($A769,DICO_Complet!$A$3:$U$983,8,FALSE)</f>
        <v>0</v>
      </c>
      <c r="I769" s="2" t="str">
        <f>IF(VLOOKUP($A769,DICO_Complet!$A$3:$U$983,9,FALSE)&lt;&gt;0,VLOOKUP($A769,DICO_Complet!$A$3:$U$983,9,FALSE),"")</f>
        <v/>
      </c>
      <c r="J769" s="1" t="str">
        <f>VLOOKUP($A769,DICO_Complet!$A$3:$U$983,10,FALSE)</f>
        <v>Cardholder verification method Result</v>
      </c>
      <c r="K769" s="53" t="str">
        <f>IF(VLOOKUP($A769,DICO_Complet!$A$3:$U$983,12,FALSE)=0,"",VLOOKUP($A769,DICO_Complet!$A$3:$U$983,12,FALSE))</f>
        <v>RSB55_9F34</v>
      </c>
      <c r="L769" s="53" t="str">
        <f>IF(VLOOKUP($A769,DICO_Complet!$A$3:$U$983,13,FALSE)=0,"",VLOOKUP($A769,DICO_Complet!$A$3:$U$983,13,FALSE))</f>
        <v/>
      </c>
      <c r="M769" s="53" t="str">
        <f>IF(VLOOKUP($A769,DICO_Complet!$A$3:$U$983,14,FALSE)=0,"",VLOOKUP($A769,DICO_Complet!$A$3:$U$983,14,FALSE))</f>
        <v>58_ 9F34</v>
      </c>
      <c r="N769" s="53" t="str">
        <f>IF(VLOOKUP($A769,DICO_Complet!$A$3:$U$983,15,FALSE)=0,"",VLOOKUP($A769,DICO_Complet!$A$3:$U$983,15,FALSE))</f>
        <v/>
      </c>
      <c r="O769" s="53" t="str">
        <f>IF(VLOOKUP($A769,DICO_Complet!$A$3:$U$983,16,FALSE)=0,"",VLOOKUP($A769,DICO_Complet!$A$3:$U$983,16,FALSE))</f>
        <v/>
      </c>
      <c r="P769" s="53" t="str">
        <f>IF(VLOOKUP($A769,DICO_Complet!$A$3:$U$983,17,FALSE)=0,"",VLOOKUP($A769,DICO_Complet!$A$3:$U$983,17,FALSE))</f>
        <v/>
      </c>
      <c r="Q769" s="53" t="str">
        <f>IF(VLOOKUP($A769,DICO_Complet!$A$3:$U$983,18,FALSE)=0,"",VLOOKUP($A769,DICO_Complet!$A$3:$U$983,18,FALSE))</f>
        <v/>
      </c>
    </row>
    <row r="770" spans="1:17">
      <c r="A770" s="38">
        <v>241112000201</v>
      </c>
      <c r="B770" s="47" t="s">
        <v>858</v>
      </c>
      <c r="C770" s="3" t="str">
        <f>VLOOKUP($A770,DICO_Complet!$A$3:$U$983,3,FALSE)</f>
        <v>Transaction</v>
      </c>
      <c r="D770" s="3" t="str">
        <f>VLOOKUP($A770,DICO_Complet!$A$3:$U$983,4,FALSE)</f>
        <v>transactionDetails</v>
      </c>
      <c r="E770" s="2" t="str">
        <f>VLOOKUP($A770,DICO_Complet!$A$3:$U$983,5,FALSE)</f>
        <v>cardSecurityCodeVerificationResultsOrigin</v>
      </c>
      <c r="F770" s="2" t="str">
        <f>VLOOKUP($A770,DICO_Complet!$A$3:$U$983,6,FALSE)</f>
        <v>CardSecurityCodeVerificationResultsOriginCodeset</v>
      </c>
      <c r="G770" s="48">
        <f>VLOOKUP($A770,DICO_Complet!$A$3:$U$983,7,FALSE)</f>
        <v>0</v>
      </c>
      <c r="H770" s="48">
        <f>VLOOKUP($A770,DICO_Complet!$A$3:$U$983,8,FALSE)</f>
        <v>0</v>
      </c>
      <c r="I770" s="2" t="str">
        <f>IF(VLOOKUP($A770,DICO_Complet!$A$3:$U$983,9,FALSE)&lt;&gt;0,VLOOKUP($A770,DICO_Complet!$A$3:$U$983,9,FALSE),"")</f>
        <v/>
      </c>
      <c r="J770" s="1" t="str">
        <f>VLOOKUP($A770,DICO_Complet!$A$3:$U$983,10,FALSE)</f>
        <v>Response origin</v>
      </c>
      <c r="K770" s="53" t="str">
        <f>IF(VLOOKUP($A770,DICO_Complet!$A$3:$U$983,12,FALSE)=0,"",VLOOKUP($A770,DICO_Complet!$A$3:$U$983,12,FALSE))</f>
        <v>RSB59_301_p1</v>
      </c>
      <c r="L770" s="53" t="str">
        <f>IF(VLOOKUP($A770,DICO_Complet!$A$3:$U$983,13,FALSE)=0,"",VLOOKUP($A770,DICO_Complet!$A$3:$U$983,13,FALSE))</f>
        <v>[59-0301-p1]</v>
      </c>
      <c r="M770" s="53" t="str">
        <f>IF(VLOOKUP($A770,DICO_Complet!$A$3:$U$983,14,FALSE)=0,"",VLOOKUP($A770,DICO_Complet!$A$3:$U$983,14,FALSE))</f>
        <v/>
      </c>
      <c r="N770" s="53" t="str">
        <f>IF(VLOOKUP($A770,DICO_Complet!$A$3:$U$983,15,FALSE)=0,"",VLOOKUP($A770,DICO_Complet!$A$3:$U$983,15,FALSE))</f>
        <v/>
      </c>
      <c r="O770" s="53" t="str">
        <f>IF(VLOOKUP($A770,DICO_Complet!$A$3:$U$983,16,FALSE)=0,"",VLOOKUP($A770,DICO_Complet!$A$3:$U$983,16,FALSE))</f>
        <v/>
      </c>
      <c r="P770" s="53" t="str">
        <f>IF(VLOOKUP($A770,DICO_Complet!$A$3:$U$983,17,FALSE)=0,"",VLOOKUP($A770,DICO_Complet!$A$3:$U$983,17,FALSE))</f>
        <v/>
      </c>
      <c r="Q770" s="53" t="str">
        <f>IF(VLOOKUP($A770,DICO_Complet!$A$3:$U$983,18,FALSE)=0,"",VLOOKUP($A770,DICO_Complet!$A$3:$U$983,18,FALSE))</f>
        <v/>
      </c>
    </row>
    <row r="771" spans="1:17">
      <c r="A771" s="38">
        <v>241112000202</v>
      </c>
      <c r="B771" s="47" t="s">
        <v>858</v>
      </c>
      <c r="C771" s="3" t="str">
        <f>VLOOKUP($A771,DICO_Complet!$A$3:$U$983,3,FALSE)</f>
        <v>Transaction</v>
      </c>
      <c r="D771" s="3" t="str">
        <f>VLOOKUP($A771,DICO_Complet!$A$3:$U$983,4,FALSE)</f>
        <v>transactionDetails</v>
      </c>
      <c r="E771" s="2" t="str">
        <f>VLOOKUP($A771,DICO_Complet!$A$3:$U$983,5,FALSE)</f>
        <v>cardSecurityCodeVerificationResultsText</v>
      </c>
      <c r="F771" s="2" t="str">
        <f>VLOOKUP($A771,DICO_Complet!$A$3:$U$983,6,FALSE)</f>
        <v>Exact1HexBinaryText</v>
      </c>
      <c r="G771" s="48">
        <f>VLOOKUP($A771,DICO_Complet!$A$3:$U$983,7,FALSE)</f>
        <v>0</v>
      </c>
      <c r="H771" s="48">
        <f>VLOOKUP($A771,DICO_Complet!$A$3:$U$983,8,FALSE)</f>
        <v>0</v>
      </c>
      <c r="I771" s="2" t="str">
        <f>IF(VLOOKUP($A771,DICO_Complet!$A$3:$U$983,9,FALSE)&lt;&gt;0,VLOOKUP($A771,DICO_Complet!$A$3:$U$983,9,FALSE),"")</f>
        <v/>
      </c>
      <c r="J771" s="1" t="str">
        <f>VLOOKUP($A771,DICO_Complet!$A$3:$U$983,10,FALSE)</f>
        <v>Text of response</v>
      </c>
      <c r="K771" s="53" t="str">
        <f>IF(VLOOKUP($A771,DICO_Complet!$A$3:$U$983,12,FALSE)=0,"",VLOOKUP($A771,DICO_Complet!$A$3:$U$983,12,FALSE))</f>
        <v>RSB59_301_p2</v>
      </c>
      <c r="L771" s="53" t="str">
        <f>IF(VLOOKUP($A771,DICO_Complet!$A$3:$U$983,13,FALSE)=0,"",VLOOKUP($A771,DICO_Complet!$A$3:$U$983,13,FALSE))</f>
        <v>[59-0301-p2]</v>
      </c>
      <c r="M771" s="53" t="str">
        <f>IF(VLOOKUP($A771,DICO_Complet!$A$3:$U$983,14,FALSE)=0,"",VLOOKUP($A771,DICO_Complet!$A$3:$U$983,14,FALSE))</f>
        <v/>
      </c>
      <c r="N771" s="53" t="str">
        <f>IF(VLOOKUP($A771,DICO_Complet!$A$3:$U$983,15,FALSE)=0,"",VLOOKUP($A771,DICO_Complet!$A$3:$U$983,15,FALSE))</f>
        <v/>
      </c>
      <c r="O771" s="53" t="str">
        <f>IF(VLOOKUP($A771,DICO_Complet!$A$3:$U$983,16,FALSE)=0,"",VLOOKUP($A771,DICO_Complet!$A$3:$U$983,16,FALSE))</f>
        <v/>
      </c>
      <c r="P771" s="53" t="str">
        <f>IF(VLOOKUP($A771,DICO_Complet!$A$3:$U$983,17,FALSE)=0,"",VLOOKUP($A771,DICO_Complet!$A$3:$U$983,17,FALSE))</f>
        <v/>
      </c>
      <c r="Q771" s="53" t="str">
        <f>IF(VLOOKUP($A771,DICO_Complet!$A$3:$U$983,18,FALSE)=0,"",VLOOKUP($A771,DICO_Complet!$A$3:$U$983,18,FALSE))</f>
        <v/>
      </c>
    </row>
    <row r="772" spans="1:17">
      <c r="A772" s="38">
        <v>250414115105</v>
      </c>
      <c r="B772" s="47" t="s">
        <v>858</v>
      </c>
      <c r="C772" s="3" t="str">
        <f>VLOOKUP($A772,DICO_Complet!$A$3:$U$983,3,FALSE)</f>
        <v>Transaction</v>
      </c>
      <c r="D772" s="3" t="str">
        <f>VLOOKUP($A772,DICO_Complet!$A$3:$U$983,4,FALSE)</f>
        <v>transactionDetails</v>
      </c>
      <c r="E772" s="2" t="str">
        <f>VLOOKUP($A772,DICO_Complet!$A$3:$U$983,5,FALSE)</f>
        <v>cashAmount</v>
      </c>
      <c r="F772" s="2" t="str">
        <f>VLOOKUP($A772,DICO_Complet!$A$3:$U$983,6,FALSE)</f>
        <v>AmountType</v>
      </c>
      <c r="G772" s="48">
        <f>VLOOKUP($A772,DICO_Complet!$A$3:$U$983,7,FALSE)</f>
        <v>0</v>
      </c>
      <c r="H772" s="48">
        <f>VLOOKUP($A772,DICO_Complet!$A$3:$U$983,8,FALSE)</f>
        <v>0</v>
      </c>
      <c r="I772" s="2" t="str">
        <f>IF(VLOOKUP($A772,DICO_Complet!$A$3:$U$983,9,FALSE)&lt;&gt;0,VLOOKUP($A772,DICO_Complet!$A$3:$U$983,9,FALSE),"")</f>
        <v/>
      </c>
      <c r="J772" s="1" t="str">
        <f>VLOOKUP($A772,DICO_Complet!$A$3:$U$983,10,FALSE)</f>
        <v>Cash amount</v>
      </c>
      <c r="K772" s="53" t="str">
        <f>IF(VLOOKUP($A772,DICO_Complet!$A$3:$U$983,12,FALSE)=0,"",VLOOKUP($A772,DICO_Complet!$A$3:$U$983,12,FALSE))</f>
        <v/>
      </c>
      <c r="L772" s="53" t="str">
        <f>IF(VLOOKUP($A772,DICO_Complet!$A$3:$U$983,13,FALSE)=0,"",VLOOKUP($A772,DICO_Complet!$A$3:$U$983,13,FALSE))</f>
        <v>54 type 40</v>
      </c>
      <c r="M772" s="53" t="str">
        <f>IF(VLOOKUP($A772,DICO_Complet!$A$3:$U$983,14,FALSE)=0,"",VLOOKUP($A772,DICO_Complet!$A$3:$U$983,14,FALSE))</f>
        <v/>
      </c>
      <c r="N772" s="53" t="str">
        <f>IF(VLOOKUP($A772,DICO_Complet!$A$3:$U$983,15,FALSE)=0,"",VLOOKUP($A772,DICO_Complet!$A$3:$U$983,15,FALSE))</f>
        <v/>
      </c>
      <c r="O772" s="53" t="str">
        <f>IF(VLOOKUP($A772,DICO_Complet!$A$3:$U$983,16,FALSE)=0,"",VLOOKUP($A772,DICO_Complet!$A$3:$U$983,16,FALSE))</f>
        <v/>
      </c>
      <c r="P772" s="53" t="str">
        <f>IF(VLOOKUP($A772,DICO_Complet!$A$3:$U$983,17,FALSE)=0,"",VLOOKUP($A772,DICO_Complet!$A$3:$U$983,17,FALSE))</f>
        <v/>
      </c>
      <c r="Q772" s="53" t="str">
        <f>IF(VLOOKUP($A772,DICO_Complet!$A$3:$U$983,18,FALSE)=0,"",VLOOKUP($A772,DICO_Complet!$A$3:$U$983,18,FALSE))</f>
        <v/>
      </c>
    </row>
    <row r="773" spans="1:17">
      <c r="A773" s="38">
        <v>241112000203</v>
      </c>
      <c r="B773" s="47" t="s">
        <v>858</v>
      </c>
      <c r="C773" s="3" t="str">
        <f>VLOOKUP($A773,DICO_Complet!$A$3:$U$983,3,FALSE)</f>
        <v>Transaction</v>
      </c>
      <c r="D773" s="3" t="str">
        <f>VLOOKUP($A773,DICO_Complet!$A$3:$U$983,4,FALSE)</f>
        <v>transactionDetails</v>
      </c>
      <c r="E773" s="2" t="str">
        <f>VLOOKUP($A773,DICO_Complet!$A$3:$U$983,5,FALSE)</f>
        <v>contactlessTerminalProcessingResults</v>
      </c>
      <c r="F773" s="2" t="str">
        <f>VLOOKUP($A773,DICO_Complet!$A$3:$U$983,6,FALSE)</f>
        <v>Exact5HexBinaryText</v>
      </c>
      <c r="G773" s="48">
        <f>VLOOKUP($A773,DICO_Complet!$A$3:$U$983,7,FALSE)</f>
        <v>0</v>
      </c>
      <c r="H773" s="48">
        <f>VLOOKUP($A773,DICO_Complet!$A$3:$U$983,8,FALSE)</f>
        <v>0</v>
      </c>
      <c r="I773" s="2" t="str">
        <f>IF(VLOOKUP($A773,DICO_Complet!$A$3:$U$983,9,FALSE)&lt;&gt;0,VLOOKUP($A773,DICO_Complet!$A$3:$U$983,9,FALSE),"")</f>
        <v/>
      </c>
      <c r="J773" s="1" t="str">
        <f>VLOOKUP($A773,DICO_Complet!$A$3:$U$983,10,FALSE)</f>
        <v>Terminal Processing Results in Contactless Mode</v>
      </c>
      <c r="K773" s="53" t="str">
        <f>IF(VLOOKUP($A773,DICO_Complet!$A$3:$U$983,12,FALSE)=0,"",VLOOKUP($A773,DICO_Complet!$A$3:$U$983,12,FALSE))</f>
        <v>RSB55_DF85</v>
      </c>
      <c r="L773" s="53" t="str">
        <f>IF(VLOOKUP($A773,DICO_Complet!$A$3:$U$983,13,FALSE)=0,"",VLOOKUP($A773,DICO_Complet!$A$3:$U$983,13,FALSE))</f>
        <v>[55-DF85]</v>
      </c>
      <c r="M773" s="53" t="str">
        <f>IF(VLOOKUP($A773,DICO_Complet!$A$3:$U$983,14,FALSE)=0,"",VLOOKUP($A773,DICO_Complet!$A$3:$U$983,14,FALSE))</f>
        <v/>
      </c>
      <c r="N773" s="53" t="str">
        <f>IF(VLOOKUP($A773,DICO_Complet!$A$3:$U$983,15,FALSE)=0,"",VLOOKUP($A773,DICO_Complet!$A$3:$U$983,15,FALSE))</f>
        <v/>
      </c>
      <c r="O773" s="53" t="str">
        <f>IF(VLOOKUP($A773,DICO_Complet!$A$3:$U$983,16,FALSE)=0,"",VLOOKUP($A773,DICO_Complet!$A$3:$U$983,16,FALSE))</f>
        <v/>
      </c>
      <c r="P773" s="53" t="str">
        <f>IF(VLOOKUP($A773,DICO_Complet!$A$3:$U$983,17,FALSE)=0,"",VLOOKUP($A773,DICO_Complet!$A$3:$U$983,17,FALSE))</f>
        <v/>
      </c>
      <c r="Q773" s="53" t="str">
        <f>IF(VLOOKUP($A773,DICO_Complet!$A$3:$U$983,18,FALSE)=0,"",VLOOKUP($A773,DICO_Complet!$A$3:$U$983,18,FALSE))</f>
        <v/>
      </c>
    </row>
    <row r="774" spans="1:17">
      <c r="A774" s="38">
        <v>250425153900</v>
      </c>
      <c r="B774" s="47" t="s">
        <v>858</v>
      </c>
      <c r="C774" s="3" t="str">
        <f>VLOOKUP($A774,DICO_Complet!$A$3:$U$983,3,FALSE)</f>
        <v>Transaction</v>
      </c>
      <c r="D774" s="3" t="str">
        <f>VLOOKUP($A774,DICO_Complet!$A$3:$U$983,4,FALSE)</f>
        <v>transactionDetails</v>
      </c>
      <c r="E774" s="2" t="str">
        <f>VLOOKUP($A774,DICO_Complet!$A$3:$U$983,5,FALSE)</f>
        <v>counterpartyPan</v>
      </c>
      <c r="F774" s="2" t="str">
        <f>VLOOKUP($A774,DICO_Complet!$A$3:$U$983,6,FALSE)</f>
        <v>Exact19AlphaNumericText</v>
      </c>
      <c r="G774" s="48">
        <f>VLOOKUP($A774,DICO_Complet!$A$3:$U$983,7,FALSE)</f>
        <v>0</v>
      </c>
      <c r="H774" s="48">
        <f>VLOOKUP($A774,DICO_Complet!$A$3:$U$983,8,FALSE)</f>
        <v>0</v>
      </c>
      <c r="I774" s="2" t="str">
        <f>IF(VLOOKUP($A774,DICO_Complet!$A$3:$U$983,9,FALSE)&lt;&gt;0,VLOOKUP($A774,DICO_Complet!$A$3:$U$983,9,FALSE),"")</f>
        <v/>
      </c>
      <c r="J774" s="1" t="str">
        <f>VLOOKUP($A774,DICO_Complet!$A$3:$U$983,10,FALSE)</f>
        <v>Pan contrepartie</v>
      </c>
      <c r="K774" s="53" t="str">
        <f>IF(VLOOKUP($A774,DICO_Complet!$A$3:$U$983,12,FALSE)=0,"",VLOOKUP($A774,DICO_Complet!$A$3:$U$983,12,FALSE))</f>
        <v/>
      </c>
      <c r="L774" s="53" t="str">
        <f>IF(VLOOKUP($A774,DICO_Complet!$A$3:$U$983,13,FALSE)=0,"",VLOOKUP($A774,DICO_Complet!$A$3:$U$983,13,FALSE))</f>
        <v/>
      </c>
      <c r="M774" s="53" t="str">
        <f>IF(VLOOKUP($A774,DICO_Complet!$A$3:$U$983,14,FALSE)=0,"",VLOOKUP($A774,DICO_Complet!$A$3:$U$983,14,FALSE))</f>
        <v>059_1206</v>
      </c>
      <c r="N774" s="53" t="str">
        <f>IF(VLOOKUP($A774,DICO_Complet!$A$3:$U$983,15,FALSE)=0,"",VLOOKUP($A774,DICO_Complet!$A$3:$U$983,15,FALSE))</f>
        <v/>
      </c>
      <c r="O774" s="53" t="str">
        <f>IF(VLOOKUP($A774,DICO_Complet!$A$3:$U$983,16,FALSE)=0,"",VLOOKUP($A774,DICO_Complet!$A$3:$U$983,16,FALSE))</f>
        <v/>
      </c>
      <c r="P774" s="53" t="str">
        <f>IF(VLOOKUP($A774,DICO_Complet!$A$3:$U$983,17,FALSE)=0,"",VLOOKUP($A774,DICO_Complet!$A$3:$U$983,17,FALSE))</f>
        <v/>
      </c>
      <c r="Q774" s="53" t="str">
        <f>IF(VLOOKUP($A774,DICO_Complet!$A$3:$U$983,18,FALSE)=0,"",VLOOKUP($A774,DICO_Complet!$A$3:$U$983,18,FALSE))</f>
        <v/>
      </c>
    </row>
    <row r="775" spans="1:17">
      <c r="A775" s="38">
        <v>250414113902</v>
      </c>
      <c r="B775" s="47" t="s">
        <v>858</v>
      </c>
      <c r="C775" s="3" t="str">
        <f>VLOOKUP($A775,DICO_Complet!$A$3:$U$983,3,FALSE)</f>
        <v>Transaction</v>
      </c>
      <c r="D775" s="3" t="str">
        <f>VLOOKUP($A775,DICO_Complet!$A$3:$U$983,4,FALSE)</f>
        <v>transactionDetails</v>
      </c>
      <c r="E775" s="2" t="str">
        <f>VLOOKUP($A775,DICO_Complet!$A$3:$U$983,5,FALSE)</f>
        <v>counterValueAmount</v>
      </c>
      <c r="F775" s="2" t="str">
        <f>VLOOKUP($A775,DICO_Complet!$A$3:$U$983,6,FALSE)</f>
        <v>AmountType</v>
      </c>
      <c r="G775" s="48">
        <f>VLOOKUP($A775,DICO_Complet!$A$3:$U$983,7,FALSE)</f>
        <v>0</v>
      </c>
      <c r="H775" s="48">
        <f>VLOOKUP($A775,DICO_Complet!$A$3:$U$983,8,FALSE)</f>
        <v>0</v>
      </c>
      <c r="I775" s="2" t="str">
        <f>IF(VLOOKUP($A775,DICO_Complet!$A$3:$U$983,9,FALSE)&lt;&gt;0,VLOOKUP($A775,DICO_Complet!$A$3:$U$983,9,FALSE),"")</f>
        <v/>
      </c>
      <c r="J775" s="1" t="str">
        <f>VLOOKUP($A775,DICO_Complet!$A$3:$U$983,10,FALSE)</f>
        <v>Counter-value amount of a transaction</v>
      </c>
      <c r="K775" s="53" t="str">
        <f>IF(VLOOKUP($A775,DICO_Complet!$A$3:$U$983,12,FALSE)=0,"",VLOOKUP($A775,DICO_Complet!$A$3:$U$983,12,FALSE))</f>
        <v/>
      </c>
      <c r="L775" s="53" t="str">
        <f>IF(VLOOKUP($A775,DICO_Complet!$A$3:$U$983,13,FALSE)=0,"",VLOOKUP($A775,DICO_Complet!$A$3:$U$983,13,FALSE))</f>
        <v/>
      </c>
      <c r="M775" s="53" t="str">
        <f>IF(VLOOKUP($A775,DICO_Complet!$A$3:$U$983,14,FALSE)=0,"",VLOOKUP($A775,DICO_Complet!$A$3:$U$983,14,FALSE))</f>
        <v>54_53</v>
      </c>
      <c r="N775" s="53" t="str">
        <f>IF(VLOOKUP($A775,DICO_Complet!$A$3:$U$983,15,FALSE)=0,"",VLOOKUP($A775,DICO_Complet!$A$3:$U$983,15,FALSE))</f>
        <v/>
      </c>
      <c r="O775" s="53" t="str">
        <f>IF(VLOOKUP($A775,DICO_Complet!$A$3:$U$983,16,FALSE)=0,"",VLOOKUP($A775,DICO_Complet!$A$3:$U$983,16,FALSE))</f>
        <v/>
      </c>
      <c r="P775" s="53" t="str">
        <f>IF(VLOOKUP($A775,DICO_Complet!$A$3:$U$983,17,FALSE)=0,"",VLOOKUP($A775,DICO_Complet!$A$3:$U$983,17,FALSE))</f>
        <v/>
      </c>
      <c r="Q775" s="53" t="str">
        <f>IF(VLOOKUP($A775,DICO_Complet!$A$3:$U$983,18,FALSE)=0,"",VLOOKUP($A775,DICO_Complet!$A$3:$U$983,18,FALSE))</f>
        <v/>
      </c>
    </row>
    <row r="776" spans="1:17">
      <c r="A776" s="38">
        <v>250408142401</v>
      </c>
      <c r="B776" s="47" t="s">
        <v>858</v>
      </c>
      <c r="C776" s="3" t="str">
        <f>VLOOKUP($A776,DICO_Complet!$A$3:$U$983,3,FALSE)</f>
        <v>Transaction</v>
      </c>
      <c r="D776" s="3" t="str">
        <f>VLOOKUP($A776,DICO_Complet!$A$3:$U$983,4,FALSE)</f>
        <v>transactionDetails</v>
      </c>
      <c r="E776" s="2" t="str">
        <f>VLOOKUP($A776,DICO_Complet!$A$3:$U$983,5,FALSE)</f>
        <v>cumulativeTotalAuthorisedAmount</v>
      </c>
      <c r="F776" s="2" t="str">
        <f>VLOOKUP($A776,DICO_Complet!$A$3:$U$983,6,FALSE)</f>
        <v>AmountType</v>
      </c>
      <c r="G776" s="48">
        <f>VLOOKUP($A776,DICO_Complet!$A$3:$U$983,7,FALSE)</f>
        <v>0</v>
      </c>
      <c r="H776" s="48">
        <f>VLOOKUP($A776,DICO_Complet!$A$3:$U$983,8,FALSE)</f>
        <v>0</v>
      </c>
      <c r="I776" s="2" t="str">
        <f>IF(VLOOKUP($A776,DICO_Complet!$A$3:$U$983,9,FALSE)&lt;&gt;0,VLOOKUP($A776,DICO_Complet!$A$3:$U$983,9,FALSE),"")</f>
        <v/>
      </c>
      <c r="J776" s="1" t="str">
        <f>VLOOKUP($A776,DICO_Complet!$A$3:$U$983,10,FALSE)</f>
        <v>Total Amount cumulative authorised</v>
      </c>
      <c r="K776" s="53" t="str">
        <f>IF(VLOOKUP($A776,DICO_Complet!$A$3:$U$983,12,FALSE)=0,"",VLOOKUP($A776,DICO_Complet!$A$3:$U$983,12,FALSE))</f>
        <v/>
      </c>
      <c r="L776" s="53" t="str">
        <f>IF(VLOOKUP($A776,DICO_Complet!$A$3:$U$983,13,FALSE)=0,"",VLOOKUP($A776,DICO_Complet!$A$3:$U$983,13,FALSE))</f>
        <v/>
      </c>
      <c r="M776" s="53" t="str">
        <f>IF(VLOOKUP($A776,DICO_Complet!$A$3:$U$983,14,FALSE)=0,"",VLOOKUP($A776,DICO_Complet!$A$3:$U$983,14,FALSE))</f>
        <v/>
      </c>
      <c r="N776" s="53" t="str">
        <f>IF(VLOOKUP($A776,DICO_Complet!$A$3:$U$983,15,FALSE)=0,"",VLOOKUP($A776,DICO_Complet!$A$3:$U$983,15,FALSE))</f>
        <v>54-43</v>
      </c>
      <c r="O776" s="53" t="str">
        <f>IF(VLOOKUP($A776,DICO_Complet!$A$3:$U$983,16,FALSE)=0,"",VLOOKUP($A776,DICO_Complet!$A$3:$U$983,16,FALSE))</f>
        <v/>
      </c>
      <c r="P776" s="53" t="str">
        <f>IF(VLOOKUP($A776,DICO_Complet!$A$3:$U$983,17,FALSE)=0,"",VLOOKUP($A776,DICO_Complet!$A$3:$U$983,17,FALSE))</f>
        <v/>
      </c>
      <c r="Q776" s="53" t="str">
        <f>IF(VLOOKUP($A776,DICO_Complet!$A$3:$U$983,18,FALSE)=0,"",VLOOKUP($A776,DICO_Complet!$A$3:$U$983,18,FALSE))</f>
        <v/>
      </c>
    </row>
    <row r="777" spans="1:17">
      <c r="A777" s="38">
        <v>250317176906</v>
      </c>
      <c r="B777" s="47" t="s">
        <v>858</v>
      </c>
      <c r="C777" s="3" t="str">
        <f>VLOOKUP($A777,DICO_Complet!$A$3:$U$983,3,FALSE)</f>
        <v>Transaction</v>
      </c>
      <c r="D777" s="3" t="str">
        <f>VLOOKUP($A777,DICO_Complet!$A$3:$U$983,4,FALSE)</f>
        <v>transactionDetails</v>
      </c>
      <c r="E777" s="2" t="str">
        <f>VLOOKUP($A777,DICO_Complet!$A$3:$U$983,5,FALSE)</f>
        <v>disputeAuditTrailTransactionEligibilityIndicator</v>
      </c>
      <c r="F777" s="2" t="str">
        <f>VLOOKUP($A777,DICO_Complet!$A$3:$U$983,6,FALSE)</f>
        <v>TrueFalseIndicator</v>
      </c>
      <c r="G777" s="48">
        <f>VLOOKUP($A777,DICO_Complet!$A$3:$U$983,7,FALSE)</f>
        <v>0</v>
      </c>
      <c r="H777" s="48">
        <f>VLOOKUP($A777,DICO_Complet!$A$3:$U$983,8,FALSE)</f>
        <v>0</v>
      </c>
      <c r="I777" s="2" t="str">
        <f>IF(VLOOKUP($A777,DICO_Complet!$A$3:$U$983,9,FALSE)&lt;&gt;0,VLOOKUP($A777,DICO_Complet!$A$3:$U$983,9,FALSE),"")</f>
        <v/>
      </c>
      <c r="J777" s="1" t="str">
        <f>VLOOKUP($A777,DICO_Complet!$A$3:$U$983,10,FALSE)</f>
        <v>Dispute audit trail transaction eligibility indicator</v>
      </c>
      <c r="K777" s="53" t="str">
        <f>IF(VLOOKUP($A777,DICO_Complet!$A$3:$U$983,12,FALSE)=0,"",VLOOKUP($A777,DICO_Complet!$A$3:$U$983,12,FALSE))</f>
        <v/>
      </c>
      <c r="L777" s="53" t="str">
        <f>IF(VLOOKUP($A777,DICO_Complet!$A$3:$U$983,13,FALSE)=0,"",VLOOKUP($A777,DICO_Complet!$A$3:$U$983,13,FALSE))</f>
        <v/>
      </c>
      <c r="M777" s="53" t="str">
        <f>IF(VLOOKUP($A777,DICO_Complet!$A$3:$U$983,14,FALSE)=0,"",VLOOKUP($A777,DICO_Complet!$A$3:$U$983,14,FALSE))</f>
        <v/>
      </c>
      <c r="N777" s="53" t="str">
        <f>IF(VLOOKUP($A777,DICO_Complet!$A$3:$U$983,15,FALSE)=0,"",VLOOKUP($A777,DICO_Complet!$A$3:$U$983,15,FALSE))</f>
        <v/>
      </c>
      <c r="O777" s="53" t="str">
        <f>IF(VLOOKUP($A777,DICO_Complet!$A$3:$U$983,16,FALSE)=0,"",VLOOKUP($A777,DICO_Complet!$A$3:$U$983,16,FALSE))</f>
        <v/>
      </c>
      <c r="P777" s="53" t="str">
        <f>IF(VLOOKUP($A777,DICO_Complet!$A$3:$U$983,17,FALSE)=0,"",VLOOKUP($A777,DICO_Complet!$A$3:$U$983,17,FALSE))</f>
        <v/>
      </c>
      <c r="Q777" s="53" t="str">
        <f>IF(VLOOKUP($A777,DICO_Complet!$A$3:$U$983,18,FALSE)=0,"",VLOOKUP($A777,DICO_Complet!$A$3:$U$983,18,FALSE))</f>
        <v/>
      </c>
    </row>
    <row r="778" spans="1:17">
      <c r="A778" s="38">
        <v>250317176905</v>
      </c>
      <c r="B778" s="47" t="s">
        <v>858</v>
      </c>
      <c r="C778" s="3" t="str">
        <f>VLOOKUP($A778,DICO_Complet!$A$3:$U$983,3,FALSE)</f>
        <v>Transaction</v>
      </c>
      <c r="D778" s="3" t="str">
        <f>VLOOKUP($A778,DICO_Complet!$A$3:$U$983,4,FALSE)</f>
        <v>transactionDetails</v>
      </c>
      <c r="E778" s="2" t="str">
        <f>VLOOKUP($A778,DICO_Complet!$A$3:$U$983,5,FALSE)</f>
        <v>disputeTechnicalInternalId</v>
      </c>
      <c r="F778" s="2" t="str">
        <f>VLOOKUP($A778,DICO_Complet!$A$3:$U$983,6,FALSE)</f>
        <v>Max19NumericText</v>
      </c>
      <c r="G778" s="48">
        <f>VLOOKUP($A778,DICO_Complet!$A$3:$U$983,7,FALSE)</f>
        <v>0</v>
      </c>
      <c r="H778" s="48">
        <f>VLOOKUP($A778,DICO_Complet!$A$3:$U$983,8,FALSE)</f>
        <v>0</v>
      </c>
      <c r="I778" s="2" t="str">
        <f>IF(VLOOKUP($A778,DICO_Complet!$A$3:$U$983,9,FALSE)&lt;&gt;0,VLOOKUP($A778,DICO_Complet!$A$3:$U$983,9,FALSE),"")</f>
        <v/>
      </c>
      <c r="J778" s="1" t="str">
        <f>VLOOKUP($A778,DICO_Complet!$A$3:$U$983,10,FALSE)</f>
        <v>Dispute technical internal reference</v>
      </c>
      <c r="K778" s="53" t="str">
        <f>IF(VLOOKUP($A778,DICO_Complet!$A$3:$U$983,12,FALSE)=0,"",VLOOKUP($A778,DICO_Complet!$A$3:$U$983,12,FALSE))</f>
        <v/>
      </c>
      <c r="L778" s="53" t="str">
        <f>IF(VLOOKUP($A778,DICO_Complet!$A$3:$U$983,13,FALSE)=0,"",VLOOKUP($A778,DICO_Complet!$A$3:$U$983,13,FALSE))</f>
        <v/>
      </c>
      <c r="M778" s="53" t="str">
        <f>IF(VLOOKUP($A778,DICO_Complet!$A$3:$U$983,14,FALSE)=0,"",VLOOKUP($A778,DICO_Complet!$A$3:$U$983,14,FALSE))</f>
        <v/>
      </c>
      <c r="N778" s="53" t="str">
        <f>IF(VLOOKUP($A778,DICO_Complet!$A$3:$U$983,15,FALSE)=0,"",VLOOKUP($A778,DICO_Complet!$A$3:$U$983,15,FALSE))</f>
        <v/>
      </c>
      <c r="O778" s="53" t="str">
        <f>IF(VLOOKUP($A778,DICO_Complet!$A$3:$U$983,16,FALSE)=0,"",VLOOKUP($A778,DICO_Complet!$A$3:$U$983,16,FALSE))</f>
        <v/>
      </c>
      <c r="P778" s="53" t="str">
        <f>IF(VLOOKUP($A778,DICO_Complet!$A$3:$U$983,17,FALSE)=0,"",VLOOKUP($A778,DICO_Complet!$A$3:$U$983,17,FALSE))</f>
        <v/>
      </c>
      <c r="Q778" s="53" t="str">
        <f>IF(VLOOKUP($A778,DICO_Complet!$A$3:$U$983,18,FALSE)=0,"",VLOOKUP($A778,DICO_Complet!$A$3:$U$983,18,FALSE))</f>
        <v/>
      </c>
    </row>
    <row r="779" spans="1:17">
      <c r="A779" s="38">
        <v>250414114701</v>
      </c>
      <c r="B779" s="47" t="s">
        <v>858</v>
      </c>
      <c r="C779" s="3" t="str">
        <f>VLOOKUP($A779,DICO_Complet!$A$3:$U$983,3,FALSE)</f>
        <v>Transaction</v>
      </c>
      <c r="D779" s="3" t="str">
        <f>VLOOKUP($A779,DICO_Complet!$A$3:$U$983,4,FALSE)</f>
        <v>transactionDetails</v>
      </c>
      <c r="E779" s="2" t="str">
        <f>VLOOKUP($A779,DICO_Complet!$A$3:$U$983,5,FALSE)</f>
        <v>donationAmount</v>
      </c>
      <c r="F779" s="2" t="str">
        <f>VLOOKUP($A779,DICO_Complet!$A$3:$U$983,6,FALSE)</f>
        <v>AmountType</v>
      </c>
      <c r="G779" s="48">
        <f>VLOOKUP($A779,DICO_Complet!$A$3:$U$983,7,FALSE)</f>
        <v>0</v>
      </c>
      <c r="H779" s="48">
        <f>VLOOKUP($A779,DICO_Complet!$A$3:$U$983,8,FALSE)</f>
        <v>0</v>
      </c>
      <c r="I779" s="2" t="str">
        <f>IF(VLOOKUP($A779,DICO_Complet!$A$3:$U$983,9,FALSE)&lt;&gt;0,VLOOKUP($A779,DICO_Complet!$A$3:$U$983,9,FALSE),"")</f>
        <v/>
      </c>
      <c r="J779" s="1" t="str">
        <f>VLOOKUP($A779,DICO_Complet!$A$3:$U$983,10,FALSE)</f>
        <v>Donation amount</v>
      </c>
      <c r="K779" s="53" t="str">
        <f>IF(VLOOKUP($A779,DICO_Complet!$A$3:$U$983,12,FALSE)=0,"",VLOOKUP($A779,DICO_Complet!$A$3:$U$983,12,FALSE))</f>
        <v/>
      </c>
      <c r="L779" s="53" t="str">
        <f>IF(VLOOKUP($A779,DICO_Complet!$A$3:$U$983,13,FALSE)=0,"",VLOOKUP($A779,DICO_Complet!$A$3:$U$983,13,FALSE))</f>
        <v/>
      </c>
      <c r="M779" s="53" t="str">
        <f>IF(VLOOKUP($A779,DICO_Complet!$A$3:$U$983,14,FALSE)=0,"",VLOOKUP($A779,DICO_Complet!$A$3:$U$983,14,FALSE))</f>
        <v>54_45</v>
      </c>
      <c r="N779" s="53" t="str">
        <f>IF(VLOOKUP($A779,DICO_Complet!$A$3:$U$983,15,FALSE)=0,"",VLOOKUP($A779,DICO_Complet!$A$3:$U$983,15,FALSE))</f>
        <v/>
      </c>
      <c r="O779" s="53" t="str">
        <f>IF(VLOOKUP($A779,DICO_Complet!$A$3:$U$983,16,FALSE)=0,"",VLOOKUP($A779,DICO_Complet!$A$3:$U$983,16,FALSE))</f>
        <v/>
      </c>
      <c r="P779" s="53" t="str">
        <f>IF(VLOOKUP($A779,DICO_Complet!$A$3:$U$983,17,FALSE)=0,"",VLOOKUP($A779,DICO_Complet!$A$3:$U$983,17,FALSE))</f>
        <v/>
      </c>
      <c r="Q779" s="53" t="str">
        <f>IF(VLOOKUP($A779,DICO_Complet!$A$3:$U$983,18,FALSE)=0,"",VLOOKUP($A779,DICO_Complet!$A$3:$U$983,18,FALSE))</f>
        <v/>
      </c>
    </row>
    <row r="780" spans="1:17">
      <c r="A780" s="38">
        <v>250331112002</v>
      </c>
      <c r="B780" s="47" t="s">
        <v>858</v>
      </c>
      <c r="C780" s="3" t="str">
        <f>VLOOKUP($A780,DICO_Complet!$A$3:$U$983,3,FALSE)</f>
        <v>Transaction</v>
      </c>
      <c r="D780" s="3" t="str">
        <f>VLOOKUP($A780,DICO_Complet!$A$3:$U$983,4,FALSE)</f>
        <v>transactionDetails</v>
      </c>
      <c r="E780" s="2" t="str">
        <f>VLOOKUP($A780,DICO_Complet!$A$3:$U$983,5,FALSE)</f>
        <v>duplicateProcessedIndicator</v>
      </c>
      <c r="F780" s="2" t="str">
        <f>VLOOKUP($A780,DICO_Complet!$A$3:$U$983,6,FALSE)</f>
        <v>TrueFalseIndicator</v>
      </c>
      <c r="G780" s="48">
        <f>VLOOKUP($A780,DICO_Complet!$A$3:$U$983,7,FALSE)</f>
        <v>0</v>
      </c>
      <c r="H780" s="48">
        <f>VLOOKUP($A780,DICO_Complet!$A$3:$U$983,8,FALSE)</f>
        <v>0</v>
      </c>
      <c r="I780" s="2" t="str">
        <f>IF(VLOOKUP($A780,DICO_Complet!$A$3:$U$983,9,FALSE)&lt;&gt;0,VLOOKUP($A780,DICO_Complet!$A$3:$U$983,9,FALSE),"")</f>
        <v/>
      </c>
      <c r="J780" s="1" t="str">
        <f>VLOOKUP($A780,DICO_Complet!$A$3:$U$983,10,FALSE)</f>
        <v>Duplicate transaction view but not blocked by preclearing process</v>
      </c>
      <c r="K780" s="53" t="str">
        <f>IF(VLOOKUP($A780,DICO_Complet!$A$3:$U$983,12,FALSE)=0,"",VLOOKUP($A780,DICO_Complet!$A$3:$U$983,12,FALSE))</f>
        <v/>
      </c>
      <c r="L780" s="53" t="str">
        <f>IF(VLOOKUP($A780,DICO_Complet!$A$3:$U$983,13,FALSE)=0,"",VLOOKUP($A780,DICO_Complet!$A$3:$U$983,13,FALSE))</f>
        <v/>
      </c>
      <c r="M780" s="53" t="str">
        <f>IF(VLOOKUP($A780,DICO_Complet!$A$3:$U$983,14,FALSE)=0,"",VLOOKUP($A780,DICO_Complet!$A$3:$U$983,14,FALSE))</f>
        <v/>
      </c>
      <c r="N780" s="53" t="str">
        <f>IF(VLOOKUP($A780,DICO_Complet!$A$3:$U$983,15,FALSE)=0,"",VLOOKUP($A780,DICO_Complet!$A$3:$U$983,15,FALSE))</f>
        <v/>
      </c>
      <c r="O780" s="53" t="str">
        <f>IF(VLOOKUP($A780,DICO_Complet!$A$3:$U$983,16,FALSE)=0,"",VLOOKUP($A780,DICO_Complet!$A$3:$U$983,16,FALSE))</f>
        <v/>
      </c>
      <c r="P780" s="53" t="str">
        <f>IF(VLOOKUP($A780,DICO_Complet!$A$3:$U$983,17,FALSE)=0,"",VLOOKUP($A780,DICO_Complet!$A$3:$U$983,17,FALSE))</f>
        <v/>
      </c>
      <c r="Q780" s="53" t="str">
        <f>IF(VLOOKUP($A780,DICO_Complet!$A$3:$U$983,18,FALSE)=0,"",VLOOKUP($A780,DICO_Complet!$A$3:$U$983,18,FALSE))</f>
        <v/>
      </c>
    </row>
    <row r="781" spans="1:17">
      <c r="A781" s="38">
        <v>241112000205</v>
      </c>
      <c r="B781" s="47" t="s">
        <v>858</v>
      </c>
      <c r="C781" s="3" t="str">
        <f>VLOOKUP($A781,DICO_Complet!$A$3:$U$983,3,FALSE)</f>
        <v>Transaction</v>
      </c>
      <c r="D781" s="3" t="str">
        <f>VLOOKUP($A781,DICO_Complet!$A$3:$U$983,4,FALSE)</f>
        <v>transactionDetails</v>
      </c>
      <c r="E781" s="2" t="str">
        <f>VLOOKUP($A781,DICO_Complet!$A$3:$U$983,5,FALSE)</f>
        <v>encryptedPinBlock</v>
      </c>
      <c r="F781" s="2" t="str">
        <f>VLOOKUP($A781,DICO_Complet!$A$3:$U$983,6,FALSE)</f>
        <v>Min8Max16HexBinaryText</v>
      </c>
      <c r="G781" s="48">
        <f>VLOOKUP($A781,DICO_Complet!$A$3:$U$983,7,FALSE)</f>
        <v>0</v>
      </c>
      <c r="H781" s="48">
        <f>VLOOKUP($A781,DICO_Complet!$A$3:$U$983,8,FALSE)</f>
        <v>0</v>
      </c>
      <c r="I781" s="2" t="str">
        <f>IF(VLOOKUP($A781,DICO_Complet!$A$3:$U$983,9,FALSE)&lt;&gt;0,VLOOKUP($A781,DICO_Complet!$A$3:$U$983,9,FALSE),"")</f>
        <v/>
      </c>
      <c r="J781" s="1" t="str">
        <f>VLOOKUP($A781,DICO_Complet!$A$3:$U$983,10,FALSE)</f>
        <v>Encrypted Data</v>
      </c>
      <c r="K781" s="53" t="str">
        <f>IF(VLOOKUP($A781,DICO_Complet!$A$3:$U$983,12,FALSE)=0,"",VLOOKUP($A781,DICO_Complet!$A$3:$U$983,12,FALSE))</f>
        <v>ISO52</v>
      </c>
      <c r="L781" s="53" t="str">
        <f>IF(VLOOKUP($A781,DICO_Complet!$A$3:$U$983,13,FALSE)=0,"",VLOOKUP($A781,DICO_Complet!$A$3:$U$983,13,FALSE))</f>
        <v>[52]</v>
      </c>
      <c r="M781" s="53" t="str">
        <f>IF(VLOOKUP($A781,DICO_Complet!$A$3:$U$983,14,FALSE)=0,"",VLOOKUP($A781,DICO_Complet!$A$3:$U$983,14,FALSE))</f>
        <v/>
      </c>
      <c r="N781" s="53" t="str">
        <f>IF(VLOOKUP($A781,DICO_Complet!$A$3:$U$983,15,FALSE)=0,"",VLOOKUP($A781,DICO_Complet!$A$3:$U$983,15,FALSE))</f>
        <v/>
      </c>
      <c r="O781" s="53" t="str">
        <f>IF(VLOOKUP($A781,DICO_Complet!$A$3:$U$983,16,FALSE)=0,"",VLOOKUP($A781,DICO_Complet!$A$3:$U$983,16,FALSE))</f>
        <v/>
      </c>
      <c r="P781" s="53" t="str">
        <f>IF(VLOOKUP($A781,DICO_Complet!$A$3:$U$983,17,FALSE)=0,"",VLOOKUP($A781,DICO_Complet!$A$3:$U$983,17,FALSE))</f>
        <v/>
      </c>
      <c r="Q781" s="53" t="str">
        <f>IF(VLOOKUP($A781,DICO_Complet!$A$3:$U$983,18,FALSE)=0,"",VLOOKUP($A781,DICO_Complet!$A$3:$U$983,18,FALSE))</f>
        <v/>
      </c>
    </row>
    <row r="782" spans="1:17">
      <c r="A782" s="38">
        <v>250414113900</v>
      </c>
      <c r="B782" s="47" t="s">
        <v>858</v>
      </c>
      <c r="C782" s="3" t="str">
        <f>VLOOKUP($A782,DICO_Complet!$A$3:$U$983,3,FALSE)</f>
        <v>Transaction</v>
      </c>
      <c r="D782" s="3" t="str">
        <f>VLOOKUP($A782,DICO_Complet!$A$3:$U$983,4,FALSE)</f>
        <v>transactionDetails</v>
      </c>
      <c r="E782" s="2" t="str">
        <f>VLOOKUP($A782,DICO_Complet!$A$3:$U$983,5,FALSE)</f>
        <v>estimatedAmount</v>
      </c>
      <c r="F782" s="2" t="str">
        <f>VLOOKUP($A782,DICO_Complet!$A$3:$U$983,6,FALSE)</f>
        <v>AmountType</v>
      </c>
      <c r="G782" s="48">
        <f>VLOOKUP($A782,DICO_Complet!$A$3:$U$983,7,FALSE)</f>
        <v>0</v>
      </c>
      <c r="H782" s="48">
        <f>VLOOKUP($A782,DICO_Complet!$A$3:$U$983,8,FALSE)</f>
        <v>0</v>
      </c>
      <c r="I782" s="2" t="str">
        <f>IF(VLOOKUP($A782,DICO_Complet!$A$3:$U$983,9,FALSE)&lt;&gt;0,VLOOKUP($A782,DICO_Complet!$A$3:$U$983,9,FALSE),"")</f>
        <v/>
      </c>
      <c r="J782" s="1" t="str">
        <f>VLOOKUP($A782,DICO_Complet!$A$3:$U$983,10,FALSE)</f>
        <v>Estimated Amount</v>
      </c>
      <c r="K782" s="53" t="str">
        <f>IF(VLOOKUP($A782,DICO_Complet!$A$3:$U$983,12,FALSE)=0,"",VLOOKUP($A782,DICO_Complet!$A$3:$U$983,12,FALSE))</f>
        <v/>
      </c>
      <c r="L782" s="53" t="str">
        <f>IF(VLOOKUP($A782,DICO_Complet!$A$3:$U$983,13,FALSE)=0,"",VLOOKUP($A782,DICO_Complet!$A$3:$U$983,13,FALSE))</f>
        <v/>
      </c>
      <c r="M782" s="53" t="str">
        <f>IF(VLOOKUP($A782,DICO_Complet!$A$3:$U$983,14,FALSE)=0,"",VLOOKUP($A782,DICO_Complet!$A$3:$U$983,14,FALSE))</f>
        <v>54_51</v>
      </c>
      <c r="N782" s="53" t="str">
        <f>IF(VLOOKUP($A782,DICO_Complet!$A$3:$U$983,15,FALSE)=0,"",VLOOKUP($A782,DICO_Complet!$A$3:$U$983,15,FALSE))</f>
        <v/>
      </c>
      <c r="O782" s="53" t="str">
        <f>IF(VLOOKUP($A782,DICO_Complet!$A$3:$U$983,16,FALSE)=0,"",VLOOKUP($A782,DICO_Complet!$A$3:$U$983,16,FALSE))</f>
        <v/>
      </c>
      <c r="P782" s="53" t="str">
        <f>IF(VLOOKUP($A782,DICO_Complet!$A$3:$U$983,17,FALSE)=0,"",VLOOKUP($A782,DICO_Complet!$A$3:$U$983,17,FALSE))</f>
        <v/>
      </c>
      <c r="Q782" s="53" t="str">
        <f>IF(VLOOKUP($A782,DICO_Complet!$A$3:$U$983,18,FALSE)=0,"",VLOOKUP($A782,DICO_Complet!$A$3:$U$983,18,FALSE))</f>
        <v/>
      </c>
    </row>
    <row r="783" spans="1:17">
      <c r="A783" s="38">
        <v>250212174206</v>
      </c>
      <c r="B783" s="47" t="s">
        <v>858</v>
      </c>
      <c r="C783" s="3" t="str">
        <f>VLOOKUP($A783,DICO_Complet!$A$3:$U$983,3,FALSE)</f>
        <v>Transaction</v>
      </c>
      <c r="D783" s="3" t="str">
        <f>VLOOKUP($A783,DICO_Complet!$A$3:$U$983,4,FALSE)</f>
        <v>transactionDetails</v>
      </c>
      <c r="E783" s="2" t="str">
        <f>VLOOKUP($A783,DICO_Complet!$A$3:$U$983,5,FALSE)</f>
        <v>feesAmount</v>
      </c>
      <c r="F783" s="2" t="str">
        <f>VLOOKUP($A783,DICO_Complet!$A$3:$U$983,6,FALSE)</f>
        <v>FeesType</v>
      </c>
      <c r="G783" s="48">
        <f>VLOOKUP($A783,DICO_Complet!$A$3:$U$983,7,FALSE)</f>
        <v>0</v>
      </c>
      <c r="H783" s="48">
        <f>VLOOKUP($A783,DICO_Complet!$A$3:$U$983,8,FALSE)</f>
        <v>0</v>
      </c>
      <c r="I783" s="2" t="str">
        <f>IF(VLOOKUP($A783,DICO_Complet!$A$3:$U$983,9,FALSE)&lt;&gt;0,VLOOKUP($A783,DICO_Complet!$A$3:$U$983,9,FALSE),"")</f>
        <v/>
      </c>
      <c r="J783" s="1" t="str">
        <f>VLOOKUP($A783,DICO_Complet!$A$3:$U$983,10,FALSE)</f>
        <v>Fees Amount</v>
      </c>
      <c r="K783" s="53" t="str">
        <f>IF(VLOOKUP($A783,DICO_Complet!$A$3:$U$983,12,FALSE)=0,"",VLOOKUP($A783,DICO_Complet!$A$3:$U$983,12,FALSE))</f>
        <v>RSB119_0010</v>
      </c>
      <c r="L783" s="53" t="str">
        <f>IF(VLOOKUP($A783,DICO_Complet!$A$3:$U$983,13,FALSE)=0,"",VLOOKUP($A783,DICO_Complet!$A$3:$U$983,13,FALSE))</f>
        <v>119_0010</v>
      </c>
      <c r="M783" s="53" t="str">
        <f>IF(VLOOKUP($A783,DICO_Complet!$A$3:$U$983,14,FALSE)=0,"",VLOOKUP($A783,DICO_Complet!$A$3:$U$983,14,FALSE))</f>
        <v/>
      </c>
      <c r="N783" s="53" t="str">
        <f>IF(VLOOKUP($A783,DICO_Complet!$A$3:$U$983,15,FALSE)=0,"",VLOOKUP($A783,DICO_Complet!$A$3:$U$983,15,FALSE))</f>
        <v/>
      </c>
      <c r="O783" s="53" t="str">
        <f>IF(VLOOKUP($A783,DICO_Complet!$A$3:$U$983,16,FALSE)=0,"",VLOOKUP($A783,DICO_Complet!$A$3:$U$983,16,FALSE))</f>
        <v>[46]</v>
      </c>
      <c r="P783" s="53" t="str">
        <f>IF(VLOOKUP($A783,DICO_Complet!$A$3:$U$983,17,FALSE)=0,"",VLOOKUP($A783,DICO_Complet!$A$3:$U$983,17,FALSE))</f>
        <v/>
      </c>
      <c r="Q783" s="53" t="str">
        <f>IF(VLOOKUP($A783,DICO_Complet!$A$3:$U$983,18,FALSE)=0,"",VLOOKUP($A783,DICO_Complet!$A$3:$U$983,18,FALSE))</f>
        <v/>
      </c>
    </row>
    <row r="784" spans="1:17">
      <c r="A784" s="38">
        <v>241112000206</v>
      </c>
      <c r="B784" s="47" t="s">
        <v>858</v>
      </c>
      <c r="C784" s="3" t="str">
        <f>VLOOKUP($A784,DICO_Complet!$A$3:$U$983,3,FALSE)</f>
        <v>Transaction</v>
      </c>
      <c r="D784" s="3" t="str">
        <f>VLOOKUP($A784,DICO_Complet!$A$3:$U$983,4,FALSE)</f>
        <v>transactionDetails</v>
      </c>
      <c r="E784" s="2" t="str">
        <f>VLOOKUP($A784,DICO_Complet!$A$3:$U$983,5,FALSE)</f>
        <v>fileNumber</v>
      </c>
      <c r="F784" s="2" t="str">
        <f>VLOOKUP($A784,DICO_Complet!$A$3:$U$983,6,FALSE)</f>
        <v>Max12Text</v>
      </c>
      <c r="G784" s="48">
        <f>VLOOKUP($A784,DICO_Complet!$A$3:$U$983,7,FALSE)</f>
        <v>0</v>
      </c>
      <c r="H784" s="48">
        <f>VLOOKUP($A784,DICO_Complet!$A$3:$U$983,8,FALSE)</f>
        <v>0</v>
      </c>
      <c r="I784" s="2" t="str">
        <f>IF(VLOOKUP($A784,DICO_Complet!$A$3:$U$983,9,FALSE)&lt;&gt;0,VLOOKUP($A784,DICO_Complet!$A$3:$U$983,9,FALSE),"")</f>
        <v/>
      </c>
      <c r="J784" s="1" t="str">
        <f>VLOOKUP($A784,DICO_Complet!$A$3:$U$983,10,FALSE)</f>
        <v>File number</v>
      </c>
      <c r="K784" s="53" t="str">
        <f>IF(VLOOKUP($A784,DICO_Complet!$A$3:$U$983,12,FALSE)=0,"",VLOOKUP($A784,DICO_Complet!$A$3:$U$983,12,FALSE))</f>
        <v>RSB47_24</v>
      </c>
      <c r="L784" s="53" t="str">
        <f>IF(VLOOKUP($A784,DICO_Complet!$A$3:$U$983,13,FALSE)=0,"",VLOOKUP($A784,DICO_Complet!$A$3:$U$983,13,FALSE))</f>
        <v>[47-24]</v>
      </c>
      <c r="M784" s="53" t="str">
        <f>IF(VLOOKUP($A784,DICO_Complet!$A$3:$U$983,14,FALSE)=0,"",VLOOKUP($A784,DICO_Complet!$A$3:$U$983,14,FALSE))</f>
        <v>47_24</v>
      </c>
      <c r="N784" s="53" t="str">
        <f>IF(VLOOKUP($A784,DICO_Complet!$A$3:$U$983,15,FALSE)=0,"",VLOOKUP($A784,DICO_Complet!$A$3:$U$983,15,FALSE))</f>
        <v/>
      </c>
      <c r="O784" s="53" t="str">
        <f>IF(VLOOKUP($A784,DICO_Complet!$A$3:$U$983,16,FALSE)=0,"",VLOOKUP($A784,DICO_Complet!$A$3:$U$983,16,FALSE))</f>
        <v/>
      </c>
      <c r="P784" s="53" t="str">
        <f>IF(VLOOKUP($A784,DICO_Complet!$A$3:$U$983,17,FALSE)=0,"",VLOOKUP($A784,DICO_Complet!$A$3:$U$983,17,FALSE))</f>
        <v/>
      </c>
      <c r="Q784" s="53" t="str">
        <f>IF(VLOOKUP($A784,DICO_Complet!$A$3:$U$983,18,FALSE)=0,"",VLOOKUP($A784,DICO_Complet!$A$3:$U$983,18,FALSE))</f>
        <v/>
      </c>
    </row>
    <row r="785" spans="1:17">
      <c r="A785" s="38">
        <v>250331151800</v>
      </c>
      <c r="B785" s="47" t="s">
        <v>858</v>
      </c>
      <c r="C785" s="3" t="str">
        <f>VLOOKUP($A785,DICO_Complet!$A$3:$U$983,3,FALSE)</f>
        <v>Transaction</v>
      </c>
      <c r="D785" s="3" t="str">
        <f>VLOOKUP($A785,DICO_Complet!$A$3:$U$983,4,FALSE)</f>
        <v>transactionDetails</v>
      </c>
      <c r="E785" s="2" t="str">
        <f>VLOOKUP($A785,DICO_Complet!$A$3:$U$983,5,FALSE)</f>
        <v>immediateAction</v>
      </c>
      <c r="F785" s="2" t="str">
        <f>VLOOKUP($A785,DICO_Complet!$A$3:$U$983,6,FALSE)</f>
        <v>ImmediateActionCodset</v>
      </c>
      <c r="G785" s="48">
        <f>VLOOKUP($A785,DICO_Complet!$A$3:$U$983,7,FALSE)</f>
        <v>0</v>
      </c>
      <c r="H785" s="48">
        <f>VLOOKUP($A785,DICO_Complet!$A$3:$U$983,8,FALSE)</f>
        <v>0</v>
      </c>
      <c r="I785" s="2" t="str">
        <f>IF(VLOOKUP($A785,DICO_Complet!$A$3:$U$983,9,FALSE)&lt;&gt;0,VLOOKUP($A785,DICO_Complet!$A$3:$U$983,9,FALSE),"")</f>
        <v/>
      </c>
      <c r="J785" s="1" t="str">
        <f>VLOOKUP($A785,DICO_Complet!$A$3:$U$983,10,FALSE)</f>
        <v>Immediate action</v>
      </c>
      <c r="K785" s="53" t="str">
        <f>IF(VLOOKUP($A785,DICO_Complet!$A$3:$U$983,12,FALSE)=0,"",VLOOKUP($A785,DICO_Complet!$A$3:$U$983,12,FALSE))</f>
        <v/>
      </c>
      <c r="L785" s="53" t="str">
        <f>IF(VLOOKUP($A785,DICO_Complet!$A$3:$U$983,13,FALSE)=0,"",VLOOKUP($A785,DICO_Complet!$A$3:$U$983,13,FALSE))</f>
        <v/>
      </c>
      <c r="M785" s="53" t="str">
        <f>IF(VLOOKUP($A785,DICO_Complet!$A$3:$U$983,14,FALSE)=0,"",VLOOKUP($A785,DICO_Complet!$A$3:$U$983,14,FALSE))</f>
        <v>39 part 1</v>
      </c>
      <c r="N785" s="53" t="str">
        <f>IF(VLOOKUP($A785,DICO_Complet!$A$3:$U$983,15,FALSE)=0,"",VLOOKUP($A785,DICO_Complet!$A$3:$U$983,15,FALSE))</f>
        <v/>
      </c>
      <c r="O785" s="53" t="str">
        <f>IF(VLOOKUP($A785,DICO_Complet!$A$3:$U$983,16,FALSE)=0,"",VLOOKUP($A785,DICO_Complet!$A$3:$U$983,16,FALSE))</f>
        <v/>
      </c>
      <c r="P785" s="53" t="str">
        <f>IF(VLOOKUP($A785,DICO_Complet!$A$3:$U$983,17,FALSE)=0,"",VLOOKUP($A785,DICO_Complet!$A$3:$U$983,17,FALSE))</f>
        <v/>
      </c>
      <c r="Q785" s="53" t="str">
        <f>IF(VLOOKUP($A785,DICO_Complet!$A$3:$U$983,18,FALSE)=0,"",VLOOKUP($A785,DICO_Complet!$A$3:$U$983,18,FALSE))</f>
        <v/>
      </c>
    </row>
    <row r="786" spans="1:17">
      <c r="A786" s="38">
        <v>250414121300</v>
      </c>
      <c r="B786" s="47" t="s">
        <v>858</v>
      </c>
      <c r="C786" s="3" t="str">
        <f>VLOOKUP($A786,DICO_Complet!$A$3:$U$983,3,FALSE)</f>
        <v>Transaction</v>
      </c>
      <c r="D786" s="3" t="str">
        <f>VLOOKUP($A786,DICO_Complet!$A$3:$U$983,4,FALSE)</f>
        <v>transactionDetails</v>
      </c>
      <c r="E786" s="2" t="str">
        <f>VLOOKUP($A786,DICO_Complet!$A$3:$U$983,5,FALSE)</f>
        <v>informationForCardholder1</v>
      </c>
      <c r="F786" s="2" t="str">
        <f>VLOOKUP($A786,DICO_Complet!$A$3:$U$983,6,FALSE)</f>
        <v>Max32AlphaNumericText</v>
      </c>
      <c r="G786" s="48">
        <f>VLOOKUP($A786,DICO_Complet!$A$3:$U$983,7,FALSE)</f>
        <v>0</v>
      </c>
      <c r="H786" s="48">
        <f>VLOOKUP($A786,DICO_Complet!$A$3:$U$983,8,FALSE)</f>
        <v>0</v>
      </c>
      <c r="I786" s="2" t="str">
        <f>IF(VLOOKUP($A786,DICO_Complet!$A$3:$U$983,9,FALSE)&lt;&gt;0,VLOOKUP($A786,DICO_Complet!$A$3:$U$983,9,FALSE),"")</f>
        <v/>
      </c>
      <c r="J786" s="1" t="str">
        <f>VLOOKUP($A786,DICO_Complet!$A$3:$U$983,10,FALSE)</f>
        <v>Merchant Location</v>
      </c>
      <c r="K786" s="53" t="str">
        <f>IF(VLOOKUP($A786,DICO_Complet!$A$3:$U$983,12,FALSE)=0,"",VLOOKUP($A786,DICO_Complet!$A$3:$U$983,12,FALSE))</f>
        <v/>
      </c>
      <c r="L786" s="53" t="str">
        <f>IF(VLOOKUP($A786,DICO_Complet!$A$3:$U$983,13,FALSE)=0,"",VLOOKUP($A786,DICO_Complet!$A$3:$U$983,13,FALSE))</f>
        <v/>
      </c>
      <c r="M786" s="53" t="str">
        <f>IF(VLOOKUP($A786,DICO_Complet!$A$3:$U$983,14,FALSE)=0,"",VLOOKUP($A786,DICO_Complet!$A$3:$U$983,14,FALSE))</f>
        <v>57_FF01</v>
      </c>
      <c r="N786" s="53" t="str">
        <f>IF(VLOOKUP($A786,DICO_Complet!$A$3:$U$983,15,FALSE)=0,"",VLOOKUP($A786,DICO_Complet!$A$3:$U$983,15,FALSE))</f>
        <v/>
      </c>
      <c r="O786" s="53" t="str">
        <f>IF(VLOOKUP($A786,DICO_Complet!$A$3:$U$983,16,FALSE)=0,"",VLOOKUP($A786,DICO_Complet!$A$3:$U$983,16,FALSE))</f>
        <v/>
      </c>
      <c r="P786" s="53" t="str">
        <f>IF(VLOOKUP($A786,DICO_Complet!$A$3:$U$983,17,FALSE)=0,"",VLOOKUP($A786,DICO_Complet!$A$3:$U$983,17,FALSE))</f>
        <v/>
      </c>
      <c r="Q786" s="53" t="str">
        <f>IF(VLOOKUP($A786,DICO_Complet!$A$3:$U$983,18,FALSE)=0,"",VLOOKUP($A786,DICO_Complet!$A$3:$U$983,18,FALSE))</f>
        <v/>
      </c>
    </row>
    <row r="787" spans="1:17">
      <c r="A787" s="38">
        <v>250414121302</v>
      </c>
      <c r="B787" s="47" t="s">
        <v>858</v>
      </c>
      <c r="C787" s="3" t="str">
        <f>VLOOKUP($A787,DICO_Complet!$A$3:$U$983,3,FALSE)</f>
        <v>Transaction</v>
      </c>
      <c r="D787" s="3" t="str">
        <f>VLOOKUP($A787,DICO_Complet!$A$3:$U$983,4,FALSE)</f>
        <v>transactionDetails</v>
      </c>
      <c r="E787" s="2" t="str">
        <f>VLOOKUP($A787,DICO_Complet!$A$3:$U$983,5,FALSE)</f>
        <v>informationForCardholder2</v>
      </c>
      <c r="F787" s="2" t="str">
        <f>VLOOKUP($A787,DICO_Complet!$A$3:$U$983,6,FALSE)</f>
        <v>Max32AlphaNumericText</v>
      </c>
      <c r="G787" s="48">
        <f>VLOOKUP($A787,DICO_Complet!$A$3:$U$983,7,FALSE)</f>
        <v>0</v>
      </c>
      <c r="H787" s="48">
        <f>VLOOKUP($A787,DICO_Complet!$A$3:$U$983,8,FALSE)</f>
        <v>0</v>
      </c>
      <c r="I787" s="2" t="str">
        <f>IF(VLOOKUP($A787,DICO_Complet!$A$3:$U$983,9,FALSE)&lt;&gt;0,VLOOKUP($A787,DICO_Complet!$A$3:$U$983,9,FALSE),"")</f>
        <v/>
      </c>
      <c r="J787" s="1" t="str">
        <f>VLOOKUP($A787,DICO_Complet!$A$3:$U$983,10,FALSE)</f>
        <v>Name and location of the card acceptor</v>
      </c>
      <c r="K787" s="53" t="str">
        <f>IF(VLOOKUP($A787,DICO_Complet!$A$3:$U$983,12,FALSE)=0,"",VLOOKUP($A787,DICO_Complet!$A$3:$U$983,12,FALSE))</f>
        <v/>
      </c>
      <c r="L787" s="53" t="str">
        <f>IF(VLOOKUP($A787,DICO_Complet!$A$3:$U$983,13,FALSE)=0,"",VLOOKUP($A787,DICO_Complet!$A$3:$U$983,13,FALSE))</f>
        <v/>
      </c>
      <c r="M787" s="53" t="str">
        <f>IF(VLOOKUP($A787,DICO_Complet!$A$3:$U$983,14,FALSE)=0,"",VLOOKUP($A787,DICO_Complet!$A$3:$U$983,14,FALSE))</f>
        <v>57_FF02</v>
      </c>
      <c r="N787" s="53" t="str">
        <f>IF(VLOOKUP($A787,DICO_Complet!$A$3:$U$983,15,FALSE)=0,"",VLOOKUP($A787,DICO_Complet!$A$3:$U$983,15,FALSE))</f>
        <v/>
      </c>
      <c r="O787" s="53" t="str">
        <f>IF(VLOOKUP($A787,DICO_Complet!$A$3:$U$983,16,FALSE)=0,"",VLOOKUP($A787,DICO_Complet!$A$3:$U$983,16,FALSE))</f>
        <v/>
      </c>
      <c r="P787" s="53" t="str">
        <f>IF(VLOOKUP($A787,DICO_Complet!$A$3:$U$983,17,FALSE)=0,"",VLOOKUP($A787,DICO_Complet!$A$3:$U$983,17,FALSE))</f>
        <v/>
      </c>
      <c r="Q787" s="53" t="str">
        <f>IF(VLOOKUP($A787,DICO_Complet!$A$3:$U$983,18,FALSE)=0,"",VLOOKUP($A787,DICO_Complet!$A$3:$U$983,18,FALSE))</f>
        <v/>
      </c>
    </row>
    <row r="788" spans="1:17">
      <c r="A788" s="38">
        <v>241112000207</v>
      </c>
      <c r="B788" s="47" t="s">
        <v>858</v>
      </c>
      <c r="C788" s="3" t="str">
        <f>VLOOKUP($A788,DICO_Complet!$A$3:$U$983,3,FALSE)</f>
        <v>Transaction</v>
      </c>
      <c r="D788" s="3" t="str">
        <f>VLOOKUP($A788,DICO_Complet!$A$3:$U$983,4,FALSE)</f>
        <v>transactionDetails</v>
      </c>
      <c r="E788" s="2" t="str">
        <f>VLOOKUP($A788,DICO_Complet!$A$3:$U$983,5,FALSE)</f>
        <v>initialGmtDateTime</v>
      </c>
      <c r="F788" s="2" t="str">
        <f>VLOOKUP($A788,DICO_Complet!$A$3:$U$983,6,FALSE)</f>
        <v>ISODateTime</v>
      </c>
      <c r="G788" s="48">
        <f>VLOOKUP($A788,DICO_Complet!$A$3:$U$983,7,FALSE)</f>
        <v>0</v>
      </c>
      <c r="H788" s="48">
        <f>VLOOKUP($A788,DICO_Complet!$A$3:$U$983,8,FALSE)</f>
        <v>0</v>
      </c>
      <c r="I788" s="2" t="str">
        <f>IF(VLOOKUP($A788,DICO_Complet!$A$3:$U$983,9,FALSE)&lt;&gt;0,VLOOKUP($A788,DICO_Complet!$A$3:$U$983,9,FALSE),"")</f>
        <v/>
      </c>
      <c r="J788" s="1" t="str">
        <f>VLOOKUP($A788,DICO_Complet!$A$3:$U$983,10,FALSE)</f>
        <v xml:space="preserve">Initial GMT date and time </v>
      </c>
      <c r="K788" s="53" t="str">
        <f>IF(VLOOKUP($A788,DICO_Complet!$A$3:$U$983,12,FALSE)=0,"",VLOOKUP($A788,DICO_Complet!$A$3:$U$983,12,FALSE))</f>
        <v>AUT60</v>
      </c>
      <c r="L788" s="53" t="str">
        <f>IF(VLOOKUP($A788,DICO_Complet!$A$3:$U$983,13,FALSE)=0,"",VLOOKUP($A788,DICO_Complet!$A$3:$U$983,13,FALSE))</f>
        <v/>
      </c>
      <c r="M788" s="53" t="str">
        <f>IF(VLOOKUP($A788,DICO_Complet!$A$3:$U$983,14,FALSE)=0,"",VLOOKUP($A788,DICO_Complet!$A$3:$U$983,14,FALSE))</f>
        <v/>
      </c>
      <c r="N788" s="53" t="str">
        <f>IF(VLOOKUP($A788,DICO_Complet!$A$3:$U$983,15,FALSE)=0,"",VLOOKUP($A788,DICO_Complet!$A$3:$U$983,15,FALSE))</f>
        <v/>
      </c>
      <c r="O788" s="53" t="str">
        <f>IF(VLOOKUP($A788,DICO_Complet!$A$3:$U$983,16,FALSE)=0,"",VLOOKUP($A788,DICO_Complet!$A$3:$U$983,16,FALSE))</f>
        <v/>
      </c>
      <c r="P788" s="53" t="str">
        <f>IF(VLOOKUP($A788,DICO_Complet!$A$3:$U$983,17,FALSE)=0,"",VLOOKUP($A788,DICO_Complet!$A$3:$U$983,17,FALSE))</f>
        <v/>
      </c>
      <c r="Q788" s="53" t="str">
        <f>IF(VLOOKUP($A788,DICO_Complet!$A$3:$U$983,18,FALSE)=0,"",VLOOKUP($A788,DICO_Complet!$A$3:$U$983,18,FALSE))</f>
        <v/>
      </c>
    </row>
    <row r="789" spans="1:17">
      <c r="A789" s="38">
        <v>250212174207</v>
      </c>
      <c r="B789" s="47" t="s">
        <v>858</v>
      </c>
      <c r="C789" s="3" t="str">
        <f>VLOOKUP($A789,DICO_Complet!$A$3:$U$983,3,FALSE)</f>
        <v>Transaction</v>
      </c>
      <c r="D789" s="3" t="str">
        <f>VLOOKUP($A789,DICO_Complet!$A$3:$U$983,4,FALSE)</f>
        <v>transactionDetails</v>
      </c>
      <c r="E789" s="2" t="str">
        <f>VLOOKUP($A789,DICO_Complet!$A$3:$U$983,5,FALSE)</f>
        <v>internalPricing</v>
      </c>
      <c r="F789" s="2" t="str">
        <f>VLOOKUP($A789,DICO_Complet!$A$3:$U$983,6,FALSE)</f>
        <v>PercentageRate</v>
      </c>
      <c r="G789" s="48">
        <f>VLOOKUP($A789,DICO_Complet!$A$3:$U$983,7,FALSE)</f>
        <v>0</v>
      </c>
      <c r="H789" s="48">
        <f>VLOOKUP($A789,DICO_Complet!$A$3:$U$983,8,FALSE)</f>
        <v>0</v>
      </c>
      <c r="I789" s="2" t="str">
        <f>IF(VLOOKUP($A789,DICO_Complet!$A$3:$U$983,9,FALSE)&lt;&gt;0,VLOOKUP($A789,DICO_Complet!$A$3:$U$983,9,FALSE),"")</f>
        <v/>
      </c>
      <c r="J789" s="1" t="str">
        <f>VLOOKUP($A789,DICO_Complet!$A$3:$U$983,10,FALSE)</f>
        <v>Internal Transfer Pricing - Na pas transmettre sans adaptation.</v>
      </c>
      <c r="K789" s="53" t="str">
        <f>IF(VLOOKUP($A789,DICO_Complet!$A$3:$U$983,12,FALSE)=0,"",VLOOKUP($A789,DICO_Complet!$A$3:$U$983,12,FALSE))</f>
        <v>RSB119_0011</v>
      </c>
      <c r="L789" s="53" t="str">
        <f>IF(VLOOKUP($A789,DICO_Complet!$A$3:$U$983,13,FALSE)=0,"",VLOOKUP($A789,DICO_Complet!$A$3:$U$983,13,FALSE))</f>
        <v>119_0011</v>
      </c>
      <c r="M789" s="53" t="str">
        <f>IF(VLOOKUP($A789,DICO_Complet!$A$3:$U$983,14,FALSE)=0,"",VLOOKUP($A789,DICO_Complet!$A$3:$U$983,14,FALSE))</f>
        <v/>
      </c>
      <c r="N789" s="53" t="str">
        <f>IF(VLOOKUP($A789,DICO_Complet!$A$3:$U$983,15,FALSE)=0,"",VLOOKUP($A789,DICO_Complet!$A$3:$U$983,15,FALSE))</f>
        <v/>
      </c>
      <c r="O789" s="53" t="str">
        <f>IF(VLOOKUP($A789,DICO_Complet!$A$3:$U$983,16,FALSE)=0,"",VLOOKUP($A789,DICO_Complet!$A$3:$U$983,16,FALSE))</f>
        <v>[125 / 2 / ID 69 / Tag 80]</v>
      </c>
      <c r="P789" s="53" t="str">
        <f>IF(VLOOKUP($A789,DICO_Complet!$A$3:$U$983,17,FALSE)=0,"",VLOOKUP($A789,DICO_Complet!$A$3:$U$983,17,FALSE))</f>
        <v/>
      </c>
      <c r="Q789" s="53" t="str">
        <f>IF(VLOOKUP($A789,DICO_Complet!$A$3:$U$983,18,FALSE)=0,"",VLOOKUP($A789,DICO_Complet!$A$3:$U$983,18,FALSE))</f>
        <v/>
      </c>
    </row>
    <row r="790" spans="1:17">
      <c r="A790" s="38">
        <v>241112000208</v>
      </c>
      <c r="B790" s="47" t="s">
        <v>858</v>
      </c>
      <c r="C790" s="3" t="str">
        <f>VLOOKUP($A790,DICO_Complet!$A$3:$U$983,3,FALSE)</f>
        <v>Transaction</v>
      </c>
      <c r="D790" s="3" t="str">
        <f>VLOOKUP($A790,DICO_Complet!$A$3:$U$983,4,FALSE)</f>
        <v>transactionDetails</v>
      </c>
      <c r="E790" s="2" t="str">
        <f>VLOOKUP($A790,DICO_Complet!$A$3:$U$983,5,FALSE)</f>
        <v>issuerProprietaryData</v>
      </c>
      <c r="F790" s="2" t="str">
        <f>VLOOKUP($A790,DICO_Complet!$A$3:$U$983,6,FALSE)</f>
        <v>Max32HexBinaryText</v>
      </c>
      <c r="G790" s="48">
        <f>VLOOKUP($A790,DICO_Complet!$A$3:$U$983,7,FALSE)</f>
        <v>0</v>
      </c>
      <c r="H790" s="48">
        <f>VLOOKUP($A790,DICO_Complet!$A$3:$U$983,8,FALSE)</f>
        <v>0</v>
      </c>
      <c r="I790" s="2" t="str">
        <f>IF(VLOOKUP($A790,DICO_Complet!$A$3:$U$983,9,FALSE)&lt;&gt;0,VLOOKUP($A790,DICO_Complet!$A$3:$U$983,9,FALSE),"")</f>
        <v/>
      </c>
      <c r="J790" s="1" t="str">
        <f>VLOOKUP($A790,DICO_Complet!$A$3:$U$983,10,FALSE)</f>
        <v>Contains data to be transmitted to the issuer</v>
      </c>
      <c r="K790" s="53" t="str">
        <f>IF(VLOOKUP($A790,DICO_Complet!$A$3:$U$983,12,FALSE)=0,"",VLOOKUP($A790,DICO_Complet!$A$3:$U$983,12,FALSE))</f>
        <v>RSB55_9F7C</v>
      </c>
      <c r="L790" s="53" t="str">
        <f>IF(VLOOKUP($A790,DICO_Complet!$A$3:$U$983,13,FALSE)=0,"",VLOOKUP($A790,DICO_Complet!$A$3:$U$983,13,FALSE))</f>
        <v>[55-9F7C]</v>
      </c>
      <c r="M790" s="53" t="str">
        <f>IF(VLOOKUP($A790,DICO_Complet!$A$3:$U$983,14,FALSE)=0,"",VLOOKUP($A790,DICO_Complet!$A$3:$U$983,14,FALSE))</f>
        <v/>
      </c>
      <c r="N790" s="53" t="str">
        <f>IF(VLOOKUP($A790,DICO_Complet!$A$3:$U$983,15,FALSE)=0,"",VLOOKUP($A790,DICO_Complet!$A$3:$U$983,15,FALSE))</f>
        <v/>
      </c>
      <c r="O790" s="53" t="str">
        <f>IF(VLOOKUP($A790,DICO_Complet!$A$3:$U$983,16,FALSE)=0,"",VLOOKUP($A790,DICO_Complet!$A$3:$U$983,16,FALSE))</f>
        <v/>
      </c>
      <c r="P790" s="53" t="str">
        <f>IF(VLOOKUP($A790,DICO_Complet!$A$3:$U$983,17,FALSE)=0,"",VLOOKUP($A790,DICO_Complet!$A$3:$U$983,17,FALSE))</f>
        <v/>
      </c>
      <c r="Q790" s="53" t="str">
        <f>IF(VLOOKUP($A790,DICO_Complet!$A$3:$U$983,18,FALSE)=0,"",VLOOKUP($A790,DICO_Complet!$A$3:$U$983,18,FALSE))</f>
        <v/>
      </c>
    </row>
    <row r="791" spans="1:17">
      <c r="A791" s="38">
        <v>241112000209</v>
      </c>
      <c r="B791" s="47" t="s">
        <v>858</v>
      </c>
      <c r="C791" s="3" t="str">
        <f>VLOOKUP($A791,DICO_Complet!$A$3:$U$983,3,FALSE)</f>
        <v>Transaction</v>
      </c>
      <c r="D791" s="3" t="str">
        <f>VLOOKUP($A791,DICO_Complet!$A$3:$U$983,4,FALSE)</f>
        <v>transactionDetails</v>
      </c>
      <c r="E791" s="2" t="str">
        <f>VLOOKUP($A791,DICO_Complet!$A$3:$U$983,5,FALSE)</f>
        <v>lowValueExemptionIndicator</v>
      </c>
      <c r="F791" s="2" t="str">
        <f>VLOOKUP($A791,DICO_Complet!$A$3:$U$983,6,FALSE)</f>
        <v>Exact1AlphaNumericText</v>
      </c>
      <c r="G791" s="48">
        <f>VLOOKUP($A791,DICO_Complet!$A$3:$U$983,7,FALSE)</f>
        <v>0</v>
      </c>
      <c r="H791" s="48">
        <f>VLOOKUP($A791,DICO_Complet!$A$3:$U$983,8,FALSE)</f>
        <v>0</v>
      </c>
      <c r="I791" s="2" t="str">
        <f>IF(VLOOKUP($A791,DICO_Complet!$A$3:$U$983,9,FALSE)&lt;&gt;0,VLOOKUP($A791,DICO_Complet!$A$3:$U$983,9,FALSE),"")</f>
        <v/>
      </c>
      <c r="J791" s="1" t="str">
        <f>VLOOKUP($A791,DICO_Complet!$A$3:$U$983,10,FALSE)</f>
        <v>Low value exemption indicator</v>
      </c>
      <c r="K791" s="53" t="str">
        <f>IF(VLOOKUP($A791,DICO_Complet!$A$3:$U$983,12,FALSE)=0,"",VLOOKUP($A791,DICO_Complet!$A$3:$U$983,12,FALSE))</f>
        <v>RSB119_0029</v>
      </c>
      <c r="L791" s="53" t="str">
        <f>IF(VLOOKUP($A791,DICO_Complet!$A$3:$U$983,13,FALSE)=0,"",VLOOKUP($A791,DICO_Complet!$A$3:$U$983,13,FALSE))</f>
        <v>[119-0029]</v>
      </c>
      <c r="M791" s="53" t="str">
        <f>IF(VLOOKUP($A791,DICO_Complet!$A$3:$U$983,14,FALSE)=0,"",VLOOKUP($A791,DICO_Complet!$A$3:$U$983,14,FALSE))</f>
        <v/>
      </c>
      <c r="N791" s="53" t="str">
        <f>IF(VLOOKUP($A791,DICO_Complet!$A$3:$U$983,15,FALSE)=0,"",VLOOKUP($A791,DICO_Complet!$A$3:$U$983,15,FALSE))</f>
        <v/>
      </c>
      <c r="O791" s="53" t="str">
        <f>IF(VLOOKUP($A791,DICO_Complet!$A$3:$U$983,16,FALSE)=0,"",VLOOKUP($A791,DICO_Complet!$A$3:$U$983,16,FALSE))</f>
        <v/>
      </c>
      <c r="P791" s="53" t="str">
        <f>IF(VLOOKUP($A791,DICO_Complet!$A$3:$U$983,17,FALSE)=0,"",VLOOKUP($A791,DICO_Complet!$A$3:$U$983,17,FALSE))</f>
        <v/>
      </c>
      <c r="Q791" s="53" t="str">
        <f>IF(VLOOKUP($A791,DICO_Complet!$A$3:$U$983,18,FALSE)=0,"",VLOOKUP($A791,DICO_Complet!$A$3:$U$983,18,FALSE))</f>
        <v/>
      </c>
    </row>
    <row r="792" spans="1:17">
      <c r="A792" s="38">
        <v>241112000210</v>
      </c>
      <c r="B792" s="47" t="s">
        <v>858</v>
      </c>
      <c r="C792" s="3" t="str">
        <f>VLOOKUP($A792,DICO_Complet!$A$3:$U$983,3,FALSE)</f>
        <v>Transaction</v>
      </c>
      <c r="D792" s="3" t="str">
        <f>VLOOKUP($A792,DICO_Complet!$A$3:$U$983,4,FALSE)</f>
        <v>transactionDetails</v>
      </c>
      <c r="E792" s="2" t="str">
        <f>VLOOKUP($A792,DICO_Complet!$A$3:$U$983,5,FALSE)</f>
        <v>microchipProcessingResult</v>
      </c>
      <c r="F792" s="2" t="str">
        <f>VLOOKUP($A792,DICO_Complet!$A$3:$U$983,6,FALSE)</f>
        <v>Exact2NumericText</v>
      </c>
      <c r="G792" s="48">
        <f>VLOOKUP($A792,DICO_Complet!$A$3:$U$983,7,FALSE)</f>
        <v>0</v>
      </c>
      <c r="H792" s="48">
        <f>VLOOKUP($A792,DICO_Complet!$A$3:$U$983,8,FALSE)</f>
        <v>0</v>
      </c>
      <c r="I792" s="2" t="str">
        <f>IF(VLOOKUP($A792,DICO_Complet!$A$3:$U$983,9,FALSE)&lt;&gt;0,VLOOKUP($A792,DICO_Complet!$A$3:$U$983,9,FALSE),"")</f>
        <v/>
      </c>
      <c r="J792" s="1" t="str">
        <f>VLOOKUP($A792,DICO_Complet!$A$3:$U$983,10,FALSE)</f>
        <v>Microchip Processing Result</v>
      </c>
      <c r="K792" s="53" t="str">
        <f>IF(VLOOKUP($A792,DICO_Complet!$A$3:$U$983,12,FALSE)=0,"",VLOOKUP($A792,DICO_Complet!$A$3:$U$983,12,FALSE))</f>
        <v>RSB55_DF80</v>
      </c>
      <c r="L792" s="53" t="str">
        <f>IF(VLOOKUP($A792,DICO_Complet!$A$3:$U$983,13,FALSE)=0,"",VLOOKUP($A792,DICO_Complet!$A$3:$U$983,13,FALSE))</f>
        <v>[55-DF80]</v>
      </c>
      <c r="M792" s="53" t="str">
        <f>IF(VLOOKUP($A792,DICO_Complet!$A$3:$U$983,14,FALSE)=0,"",VLOOKUP($A792,DICO_Complet!$A$3:$U$983,14,FALSE))</f>
        <v/>
      </c>
      <c r="N792" s="53" t="str">
        <f>IF(VLOOKUP($A792,DICO_Complet!$A$3:$U$983,15,FALSE)=0,"",VLOOKUP($A792,DICO_Complet!$A$3:$U$983,15,FALSE))</f>
        <v/>
      </c>
      <c r="O792" s="53" t="str">
        <f>IF(VLOOKUP($A792,DICO_Complet!$A$3:$U$983,16,FALSE)=0,"",VLOOKUP($A792,DICO_Complet!$A$3:$U$983,16,FALSE))</f>
        <v/>
      </c>
      <c r="P792" s="53" t="str">
        <f>IF(VLOOKUP($A792,DICO_Complet!$A$3:$U$983,17,FALSE)=0,"",VLOOKUP($A792,DICO_Complet!$A$3:$U$983,17,FALSE))</f>
        <v/>
      </c>
      <c r="Q792" s="53" t="str">
        <f>IF(VLOOKUP($A792,DICO_Complet!$A$3:$U$983,18,FALSE)=0,"",VLOOKUP($A792,DICO_Complet!$A$3:$U$983,18,FALSE))</f>
        <v/>
      </c>
    </row>
    <row r="793" spans="1:17">
      <c r="A793" s="38">
        <v>241112000211</v>
      </c>
      <c r="B793" s="47" t="s">
        <v>858</v>
      </c>
      <c r="C793" s="3" t="str">
        <f>VLOOKUP($A793,DICO_Complet!$A$3:$U$983,3,FALSE)</f>
        <v>Transaction</v>
      </c>
      <c r="D793" s="3" t="str">
        <f>VLOOKUP($A793,DICO_Complet!$A$3:$U$983,4,FALSE)</f>
        <v>transactionDetails</v>
      </c>
      <c r="E793" s="2" t="str">
        <f>VLOOKUP($A793,DICO_Complet!$A$3:$U$983,5,FALSE)</f>
        <v>multiplePaymentValidityDate</v>
      </c>
      <c r="F793" s="2" t="str">
        <f>VLOOKUP($A793,DICO_Complet!$A$3:$U$983,6,FALSE)</f>
        <v>ISODate</v>
      </c>
      <c r="G793" s="48">
        <f>VLOOKUP($A793,DICO_Complet!$A$3:$U$983,7,FALSE)</f>
        <v>0</v>
      </c>
      <c r="H793" s="48">
        <f>VLOOKUP($A793,DICO_Complet!$A$3:$U$983,8,FALSE)</f>
        <v>0</v>
      </c>
      <c r="I793" s="2" t="str">
        <f>IF(VLOOKUP($A793,DICO_Complet!$A$3:$U$983,9,FALSE)&lt;&gt;0,VLOOKUP($A793,DICO_Complet!$A$3:$U$983,9,FALSE),"")</f>
        <v/>
      </c>
      <c r="J793" s="1" t="str">
        <f>VLOOKUP($A793,DICO_Complet!$A$3:$U$983,10,FALSE)</f>
        <v>Validity date for a multiple payment</v>
      </c>
      <c r="K793" s="53" t="str">
        <f>IF(VLOOKUP($A793,DICO_Complet!$A$3:$U$983,12,FALSE)=0,"",VLOOKUP($A793,DICO_Complet!$A$3:$U$983,12,FALSE))</f>
        <v>RSB57_45</v>
      </c>
      <c r="L793" s="53" t="str">
        <f>IF(VLOOKUP($A793,DICO_Complet!$A$3:$U$983,13,FALSE)=0,"",VLOOKUP($A793,DICO_Complet!$A$3:$U$983,13,FALSE))</f>
        <v>[57-0045]</v>
      </c>
      <c r="M793" s="53" t="str">
        <f>IF(VLOOKUP($A793,DICO_Complet!$A$3:$U$983,14,FALSE)=0,"",VLOOKUP($A793,DICO_Complet!$A$3:$U$983,14,FALSE))</f>
        <v/>
      </c>
      <c r="N793" s="53" t="str">
        <f>IF(VLOOKUP($A793,DICO_Complet!$A$3:$U$983,15,FALSE)=0,"",VLOOKUP($A793,DICO_Complet!$A$3:$U$983,15,FALSE))</f>
        <v/>
      </c>
      <c r="O793" s="53" t="str">
        <f>IF(VLOOKUP($A793,DICO_Complet!$A$3:$U$983,16,FALSE)=0,"",VLOOKUP($A793,DICO_Complet!$A$3:$U$983,16,FALSE))</f>
        <v/>
      </c>
      <c r="P793" s="53" t="str">
        <f>IF(VLOOKUP($A793,DICO_Complet!$A$3:$U$983,17,FALSE)=0,"",VLOOKUP($A793,DICO_Complet!$A$3:$U$983,17,FALSE))</f>
        <v/>
      </c>
      <c r="Q793" s="53" t="str">
        <f>IF(VLOOKUP($A793,DICO_Complet!$A$3:$U$983,18,FALSE)=0,"",VLOOKUP($A793,DICO_Complet!$A$3:$U$983,18,FALSE))</f>
        <v/>
      </c>
    </row>
    <row r="794" spans="1:17">
      <c r="A794" s="38">
        <v>250331151801</v>
      </c>
      <c r="B794" s="47" t="s">
        <v>858</v>
      </c>
      <c r="C794" s="3" t="str">
        <f>VLOOKUP($A794,DICO_Complet!$A$3:$U$983,3,FALSE)</f>
        <v>Transaction</v>
      </c>
      <c r="D794" s="3" t="str">
        <f>VLOOKUP($A794,DICO_Complet!$A$3:$U$983,4,FALSE)</f>
        <v>transactionDetails</v>
      </c>
      <c r="E794" s="2" t="str">
        <f>VLOOKUP($A794,DICO_Complet!$A$3:$U$983,5,FALSE)</f>
        <v>nextAction</v>
      </c>
      <c r="F794" s="2" t="str">
        <f>VLOOKUP($A794,DICO_Complet!$A$3:$U$983,6,FALSE)</f>
        <v>NextActionCodeset</v>
      </c>
      <c r="G794" s="48">
        <f>VLOOKUP($A794,DICO_Complet!$A$3:$U$983,7,FALSE)</f>
        <v>0</v>
      </c>
      <c r="H794" s="48">
        <f>VLOOKUP($A794,DICO_Complet!$A$3:$U$983,8,FALSE)</f>
        <v>0</v>
      </c>
      <c r="I794" s="2" t="str">
        <f>IF(VLOOKUP($A794,DICO_Complet!$A$3:$U$983,9,FALSE)&lt;&gt;0,VLOOKUP($A794,DICO_Complet!$A$3:$U$983,9,FALSE),"")</f>
        <v/>
      </c>
      <c r="J794" s="1" t="str">
        <f>VLOOKUP($A794,DICO_Complet!$A$3:$U$983,10,FALSE)</f>
        <v>Next action</v>
      </c>
      <c r="K794" s="53" t="str">
        <f>IF(VLOOKUP($A794,DICO_Complet!$A$3:$U$983,12,FALSE)=0,"",VLOOKUP($A794,DICO_Complet!$A$3:$U$983,12,FALSE))</f>
        <v/>
      </c>
      <c r="L794" s="53" t="str">
        <f>IF(VLOOKUP($A794,DICO_Complet!$A$3:$U$983,13,FALSE)=0,"",VLOOKUP($A794,DICO_Complet!$A$3:$U$983,13,FALSE))</f>
        <v/>
      </c>
      <c r="M794" s="53" t="str">
        <f>IF(VLOOKUP($A794,DICO_Complet!$A$3:$U$983,14,FALSE)=0,"",VLOOKUP($A794,DICO_Complet!$A$3:$U$983,14,FALSE))</f>
        <v>39 part 2</v>
      </c>
      <c r="N794" s="53" t="str">
        <f>IF(VLOOKUP($A794,DICO_Complet!$A$3:$U$983,15,FALSE)=0,"",VLOOKUP($A794,DICO_Complet!$A$3:$U$983,15,FALSE))</f>
        <v/>
      </c>
      <c r="O794" s="53" t="str">
        <f>IF(VLOOKUP($A794,DICO_Complet!$A$3:$U$983,16,FALSE)=0,"",VLOOKUP($A794,DICO_Complet!$A$3:$U$983,16,FALSE))</f>
        <v/>
      </c>
      <c r="P794" s="53" t="str">
        <f>IF(VLOOKUP($A794,DICO_Complet!$A$3:$U$983,17,FALSE)=0,"",VLOOKUP($A794,DICO_Complet!$A$3:$U$983,17,FALSE))</f>
        <v/>
      </c>
      <c r="Q794" s="53" t="str">
        <f>IF(VLOOKUP($A794,DICO_Complet!$A$3:$U$983,18,FALSE)=0,"",VLOOKUP($A794,DICO_Complet!$A$3:$U$983,18,FALSE))</f>
        <v/>
      </c>
    </row>
    <row r="795" spans="1:17">
      <c r="A795" s="38">
        <v>250324131111</v>
      </c>
      <c r="B795" s="47" t="s">
        <v>858</v>
      </c>
      <c r="C795" s="3" t="str">
        <f>VLOOKUP($A795,DICO_Complet!$A$3:$U$983,3,FALSE)</f>
        <v>Transaction</v>
      </c>
      <c r="D795" s="3" t="str">
        <f>VLOOKUP($A795,DICO_Complet!$A$3:$U$983,4,FALSE)</f>
        <v>transactionDetails</v>
      </c>
      <c r="E795" s="2" t="str">
        <f>VLOOKUP($A795,DICO_Complet!$A$3:$U$983,5,FALSE)</f>
        <v>nonrefundReason</v>
      </c>
      <c r="F795" s="2" t="str">
        <f>VLOOKUP($A795,DICO_Complet!$A$3:$U$983,6,FALSE)</f>
        <v>Max255Text</v>
      </c>
      <c r="G795" s="48">
        <f>VLOOKUP($A795,DICO_Complet!$A$3:$U$983,7,FALSE)</f>
        <v>0</v>
      </c>
      <c r="H795" s="48">
        <f>VLOOKUP($A795,DICO_Complet!$A$3:$U$983,8,FALSE)</f>
        <v>0</v>
      </c>
      <c r="I795" s="2" t="str">
        <f>IF(VLOOKUP($A795,DICO_Complet!$A$3:$U$983,9,FALSE)&lt;&gt;0,VLOOKUP($A795,DICO_Complet!$A$3:$U$983,9,FALSE),"")</f>
        <v/>
      </c>
      <c r="J795" s="1" t="str">
        <f>VLOOKUP($A795,DICO_Complet!$A$3:$U$983,10,FALSE)</f>
        <v>Resaon of the nonrefund of the dispute</v>
      </c>
      <c r="K795" s="53" t="str">
        <f>IF(VLOOKUP($A795,DICO_Complet!$A$3:$U$983,12,FALSE)=0,"",VLOOKUP($A795,DICO_Complet!$A$3:$U$983,12,FALSE))</f>
        <v/>
      </c>
      <c r="L795" s="53" t="str">
        <f>IF(VLOOKUP($A795,DICO_Complet!$A$3:$U$983,13,FALSE)=0,"",VLOOKUP($A795,DICO_Complet!$A$3:$U$983,13,FALSE))</f>
        <v/>
      </c>
      <c r="M795" s="53" t="str">
        <f>IF(VLOOKUP($A795,DICO_Complet!$A$3:$U$983,14,FALSE)=0,"",VLOOKUP($A795,DICO_Complet!$A$3:$U$983,14,FALSE))</f>
        <v/>
      </c>
      <c r="N795" s="53" t="str">
        <f>IF(VLOOKUP($A795,DICO_Complet!$A$3:$U$983,15,FALSE)=0,"",VLOOKUP($A795,DICO_Complet!$A$3:$U$983,15,FALSE))</f>
        <v/>
      </c>
      <c r="O795" s="53" t="str">
        <f>IF(VLOOKUP($A795,DICO_Complet!$A$3:$U$983,16,FALSE)=0,"",VLOOKUP($A795,DICO_Complet!$A$3:$U$983,16,FALSE))</f>
        <v/>
      </c>
      <c r="P795" s="53" t="str">
        <f>IF(VLOOKUP($A795,DICO_Complet!$A$3:$U$983,17,FALSE)=0,"",VLOOKUP($A795,DICO_Complet!$A$3:$U$983,17,FALSE))</f>
        <v/>
      </c>
      <c r="Q795" s="53" t="str">
        <f>IF(VLOOKUP($A795,DICO_Complet!$A$3:$U$983,18,FALSE)=0,"",VLOOKUP($A795,DICO_Complet!$A$3:$U$983,18,FALSE))</f>
        <v/>
      </c>
    </row>
    <row r="796" spans="1:17">
      <c r="A796" s="38">
        <v>241112000213</v>
      </c>
      <c r="B796" s="47" t="s">
        <v>858</v>
      </c>
      <c r="C796" s="3" t="str">
        <f>VLOOKUP($A796,DICO_Complet!$A$3:$U$983,3,FALSE)</f>
        <v>Transaction</v>
      </c>
      <c r="D796" s="3" t="str">
        <f>VLOOKUP($A796,DICO_Complet!$A$3:$U$983,4,FALSE)</f>
        <v>transactionDetails</v>
      </c>
      <c r="E796" s="2" t="str">
        <f>VLOOKUP($A796,DICO_Complet!$A$3:$U$983,5,FALSE)</f>
        <v>originalUniqueIdentifier</v>
      </c>
      <c r="F796" s="2" t="str">
        <f>VLOOKUP($A796,DICO_Complet!$A$3:$U$983,6,FALSE)</f>
        <v>Max50Text</v>
      </c>
      <c r="G796" s="48">
        <f>VLOOKUP($A796,DICO_Complet!$A$3:$U$983,7,FALSE)</f>
        <v>0</v>
      </c>
      <c r="H796" s="48">
        <f>VLOOKUP($A796,DICO_Complet!$A$3:$U$983,8,FALSE)</f>
        <v>0</v>
      </c>
      <c r="I796" s="2" t="str">
        <f>IF(VLOOKUP($A796,DICO_Complet!$A$3:$U$983,9,FALSE)&lt;&gt;0,VLOOKUP($A796,DICO_Complet!$A$3:$U$983,9,FALSE),"")</f>
        <v/>
      </c>
      <c r="J796" s="1" t="str">
        <f>VLOOKUP($A796,DICO_Complet!$A$3:$U$983,10,FALSE)</f>
        <v>Original unique transaction identifier</v>
      </c>
      <c r="K796" s="53" t="str">
        <f>IF(VLOOKUP($A796,DICO_Complet!$A$3:$U$983,12,FALSE)=0,"",VLOOKUP($A796,DICO_Complet!$A$3:$U$983,12,FALSE))</f>
        <v>RSB47_99</v>
      </c>
      <c r="L796" s="53" t="str">
        <f>IF(VLOOKUP($A796,DICO_Complet!$A$3:$U$983,13,FALSE)=0,"",VLOOKUP($A796,DICO_Complet!$A$3:$U$983,13,FALSE))</f>
        <v>[47-99]</v>
      </c>
      <c r="M796" s="53" t="str">
        <f>IF(VLOOKUP($A796,DICO_Complet!$A$3:$U$983,14,FALSE)=0,"",VLOOKUP($A796,DICO_Complet!$A$3:$U$983,14,FALSE))</f>
        <v>[47_95]/47_99</v>
      </c>
      <c r="N796" s="53" t="str">
        <f>IF(VLOOKUP($A796,DICO_Complet!$A$3:$U$983,15,FALSE)=0,"",VLOOKUP($A796,DICO_Complet!$A$3:$U$983,15,FALSE))</f>
        <v/>
      </c>
      <c r="O796" s="53" t="str">
        <f>IF(VLOOKUP($A796,DICO_Complet!$A$3:$U$983,16,FALSE)=0,"",VLOOKUP($A796,DICO_Complet!$A$3:$U$983,16,FALSE))</f>
        <v/>
      </c>
      <c r="P796" s="53" t="str">
        <f>IF(VLOOKUP($A796,DICO_Complet!$A$3:$U$983,17,FALSE)=0,"",VLOOKUP($A796,DICO_Complet!$A$3:$U$983,17,FALSE))</f>
        <v/>
      </c>
      <c r="Q796" s="53" t="str">
        <f>IF(VLOOKUP($A796,DICO_Complet!$A$3:$U$983,18,FALSE)=0,"",VLOOKUP($A796,DICO_Complet!$A$3:$U$983,18,FALSE))</f>
        <v/>
      </c>
    </row>
    <row r="797" spans="1:17">
      <c r="A797" s="38">
        <v>250414115102</v>
      </c>
      <c r="B797" s="47" t="s">
        <v>858</v>
      </c>
      <c r="C797" s="3" t="str">
        <f>VLOOKUP($A797,DICO_Complet!$A$3:$U$983,3,FALSE)</f>
        <v>Transaction</v>
      </c>
      <c r="D797" s="3" t="str">
        <f>VLOOKUP($A797,DICO_Complet!$A$3:$U$983,4,FALSE)</f>
        <v>transactionDetails</v>
      </c>
      <c r="E797" s="2" t="str">
        <f>VLOOKUP($A797,DICO_Complet!$A$3:$U$983,5,FALSE)</f>
        <v>partialAuthorisedAmount</v>
      </c>
      <c r="F797" s="2" t="str">
        <f>VLOOKUP($A797,DICO_Complet!$A$3:$U$983,6,FALSE)</f>
        <v>AmountType</v>
      </c>
      <c r="G797" s="48">
        <f>VLOOKUP($A797,DICO_Complet!$A$3:$U$983,7,FALSE)</f>
        <v>0</v>
      </c>
      <c r="H797" s="48">
        <f>VLOOKUP($A797,DICO_Complet!$A$3:$U$983,8,FALSE)</f>
        <v>0</v>
      </c>
      <c r="I797" s="2" t="str">
        <f>IF(VLOOKUP($A797,DICO_Complet!$A$3:$U$983,9,FALSE)&lt;&gt;0,VLOOKUP($A797,DICO_Complet!$A$3:$U$983,9,FALSE),"")</f>
        <v/>
      </c>
      <c r="J797" s="1" t="str">
        <f>VLOOKUP($A797,DICO_Complet!$A$3:$U$983,10,FALSE)</f>
        <v>Authorised amount (partial authorisation)</v>
      </c>
      <c r="K797" s="53" t="str">
        <f>IF(VLOOKUP($A797,DICO_Complet!$A$3:$U$983,12,FALSE)=0,"",VLOOKUP($A797,DICO_Complet!$A$3:$U$983,12,FALSE))</f>
        <v/>
      </c>
      <c r="L797" s="53" t="str">
        <f>IF(VLOOKUP($A797,DICO_Complet!$A$3:$U$983,13,FALSE)=0,"",VLOOKUP($A797,DICO_Complet!$A$3:$U$983,13,FALSE))</f>
        <v/>
      </c>
      <c r="M797" s="53" t="str">
        <f>IF(VLOOKUP($A797,DICO_Complet!$A$3:$U$983,14,FALSE)=0,"",VLOOKUP($A797,DICO_Complet!$A$3:$U$983,14,FALSE))</f>
        <v>54_59</v>
      </c>
      <c r="N797" s="53" t="str">
        <f>IF(VLOOKUP($A797,DICO_Complet!$A$3:$U$983,15,FALSE)=0,"",VLOOKUP($A797,DICO_Complet!$A$3:$U$983,15,FALSE))</f>
        <v/>
      </c>
      <c r="O797" s="53" t="str">
        <f>IF(VLOOKUP($A797,DICO_Complet!$A$3:$U$983,16,FALSE)=0,"",VLOOKUP($A797,DICO_Complet!$A$3:$U$983,16,FALSE))</f>
        <v/>
      </c>
      <c r="P797" s="53" t="str">
        <f>IF(VLOOKUP($A797,DICO_Complet!$A$3:$U$983,17,FALSE)=0,"",VLOOKUP($A797,DICO_Complet!$A$3:$U$983,17,FALSE))</f>
        <v/>
      </c>
      <c r="Q797" s="53" t="str">
        <f>IF(VLOOKUP($A797,DICO_Complet!$A$3:$U$983,18,FALSE)=0,"",VLOOKUP($A797,DICO_Complet!$A$3:$U$983,18,FALSE))</f>
        <v/>
      </c>
    </row>
    <row r="798" spans="1:17">
      <c r="A798" s="38">
        <v>250414115100</v>
      </c>
      <c r="B798" s="47" t="s">
        <v>858</v>
      </c>
      <c r="C798" s="3" t="str">
        <f>VLOOKUP($A798,DICO_Complet!$A$3:$U$983,3,FALSE)</f>
        <v>Transaction</v>
      </c>
      <c r="D798" s="3" t="str">
        <f>VLOOKUP($A798,DICO_Complet!$A$3:$U$983,4,FALSE)</f>
        <v>transactionDetails</v>
      </c>
      <c r="E798" s="2" t="str">
        <f>VLOOKUP($A798,DICO_Complet!$A$3:$U$983,5,FALSE)</f>
        <v>partialauthorisedOriginalAmount</v>
      </c>
      <c r="F798" s="2" t="str">
        <f>VLOOKUP($A798,DICO_Complet!$A$3:$U$983,6,FALSE)</f>
        <v>AmountType</v>
      </c>
      <c r="G798" s="48">
        <f>VLOOKUP($A798,DICO_Complet!$A$3:$U$983,7,FALSE)</f>
        <v>0</v>
      </c>
      <c r="H798" s="48">
        <f>VLOOKUP($A798,DICO_Complet!$A$3:$U$983,8,FALSE)</f>
        <v>0</v>
      </c>
      <c r="I798" s="2" t="str">
        <f>IF(VLOOKUP($A798,DICO_Complet!$A$3:$U$983,9,FALSE)&lt;&gt;0,VLOOKUP($A798,DICO_Complet!$A$3:$U$983,9,FALSE),"")</f>
        <v/>
      </c>
      <c r="J798" s="1" t="str">
        <f>VLOOKUP($A798,DICO_Complet!$A$3:$U$983,10,FALSE)</f>
        <v>Original amount (partial authorisation)</v>
      </c>
      <c r="K798" s="53" t="str">
        <f>IF(VLOOKUP($A798,DICO_Complet!$A$3:$U$983,12,FALSE)=0,"",VLOOKUP($A798,DICO_Complet!$A$3:$U$983,12,FALSE))</f>
        <v/>
      </c>
      <c r="L798" s="53" t="str">
        <f>IF(VLOOKUP($A798,DICO_Complet!$A$3:$U$983,13,FALSE)=0,"",VLOOKUP($A798,DICO_Complet!$A$3:$U$983,13,FALSE))</f>
        <v/>
      </c>
      <c r="M798" s="53" t="str">
        <f>IF(VLOOKUP($A798,DICO_Complet!$A$3:$U$983,14,FALSE)=0,"",VLOOKUP($A798,DICO_Complet!$A$3:$U$983,14,FALSE))</f>
        <v>54_57</v>
      </c>
      <c r="N798" s="53" t="str">
        <f>IF(VLOOKUP($A798,DICO_Complet!$A$3:$U$983,15,FALSE)=0,"",VLOOKUP($A798,DICO_Complet!$A$3:$U$983,15,FALSE))</f>
        <v/>
      </c>
      <c r="O798" s="53" t="str">
        <f>IF(VLOOKUP($A798,DICO_Complet!$A$3:$U$983,16,FALSE)=0,"",VLOOKUP($A798,DICO_Complet!$A$3:$U$983,16,FALSE))</f>
        <v/>
      </c>
      <c r="P798" s="53" t="str">
        <f>IF(VLOOKUP($A798,DICO_Complet!$A$3:$U$983,17,FALSE)=0,"",VLOOKUP($A798,DICO_Complet!$A$3:$U$983,17,FALSE))</f>
        <v/>
      </c>
      <c r="Q798" s="53" t="str">
        <f>IF(VLOOKUP($A798,DICO_Complet!$A$3:$U$983,18,FALSE)=0,"",VLOOKUP($A798,DICO_Complet!$A$3:$U$983,18,FALSE))</f>
        <v/>
      </c>
    </row>
    <row r="799" spans="1:17">
      <c r="A799" s="38">
        <v>250422133703</v>
      </c>
      <c r="B799" s="47" t="s">
        <v>858</v>
      </c>
      <c r="C799" s="3" t="str">
        <f>VLOOKUP($A799,DICO_Complet!$A$3:$U$983,3,FALSE)</f>
        <v>Transaction</v>
      </c>
      <c r="D799" s="3" t="str">
        <f>VLOOKUP($A799,DICO_Complet!$A$3:$U$983,4,FALSE)</f>
        <v>transactionDetails</v>
      </c>
      <c r="E799" s="2" t="str">
        <f>VLOOKUP($A799,DICO_Complet!$A$3:$U$983,5,FALSE)</f>
        <v>paymentNumber</v>
      </c>
      <c r="F799" s="2" t="str">
        <f>VLOOKUP($A799,DICO_Complet!$A$3:$U$983,6,FALSE)</f>
        <v>Exact4NumericText</v>
      </c>
      <c r="G799" s="48">
        <f>VLOOKUP($A799,DICO_Complet!$A$3:$U$983,7,FALSE)</f>
        <v>0</v>
      </c>
      <c r="H799" s="48">
        <f>VLOOKUP($A799,DICO_Complet!$A$3:$U$983,8,FALSE)</f>
        <v>0</v>
      </c>
      <c r="I799" s="2" t="str">
        <f>IF(VLOOKUP($A799,DICO_Complet!$A$3:$U$983,9,FALSE)&lt;&gt;0,VLOOKUP($A799,DICO_Complet!$A$3:$U$983,9,FALSE),"")</f>
        <v/>
      </c>
      <c r="J799" s="1" t="str">
        <f>VLOOKUP($A799,DICO_Complet!$A$3:$U$983,10,FALSE)</f>
        <v>Payment number</v>
      </c>
      <c r="K799" s="53" t="str">
        <f>IF(VLOOKUP($A799,DICO_Complet!$A$3:$U$983,12,FALSE)=0,"",VLOOKUP($A799,DICO_Complet!$A$3:$U$983,12,FALSE))</f>
        <v/>
      </c>
      <c r="L799" s="53" t="str">
        <f>IF(VLOOKUP($A799,DICO_Complet!$A$3:$U$983,13,FALSE)=0,"",VLOOKUP($A799,DICO_Complet!$A$3:$U$983,13,FALSE))</f>
        <v/>
      </c>
      <c r="M799" s="53" t="str">
        <f>IF(VLOOKUP($A799,DICO_Complet!$A$3:$U$983,14,FALSE)=0,"",VLOOKUP($A799,DICO_Complet!$A$3:$U$983,14,FALSE))</f>
        <v>059_0043</v>
      </c>
      <c r="N799" s="53" t="str">
        <f>IF(VLOOKUP($A799,DICO_Complet!$A$3:$U$983,15,FALSE)=0,"",VLOOKUP($A799,DICO_Complet!$A$3:$U$983,15,FALSE))</f>
        <v/>
      </c>
      <c r="O799" s="53" t="str">
        <f>IF(VLOOKUP($A799,DICO_Complet!$A$3:$U$983,16,FALSE)=0,"",VLOOKUP($A799,DICO_Complet!$A$3:$U$983,16,FALSE))</f>
        <v/>
      </c>
      <c r="P799" s="53" t="str">
        <f>IF(VLOOKUP($A799,DICO_Complet!$A$3:$U$983,17,FALSE)=0,"",VLOOKUP($A799,DICO_Complet!$A$3:$U$983,17,FALSE))</f>
        <v/>
      </c>
      <c r="Q799" s="53" t="str">
        <f>IF(VLOOKUP($A799,DICO_Complet!$A$3:$U$983,18,FALSE)=0,"",VLOOKUP($A799,DICO_Complet!$A$3:$U$983,18,FALSE))</f>
        <v/>
      </c>
    </row>
    <row r="800" spans="1:17">
      <c r="A800" s="38">
        <v>250414115101</v>
      </c>
      <c r="B800" s="47" t="s">
        <v>858</v>
      </c>
      <c r="C800" s="3" t="str">
        <f>VLOOKUP($A800,DICO_Complet!$A$3:$U$983,3,FALSE)</f>
        <v>Transaction</v>
      </c>
      <c r="D800" s="3" t="str">
        <f>VLOOKUP($A800,DICO_Complet!$A$3:$U$983,4,FALSE)</f>
        <v>transactionDetails</v>
      </c>
      <c r="E800" s="2" t="str">
        <f>VLOOKUP($A800,DICO_Complet!$A$3:$U$983,5,FALSE)</f>
        <v>poiAmount</v>
      </c>
      <c r="F800" s="2" t="str">
        <f>VLOOKUP($A800,DICO_Complet!$A$3:$U$983,6,FALSE)</f>
        <v>AmountType</v>
      </c>
      <c r="G800" s="48">
        <f>VLOOKUP($A800,DICO_Complet!$A$3:$U$983,7,FALSE)</f>
        <v>0</v>
      </c>
      <c r="H800" s="48">
        <f>VLOOKUP($A800,DICO_Complet!$A$3:$U$983,8,FALSE)</f>
        <v>0</v>
      </c>
      <c r="I800" s="2" t="str">
        <f>IF(VLOOKUP($A800,DICO_Complet!$A$3:$U$983,9,FALSE)&lt;&gt;0,VLOOKUP($A800,DICO_Complet!$A$3:$U$983,9,FALSE),"")</f>
        <v/>
      </c>
      <c r="J800" s="1" t="str">
        <f>VLOOKUP($A800,DICO_Complet!$A$3:$U$983,10,FALSE)</f>
        <v>POI Amount before DCC conversion</v>
      </c>
      <c r="K800" s="53" t="str">
        <f>IF(VLOOKUP($A800,DICO_Complet!$A$3:$U$983,12,FALSE)=0,"",VLOOKUP($A800,DICO_Complet!$A$3:$U$983,12,FALSE))</f>
        <v/>
      </c>
      <c r="L800" s="53" t="str">
        <f>IF(VLOOKUP($A800,DICO_Complet!$A$3:$U$983,13,FALSE)=0,"",VLOOKUP($A800,DICO_Complet!$A$3:$U$983,13,FALSE))</f>
        <v/>
      </c>
      <c r="M800" s="53" t="str">
        <f>IF(VLOOKUP($A800,DICO_Complet!$A$3:$U$983,14,FALSE)=0,"",VLOOKUP($A800,DICO_Complet!$A$3:$U$983,14,FALSE))</f>
        <v>54_60</v>
      </c>
      <c r="N800" s="53" t="str">
        <f>IF(VLOOKUP($A800,DICO_Complet!$A$3:$U$983,15,FALSE)=0,"",VLOOKUP($A800,DICO_Complet!$A$3:$U$983,15,FALSE))</f>
        <v/>
      </c>
      <c r="O800" s="53" t="str">
        <f>IF(VLOOKUP($A800,DICO_Complet!$A$3:$U$983,16,FALSE)=0,"",VLOOKUP($A800,DICO_Complet!$A$3:$U$983,16,FALSE))</f>
        <v/>
      </c>
      <c r="P800" s="53" t="str">
        <f>IF(VLOOKUP($A800,DICO_Complet!$A$3:$U$983,17,FALSE)=0,"",VLOOKUP($A800,DICO_Complet!$A$3:$U$983,17,FALSE))</f>
        <v/>
      </c>
      <c r="Q800" s="53" t="str">
        <f>IF(VLOOKUP($A800,DICO_Complet!$A$3:$U$983,18,FALSE)=0,"",VLOOKUP($A800,DICO_Complet!$A$3:$U$983,18,FALSE))</f>
        <v/>
      </c>
    </row>
    <row r="801" spans="1:17">
      <c r="A801" s="38">
        <v>250327121303</v>
      </c>
      <c r="B801" s="47" t="s">
        <v>858</v>
      </c>
      <c r="C801" s="3" t="str">
        <f>VLOOKUP($A801,DICO_Complet!$A$3:$U$983,3,FALSE)</f>
        <v>Transaction</v>
      </c>
      <c r="D801" s="3" t="str">
        <f>VLOOKUP($A801,DICO_Complet!$A$3:$U$983,4,FALSE)</f>
        <v>transactionDetails</v>
      </c>
      <c r="E801" s="2" t="str">
        <f>VLOOKUP($A801,DICO_Complet!$A$3:$U$983,5,FALSE)</f>
        <v>preauthorisationTimeLimit</v>
      </c>
      <c r="F801" s="2" t="str">
        <f>VLOOKUP($A801,DICO_Complet!$A$3:$U$983,6,FALSE)</f>
        <v>Max6NumericText</v>
      </c>
      <c r="G801" s="48">
        <f>VLOOKUP($A801,DICO_Complet!$A$3:$U$983,7,FALSE)</f>
        <v>0</v>
      </c>
      <c r="H801" s="48">
        <f>VLOOKUP($A801,DICO_Complet!$A$3:$U$983,8,FALSE)</f>
        <v>0</v>
      </c>
      <c r="I801" s="2" t="str">
        <f>IF(VLOOKUP($A801,DICO_Complet!$A$3:$U$983,9,FALSE)&lt;&gt;0,VLOOKUP($A801,DICO_Complet!$A$3:$U$983,9,FALSE),"")</f>
        <v/>
      </c>
      <c r="J801" s="1" t="str">
        <f>VLOOKUP($A801,DICO_Complet!$A$3:$U$983,10,FALSE)</f>
        <v>how many minutes the pre authorisation take to be valid</v>
      </c>
      <c r="K801" s="53" t="str">
        <f>IF(VLOOKUP($A801,DICO_Complet!$A$3:$U$983,12,FALSE)=0,"",VLOOKUP($A801,DICO_Complet!$A$3:$U$983,12,FALSE))</f>
        <v/>
      </c>
      <c r="L801" s="53" t="str">
        <f>IF(VLOOKUP($A801,DICO_Complet!$A$3:$U$983,13,FALSE)=0,"",VLOOKUP($A801,DICO_Complet!$A$3:$U$983,13,FALSE))</f>
        <v/>
      </c>
      <c r="M801" s="53" t="str">
        <f>IF(VLOOKUP($A801,DICO_Complet!$A$3:$U$983,14,FALSE)=0,"",VLOOKUP($A801,DICO_Complet!$A$3:$U$983,14,FALSE))</f>
        <v/>
      </c>
      <c r="N801" s="53" t="str">
        <f>IF(VLOOKUP($A801,DICO_Complet!$A$3:$U$983,15,FALSE)=0,"",VLOOKUP($A801,DICO_Complet!$A$3:$U$983,15,FALSE))</f>
        <v/>
      </c>
      <c r="O801" s="53" t="str">
        <f>IF(VLOOKUP($A801,DICO_Complet!$A$3:$U$983,16,FALSE)=0,"",VLOOKUP($A801,DICO_Complet!$A$3:$U$983,16,FALSE))</f>
        <v/>
      </c>
      <c r="P801" s="53" t="str">
        <f>IF(VLOOKUP($A801,DICO_Complet!$A$3:$U$983,17,FALSE)=0,"",VLOOKUP($A801,DICO_Complet!$A$3:$U$983,17,FALSE))</f>
        <v/>
      </c>
      <c r="Q801" s="53" t="str">
        <f>IF(VLOOKUP($A801,DICO_Complet!$A$3:$U$983,18,FALSE)=0,"",VLOOKUP($A801,DICO_Complet!$A$3:$U$983,18,FALSE))</f>
        <v/>
      </c>
    </row>
    <row r="802" spans="1:17">
      <c r="A802" s="38">
        <v>250425100308</v>
      </c>
      <c r="B802" s="47" t="s">
        <v>858</v>
      </c>
      <c r="C802" s="3" t="str">
        <f>VLOOKUP($A802,DICO_Complet!$A$3:$U$983,3,FALSE)</f>
        <v>Transaction</v>
      </c>
      <c r="D802" s="3" t="str">
        <f>VLOOKUP($A802,DICO_Complet!$A$3:$U$983,4,FALSE)</f>
        <v>transactionDetails</v>
      </c>
      <c r="E802" s="2" t="str">
        <f>VLOOKUP($A802,DICO_Complet!$A$3:$U$983,5,FALSE)</f>
        <v>preauthorisedAmount</v>
      </c>
      <c r="F802" s="2" t="str">
        <f>VLOOKUP($A802,DICO_Complet!$A$3:$U$983,6,FALSE)</f>
        <v>AmountType</v>
      </c>
      <c r="G802" s="48">
        <f>VLOOKUP($A802,DICO_Complet!$A$3:$U$983,7,FALSE)</f>
        <v>0</v>
      </c>
      <c r="H802" s="48">
        <f>VLOOKUP($A802,DICO_Complet!$A$3:$U$983,8,FALSE)</f>
        <v>0</v>
      </c>
      <c r="I802" s="2" t="str">
        <f>IF(VLOOKUP($A802,DICO_Complet!$A$3:$U$983,9,FALSE)&lt;&gt;0,VLOOKUP($A802,DICO_Complet!$A$3:$U$983,9,FALSE),"")</f>
        <v/>
      </c>
      <c r="J802" s="1" t="str">
        <f>VLOOKUP($A802,DICO_Complet!$A$3:$U$983,10,FALSE)</f>
        <v>Authorised amount (pre-authorisation or fuel dispenser)</v>
      </c>
      <c r="K802" s="53" t="str">
        <f>IF(VLOOKUP($A802,DICO_Complet!$A$3:$U$983,12,FALSE)=0,"",VLOOKUP($A802,DICO_Complet!$A$3:$U$983,12,FALSE))</f>
        <v/>
      </c>
      <c r="L802" s="53" t="str">
        <f>IF(VLOOKUP($A802,DICO_Complet!$A$3:$U$983,13,FALSE)=0,"",VLOOKUP($A802,DICO_Complet!$A$3:$U$983,13,FALSE))</f>
        <v/>
      </c>
      <c r="M802" s="53" t="str">
        <f>IF(VLOOKUP($A802,DICO_Complet!$A$3:$U$983,14,FALSE)=0,"",VLOOKUP($A802,DICO_Complet!$A$3:$U$983,14,FALSE))</f>
        <v>54 _ Amount_54</v>
      </c>
      <c r="N802" s="53" t="str">
        <f>IF(VLOOKUP($A802,DICO_Complet!$A$3:$U$983,15,FALSE)=0,"",VLOOKUP($A802,DICO_Complet!$A$3:$U$983,15,FALSE))</f>
        <v/>
      </c>
      <c r="O802" s="53" t="str">
        <f>IF(VLOOKUP($A802,DICO_Complet!$A$3:$U$983,16,FALSE)=0,"",VLOOKUP($A802,DICO_Complet!$A$3:$U$983,16,FALSE))</f>
        <v/>
      </c>
      <c r="P802" s="53" t="str">
        <f>IF(VLOOKUP($A802,DICO_Complet!$A$3:$U$983,17,FALSE)=0,"",VLOOKUP($A802,DICO_Complet!$A$3:$U$983,17,FALSE))</f>
        <v/>
      </c>
      <c r="Q802" s="53" t="str">
        <f>IF(VLOOKUP($A802,DICO_Complet!$A$3:$U$983,18,FALSE)=0,"",VLOOKUP($A802,DICO_Complet!$A$3:$U$983,18,FALSE))</f>
        <v/>
      </c>
    </row>
    <row r="803" spans="1:17">
      <c r="A803" s="38">
        <v>250331112001</v>
      </c>
      <c r="B803" s="47" t="s">
        <v>858</v>
      </c>
      <c r="C803" s="3" t="str">
        <f>VLOOKUP($A803,DICO_Complet!$A$3:$U$983,3,FALSE)</f>
        <v>Transaction</v>
      </c>
      <c r="D803" s="3" t="str">
        <f>VLOOKUP($A803,DICO_Complet!$A$3:$U$983,4,FALSE)</f>
        <v>transactionDetails</v>
      </c>
      <c r="E803" s="2" t="str">
        <f>VLOOKUP($A803,DICO_Complet!$A$3:$U$983,5,FALSE)</f>
        <v>preclearingTransactionNature</v>
      </c>
      <c r="F803" s="2" t="str">
        <f>VLOOKUP($A803,DICO_Complet!$A$3:$U$983,6,FALSE)</f>
        <v>PreclearingTransactionNatureCodeset</v>
      </c>
      <c r="G803" s="48">
        <f>VLOOKUP($A803,DICO_Complet!$A$3:$U$983,7,FALSE)</f>
        <v>0</v>
      </c>
      <c r="H803" s="48">
        <f>VLOOKUP($A803,DICO_Complet!$A$3:$U$983,8,FALSE)</f>
        <v>0</v>
      </c>
      <c r="I803" s="2" t="str">
        <f>IF(VLOOKUP($A803,DICO_Complet!$A$3:$U$983,9,FALSE)&lt;&gt;0,VLOOKUP($A803,DICO_Complet!$A$3:$U$983,9,FALSE),"")</f>
        <v/>
      </c>
      <c r="J803" s="1" t="str">
        <f>VLOOKUP($A803,DICO_Complet!$A$3:$U$983,10,FALSE)</f>
        <v>transaction nature calculated by preclearing</v>
      </c>
      <c r="K803" s="53" t="str">
        <f>IF(VLOOKUP($A803,DICO_Complet!$A$3:$U$983,12,FALSE)=0,"",VLOOKUP($A803,DICO_Complet!$A$3:$U$983,12,FALSE))</f>
        <v/>
      </c>
      <c r="L803" s="53" t="str">
        <f>IF(VLOOKUP($A803,DICO_Complet!$A$3:$U$983,13,FALSE)=0,"",VLOOKUP($A803,DICO_Complet!$A$3:$U$983,13,FALSE))</f>
        <v/>
      </c>
      <c r="M803" s="53" t="str">
        <f>IF(VLOOKUP($A803,DICO_Complet!$A$3:$U$983,14,FALSE)=0,"",VLOOKUP($A803,DICO_Complet!$A$3:$U$983,14,FALSE))</f>
        <v/>
      </c>
      <c r="N803" s="53" t="str">
        <f>IF(VLOOKUP($A803,DICO_Complet!$A$3:$U$983,15,FALSE)=0,"",VLOOKUP($A803,DICO_Complet!$A$3:$U$983,15,FALSE))</f>
        <v/>
      </c>
      <c r="O803" s="53" t="str">
        <f>IF(VLOOKUP($A803,DICO_Complet!$A$3:$U$983,16,FALSE)=0,"",VLOOKUP($A803,DICO_Complet!$A$3:$U$983,16,FALSE))</f>
        <v/>
      </c>
      <c r="P803" s="53" t="str">
        <f>IF(VLOOKUP($A803,DICO_Complet!$A$3:$U$983,17,FALSE)=0,"",VLOOKUP($A803,DICO_Complet!$A$3:$U$983,17,FALSE))</f>
        <v/>
      </c>
      <c r="Q803" s="53" t="str">
        <f>IF(VLOOKUP($A803,DICO_Complet!$A$3:$U$983,18,FALSE)=0,"",VLOOKUP($A803,DICO_Complet!$A$3:$U$983,18,FALSE))</f>
        <v/>
      </c>
    </row>
    <row r="804" spans="1:17">
      <c r="A804" s="38">
        <v>241112000216</v>
      </c>
      <c r="B804" s="47" t="s">
        <v>858</v>
      </c>
      <c r="C804" s="3" t="str">
        <f>VLOOKUP($A804,DICO_Complet!$A$3:$U$983,3,FALSE)</f>
        <v>Transaction</v>
      </c>
      <c r="D804" s="3" t="str">
        <f>VLOOKUP($A804,DICO_Complet!$A$3:$U$983,4,FALSE)</f>
        <v>transactionDetails</v>
      </c>
      <c r="E804" s="2" t="str">
        <f>VLOOKUP($A804,DICO_Complet!$A$3:$U$983,5,FALSE)</f>
        <v>productQuantity</v>
      </c>
      <c r="F804" s="2" t="str">
        <f>VLOOKUP($A804,DICO_Complet!$A$3:$U$983,6,FALSE)</f>
        <v>Exact2NumericText</v>
      </c>
      <c r="G804" s="48">
        <f>VLOOKUP($A804,DICO_Complet!$A$3:$U$983,7,FALSE)</f>
        <v>0</v>
      </c>
      <c r="H804" s="48">
        <f>VLOOKUP($A804,DICO_Complet!$A$3:$U$983,8,FALSE)</f>
        <v>0</v>
      </c>
      <c r="I804" s="2" t="str">
        <f>IF(VLOOKUP($A804,DICO_Complet!$A$3:$U$983,9,FALSE)&lt;&gt;0,VLOOKUP($A804,DICO_Complet!$A$3:$U$983,9,FALSE),"")</f>
        <v/>
      </c>
      <c r="J804" s="1" t="str">
        <f>VLOOKUP($A804,DICO_Complet!$A$3:$U$983,10,FALSE)</f>
        <v>Number of product</v>
      </c>
      <c r="K804" s="53" t="str">
        <f>IF(VLOOKUP($A804,DICO_Complet!$A$3:$U$983,12,FALSE)=0,"",VLOOKUP($A804,DICO_Complet!$A$3:$U$983,12,FALSE))</f>
        <v>RSB57_11</v>
      </c>
      <c r="L804" s="53" t="str">
        <f>IF(VLOOKUP($A804,DICO_Complet!$A$3:$U$983,13,FALSE)=0,"",VLOOKUP($A804,DICO_Complet!$A$3:$U$983,13,FALSE))</f>
        <v>[57-0011]</v>
      </c>
      <c r="M804" s="53" t="str">
        <f>IF(VLOOKUP($A804,DICO_Complet!$A$3:$U$983,14,FALSE)=0,"",VLOOKUP($A804,DICO_Complet!$A$3:$U$983,14,FALSE))</f>
        <v/>
      </c>
      <c r="N804" s="53" t="str">
        <f>IF(VLOOKUP($A804,DICO_Complet!$A$3:$U$983,15,FALSE)=0,"",VLOOKUP($A804,DICO_Complet!$A$3:$U$983,15,FALSE))</f>
        <v/>
      </c>
      <c r="O804" s="53" t="str">
        <f>IF(VLOOKUP($A804,DICO_Complet!$A$3:$U$983,16,FALSE)=0,"",VLOOKUP($A804,DICO_Complet!$A$3:$U$983,16,FALSE))</f>
        <v/>
      </c>
      <c r="P804" s="53" t="str">
        <f>IF(VLOOKUP($A804,DICO_Complet!$A$3:$U$983,17,FALSE)=0,"",VLOOKUP($A804,DICO_Complet!$A$3:$U$983,17,FALSE))</f>
        <v/>
      </c>
      <c r="Q804" s="53" t="str">
        <f>IF(VLOOKUP($A804,DICO_Complet!$A$3:$U$983,18,FALSE)=0,"",VLOOKUP($A804,DICO_Complet!$A$3:$U$983,18,FALSE))</f>
        <v/>
      </c>
    </row>
    <row r="805" spans="1:17">
      <c r="A805" s="38">
        <v>250213171805</v>
      </c>
      <c r="B805" s="47" t="s">
        <v>858</v>
      </c>
      <c r="C805" s="3" t="str">
        <f>VLOOKUP($A805,DICO_Complet!$A$3:$U$983,3,FALSE)</f>
        <v>Transaction</v>
      </c>
      <c r="D805" s="3" t="str">
        <f>VLOOKUP($A805,DICO_Complet!$A$3:$U$983,4,FALSE)</f>
        <v>transactionDetails</v>
      </c>
      <c r="E805" s="2" t="str">
        <f>VLOOKUP($A805,DICO_Complet!$A$3:$U$983,5,FALSE)</f>
        <v>receivingId</v>
      </c>
      <c r="F805" s="2" t="str">
        <f>VLOOKUP($A805,DICO_Complet!$A$3:$U$983,6,FALSE)</f>
        <v>Max11NumericText</v>
      </c>
      <c r="G805" s="48">
        <f>VLOOKUP($A805,DICO_Complet!$A$3:$U$983,7,FALSE)</f>
        <v>0</v>
      </c>
      <c r="H805" s="48">
        <f>VLOOKUP($A805,DICO_Complet!$A$3:$U$983,8,FALSE)</f>
        <v>0</v>
      </c>
      <c r="I805" s="2" t="str">
        <f>IF(VLOOKUP($A805,DICO_Complet!$A$3:$U$983,9,FALSE)&lt;&gt;0,VLOOKUP($A805,DICO_Complet!$A$3:$U$983,9,FALSE),"")</f>
        <v/>
      </c>
      <c r="J805" s="1" t="str">
        <f>VLOOKUP($A805,DICO_Complet!$A$3:$U$983,10,FALSE)</f>
        <v>Receiver organism SMRSB</v>
      </c>
      <c r="K805" s="53" t="str">
        <f>IF(VLOOKUP($A805,DICO_Complet!$A$3:$U$983,12,FALSE)=0,"",VLOOKUP($A805,DICO_Complet!$A$3:$U$983,12,FALSE))</f>
        <v>MFO17</v>
      </c>
      <c r="L805" s="53" t="str">
        <f>IF(VLOOKUP($A805,DICO_Complet!$A$3:$U$983,13,FALSE)=0,"",VLOOKUP($A805,DICO_Complet!$A$3:$U$983,13,FALSE))</f>
        <v/>
      </c>
      <c r="M805" s="53" t="str">
        <f>IF(VLOOKUP($A805,DICO_Complet!$A$3:$U$983,14,FALSE)=0,"",VLOOKUP($A805,DICO_Complet!$A$3:$U$983,14,FALSE))</f>
        <v/>
      </c>
      <c r="N805" s="53" t="str">
        <f>IF(VLOOKUP($A805,DICO_Complet!$A$3:$U$983,15,FALSE)=0,"",VLOOKUP($A805,DICO_Complet!$A$3:$U$983,15,FALSE))</f>
        <v/>
      </c>
      <c r="O805" s="53" t="str">
        <f>IF(VLOOKUP($A805,DICO_Complet!$A$3:$U$983,16,FALSE)=0,"",VLOOKUP($A805,DICO_Complet!$A$3:$U$983,16,FALSE))</f>
        <v/>
      </c>
      <c r="P805" s="53" t="str">
        <f>IF(VLOOKUP($A805,DICO_Complet!$A$3:$U$983,17,FALSE)=0,"",VLOOKUP($A805,DICO_Complet!$A$3:$U$983,17,FALSE))</f>
        <v/>
      </c>
      <c r="Q805" s="53" t="str">
        <f>IF(VLOOKUP($A805,DICO_Complet!$A$3:$U$983,18,FALSE)=0,"",VLOOKUP($A805,DICO_Complet!$A$3:$U$983,18,FALSE))</f>
        <v/>
      </c>
    </row>
    <row r="806" spans="1:17">
      <c r="A806" s="38">
        <v>250324131112</v>
      </c>
      <c r="B806" s="47" t="s">
        <v>858</v>
      </c>
      <c r="C806" s="3" t="str">
        <f>VLOOKUP($A806,DICO_Complet!$A$3:$U$983,3,FALSE)</f>
        <v>Transaction</v>
      </c>
      <c r="D806" s="3" t="str">
        <f>VLOOKUP($A806,DICO_Complet!$A$3:$U$983,4,FALSE)</f>
        <v>transactionDetails</v>
      </c>
      <c r="E806" s="2" t="str">
        <f>VLOOKUP($A806,DICO_Complet!$A$3:$U$983,5,FALSE)</f>
        <v>recoveryMode</v>
      </c>
      <c r="F806" s="2" t="str">
        <f>VLOOKUP($A806,DICO_Complet!$A$3:$U$983,6,FALSE)</f>
        <v>RecoveryModeCodeset</v>
      </c>
      <c r="G806" s="48">
        <f>VLOOKUP($A806,DICO_Complet!$A$3:$U$983,7,FALSE)</f>
        <v>0</v>
      </c>
      <c r="H806" s="48">
        <f>VLOOKUP($A806,DICO_Complet!$A$3:$U$983,8,FALSE)</f>
        <v>0</v>
      </c>
      <c r="I806" s="2" t="str">
        <f>IF(VLOOKUP($A806,DICO_Complet!$A$3:$U$983,9,FALSE)&lt;&gt;0,VLOOKUP($A806,DICO_Complet!$A$3:$U$983,9,FALSE),"")</f>
        <v/>
      </c>
      <c r="J806" s="1" t="str">
        <f>VLOOKUP($A806,DICO_Complet!$A$3:$U$983,10,FALSE)</f>
        <v>Recovey mode of the dispute</v>
      </c>
      <c r="K806" s="53" t="str">
        <f>IF(VLOOKUP($A806,DICO_Complet!$A$3:$U$983,12,FALSE)=0,"",VLOOKUP($A806,DICO_Complet!$A$3:$U$983,12,FALSE))</f>
        <v/>
      </c>
      <c r="L806" s="53" t="str">
        <f>IF(VLOOKUP($A806,DICO_Complet!$A$3:$U$983,13,FALSE)=0,"",VLOOKUP($A806,DICO_Complet!$A$3:$U$983,13,FALSE))</f>
        <v/>
      </c>
      <c r="M806" s="53" t="str">
        <f>IF(VLOOKUP($A806,DICO_Complet!$A$3:$U$983,14,FALSE)=0,"",VLOOKUP($A806,DICO_Complet!$A$3:$U$983,14,FALSE))</f>
        <v/>
      </c>
      <c r="N806" s="53" t="str">
        <f>IF(VLOOKUP($A806,DICO_Complet!$A$3:$U$983,15,FALSE)=0,"",VLOOKUP($A806,DICO_Complet!$A$3:$U$983,15,FALSE))</f>
        <v/>
      </c>
      <c r="O806" s="53" t="str">
        <f>IF(VLOOKUP($A806,DICO_Complet!$A$3:$U$983,16,FALSE)=0,"",VLOOKUP($A806,DICO_Complet!$A$3:$U$983,16,FALSE))</f>
        <v/>
      </c>
      <c r="P806" s="53" t="str">
        <f>IF(VLOOKUP($A806,DICO_Complet!$A$3:$U$983,17,FALSE)=0,"",VLOOKUP($A806,DICO_Complet!$A$3:$U$983,17,FALSE))</f>
        <v/>
      </c>
      <c r="Q806" s="53" t="str">
        <f>IF(VLOOKUP($A806,DICO_Complet!$A$3:$U$983,18,FALSE)=0,"",VLOOKUP($A806,DICO_Complet!$A$3:$U$983,18,FALSE))</f>
        <v/>
      </c>
    </row>
    <row r="807" spans="1:17">
      <c r="A807" s="38">
        <v>250324131110</v>
      </c>
      <c r="B807" s="47" t="s">
        <v>858</v>
      </c>
      <c r="C807" s="3" t="str">
        <f>VLOOKUP($A807,DICO_Complet!$A$3:$U$983,3,FALSE)</f>
        <v>Transaction</v>
      </c>
      <c r="D807" s="3" t="str">
        <f>VLOOKUP($A807,DICO_Complet!$A$3:$U$983,4,FALSE)</f>
        <v>transactionDetails</v>
      </c>
      <c r="E807" s="2" t="str">
        <f>VLOOKUP($A807,DICO_Complet!$A$3:$U$983,5,FALSE)</f>
        <v>refundIndicator</v>
      </c>
      <c r="F807" s="2" t="str">
        <f>VLOOKUP($A807,DICO_Complet!$A$3:$U$983,6,FALSE)</f>
        <v>TrueFalseIndicator</v>
      </c>
      <c r="G807" s="48">
        <f>VLOOKUP($A807,DICO_Complet!$A$3:$U$983,7,FALSE)</f>
        <v>0</v>
      </c>
      <c r="H807" s="48">
        <f>VLOOKUP($A807,DICO_Complet!$A$3:$U$983,8,FALSE)</f>
        <v>0</v>
      </c>
      <c r="I807" s="2" t="str">
        <f>IF(VLOOKUP($A807,DICO_Complet!$A$3:$U$983,9,FALSE)&lt;&gt;0,VLOOKUP($A807,DICO_Complet!$A$3:$U$983,9,FALSE),"")</f>
        <v/>
      </c>
      <c r="J807" s="1" t="str">
        <f>VLOOKUP($A807,DICO_Complet!$A$3:$U$983,10,FALSE)</f>
        <v>Refund indicator</v>
      </c>
      <c r="K807" s="53" t="str">
        <f>IF(VLOOKUP($A807,DICO_Complet!$A$3:$U$983,12,FALSE)=0,"",VLOOKUP($A807,DICO_Complet!$A$3:$U$983,12,FALSE))</f>
        <v/>
      </c>
      <c r="L807" s="53" t="str">
        <f>IF(VLOOKUP($A807,DICO_Complet!$A$3:$U$983,13,FALSE)=0,"",VLOOKUP($A807,DICO_Complet!$A$3:$U$983,13,FALSE))</f>
        <v/>
      </c>
      <c r="M807" s="53" t="str">
        <f>IF(VLOOKUP($A807,DICO_Complet!$A$3:$U$983,14,FALSE)=0,"",VLOOKUP($A807,DICO_Complet!$A$3:$U$983,14,FALSE))</f>
        <v/>
      </c>
      <c r="N807" s="53" t="str">
        <f>IF(VLOOKUP($A807,DICO_Complet!$A$3:$U$983,15,FALSE)=0,"",VLOOKUP($A807,DICO_Complet!$A$3:$U$983,15,FALSE))</f>
        <v/>
      </c>
      <c r="O807" s="53" t="str">
        <f>IF(VLOOKUP($A807,DICO_Complet!$A$3:$U$983,16,FALSE)=0,"",VLOOKUP($A807,DICO_Complet!$A$3:$U$983,16,FALSE))</f>
        <v/>
      </c>
      <c r="P807" s="53" t="str">
        <f>IF(VLOOKUP($A807,DICO_Complet!$A$3:$U$983,17,FALSE)=0,"",VLOOKUP($A807,DICO_Complet!$A$3:$U$983,17,FALSE))</f>
        <v/>
      </c>
      <c r="Q807" s="53" t="str">
        <f>IF(VLOOKUP($A807,DICO_Complet!$A$3:$U$983,18,FALSE)=0,"",VLOOKUP($A807,DICO_Complet!$A$3:$U$983,18,FALSE))</f>
        <v/>
      </c>
    </row>
    <row r="808" spans="1:17">
      <c r="A808" s="38">
        <v>250324131115</v>
      </c>
      <c r="B808" s="47" t="s">
        <v>858</v>
      </c>
      <c r="C808" s="3" t="str">
        <f>VLOOKUP($A808,DICO_Complet!$A$3:$U$983,3,FALSE)</f>
        <v>Transaction</v>
      </c>
      <c r="D808" s="3" t="str">
        <f>VLOOKUP($A808,DICO_Complet!$A$3:$U$983,4,FALSE)</f>
        <v>transactionDetails</v>
      </c>
      <c r="E808" s="2" t="str">
        <f>VLOOKUP($A808,DICO_Complet!$A$3:$U$983,5,FALSE)</f>
        <v>refundNature</v>
      </c>
      <c r="F808" s="2" t="str">
        <f>VLOOKUP($A808,DICO_Complet!$A$3:$U$983,6,FALSE)</f>
        <v>RefundNatureCodeset</v>
      </c>
      <c r="G808" s="48">
        <f>VLOOKUP($A808,DICO_Complet!$A$3:$U$983,7,FALSE)</f>
        <v>0</v>
      </c>
      <c r="H808" s="48">
        <f>VLOOKUP($A808,DICO_Complet!$A$3:$U$983,8,FALSE)</f>
        <v>0</v>
      </c>
      <c r="I808" s="2" t="str">
        <f>IF(VLOOKUP($A808,DICO_Complet!$A$3:$U$983,9,FALSE)&lt;&gt;0,VLOOKUP($A808,DICO_Complet!$A$3:$U$983,9,FALSE),"")</f>
        <v/>
      </c>
      <c r="J808" s="1" t="str">
        <f>VLOOKUP($A808,DICO_Complet!$A$3:$U$983,10,FALSE)</f>
        <v>Refund nature of the dispute</v>
      </c>
      <c r="K808" s="53" t="str">
        <f>IF(VLOOKUP($A808,DICO_Complet!$A$3:$U$983,12,FALSE)=0,"",VLOOKUP($A808,DICO_Complet!$A$3:$U$983,12,FALSE))</f>
        <v/>
      </c>
      <c r="L808" s="53" t="str">
        <f>IF(VLOOKUP($A808,DICO_Complet!$A$3:$U$983,13,FALSE)=0,"",VLOOKUP($A808,DICO_Complet!$A$3:$U$983,13,FALSE))</f>
        <v/>
      </c>
      <c r="M808" s="53" t="str">
        <f>IF(VLOOKUP($A808,DICO_Complet!$A$3:$U$983,14,FALSE)=0,"",VLOOKUP($A808,DICO_Complet!$A$3:$U$983,14,FALSE))</f>
        <v/>
      </c>
      <c r="N808" s="53" t="str">
        <f>IF(VLOOKUP($A808,DICO_Complet!$A$3:$U$983,15,FALSE)=0,"",VLOOKUP($A808,DICO_Complet!$A$3:$U$983,15,FALSE))</f>
        <v/>
      </c>
      <c r="O808" s="53" t="str">
        <f>IF(VLOOKUP($A808,DICO_Complet!$A$3:$U$983,16,FALSE)=0,"",VLOOKUP($A808,DICO_Complet!$A$3:$U$983,16,FALSE))</f>
        <v/>
      </c>
      <c r="P808" s="53" t="str">
        <f>IF(VLOOKUP($A808,DICO_Complet!$A$3:$U$983,17,FALSE)=0,"",VLOOKUP($A808,DICO_Complet!$A$3:$U$983,17,FALSE))</f>
        <v/>
      </c>
      <c r="Q808" s="53" t="str">
        <f>IF(VLOOKUP($A808,DICO_Complet!$A$3:$U$983,18,FALSE)=0,"",VLOOKUP($A808,DICO_Complet!$A$3:$U$983,18,FALSE))</f>
        <v/>
      </c>
    </row>
    <row r="809" spans="1:17">
      <c r="A809" s="38">
        <v>250408142400</v>
      </c>
      <c r="B809" s="47" t="s">
        <v>858</v>
      </c>
      <c r="C809" s="3" t="str">
        <f>VLOOKUP($A809,DICO_Complet!$A$3:$U$983,3,FALSE)</f>
        <v>Transaction</v>
      </c>
      <c r="D809" s="3" t="str">
        <f>VLOOKUP($A809,DICO_Complet!$A$3:$U$983,4,FALSE)</f>
        <v>transactionDetails</v>
      </c>
      <c r="E809" s="2" t="str">
        <f>VLOOKUP($A809,DICO_Complet!$A$3:$U$983,5,FALSE)</f>
        <v>repleacementAmount</v>
      </c>
      <c r="F809" s="2" t="str">
        <f>VLOOKUP($A809,DICO_Complet!$A$3:$U$983,6,FALSE)</f>
        <v>AmountType</v>
      </c>
      <c r="G809" s="48">
        <f>VLOOKUP($A809,DICO_Complet!$A$3:$U$983,7,FALSE)</f>
        <v>0</v>
      </c>
      <c r="H809" s="48">
        <f>VLOOKUP($A809,DICO_Complet!$A$3:$U$983,8,FALSE)</f>
        <v>0</v>
      </c>
      <c r="I809" s="2" t="str">
        <f>IF(VLOOKUP($A809,DICO_Complet!$A$3:$U$983,9,FALSE)&lt;&gt;0,VLOOKUP($A809,DICO_Complet!$A$3:$U$983,9,FALSE),"")</f>
        <v/>
      </c>
      <c r="J809" s="1" t="str">
        <f>VLOOKUP($A809,DICO_Complet!$A$3:$U$983,10,FALSE)</f>
        <v xml:space="preserve">repleacement Amount </v>
      </c>
      <c r="K809" s="53" t="str">
        <f>IF(VLOOKUP($A809,DICO_Complet!$A$3:$U$983,12,FALSE)=0,"",VLOOKUP($A809,DICO_Complet!$A$3:$U$983,12,FALSE))</f>
        <v>ISO95</v>
      </c>
      <c r="L809" s="53" t="str">
        <f>IF(VLOOKUP($A809,DICO_Complet!$A$3:$U$983,13,FALSE)=0,"",VLOOKUP($A809,DICO_Complet!$A$3:$U$983,13,FALSE))</f>
        <v/>
      </c>
      <c r="M809" s="53" t="str">
        <f>IF(VLOOKUP($A809,DICO_Complet!$A$3:$U$983,14,FALSE)=0,"",VLOOKUP($A809,DICO_Complet!$A$3:$U$983,14,FALSE))</f>
        <v/>
      </c>
      <c r="N809" s="53">
        <f>IF(VLOOKUP($A809,DICO_Complet!$A$3:$U$983,15,FALSE)=0,"",VLOOKUP($A809,DICO_Complet!$A$3:$U$983,15,FALSE))</f>
        <v>95</v>
      </c>
      <c r="O809" s="53" t="str">
        <f>IF(VLOOKUP($A809,DICO_Complet!$A$3:$U$983,16,FALSE)=0,"",VLOOKUP($A809,DICO_Complet!$A$3:$U$983,16,FALSE))</f>
        <v/>
      </c>
      <c r="P809" s="53" t="str">
        <f>IF(VLOOKUP($A809,DICO_Complet!$A$3:$U$983,17,FALSE)=0,"",VLOOKUP($A809,DICO_Complet!$A$3:$U$983,17,FALSE))</f>
        <v/>
      </c>
      <c r="Q809" s="53" t="str">
        <f>IF(VLOOKUP($A809,DICO_Complet!$A$3:$U$983,18,FALSE)=0,"",VLOOKUP($A809,DICO_Complet!$A$3:$U$983,18,FALSE))</f>
        <v/>
      </c>
    </row>
    <row r="810" spans="1:17">
      <c r="A810" s="38">
        <v>241112000263</v>
      </c>
      <c r="B810" s="47" t="s">
        <v>858</v>
      </c>
      <c r="C810" s="3" t="str">
        <f>VLOOKUP($A810,DICO_Complet!$A$3:$U$983,3,FALSE)</f>
        <v>Transaction</v>
      </c>
      <c r="D810" s="3" t="str">
        <f>VLOOKUP($A810,DICO_Complet!$A$3:$U$983,4,FALSE)</f>
        <v>transactionDetails</v>
      </c>
      <c r="E810" s="2" t="str">
        <f>VLOOKUP($A810,DICO_Complet!$A$3:$U$983,5,FALSE)</f>
        <v>reversalReason</v>
      </c>
      <c r="F810" s="2" t="str">
        <f>VLOOKUP($A810,DICO_Complet!$A$3:$U$983,6,FALSE)</f>
        <v>Max5AlphaNumericText</v>
      </c>
      <c r="G810" s="48">
        <f>VLOOKUP($A810,DICO_Complet!$A$3:$U$983,7,FALSE)</f>
        <v>0</v>
      </c>
      <c r="H810" s="48">
        <f>VLOOKUP($A810,DICO_Complet!$A$3:$U$983,8,FALSE)</f>
        <v>0</v>
      </c>
      <c r="I810" s="2" t="str">
        <f>IF(VLOOKUP($A810,DICO_Complet!$A$3:$U$983,9,FALSE)&lt;&gt;0,VLOOKUP($A810,DICO_Complet!$A$3:$U$983,9,FALSE),"")</f>
        <v/>
      </c>
      <c r="J810" s="1" t="str">
        <f>VLOOKUP($A810,DICO_Complet!$A$3:$U$983,10,FALSE)</f>
        <v>Reason of reversal transported</v>
      </c>
      <c r="K810" s="53" t="str">
        <f>IF(VLOOKUP($A810,DICO_Complet!$A$3:$U$983,12,FALSE)=0,"",VLOOKUP($A810,DICO_Complet!$A$3:$U$983,12,FALSE))</f>
        <v>ISO39</v>
      </c>
      <c r="L810" s="53" t="str">
        <f>IF(VLOOKUP($A810,DICO_Complet!$A$3:$U$983,13,FALSE)=0,"",VLOOKUP($A810,DICO_Complet!$A$3:$U$983,13,FALSE))</f>
        <v/>
      </c>
      <c r="M810" s="53" t="str">
        <f>IF(VLOOKUP($A810,DICO_Complet!$A$3:$U$983,14,FALSE)=0,"",VLOOKUP($A810,DICO_Complet!$A$3:$U$983,14,FALSE))</f>
        <v/>
      </c>
      <c r="N810" s="53">
        <f>IF(VLOOKUP($A810,DICO_Complet!$A$3:$U$983,15,FALSE)=0,"",VLOOKUP($A810,DICO_Complet!$A$3:$U$983,15,FALSE))</f>
        <v>39</v>
      </c>
      <c r="O810" s="53" t="str">
        <f>IF(VLOOKUP($A810,DICO_Complet!$A$3:$U$983,16,FALSE)=0,"",VLOOKUP($A810,DICO_Complet!$A$3:$U$983,16,FALSE))</f>
        <v/>
      </c>
      <c r="P810" s="53" t="str">
        <f>IF(VLOOKUP($A810,DICO_Complet!$A$3:$U$983,17,FALSE)=0,"",VLOOKUP($A810,DICO_Complet!$A$3:$U$983,17,FALSE))</f>
        <v/>
      </c>
      <c r="Q810" s="53" t="str">
        <f>IF(VLOOKUP($A810,DICO_Complet!$A$3:$U$983,18,FALSE)=0,"",VLOOKUP($A810,DICO_Complet!$A$3:$U$983,18,FALSE))</f>
        <v/>
      </c>
    </row>
    <row r="811" spans="1:17">
      <c r="A811" s="38">
        <v>241112000217</v>
      </c>
      <c r="B811" s="47" t="s">
        <v>858</v>
      </c>
      <c r="C811" s="3" t="str">
        <f>VLOOKUP($A811,DICO_Complet!$A$3:$U$983,3,FALSE)</f>
        <v>Transaction</v>
      </c>
      <c r="D811" s="3" t="str">
        <f>VLOOKUP($A811,DICO_Complet!$A$3:$U$983,4,FALSE)</f>
        <v>transactionDetails</v>
      </c>
      <c r="E811" s="2" t="str">
        <f>VLOOKUP($A811,DICO_Complet!$A$3:$U$983,5,FALSE)</f>
        <v>saleReference</v>
      </c>
      <c r="F811" s="2" t="str">
        <f>VLOOKUP($A811,DICO_Complet!$A$3:$U$983,6,FALSE)</f>
        <v>Max35Text</v>
      </c>
      <c r="G811" s="48">
        <f>VLOOKUP($A811,DICO_Complet!$A$3:$U$983,7,FALSE)</f>
        <v>0</v>
      </c>
      <c r="H811" s="48">
        <f>VLOOKUP($A811,DICO_Complet!$A$3:$U$983,8,FALSE)</f>
        <v>0</v>
      </c>
      <c r="I811" s="2" t="str">
        <f>IF(VLOOKUP($A811,DICO_Complet!$A$3:$U$983,9,FALSE)&lt;&gt;0,VLOOKUP($A811,DICO_Complet!$A$3:$U$983,9,FALSE),"")</f>
        <v/>
      </c>
      <c r="J811" s="1" t="str">
        <f>VLOOKUP($A811,DICO_Complet!$A$3:$U$983,10,FALSE)</f>
        <v>Sale Reference Number</v>
      </c>
      <c r="K811" s="53" t="str">
        <f>IF(VLOOKUP($A811,DICO_Complet!$A$3:$U$983,12,FALSE)=0,"",VLOOKUP($A811,DICO_Complet!$A$3:$U$983,12,FALSE))</f>
        <v>ISO37</v>
      </c>
      <c r="L811" s="53" t="str">
        <f>IF(VLOOKUP($A811,DICO_Complet!$A$3:$U$983,13,FALSE)=0,"",VLOOKUP($A811,DICO_Complet!$A$3:$U$983,13,FALSE))</f>
        <v>[37]</v>
      </c>
      <c r="M811" s="53" t="str">
        <f>IF(VLOOKUP($A811,DICO_Complet!$A$3:$U$983,14,FALSE)=0,"",VLOOKUP($A811,DICO_Complet!$A$3:$U$983,14,FALSE))</f>
        <v/>
      </c>
      <c r="N811" s="53" t="str">
        <f>IF(VLOOKUP($A811,DICO_Complet!$A$3:$U$983,15,FALSE)=0,"",VLOOKUP($A811,DICO_Complet!$A$3:$U$983,15,FALSE))</f>
        <v/>
      </c>
      <c r="O811" s="53" t="str">
        <f>IF(VLOOKUP($A811,DICO_Complet!$A$3:$U$983,16,FALSE)=0,"",VLOOKUP($A811,DICO_Complet!$A$3:$U$983,16,FALSE))</f>
        <v/>
      </c>
      <c r="P811" s="53" t="str">
        <f>IF(VLOOKUP($A811,DICO_Complet!$A$3:$U$983,17,FALSE)=0,"",VLOOKUP($A811,DICO_Complet!$A$3:$U$983,17,FALSE))</f>
        <v/>
      </c>
      <c r="Q811" s="53" t="str">
        <f>IF(VLOOKUP($A811,DICO_Complet!$A$3:$U$983,18,FALSE)=0,"",VLOOKUP($A811,DICO_Complet!$A$3:$U$983,18,FALSE))</f>
        <v/>
      </c>
    </row>
    <row r="812" spans="1:17">
      <c r="A812" s="38">
        <v>241112000218</v>
      </c>
      <c r="B812" s="47" t="s">
        <v>858</v>
      </c>
      <c r="C812" s="3" t="str">
        <f>VLOOKUP($A812,DICO_Complet!$A$3:$U$983,3,FALSE)</f>
        <v>Transaction</v>
      </c>
      <c r="D812" s="3" t="str">
        <f>VLOOKUP($A812,DICO_Complet!$A$3:$U$983,4,FALSE)</f>
        <v>transactionDetails</v>
      </c>
      <c r="E812" s="2" t="str">
        <f>VLOOKUP($A812,DICO_Complet!$A$3:$U$983,5,FALSE)</f>
        <v>settlementDate</v>
      </c>
      <c r="F812" s="2" t="str">
        <f>VLOOKUP($A812,DICO_Complet!$A$3:$U$983,6,FALSE)</f>
        <v>ISODate</v>
      </c>
      <c r="G812" s="48">
        <f>VLOOKUP($A812,DICO_Complet!$A$3:$U$983,7,FALSE)</f>
        <v>0</v>
      </c>
      <c r="H812" s="48">
        <f>VLOOKUP($A812,DICO_Complet!$A$3:$U$983,8,FALSE)</f>
        <v>0</v>
      </c>
      <c r="I812" s="2" t="str">
        <f>IF(VLOOKUP($A812,DICO_Complet!$A$3:$U$983,9,FALSE)&lt;&gt;0,VLOOKUP($A812,DICO_Complet!$A$3:$U$983,9,FALSE),"")</f>
        <v/>
      </c>
      <c r="J812" s="1" t="str">
        <f>VLOOKUP($A812,DICO_Complet!$A$3:$U$983,10,FALSE)</f>
        <v>Date of Settlement</v>
      </c>
      <c r="K812" s="53" t="str">
        <f>IF(VLOOKUP($A812,DICO_Complet!$A$3:$U$983,12,FALSE)=0,"",VLOOKUP($A812,DICO_Complet!$A$3:$U$983,12,FALSE))</f>
        <v>ISO15</v>
      </c>
      <c r="L812" s="53" t="str">
        <f>IF(VLOOKUP($A812,DICO_Complet!$A$3:$U$983,13,FALSE)=0,"",VLOOKUP($A812,DICO_Complet!$A$3:$U$983,13,FALSE))</f>
        <v>[15]</v>
      </c>
      <c r="M812" s="53" t="str">
        <f>IF(VLOOKUP($A812,DICO_Complet!$A$3:$U$983,14,FALSE)=0,"",VLOOKUP($A812,DICO_Complet!$A$3:$U$983,14,FALSE))</f>
        <v/>
      </c>
      <c r="N812" s="53" t="str">
        <f>IF(VLOOKUP($A812,DICO_Complet!$A$3:$U$983,15,FALSE)=0,"",VLOOKUP($A812,DICO_Complet!$A$3:$U$983,15,FALSE))</f>
        <v/>
      </c>
      <c r="O812" s="53" t="str">
        <f>IF(VLOOKUP($A812,DICO_Complet!$A$3:$U$983,16,FALSE)=0,"",VLOOKUP($A812,DICO_Complet!$A$3:$U$983,16,FALSE))</f>
        <v/>
      </c>
      <c r="P812" s="53" t="str">
        <f>IF(VLOOKUP($A812,DICO_Complet!$A$3:$U$983,17,FALSE)=0,"",VLOOKUP($A812,DICO_Complet!$A$3:$U$983,17,FALSE))</f>
        <v/>
      </c>
      <c r="Q812" s="53" t="str">
        <f>IF(VLOOKUP($A812,DICO_Complet!$A$3:$U$983,18,FALSE)=0,"",VLOOKUP($A812,DICO_Complet!$A$3:$U$983,18,FALSE))</f>
        <v/>
      </c>
    </row>
    <row r="813" spans="1:17">
      <c r="A813" s="38">
        <v>250425084000</v>
      </c>
      <c r="B813" s="47" t="s">
        <v>858</v>
      </c>
      <c r="C813" s="3" t="str">
        <f>VLOOKUP($A813,DICO_Complet!$A$3:$U$983,3,FALSE)</f>
        <v>Transaction</v>
      </c>
      <c r="D813" s="3" t="str">
        <f>VLOOKUP($A813,DICO_Complet!$A$3:$U$983,4,FALSE)</f>
        <v>transactionDetails</v>
      </c>
      <c r="E813" s="2" t="str">
        <f>VLOOKUP($A813,DICO_Complet!$A$3:$U$983,5,FALSE)</f>
        <v>settlementTotalAmount</v>
      </c>
      <c r="F813" s="2" t="str">
        <f>VLOOKUP($A813,DICO_Complet!$A$3:$U$983,6,FALSE)</f>
        <v>AmountType</v>
      </c>
      <c r="G813" s="48">
        <f>VLOOKUP($A813,DICO_Complet!$A$3:$U$983,7,FALSE)</f>
        <v>0</v>
      </c>
      <c r="H813" s="48">
        <f>VLOOKUP($A813,DICO_Complet!$A$3:$U$983,8,FALSE)</f>
        <v>0</v>
      </c>
      <c r="I813" s="2" t="str">
        <f>IF(VLOOKUP($A813,DICO_Complet!$A$3:$U$983,9,FALSE)&lt;&gt;0,VLOOKUP($A813,DICO_Complet!$A$3:$U$983,9,FALSE),"")</f>
        <v/>
      </c>
      <c r="J813" s="1" t="str">
        <f>VLOOKUP($A813,DICO_Complet!$A$3:$U$983,10,FALSE)</f>
        <v>Settlement Total Amount</v>
      </c>
      <c r="K813" s="53" t="str">
        <f>IF(VLOOKUP($A813,DICO_Complet!$A$3:$U$983,12,FALSE)=0,"",VLOOKUP($A813,DICO_Complet!$A$3:$U$983,12,FALSE))</f>
        <v/>
      </c>
      <c r="L813" s="53" t="str">
        <f>IF(VLOOKUP($A813,DICO_Complet!$A$3:$U$983,13,FALSE)=0,"",VLOOKUP($A813,DICO_Complet!$A$3:$U$983,13,FALSE))</f>
        <v/>
      </c>
      <c r="M813" s="53" t="str">
        <f>IF(VLOOKUP($A813,DICO_Complet!$A$3:$U$983,14,FALSE)=0,"",VLOOKUP($A813,DICO_Complet!$A$3:$U$983,14,FALSE))</f>
        <v/>
      </c>
      <c r="N813" s="53" t="str">
        <f>IF(VLOOKUP($A813,DICO_Complet!$A$3:$U$983,15,FALSE)=0,"",VLOOKUP($A813,DICO_Complet!$A$3:$U$983,15,FALSE))</f>
        <v/>
      </c>
      <c r="O813" s="53" t="str">
        <f>IF(VLOOKUP($A813,DICO_Complet!$A$3:$U$983,16,FALSE)=0,"",VLOOKUP($A813,DICO_Complet!$A$3:$U$983,16,FALSE))</f>
        <v/>
      </c>
      <c r="P813" s="53" t="str">
        <f>IF(VLOOKUP($A813,DICO_Complet!$A$3:$U$983,17,FALSE)=0,"",VLOOKUP($A813,DICO_Complet!$A$3:$U$983,17,FALSE))</f>
        <v/>
      </c>
      <c r="Q813" s="53" t="str">
        <f>IF(VLOOKUP($A813,DICO_Complet!$A$3:$U$983,18,FALSE)=0,"",VLOOKUP($A813,DICO_Complet!$A$3:$U$983,18,FALSE))</f>
        <v/>
      </c>
    </row>
    <row r="814" spans="1:17">
      <c r="A814" s="38">
        <v>241112000219</v>
      </c>
      <c r="B814" s="47" t="s">
        <v>858</v>
      </c>
      <c r="C814" s="3" t="str">
        <f>VLOOKUP($A814,DICO_Complet!$A$3:$U$983,3,FALSE)</f>
        <v>Transaction</v>
      </c>
      <c r="D814" s="3" t="str">
        <f>VLOOKUP($A814,DICO_Complet!$A$3:$U$983,4,FALSE)</f>
        <v>transactionDetails</v>
      </c>
      <c r="E814" s="2" t="str">
        <f>VLOOKUP($A814,DICO_Complet!$A$3:$U$983,5,FALSE)</f>
        <v>splitPaymentNumber</v>
      </c>
      <c r="F814" s="2" t="str">
        <f>VLOOKUP($A814,DICO_Complet!$A$3:$U$983,6,FALSE)</f>
        <v>Exact2NumericText</v>
      </c>
      <c r="G814" s="48">
        <f>VLOOKUP($A814,DICO_Complet!$A$3:$U$983,7,FALSE)</f>
        <v>0</v>
      </c>
      <c r="H814" s="48">
        <f>VLOOKUP($A814,DICO_Complet!$A$3:$U$983,8,FALSE)</f>
        <v>0</v>
      </c>
      <c r="I814" s="2" t="str">
        <f>IF(VLOOKUP($A814,DICO_Complet!$A$3:$U$983,9,FALSE)&lt;&gt;0,VLOOKUP($A814,DICO_Complet!$A$3:$U$983,9,FALSE),"")</f>
        <v/>
      </c>
      <c r="J814" s="1" t="str">
        <f>VLOOKUP($A814,DICO_Complet!$A$3:$U$983,10,FALSE)</f>
        <v xml:space="preserve">Split Payment Number </v>
      </c>
      <c r="K814" s="53" t="str">
        <f>IF(VLOOKUP($A814,DICO_Complet!$A$3:$U$983,12,FALSE)=0,"",VLOOKUP($A814,DICO_Complet!$A$3:$U$983,12,FALSE))</f>
        <v>RSB57_31</v>
      </c>
      <c r="L814" s="53" t="str">
        <f>IF(VLOOKUP($A814,DICO_Complet!$A$3:$U$983,13,FALSE)=0,"",VLOOKUP($A814,DICO_Complet!$A$3:$U$983,13,FALSE))</f>
        <v>[57-0031]</v>
      </c>
      <c r="M814" s="53" t="str">
        <f>IF(VLOOKUP($A814,DICO_Complet!$A$3:$U$983,14,FALSE)=0,"",VLOOKUP($A814,DICO_Complet!$A$3:$U$983,14,FALSE))</f>
        <v/>
      </c>
      <c r="N814" s="53" t="str">
        <f>IF(VLOOKUP($A814,DICO_Complet!$A$3:$U$983,15,FALSE)=0,"",VLOOKUP($A814,DICO_Complet!$A$3:$U$983,15,FALSE))</f>
        <v/>
      </c>
      <c r="O814" s="53" t="str">
        <f>IF(VLOOKUP($A814,DICO_Complet!$A$3:$U$983,16,FALSE)=0,"",VLOOKUP($A814,DICO_Complet!$A$3:$U$983,16,FALSE))</f>
        <v/>
      </c>
      <c r="P814" s="53" t="str">
        <f>IF(VLOOKUP($A814,DICO_Complet!$A$3:$U$983,17,FALSE)=0,"",VLOOKUP($A814,DICO_Complet!$A$3:$U$983,17,FALSE))</f>
        <v/>
      </c>
      <c r="Q814" s="53" t="str">
        <f>IF(VLOOKUP($A814,DICO_Complet!$A$3:$U$983,18,FALSE)=0,"",VLOOKUP($A814,DICO_Complet!$A$3:$U$983,18,FALSE))</f>
        <v/>
      </c>
    </row>
    <row r="815" spans="1:17">
      <c r="A815" s="38">
        <v>241112000220</v>
      </c>
      <c r="B815" s="47" t="s">
        <v>858</v>
      </c>
      <c r="C815" s="3" t="str">
        <f>VLOOKUP($A815,DICO_Complet!$A$3:$U$983,3,FALSE)</f>
        <v>Transaction</v>
      </c>
      <c r="D815" s="3" t="str">
        <f>VLOOKUP($A815,DICO_Complet!$A$3:$U$983,4,FALSE)</f>
        <v>transactionDetails</v>
      </c>
      <c r="E815" s="2" t="str">
        <f>VLOOKUP($A815,DICO_Complet!$A$3:$U$983,5,FALSE)</f>
        <v>splitPaymentTotalNumber</v>
      </c>
      <c r="F815" s="2" t="str">
        <f>VLOOKUP($A815,DICO_Complet!$A$3:$U$983,6,FALSE)</f>
        <v>Exact2NumericText</v>
      </c>
      <c r="G815" s="48">
        <f>VLOOKUP($A815,DICO_Complet!$A$3:$U$983,7,FALSE)</f>
        <v>0</v>
      </c>
      <c r="H815" s="48">
        <f>VLOOKUP($A815,DICO_Complet!$A$3:$U$983,8,FALSE)</f>
        <v>0</v>
      </c>
      <c r="I815" s="2" t="str">
        <f>IF(VLOOKUP($A815,DICO_Complet!$A$3:$U$983,9,FALSE)&lt;&gt;0,VLOOKUP($A815,DICO_Complet!$A$3:$U$983,9,FALSE),"")</f>
        <v/>
      </c>
      <c r="J815" s="1" t="str">
        <f>VLOOKUP($A815,DICO_Complet!$A$3:$U$983,10,FALSE)</f>
        <v>Split Total Payment Number</v>
      </c>
      <c r="K815" s="53" t="str">
        <f>IF(VLOOKUP($A815,DICO_Complet!$A$3:$U$983,12,FALSE)=0,"",VLOOKUP($A815,DICO_Complet!$A$3:$U$983,12,FALSE))</f>
        <v>RSB57_32</v>
      </c>
      <c r="L815" s="53" t="str">
        <f>IF(VLOOKUP($A815,DICO_Complet!$A$3:$U$983,13,FALSE)=0,"",VLOOKUP($A815,DICO_Complet!$A$3:$U$983,13,FALSE))</f>
        <v>[57-0032]</v>
      </c>
      <c r="M815" s="53" t="str">
        <f>IF(VLOOKUP($A815,DICO_Complet!$A$3:$U$983,14,FALSE)=0,"",VLOOKUP($A815,DICO_Complet!$A$3:$U$983,14,FALSE))</f>
        <v/>
      </c>
      <c r="N815" s="53" t="str">
        <f>IF(VLOOKUP($A815,DICO_Complet!$A$3:$U$983,15,FALSE)=0,"",VLOOKUP($A815,DICO_Complet!$A$3:$U$983,15,FALSE))</f>
        <v/>
      </c>
      <c r="O815" s="53" t="str">
        <f>IF(VLOOKUP($A815,DICO_Complet!$A$3:$U$983,16,FALSE)=0,"",VLOOKUP($A815,DICO_Complet!$A$3:$U$983,16,FALSE))</f>
        <v/>
      </c>
      <c r="P815" s="53" t="str">
        <f>IF(VLOOKUP($A815,DICO_Complet!$A$3:$U$983,17,FALSE)=0,"",VLOOKUP($A815,DICO_Complet!$A$3:$U$983,17,FALSE))</f>
        <v/>
      </c>
      <c r="Q815" s="53" t="str">
        <f>IF(VLOOKUP($A815,DICO_Complet!$A$3:$U$983,18,FALSE)=0,"",VLOOKUP($A815,DICO_Complet!$A$3:$U$983,18,FALSE))</f>
        <v/>
      </c>
    </row>
    <row r="816" spans="1:17">
      <c r="A816" s="38">
        <v>250324131113</v>
      </c>
      <c r="B816" s="47" t="s">
        <v>858</v>
      </c>
      <c r="C816" s="3" t="str">
        <f>VLOOKUP($A816,DICO_Complet!$A$3:$U$983,3,FALSE)</f>
        <v>Transaction</v>
      </c>
      <c r="D816" s="3" t="str">
        <f>VLOOKUP($A816,DICO_Complet!$A$3:$U$983,4,FALSE)</f>
        <v>transactionDetails</v>
      </c>
      <c r="E816" s="2" t="str">
        <f>VLOOKUP($A816,DICO_Complet!$A$3:$U$983,5,FALSE)</f>
        <v>statusCode</v>
      </c>
      <c r="F816" s="2" t="str">
        <f>VLOOKUP($A816,DICO_Complet!$A$3:$U$983,6,FALSE)</f>
        <v>StatusCodeCodeset</v>
      </c>
      <c r="G816" s="48">
        <f>VLOOKUP($A816,DICO_Complet!$A$3:$U$983,7,FALSE)</f>
        <v>0</v>
      </c>
      <c r="H816" s="48">
        <f>VLOOKUP($A816,DICO_Complet!$A$3:$U$983,8,FALSE)</f>
        <v>0</v>
      </c>
      <c r="I816" s="2" t="str">
        <f>IF(VLOOKUP($A816,DICO_Complet!$A$3:$U$983,9,FALSE)&lt;&gt;0,VLOOKUP($A816,DICO_Complet!$A$3:$U$983,9,FALSE),"")</f>
        <v/>
      </c>
      <c r="J816" s="1" t="str">
        <f>VLOOKUP($A816,DICO_Complet!$A$3:$U$983,10,FALSE)</f>
        <v>Status code</v>
      </c>
      <c r="K816" s="53" t="str">
        <f>IF(VLOOKUP($A816,DICO_Complet!$A$3:$U$983,12,FALSE)=0,"",VLOOKUP($A816,DICO_Complet!$A$3:$U$983,12,FALSE))</f>
        <v/>
      </c>
      <c r="L816" s="53" t="str">
        <f>IF(VLOOKUP($A816,DICO_Complet!$A$3:$U$983,13,FALSE)=0,"",VLOOKUP($A816,DICO_Complet!$A$3:$U$983,13,FALSE))</f>
        <v/>
      </c>
      <c r="M816" s="53" t="str">
        <f>IF(VLOOKUP($A816,DICO_Complet!$A$3:$U$983,14,FALSE)=0,"",VLOOKUP($A816,DICO_Complet!$A$3:$U$983,14,FALSE))</f>
        <v/>
      </c>
      <c r="N816" s="53" t="str">
        <f>IF(VLOOKUP($A816,DICO_Complet!$A$3:$U$983,15,FALSE)=0,"",VLOOKUP($A816,DICO_Complet!$A$3:$U$983,15,FALSE))</f>
        <v/>
      </c>
      <c r="O816" s="53" t="str">
        <f>IF(VLOOKUP($A816,DICO_Complet!$A$3:$U$983,16,FALSE)=0,"",VLOOKUP($A816,DICO_Complet!$A$3:$U$983,16,FALSE))</f>
        <v/>
      </c>
      <c r="P816" s="53" t="str">
        <f>IF(VLOOKUP($A816,DICO_Complet!$A$3:$U$983,17,FALSE)=0,"",VLOOKUP($A816,DICO_Complet!$A$3:$U$983,17,FALSE))</f>
        <v/>
      </c>
      <c r="Q816" s="53" t="str">
        <f>IF(VLOOKUP($A816,DICO_Complet!$A$3:$U$983,18,FALSE)=0,"",VLOOKUP($A816,DICO_Complet!$A$3:$U$983,18,FALSE))</f>
        <v/>
      </c>
    </row>
    <row r="817" spans="1:17">
      <c r="A817" s="38">
        <v>250324131114</v>
      </c>
      <c r="B817" s="47" t="s">
        <v>858</v>
      </c>
      <c r="C817" s="3" t="str">
        <f>VLOOKUP($A817,DICO_Complet!$A$3:$U$983,3,FALSE)</f>
        <v>Transaction</v>
      </c>
      <c r="D817" s="3" t="str">
        <f>VLOOKUP($A817,DICO_Complet!$A$3:$U$983,4,FALSE)</f>
        <v>transactionDetails</v>
      </c>
      <c r="E817" s="2" t="str">
        <f>VLOOKUP($A817,DICO_Complet!$A$3:$U$983,5,FALSE)</f>
        <v>statusLabel</v>
      </c>
      <c r="F817" s="2" t="str">
        <f>VLOOKUP($A817,DICO_Complet!$A$3:$U$983,6,FALSE)</f>
        <v>Max255Text</v>
      </c>
      <c r="G817" s="48">
        <f>VLOOKUP($A817,DICO_Complet!$A$3:$U$983,7,FALSE)</f>
        <v>0</v>
      </c>
      <c r="H817" s="48">
        <f>VLOOKUP($A817,DICO_Complet!$A$3:$U$983,8,FALSE)</f>
        <v>0</v>
      </c>
      <c r="I817" s="2" t="str">
        <f>IF(VLOOKUP($A817,DICO_Complet!$A$3:$U$983,9,FALSE)&lt;&gt;0,VLOOKUP($A817,DICO_Complet!$A$3:$U$983,9,FALSE),"")</f>
        <v/>
      </c>
      <c r="J817" s="1" t="str">
        <f>VLOOKUP($A817,DICO_Complet!$A$3:$U$983,10,FALSE)</f>
        <v>Label of the status</v>
      </c>
      <c r="K817" s="53" t="str">
        <f>IF(VLOOKUP($A817,DICO_Complet!$A$3:$U$983,12,FALSE)=0,"",VLOOKUP($A817,DICO_Complet!$A$3:$U$983,12,FALSE))</f>
        <v/>
      </c>
      <c r="L817" s="53" t="str">
        <f>IF(VLOOKUP($A817,DICO_Complet!$A$3:$U$983,13,FALSE)=0,"",VLOOKUP($A817,DICO_Complet!$A$3:$U$983,13,FALSE))</f>
        <v/>
      </c>
      <c r="M817" s="53" t="str">
        <f>IF(VLOOKUP($A817,DICO_Complet!$A$3:$U$983,14,FALSE)=0,"",VLOOKUP($A817,DICO_Complet!$A$3:$U$983,14,FALSE))</f>
        <v/>
      </c>
      <c r="N817" s="53" t="str">
        <f>IF(VLOOKUP($A817,DICO_Complet!$A$3:$U$983,15,FALSE)=0,"",VLOOKUP($A817,DICO_Complet!$A$3:$U$983,15,FALSE))</f>
        <v/>
      </c>
      <c r="O817" s="53" t="str">
        <f>IF(VLOOKUP($A817,DICO_Complet!$A$3:$U$983,16,FALSE)=0,"",VLOOKUP($A817,DICO_Complet!$A$3:$U$983,16,FALSE))</f>
        <v/>
      </c>
      <c r="P817" s="53" t="str">
        <f>IF(VLOOKUP($A817,DICO_Complet!$A$3:$U$983,17,FALSE)=0,"",VLOOKUP($A817,DICO_Complet!$A$3:$U$983,17,FALSE))</f>
        <v/>
      </c>
      <c r="Q817" s="53" t="str">
        <f>IF(VLOOKUP($A817,DICO_Complet!$A$3:$U$983,18,FALSE)=0,"",VLOOKUP($A817,DICO_Complet!$A$3:$U$983,18,FALSE))</f>
        <v/>
      </c>
    </row>
    <row r="818" spans="1:17">
      <c r="A818" s="38">
        <v>250317124401</v>
      </c>
      <c r="B818" s="47" t="s">
        <v>858</v>
      </c>
      <c r="C818" s="3" t="str">
        <f>VLOOKUP($A818,DICO_Complet!$A$3:$U$983,3,FALSE)</f>
        <v>Transaction</v>
      </c>
      <c r="D818" s="3" t="str">
        <f>VLOOKUP($A818,DICO_Complet!$A$3:$U$983,4,FALSE)</f>
        <v>transactionDetails</v>
      </c>
      <c r="E818" s="2" t="str">
        <f>VLOOKUP($A818,DICO_Complet!$A$3:$U$983,5,FALSE)</f>
        <v>storedData</v>
      </c>
      <c r="F818" s="2" t="str">
        <f>VLOOKUP($A818,DICO_Complet!$A$3:$U$983,6,FALSE)</f>
        <v>Max8000Text</v>
      </c>
      <c r="G818" s="48">
        <f>VLOOKUP($A818,DICO_Complet!$A$3:$U$983,7,FALSE)</f>
        <v>0</v>
      </c>
      <c r="H818" s="48">
        <f>VLOOKUP($A818,DICO_Complet!$A$3:$U$983,8,FALSE)</f>
        <v>0</v>
      </c>
      <c r="I818" s="2" t="str">
        <f>IF(VLOOKUP($A818,DICO_Complet!$A$3:$U$983,9,FALSE)&lt;&gt;0,VLOOKUP($A818,DICO_Complet!$A$3:$U$983,9,FALSE),"")</f>
        <v/>
      </c>
      <c r="J818" s="1" t="str">
        <f>VLOOKUP($A818,DICO_Complet!$A$3:$U$983,10,FALSE)</f>
        <v>Data to store</v>
      </c>
      <c r="K818" s="53" t="str">
        <f>IF(VLOOKUP($A818,DICO_Complet!$A$3:$U$983,12,FALSE)=0,"",VLOOKUP($A818,DICO_Complet!$A$3:$U$983,12,FALSE))</f>
        <v/>
      </c>
      <c r="L818" s="53" t="str">
        <f>IF(VLOOKUP($A818,DICO_Complet!$A$3:$U$983,13,FALSE)=0,"",VLOOKUP($A818,DICO_Complet!$A$3:$U$983,13,FALSE))</f>
        <v/>
      </c>
      <c r="M818" s="53" t="str">
        <f>IF(VLOOKUP($A818,DICO_Complet!$A$3:$U$983,14,FALSE)=0,"",VLOOKUP($A818,DICO_Complet!$A$3:$U$983,14,FALSE))</f>
        <v/>
      </c>
      <c r="N818" s="53" t="str">
        <f>IF(VLOOKUP($A818,DICO_Complet!$A$3:$U$983,15,FALSE)=0,"",VLOOKUP($A818,DICO_Complet!$A$3:$U$983,15,FALSE))</f>
        <v/>
      </c>
      <c r="O818" s="53" t="str">
        <f>IF(VLOOKUP($A818,DICO_Complet!$A$3:$U$983,16,FALSE)=0,"",VLOOKUP($A818,DICO_Complet!$A$3:$U$983,16,FALSE))</f>
        <v/>
      </c>
      <c r="P818" s="53" t="str">
        <f>IF(VLOOKUP($A818,DICO_Complet!$A$3:$U$983,17,FALSE)=0,"",VLOOKUP($A818,DICO_Complet!$A$3:$U$983,17,FALSE))</f>
        <v/>
      </c>
      <c r="Q818" s="53" t="str">
        <f>IF(VLOOKUP($A818,DICO_Complet!$A$3:$U$983,18,FALSE)=0,"",VLOOKUP($A818,DICO_Complet!$A$3:$U$983,18,FALSE))</f>
        <v/>
      </c>
    </row>
    <row r="819" spans="1:17">
      <c r="A819" s="38">
        <v>250425200811</v>
      </c>
      <c r="B819" s="47" t="s">
        <v>858</v>
      </c>
      <c r="C819" s="3" t="str">
        <f>VLOOKUP($A819,DICO_Complet!$A$3:$U$983,3,FALSE)</f>
        <v>Transaction</v>
      </c>
      <c r="D819" s="3" t="str">
        <f>VLOOKUP($A819,DICO_Complet!$A$3:$U$983,4,FALSE)</f>
        <v>transactionDetails</v>
      </c>
      <c r="E819" s="2" t="str">
        <f>VLOOKUP($A819,DICO_Complet!$A$3:$U$983,5,FALSE)</f>
        <v>temp_acceptanceLevelCodeAssociatedWithaRange</v>
      </c>
      <c r="F819" s="2" t="str">
        <f>VLOOKUP($A819,DICO_Complet!$A$3:$U$983,6,FALSE)</f>
        <v>Exact1NumericText</v>
      </c>
      <c r="G819" s="48">
        <f>VLOOKUP($A819,DICO_Complet!$A$3:$U$983,7,FALSE)</f>
        <v>0</v>
      </c>
      <c r="H819" s="48">
        <f>VLOOKUP($A819,DICO_Complet!$A$3:$U$983,8,FALSE)</f>
        <v>0</v>
      </c>
      <c r="I819" s="2" t="str">
        <f>IF(VLOOKUP($A819,DICO_Complet!$A$3:$U$983,9,FALSE)&lt;&gt;0,VLOOKUP($A819,DICO_Complet!$A$3:$U$983,9,FALSE),"")</f>
        <v/>
      </c>
      <c r="J819" s="1" t="str">
        <f>VLOOKUP($A819,DICO_Complet!$A$3:$U$983,10,FALSE)</f>
        <v>Acceptance level code associated with a range _</v>
      </c>
      <c r="K819" s="53" t="str">
        <f>IF(VLOOKUP($A819,DICO_Complet!$A$3:$U$983,12,FALSE)=0,"",VLOOKUP($A819,DICO_Complet!$A$3:$U$983,12,FALSE))</f>
        <v/>
      </c>
      <c r="L819" s="53" t="str">
        <f>IF(VLOOKUP($A819,DICO_Complet!$A$3:$U$983,13,FALSE)=0,"",VLOOKUP($A819,DICO_Complet!$A$3:$U$983,13,FALSE))</f>
        <v/>
      </c>
      <c r="M819" s="53" t="str">
        <f>IF(VLOOKUP($A819,DICO_Complet!$A$3:$U$983,14,FALSE)=0,"",VLOOKUP($A819,DICO_Complet!$A$3:$U$983,14,FALSE))</f>
        <v>72_DF1E part 5</v>
      </c>
      <c r="N819" s="53" t="str">
        <f>IF(VLOOKUP($A819,DICO_Complet!$A$3:$U$983,15,FALSE)=0,"",VLOOKUP($A819,DICO_Complet!$A$3:$U$983,15,FALSE))</f>
        <v/>
      </c>
      <c r="O819" s="53" t="str">
        <f>IF(VLOOKUP($A819,DICO_Complet!$A$3:$U$983,16,FALSE)=0,"",VLOOKUP($A819,DICO_Complet!$A$3:$U$983,16,FALSE))</f>
        <v/>
      </c>
      <c r="P819" s="53" t="str">
        <f>IF(VLOOKUP($A819,DICO_Complet!$A$3:$U$983,17,FALSE)=0,"",VLOOKUP($A819,DICO_Complet!$A$3:$U$983,17,FALSE))</f>
        <v/>
      </c>
      <c r="Q819" s="53" t="str">
        <f>IF(VLOOKUP($A819,DICO_Complet!$A$3:$U$983,18,FALSE)=0,"",VLOOKUP($A819,DICO_Complet!$A$3:$U$983,18,FALSE))</f>
        <v/>
      </c>
    </row>
    <row r="820" spans="1:17">
      <c r="A820" s="38">
        <v>250423100402</v>
      </c>
      <c r="B820" s="47" t="s">
        <v>858</v>
      </c>
      <c r="C820" s="3" t="str">
        <f>VLOOKUP($A820,DICO_Complet!$A$3:$U$983,3,FALSE)</f>
        <v>Transaction</v>
      </c>
      <c r="D820" s="3" t="str">
        <f>VLOOKUP($A820,DICO_Complet!$A$3:$U$983,4,FALSE)</f>
        <v>transactionDetails</v>
      </c>
      <c r="E820" s="2" t="str">
        <f>VLOOKUP($A820,DICO_Complet!$A$3:$U$983,5,FALSE)</f>
        <v>temp_aIDLength</v>
      </c>
      <c r="F820" s="2" t="str">
        <f>VLOOKUP($A820,DICO_Complet!$A$3:$U$983,6,FALSE)</f>
        <v>Exact2NumericText</v>
      </c>
      <c r="G820" s="48">
        <f>VLOOKUP($A820,DICO_Complet!$A$3:$U$983,7,FALSE)</f>
        <v>0</v>
      </c>
      <c r="H820" s="48">
        <f>VLOOKUP($A820,DICO_Complet!$A$3:$U$983,8,FALSE)</f>
        <v>0</v>
      </c>
      <c r="I820" s="2" t="str">
        <f>IF(VLOOKUP($A820,DICO_Complet!$A$3:$U$983,9,FALSE)&lt;&gt;0,VLOOKUP($A820,DICO_Complet!$A$3:$U$983,9,FALSE),"")</f>
        <v/>
      </c>
      <c r="J820" s="1" t="str">
        <f>VLOOKUP($A820,DICO_Complet!$A$3:$U$983,10,FALSE)</f>
        <v>AID length (RID+PIX)</v>
      </c>
      <c r="K820" s="53" t="str">
        <f>IF(VLOOKUP($A820,DICO_Complet!$A$3:$U$983,12,FALSE)=0,"",VLOOKUP($A820,DICO_Complet!$A$3:$U$983,12,FALSE))</f>
        <v/>
      </c>
      <c r="L820" s="53" t="str">
        <f>IF(VLOOKUP($A820,DICO_Complet!$A$3:$U$983,13,FALSE)=0,"",VLOOKUP($A820,DICO_Complet!$A$3:$U$983,13,FALSE))</f>
        <v/>
      </c>
      <c r="M820" s="53" t="str">
        <f>IF(VLOOKUP($A820,DICO_Complet!$A$3:$U$983,14,FALSE)=0,"",VLOOKUP($A820,DICO_Complet!$A$3:$U$983,14,FALSE))</f>
        <v>72_DF17</v>
      </c>
      <c r="N820" s="53" t="str">
        <f>IF(VLOOKUP($A820,DICO_Complet!$A$3:$U$983,15,FALSE)=0,"",VLOOKUP($A820,DICO_Complet!$A$3:$U$983,15,FALSE))</f>
        <v/>
      </c>
      <c r="O820" s="53" t="str">
        <f>IF(VLOOKUP($A820,DICO_Complet!$A$3:$U$983,16,FALSE)=0,"",VLOOKUP($A820,DICO_Complet!$A$3:$U$983,16,FALSE))</f>
        <v/>
      </c>
      <c r="P820" s="53" t="str">
        <f>IF(VLOOKUP($A820,DICO_Complet!$A$3:$U$983,17,FALSE)=0,"",VLOOKUP($A820,DICO_Complet!$A$3:$U$983,17,FALSE))</f>
        <v/>
      </c>
      <c r="Q820" s="53" t="str">
        <f>IF(VLOOKUP($A820,DICO_Complet!$A$3:$U$983,18,FALSE)=0,"",VLOOKUP($A820,DICO_Complet!$A$3:$U$983,18,FALSE))</f>
        <v/>
      </c>
    </row>
    <row r="821" spans="1:17">
      <c r="A821" s="38">
        <v>250423093002</v>
      </c>
      <c r="B821" s="47" t="s">
        <v>858</v>
      </c>
      <c r="C821" s="3" t="str">
        <f>VLOOKUP($A821,DICO_Complet!$A$3:$U$983,3,FALSE)</f>
        <v>Transaction</v>
      </c>
      <c r="D821" s="3" t="str">
        <f>VLOOKUP($A821,DICO_Complet!$A$3:$U$983,4,FALSE)</f>
        <v>transactionDetails</v>
      </c>
      <c r="E821" s="2" t="str">
        <f>VLOOKUP($A821,DICO_Complet!$A$3:$U$983,5,FALSE)</f>
        <v>temp_amountUsedForTwoFactorCardholderAuthentication</v>
      </c>
      <c r="F821" s="2" t="str">
        <f>VLOOKUP($A821,DICO_Complet!$A$3:$U$983,6,FALSE)</f>
        <v>Exact12AlphaNumericText</v>
      </c>
      <c r="G821" s="48">
        <f>VLOOKUP($A821,DICO_Complet!$A$3:$U$983,7,FALSE)</f>
        <v>0</v>
      </c>
      <c r="H821" s="48">
        <f>VLOOKUP($A821,DICO_Complet!$A$3:$U$983,8,FALSE)</f>
        <v>0</v>
      </c>
      <c r="I821" s="2" t="str">
        <f>IF(VLOOKUP($A821,DICO_Complet!$A$3:$U$983,9,FALSE)&lt;&gt;0,VLOOKUP($A821,DICO_Complet!$A$3:$U$983,9,FALSE),"")</f>
        <v/>
      </c>
      <c r="J821" s="1" t="str">
        <f>VLOOKUP($A821,DICO_Complet!$A$3:$U$983,10,FALSE)</f>
        <v>amount used for two-factor cardholder authentication</v>
      </c>
      <c r="K821" s="53" t="str">
        <f>IF(VLOOKUP($A821,DICO_Complet!$A$3:$U$983,12,FALSE)=0,"",VLOOKUP($A821,DICO_Complet!$A$3:$U$983,12,FALSE))</f>
        <v/>
      </c>
      <c r="L821" s="53" t="str">
        <f>IF(VLOOKUP($A821,DICO_Complet!$A$3:$U$983,13,FALSE)=0,"",VLOOKUP($A821,DICO_Complet!$A$3:$U$983,13,FALSE))</f>
        <v/>
      </c>
      <c r="M821" s="53" t="str">
        <f>IF(VLOOKUP($A821,DICO_Complet!$A$3:$U$983,14,FALSE)=0,"",VLOOKUP($A821,DICO_Complet!$A$3:$U$983,14,FALSE))</f>
        <v>72_DF0C</v>
      </c>
      <c r="N821" s="53" t="str">
        <f>IF(VLOOKUP($A821,DICO_Complet!$A$3:$U$983,15,FALSE)=0,"",VLOOKUP($A821,DICO_Complet!$A$3:$U$983,15,FALSE))</f>
        <v/>
      </c>
      <c r="O821" s="53" t="str">
        <f>IF(VLOOKUP($A821,DICO_Complet!$A$3:$U$983,16,FALSE)=0,"",VLOOKUP($A821,DICO_Complet!$A$3:$U$983,16,FALSE))</f>
        <v/>
      </c>
      <c r="P821" s="53" t="str">
        <f>IF(VLOOKUP($A821,DICO_Complet!$A$3:$U$983,17,FALSE)=0,"",VLOOKUP($A821,DICO_Complet!$A$3:$U$983,17,FALSE))</f>
        <v/>
      </c>
      <c r="Q821" s="53" t="str">
        <f>IF(VLOOKUP($A821,DICO_Complet!$A$3:$U$983,18,FALSE)=0,"",VLOOKUP($A821,DICO_Complet!$A$3:$U$983,18,FALSE))</f>
        <v/>
      </c>
    </row>
    <row r="822" spans="1:17">
      <c r="A822" s="38">
        <v>250425200802</v>
      </c>
      <c r="B822" s="47" t="s">
        <v>858</v>
      </c>
      <c r="C822" s="3" t="str">
        <f>VLOOKUP($A822,DICO_Complet!$A$3:$U$983,3,FALSE)</f>
        <v>Transaction</v>
      </c>
      <c r="D822" s="3" t="str">
        <f>VLOOKUP($A822,DICO_Complet!$A$3:$U$983,4,FALSE)</f>
        <v>transactionDetails</v>
      </c>
      <c r="E822" s="2" t="str">
        <f>VLOOKUP($A822,DICO_Complet!$A$3:$U$983,5,FALSE)</f>
        <v>temp_callFloorLimitForRandomSelection</v>
      </c>
      <c r="F822" s="2" t="str">
        <f>VLOOKUP($A822,DICO_Complet!$A$3:$U$983,6,FALSE)</f>
        <v>Exact12NumericText</v>
      </c>
      <c r="G822" s="48">
        <f>VLOOKUP($A822,DICO_Complet!$A$3:$U$983,7,FALSE)</f>
        <v>0</v>
      </c>
      <c r="H822" s="48">
        <f>VLOOKUP($A822,DICO_Complet!$A$3:$U$983,8,FALSE)</f>
        <v>0</v>
      </c>
      <c r="I822" s="2" t="str">
        <f>IF(VLOOKUP($A822,DICO_Complet!$A$3:$U$983,9,FALSE)&lt;&gt;0,VLOOKUP($A822,DICO_Complet!$A$3:$U$983,9,FALSE),"")</f>
        <v/>
      </c>
      <c r="J822" s="1" t="str">
        <f>VLOOKUP($A822,DICO_Complet!$A$3:$U$983,10,FALSE)</f>
        <v>Call floor limit for random selection</v>
      </c>
      <c r="K822" s="53" t="str">
        <f>IF(VLOOKUP($A822,DICO_Complet!$A$3:$U$983,12,FALSE)=0,"",VLOOKUP($A822,DICO_Complet!$A$3:$U$983,12,FALSE))</f>
        <v/>
      </c>
      <c r="L822" s="53" t="str">
        <f>IF(VLOOKUP($A822,DICO_Complet!$A$3:$U$983,13,FALSE)=0,"",VLOOKUP($A822,DICO_Complet!$A$3:$U$983,13,FALSE))</f>
        <v/>
      </c>
      <c r="M822" s="53" t="str">
        <f>IF(VLOOKUP($A822,DICO_Complet!$A$3:$U$983,14,FALSE)=0,"",VLOOKUP($A822,DICO_Complet!$A$3:$U$983,14,FALSE))</f>
        <v>72_DF1B part 4</v>
      </c>
      <c r="N822" s="53" t="str">
        <f>IF(VLOOKUP($A822,DICO_Complet!$A$3:$U$983,15,FALSE)=0,"",VLOOKUP($A822,DICO_Complet!$A$3:$U$983,15,FALSE))</f>
        <v/>
      </c>
      <c r="O822" s="53" t="str">
        <f>IF(VLOOKUP($A822,DICO_Complet!$A$3:$U$983,16,FALSE)=0,"",VLOOKUP($A822,DICO_Complet!$A$3:$U$983,16,FALSE))</f>
        <v/>
      </c>
      <c r="P822" s="53" t="str">
        <f>IF(VLOOKUP($A822,DICO_Complet!$A$3:$U$983,17,FALSE)=0,"",VLOOKUP($A822,DICO_Complet!$A$3:$U$983,17,FALSE))</f>
        <v/>
      </c>
      <c r="Q822" s="53" t="str">
        <f>IF(VLOOKUP($A822,DICO_Complet!$A$3:$U$983,18,FALSE)=0,"",VLOOKUP($A822,DICO_Complet!$A$3:$U$983,18,FALSE))</f>
        <v/>
      </c>
    </row>
    <row r="823" spans="1:17">
      <c r="A823" s="38">
        <v>250425200804</v>
      </c>
      <c r="B823" s="47" t="s">
        <v>858</v>
      </c>
      <c r="C823" s="3" t="str">
        <f>VLOOKUP($A823,DICO_Complet!$A$3:$U$983,3,FALSE)</f>
        <v>Transaction</v>
      </c>
      <c r="D823" s="3" t="str">
        <f>VLOOKUP($A823,DICO_Complet!$A$3:$U$983,4,FALSE)</f>
        <v>transactionDetails</v>
      </c>
      <c r="E823" s="2" t="str">
        <f>VLOOKUP($A823,DICO_Complet!$A$3:$U$983,5,FALSE)</f>
        <v>temp_cardholderAcceptanceLevel</v>
      </c>
      <c r="F823" s="2" t="str">
        <f>VLOOKUP($A823,DICO_Complet!$A$3:$U$983,6,FALSE)</f>
        <v>Exact1NumericText</v>
      </c>
      <c r="G823" s="48">
        <f>VLOOKUP($A823,DICO_Complet!$A$3:$U$983,7,FALSE)</f>
        <v>0</v>
      </c>
      <c r="H823" s="48">
        <f>VLOOKUP($A823,DICO_Complet!$A$3:$U$983,8,FALSE)</f>
        <v>0</v>
      </c>
      <c r="I823" s="2" t="str">
        <f>IF(VLOOKUP($A823,DICO_Complet!$A$3:$U$983,9,FALSE)&lt;&gt;0,VLOOKUP($A823,DICO_Complet!$A$3:$U$983,9,FALSE),"")</f>
        <v/>
      </c>
      <c r="J823" s="1" t="str">
        <f>VLOOKUP($A823,DICO_Complet!$A$3:$U$983,10,FALSE)</f>
        <v>Cardholder acceptance level</v>
      </c>
      <c r="K823" s="53" t="str">
        <f>IF(VLOOKUP($A823,DICO_Complet!$A$3:$U$983,12,FALSE)=0,"",VLOOKUP($A823,DICO_Complet!$A$3:$U$983,12,FALSE))</f>
        <v/>
      </c>
      <c r="L823" s="53" t="str">
        <f>IF(VLOOKUP($A823,DICO_Complet!$A$3:$U$983,13,FALSE)=0,"",VLOOKUP($A823,DICO_Complet!$A$3:$U$983,13,FALSE))</f>
        <v/>
      </c>
      <c r="M823" s="53" t="str">
        <f>IF(VLOOKUP($A823,DICO_Complet!$A$3:$U$983,14,FALSE)=0,"",VLOOKUP($A823,DICO_Complet!$A$3:$U$983,14,FALSE))</f>
        <v>72_DF1D part 3</v>
      </c>
      <c r="N823" s="53" t="str">
        <f>IF(VLOOKUP($A823,DICO_Complet!$A$3:$U$983,15,FALSE)=0,"",VLOOKUP($A823,DICO_Complet!$A$3:$U$983,15,FALSE))</f>
        <v/>
      </c>
      <c r="O823" s="53" t="str">
        <f>IF(VLOOKUP($A823,DICO_Complet!$A$3:$U$983,16,FALSE)=0,"",VLOOKUP($A823,DICO_Complet!$A$3:$U$983,16,FALSE))</f>
        <v/>
      </c>
      <c r="P823" s="53" t="str">
        <f>IF(VLOOKUP($A823,DICO_Complet!$A$3:$U$983,17,FALSE)=0,"",VLOOKUP($A823,DICO_Complet!$A$3:$U$983,17,FALSE))</f>
        <v/>
      </c>
      <c r="Q823" s="53" t="str">
        <f>IF(VLOOKUP($A823,DICO_Complet!$A$3:$U$983,18,FALSE)=0,"",VLOOKUP($A823,DICO_Complet!$A$3:$U$983,18,FALSE))</f>
        <v/>
      </c>
    </row>
    <row r="824" spans="1:17">
      <c r="A824" s="38">
        <v>250418220167</v>
      </c>
      <c r="B824" s="47" t="s">
        <v>858</v>
      </c>
      <c r="C824" s="3" t="str">
        <f>VLOOKUP($A824,DICO_Complet!$A$3:$U$983,3,FALSE)</f>
        <v>Transaction</v>
      </c>
      <c r="D824" s="3" t="str">
        <f>VLOOKUP($A824,DICO_Complet!$A$3:$U$983,4,FALSE)</f>
        <v>transactionDetails</v>
      </c>
      <c r="E824" s="2" t="str">
        <f>VLOOKUP($A824,DICO_Complet!$A$3:$U$983,5,FALSE)</f>
        <v>temp_clearingAmount</v>
      </c>
      <c r="F824" s="2" t="str">
        <f>VLOOKUP($A824,DICO_Complet!$A$3:$U$983,6,FALSE)</f>
        <v>AmountType</v>
      </c>
      <c r="G824" s="48">
        <f>VLOOKUP($A824,DICO_Complet!$A$3:$U$983,7,FALSE)</f>
        <v>0</v>
      </c>
      <c r="H824" s="48">
        <f>VLOOKUP($A824,DICO_Complet!$A$3:$U$983,8,FALSE)</f>
        <v>0</v>
      </c>
      <c r="I824" s="2" t="str">
        <f>IF(VLOOKUP($A824,DICO_Complet!$A$3:$U$983,9,FALSE)&lt;&gt;0,VLOOKUP($A824,DICO_Complet!$A$3:$U$983,9,FALSE),"")</f>
        <v/>
      </c>
      <c r="J824" s="1" t="str">
        <f>VLOOKUP($A824,DICO_Complet!$A$3:$U$983,10,FALSE)</f>
        <v xml:space="preserve">Montant compense </v>
      </c>
      <c r="K824" s="53" t="str">
        <f>IF(VLOOKUP($A824,DICO_Complet!$A$3:$U$983,12,FALSE)=0,"",VLOOKUP($A824,DICO_Complet!$A$3:$U$983,12,FALSE))</f>
        <v/>
      </c>
      <c r="L824" s="53" t="str">
        <f>IF(VLOOKUP($A824,DICO_Complet!$A$3:$U$983,13,FALSE)=0,"",VLOOKUP($A824,DICO_Complet!$A$3:$U$983,13,FALSE))</f>
        <v/>
      </c>
      <c r="M824" s="53" t="str">
        <f>IF(VLOOKUP($A824,DICO_Complet!$A$3:$U$983,14,FALSE)=0,"",VLOOKUP($A824,DICO_Complet!$A$3:$U$983,14,FALSE))</f>
        <v/>
      </c>
      <c r="N824" s="53" t="str">
        <f>IF(VLOOKUP($A824,DICO_Complet!$A$3:$U$983,15,FALSE)=0,"",VLOOKUP($A824,DICO_Complet!$A$3:$U$983,15,FALSE))</f>
        <v/>
      </c>
      <c r="O824" s="53" t="str">
        <f>IF(VLOOKUP($A824,DICO_Complet!$A$3:$U$983,16,FALSE)=0,"",VLOOKUP($A824,DICO_Complet!$A$3:$U$983,16,FALSE))</f>
        <v/>
      </c>
      <c r="P824" s="53" t="str">
        <f>IF(VLOOKUP($A824,DICO_Complet!$A$3:$U$983,17,FALSE)=0,"",VLOOKUP($A824,DICO_Complet!$A$3:$U$983,17,FALSE))</f>
        <v/>
      </c>
      <c r="Q824" s="53" t="str">
        <f>IF(VLOOKUP($A824,DICO_Complet!$A$3:$U$983,18,FALSE)=0,"",VLOOKUP($A824,DICO_Complet!$A$3:$U$983,18,FALSE))</f>
        <v>MTCPDE</v>
      </c>
    </row>
    <row r="825" spans="1:17">
      <c r="A825" s="38">
        <v>250425151301</v>
      </c>
      <c r="B825" s="47" t="s">
        <v>858</v>
      </c>
      <c r="C825" s="3" t="str">
        <f>VLOOKUP($A825,DICO_Complet!$A$3:$U$983,3,FALSE)</f>
        <v>Transaction</v>
      </c>
      <c r="D825" s="3" t="str">
        <f>VLOOKUP($A825,DICO_Complet!$A$3:$U$983,4,FALSE)</f>
        <v>transactionDetails</v>
      </c>
      <c r="E825" s="2" t="str">
        <f>VLOOKUP($A825,DICO_Complet!$A$3:$U$983,5,FALSE)</f>
        <v>temp_clearingDate</v>
      </c>
      <c r="F825" s="2" t="str">
        <f>VLOOKUP($A825,DICO_Complet!$A$3:$U$983,6,FALSE)</f>
        <v>ISODate</v>
      </c>
      <c r="G825" s="48">
        <f>VLOOKUP($A825,DICO_Complet!$A$3:$U$983,7,FALSE)</f>
        <v>0</v>
      </c>
      <c r="H825" s="48">
        <f>VLOOKUP($A825,DICO_Complet!$A$3:$U$983,8,FALSE)</f>
        <v>0</v>
      </c>
      <c r="I825" s="2" t="str">
        <f>IF(VLOOKUP($A825,DICO_Complet!$A$3:$U$983,9,FALSE)&lt;&gt;0,VLOOKUP($A825,DICO_Complet!$A$3:$U$983,9,FALSE),"")</f>
        <v/>
      </c>
      <c r="J825" s="1" t="str">
        <f>VLOOKUP($A825,DICO_Complet!$A$3:$U$983,10,FALSE)</f>
        <v>Date et heure du Clearing</v>
      </c>
      <c r="K825" s="53" t="str">
        <f>IF(VLOOKUP($A825,DICO_Complet!$A$3:$U$983,12,FALSE)=0,"",VLOOKUP($A825,DICO_Complet!$A$3:$U$983,12,FALSE))</f>
        <v/>
      </c>
      <c r="L825" s="53" t="str">
        <f>IF(VLOOKUP($A825,DICO_Complet!$A$3:$U$983,13,FALSE)=0,"",VLOOKUP($A825,DICO_Complet!$A$3:$U$983,13,FALSE))</f>
        <v/>
      </c>
      <c r="M825" s="53" t="str">
        <f>IF(VLOOKUP($A825,DICO_Complet!$A$3:$U$983,14,FALSE)=0,"",VLOOKUP($A825,DICO_Complet!$A$3:$U$983,14,FALSE))</f>
        <v/>
      </c>
      <c r="N825" s="53" t="str">
        <f>IF(VLOOKUP($A825,DICO_Complet!$A$3:$U$983,15,FALSE)=0,"",VLOOKUP($A825,DICO_Complet!$A$3:$U$983,15,FALSE))</f>
        <v/>
      </c>
      <c r="O825" s="53" t="str">
        <f>IF(VLOOKUP($A825,DICO_Complet!$A$3:$U$983,16,FALSE)=0,"",VLOOKUP($A825,DICO_Complet!$A$3:$U$983,16,FALSE))</f>
        <v/>
      </c>
      <c r="P825" s="53" t="str">
        <f>IF(VLOOKUP($A825,DICO_Complet!$A$3:$U$983,17,FALSE)=0,"",VLOOKUP($A825,DICO_Complet!$A$3:$U$983,17,FALSE))</f>
        <v/>
      </c>
      <c r="Q825" s="53" t="str">
        <f>IF(VLOOKUP($A825,DICO_Complet!$A$3:$U$983,18,FALSE)=0,"",VLOOKUP($A825,DICO_Complet!$A$3:$U$983,18,FALSE))</f>
        <v/>
      </c>
    </row>
    <row r="826" spans="1:17">
      <c r="A826" s="38">
        <v>250425200801</v>
      </c>
      <c r="B826" s="47" t="s">
        <v>858</v>
      </c>
      <c r="C826" s="3" t="str">
        <f>VLOOKUP($A826,DICO_Complet!$A$3:$U$983,3,FALSE)</f>
        <v>Transaction</v>
      </c>
      <c r="D826" s="3" t="str">
        <f>VLOOKUP($A826,DICO_Complet!$A$3:$U$983,4,FALSE)</f>
        <v>transactionDetails</v>
      </c>
      <c r="E826" s="2" t="str">
        <f>VLOOKUP($A826,DICO_Complet!$A$3:$U$983,5,FALSE)</f>
        <v>temp_coefficientAssociatedWithTheRandomSelectionAlgorithm</v>
      </c>
      <c r="F826" s="2" t="str">
        <f>VLOOKUP($A826,DICO_Complet!$A$3:$U$983,6,FALSE)</f>
        <v>Exact2NumericText</v>
      </c>
      <c r="G826" s="48">
        <f>VLOOKUP($A826,DICO_Complet!$A$3:$U$983,7,FALSE)</f>
        <v>0</v>
      </c>
      <c r="H826" s="48">
        <f>VLOOKUP($A826,DICO_Complet!$A$3:$U$983,8,FALSE)</f>
        <v>0</v>
      </c>
      <c r="I826" s="2" t="str">
        <f>IF(VLOOKUP($A826,DICO_Complet!$A$3:$U$983,9,FALSE)&lt;&gt;0,VLOOKUP($A826,DICO_Complet!$A$3:$U$983,9,FALSE),"")</f>
        <v/>
      </c>
      <c r="J826" s="1" t="str">
        <f>VLOOKUP($A826,DICO_Complet!$A$3:$U$983,10,FALSE)</f>
        <v>Coefficient associated with the random selection algorithm</v>
      </c>
      <c r="K826" s="53" t="str">
        <f>IF(VLOOKUP($A826,DICO_Complet!$A$3:$U$983,12,FALSE)=0,"",VLOOKUP($A826,DICO_Complet!$A$3:$U$983,12,FALSE))</f>
        <v/>
      </c>
      <c r="L826" s="53" t="str">
        <f>IF(VLOOKUP($A826,DICO_Complet!$A$3:$U$983,13,FALSE)=0,"",VLOOKUP($A826,DICO_Complet!$A$3:$U$983,13,FALSE))</f>
        <v/>
      </c>
      <c r="M826" s="53" t="str">
        <f>IF(VLOOKUP($A826,DICO_Complet!$A$3:$U$983,14,FALSE)=0,"",VLOOKUP($A826,DICO_Complet!$A$3:$U$983,14,FALSE))</f>
        <v>72_DF1B part 5</v>
      </c>
      <c r="N826" s="53" t="str">
        <f>IF(VLOOKUP($A826,DICO_Complet!$A$3:$U$983,15,FALSE)=0,"",VLOOKUP($A826,DICO_Complet!$A$3:$U$983,15,FALSE))</f>
        <v/>
      </c>
      <c r="O826" s="53" t="str">
        <f>IF(VLOOKUP($A826,DICO_Complet!$A$3:$U$983,16,FALSE)=0,"",VLOOKUP($A826,DICO_Complet!$A$3:$U$983,16,FALSE))</f>
        <v/>
      </c>
      <c r="P826" s="53" t="str">
        <f>IF(VLOOKUP($A826,DICO_Complet!$A$3:$U$983,17,FALSE)=0,"",VLOOKUP($A826,DICO_Complet!$A$3:$U$983,17,FALSE))</f>
        <v/>
      </c>
      <c r="Q826" s="53" t="str">
        <f>IF(VLOOKUP($A826,DICO_Complet!$A$3:$U$983,18,FALSE)=0,"",VLOOKUP($A826,DICO_Complet!$A$3:$U$983,18,FALSE))</f>
        <v/>
      </c>
    </row>
    <row r="827" spans="1:17">
      <c r="A827" s="38">
        <v>250418220165</v>
      </c>
      <c r="B827" s="47" t="s">
        <v>858</v>
      </c>
      <c r="C827" s="3" t="str">
        <f>VLOOKUP($A827,DICO_Complet!$A$3:$U$983,3,FALSE)</f>
        <v>Transaction</v>
      </c>
      <c r="D827" s="3" t="str">
        <f>VLOOKUP($A827,DICO_Complet!$A$3:$U$983,4,FALSE)</f>
        <v>transactionDetails</v>
      </c>
      <c r="E827" s="2" t="str">
        <f>VLOOKUP($A827,DICO_Complet!$A$3:$U$983,5,FALSE)</f>
        <v>temp_companyRegistrationNumber</v>
      </c>
      <c r="F827" s="2" t="str">
        <f>VLOOKUP($A827,DICO_Complet!$A$3:$U$983,6,FALSE)</f>
        <v>Max14AlphaNumericText</v>
      </c>
      <c r="G827" s="48">
        <f>VLOOKUP($A827,DICO_Complet!$A$3:$U$983,7,FALSE)</f>
        <v>0</v>
      </c>
      <c r="H827" s="48">
        <f>VLOOKUP($A827,DICO_Complet!$A$3:$U$983,8,FALSE)</f>
        <v>0</v>
      </c>
      <c r="I827" s="2" t="str">
        <f>IF(VLOOKUP($A827,DICO_Complet!$A$3:$U$983,9,FALSE)&lt;&gt;0,VLOOKUP($A827,DICO_Complet!$A$3:$U$983,9,FALSE),"")</f>
        <v/>
      </c>
      <c r="J827" s="1" t="str">
        <f>VLOOKUP($A827,DICO_Complet!$A$3:$U$983,10,FALSE)</f>
        <v>SIRETde niveau transaction</v>
      </c>
      <c r="K827" s="53" t="str">
        <f>IF(VLOOKUP($A827,DICO_Complet!$A$3:$U$983,12,FALSE)=0,"",VLOOKUP($A827,DICO_Complet!$A$3:$U$983,12,FALSE))</f>
        <v/>
      </c>
      <c r="L827" s="53" t="str">
        <f>IF(VLOOKUP($A827,DICO_Complet!$A$3:$U$983,13,FALSE)=0,"",VLOOKUP($A827,DICO_Complet!$A$3:$U$983,13,FALSE))</f>
        <v/>
      </c>
      <c r="M827" s="53" t="str">
        <f>IF(VLOOKUP($A827,DICO_Complet!$A$3:$U$983,14,FALSE)=0,"",VLOOKUP($A827,DICO_Complet!$A$3:$U$983,14,FALSE))</f>
        <v/>
      </c>
      <c r="N827" s="53" t="str">
        <f>IF(VLOOKUP($A827,DICO_Complet!$A$3:$U$983,15,FALSE)=0,"",VLOOKUP($A827,DICO_Complet!$A$3:$U$983,15,FALSE))</f>
        <v/>
      </c>
      <c r="O827" s="53" t="str">
        <f>IF(VLOOKUP($A827,DICO_Complet!$A$3:$U$983,16,FALSE)=0,"",VLOOKUP($A827,DICO_Complet!$A$3:$U$983,16,FALSE))</f>
        <v/>
      </c>
      <c r="P827" s="53" t="str">
        <f>IF(VLOOKUP($A827,DICO_Complet!$A$3:$U$983,17,FALSE)=0,"",VLOOKUP($A827,DICO_Complet!$A$3:$U$983,17,FALSE))</f>
        <v/>
      </c>
      <c r="Q827" s="53" t="str">
        <f>IF(VLOOKUP($A827,DICO_Complet!$A$3:$U$983,18,FALSE)=0,"",VLOOKUP($A827,DICO_Complet!$A$3:$U$983,18,FALSE))</f>
        <v>xxxx</v>
      </c>
    </row>
    <row r="828" spans="1:17">
      <c r="A828" s="38">
        <v>250423110203</v>
      </c>
      <c r="B828" s="47" t="s">
        <v>858</v>
      </c>
      <c r="C828" s="3" t="str">
        <f>VLOOKUP($A828,DICO_Complet!$A$3:$U$983,3,FALSE)</f>
        <v>Transaction</v>
      </c>
      <c r="D828" s="3" t="str">
        <f>VLOOKUP($A828,DICO_Complet!$A$3:$U$983,4,FALSE)</f>
        <v>transactionDetails</v>
      </c>
      <c r="E828" s="2" t="str">
        <f>VLOOKUP($A828,DICO_Complet!$A$3:$U$983,5,FALSE)</f>
        <v>temp_dataEnvelope</v>
      </c>
      <c r="F828" s="2" t="str">
        <f>VLOOKUP($A828,DICO_Complet!$A$3:$U$983,6,FALSE)</f>
        <v>Max255HexBinaryText</v>
      </c>
      <c r="G828" s="48">
        <f>VLOOKUP($A828,DICO_Complet!$A$3:$U$983,7,FALSE)</f>
        <v>0</v>
      </c>
      <c r="H828" s="48">
        <f>VLOOKUP($A828,DICO_Complet!$A$3:$U$983,8,FALSE)</f>
        <v>0</v>
      </c>
      <c r="I828" s="2" t="str">
        <f>IF(VLOOKUP($A828,DICO_Complet!$A$3:$U$983,9,FALSE)&lt;&gt;0,VLOOKUP($A828,DICO_Complet!$A$3:$U$983,9,FALSE),"")</f>
        <v/>
      </c>
      <c r="J828" s="1" t="str">
        <f>VLOOKUP($A828,DICO_Complet!$A$3:$U$983,10,FALSE)</f>
        <v>Data envelope</v>
      </c>
      <c r="K828" s="53" t="str">
        <f>IF(VLOOKUP($A828,DICO_Complet!$A$3:$U$983,12,FALSE)=0,"",VLOOKUP($A828,DICO_Complet!$A$3:$U$983,12,FALSE))</f>
        <v/>
      </c>
      <c r="L828" s="53" t="str">
        <f>IF(VLOOKUP($A828,DICO_Complet!$A$3:$U$983,13,FALSE)=0,"",VLOOKUP($A828,DICO_Complet!$A$3:$U$983,13,FALSE))</f>
        <v/>
      </c>
      <c r="M828" s="53" t="str">
        <f>IF(VLOOKUP($A828,DICO_Complet!$A$3:$U$983,14,FALSE)=0,"",VLOOKUP($A828,DICO_Complet!$A$3:$U$983,14,FALSE))</f>
        <v>72_DF19</v>
      </c>
      <c r="N828" s="53" t="str">
        <f>IF(VLOOKUP($A828,DICO_Complet!$A$3:$U$983,15,FALSE)=0,"",VLOOKUP($A828,DICO_Complet!$A$3:$U$983,15,FALSE))</f>
        <v/>
      </c>
      <c r="O828" s="53" t="str">
        <f>IF(VLOOKUP($A828,DICO_Complet!$A$3:$U$983,16,FALSE)=0,"",VLOOKUP($A828,DICO_Complet!$A$3:$U$983,16,FALSE))</f>
        <v/>
      </c>
      <c r="P828" s="53" t="str">
        <f>IF(VLOOKUP($A828,DICO_Complet!$A$3:$U$983,17,FALSE)=0,"",VLOOKUP($A828,DICO_Complet!$A$3:$U$983,17,FALSE))</f>
        <v/>
      </c>
      <c r="Q828" s="53" t="str">
        <f>IF(VLOOKUP($A828,DICO_Complet!$A$3:$U$983,18,FALSE)=0,"",VLOOKUP($A828,DICO_Complet!$A$3:$U$983,18,FALSE))</f>
        <v/>
      </c>
    </row>
    <row r="829" spans="1:17">
      <c r="A829" s="38">
        <v>250425201610</v>
      </c>
      <c r="B829" s="47" t="s">
        <v>858</v>
      </c>
      <c r="C829" s="3" t="str">
        <f>VLOOKUP($A829,DICO_Complet!$A$3:$U$983,3,FALSE)</f>
        <v>Transaction</v>
      </c>
      <c r="D829" s="3" t="str">
        <f>VLOOKUP($A829,DICO_Complet!$A$3:$U$983,4,FALSE)</f>
        <v>transactionDetails</v>
      </c>
      <c r="E829" s="2" t="str">
        <f>VLOOKUP($A829,DICO_Complet!$A$3:$U$983,5,FALSE)</f>
        <v>temp_dataLengh</v>
      </c>
      <c r="F829" s="2" t="str">
        <f>VLOOKUP($A829,DICO_Complet!$A$3:$U$983,6,FALSE)</f>
        <v>Exact3AlphaNumericText</v>
      </c>
      <c r="G829" s="48">
        <f>VLOOKUP($A829,DICO_Complet!$A$3:$U$983,7,FALSE)</f>
        <v>0</v>
      </c>
      <c r="H829" s="48">
        <f>VLOOKUP($A829,DICO_Complet!$A$3:$U$983,8,FALSE)</f>
        <v>0</v>
      </c>
      <c r="I829" s="2" t="str">
        <f>IF(VLOOKUP($A829,DICO_Complet!$A$3:$U$983,9,FALSE)&lt;&gt;0,VLOOKUP($A829,DICO_Complet!$A$3:$U$983,9,FALSE),"")</f>
        <v/>
      </c>
      <c r="J829" s="1" t="str">
        <f>VLOOKUP($A829,DICO_Complet!$A$3:$U$983,10,FALSE)</f>
        <v xml:space="preserve"> Data length</v>
      </c>
      <c r="K829" s="53" t="str">
        <f>IF(VLOOKUP($A829,DICO_Complet!$A$3:$U$983,12,FALSE)=0,"",VLOOKUP($A829,DICO_Complet!$A$3:$U$983,12,FALSE))</f>
        <v/>
      </c>
      <c r="L829" s="53" t="str">
        <f>IF(VLOOKUP($A829,DICO_Complet!$A$3:$U$983,13,FALSE)=0,"",VLOOKUP($A829,DICO_Complet!$A$3:$U$983,13,FALSE))</f>
        <v/>
      </c>
      <c r="M829" s="53" t="str">
        <f>IF(VLOOKUP($A829,DICO_Complet!$A$3:$U$983,14,FALSE)=0,"",VLOOKUP($A829,DICO_Complet!$A$3:$U$983,14,FALSE))</f>
        <v>814_Champ44 part 2</v>
      </c>
      <c r="N829" s="53" t="str">
        <f>IF(VLOOKUP($A829,DICO_Complet!$A$3:$U$983,15,FALSE)=0,"",VLOOKUP($A829,DICO_Complet!$A$3:$U$983,15,FALSE))</f>
        <v/>
      </c>
      <c r="O829" s="53" t="str">
        <f>IF(VLOOKUP($A829,DICO_Complet!$A$3:$U$983,16,FALSE)=0,"",VLOOKUP($A829,DICO_Complet!$A$3:$U$983,16,FALSE))</f>
        <v/>
      </c>
      <c r="P829" s="53" t="str">
        <f>IF(VLOOKUP($A829,DICO_Complet!$A$3:$U$983,17,FALSE)=0,"",VLOOKUP($A829,DICO_Complet!$A$3:$U$983,17,FALSE))</f>
        <v/>
      </c>
      <c r="Q829" s="53" t="str">
        <f>IF(VLOOKUP($A829,DICO_Complet!$A$3:$U$983,18,FALSE)=0,"",VLOOKUP($A829,DICO_Complet!$A$3:$U$983,18,FALSE))</f>
        <v/>
      </c>
    </row>
    <row r="830" spans="1:17">
      <c r="A830" s="38">
        <v>250425201605</v>
      </c>
      <c r="B830" s="47" t="s">
        <v>858</v>
      </c>
      <c r="C830" s="3" t="str">
        <f>VLOOKUP($A830,DICO_Complet!$A$3:$U$983,3,FALSE)</f>
        <v>Transaction</v>
      </c>
      <c r="D830" s="3" t="str">
        <f>VLOOKUP($A830,DICO_Complet!$A$3:$U$983,4,FALSE)</f>
        <v>transactionDetails</v>
      </c>
      <c r="E830" s="2" t="str">
        <f>VLOOKUP($A830,DICO_Complet!$A$3:$U$983,5,FALSE)</f>
        <v>temp_debtRecoveryPeriod</v>
      </c>
      <c r="F830" s="2" t="str">
        <f>VLOOKUP($A830,DICO_Complet!$A$3:$U$983,6,FALSE)</f>
        <v>Exact3NumericText</v>
      </c>
      <c r="G830" s="48">
        <f>VLOOKUP($A830,DICO_Complet!$A$3:$U$983,7,FALSE)</f>
        <v>0</v>
      </c>
      <c r="H830" s="48">
        <f>VLOOKUP($A830,DICO_Complet!$A$3:$U$983,8,FALSE)</f>
        <v>0</v>
      </c>
      <c r="I830" s="2" t="str">
        <f>IF(VLOOKUP($A830,DICO_Complet!$A$3:$U$983,9,FALSE)&lt;&gt;0,VLOOKUP($A830,DICO_Complet!$A$3:$U$983,9,FALSE),"")</f>
        <v/>
      </c>
      <c r="J830" s="1" t="str">
        <f>VLOOKUP($A830,DICO_Complet!$A$3:$U$983,10,FALSE)</f>
        <v>Debt recovery period</v>
      </c>
      <c r="K830" s="53" t="str">
        <f>IF(VLOOKUP($A830,DICO_Complet!$A$3:$U$983,12,FALSE)=0,"",VLOOKUP($A830,DICO_Complet!$A$3:$U$983,12,FALSE))</f>
        <v/>
      </c>
      <c r="L830" s="53" t="str">
        <f>IF(VLOOKUP($A830,DICO_Complet!$A$3:$U$983,13,FALSE)=0,"",VLOOKUP($A830,DICO_Complet!$A$3:$U$983,13,FALSE))</f>
        <v/>
      </c>
      <c r="M830" s="53" t="str">
        <f>IF(VLOOKUP($A830,DICO_Complet!$A$3:$U$983,14,FALSE)=0,"",VLOOKUP($A830,DICO_Complet!$A$3:$U$983,14,FALSE))</f>
        <v>72_DFAE part 14</v>
      </c>
      <c r="N830" s="53" t="str">
        <f>IF(VLOOKUP($A830,DICO_Complet!$A$3:$U$983,15,FALSE)=0,"",VLOOKUP($A830,DICO_Complet!$A$3:$U$983,15,FALSE))</f>
        <v/>
      </c>
      <c r="O830" s="53" t="str">
        <f>IF(VLOOKUP($A830,DICO_Complet!$A$3:$U$983,16,FALSE)=0,"",VLOOKUP($A830,DICO_Complet!$A$3:$U$983,16,FALSE))</f>
        <v/>
      </c>
      <c r="P830" s="53" t="str">
        <f>IF(VLOOKUP($A830,DICO_Complet!$A$3:$U$983,17,FALSE)=0,"",VLOOKUP($A830,DICO_Complet!$A$3:$U$983,17,FALSE))</f>
        <v/>
      </c>
      <c r="Q830" s="53" t="str">
        <f>IF(VLOOKUP($A830,DICO_Complet!$A$3:$U$983,18,FALSE)=0,"",VLOOKUP($A830,DICO_Complet!$A$3:$U$983,18,FALSE))</f>
        <v/>
      </c>
    </row>
    <row r="831" spans="1:17">
      <c r="A831" s="38">
        <v>250425201603</v>
      </c>
      <c r="B831" s="47" t="s">
        <v>858</v>
      </c>
      <c r="C831" s="3" t="str">
        <f>VLOOKUP($A831,DICO_Complet!$A$3:$U$983,3,FALSE)</f>
        <v>Transaction</v>
      </c>
      <c r="D831" s="3" t="str">
        <f>VLOOKUP($A831,DICO_Complet!$A$3:$U$983,4,FALSE)</f>
        <v>transactionDetails</v>
      </c>
      <c r="E831" s="2" t="str">
        <f>VLOOKUP($A831,DICO_Complet!$A$3:$U$983,5,FALSE)</f>
        <v>temp_debtRecoveryType</v>
      </c>
      <c r="F831" s="2" t="str">
        <f>VLOOKUP($A831,DICO_Complet!$A$3:$U$983,6,FALSE)</f>
        <v>Exact1AlphaNumericText</v>
      </c>
      <c r="G831" s="48">
        <f>VLOOKUP($A831,DICO_Complet!$A$3:$U$983,7,FALSE)</f>
        <v>0</v>
      </c>
      <c r="H831" s="48">
        <f>VLOOKUP($A831,DICO_Complet!$A$3:$U$983,8,FALSE)</f>
        <v>0</v>
      </c>
      <c r="I831" s="2" t="str">
        <f>IF(VLOOKUP($A831,DICO_Complet!$A$3:$U$983,9,FALSE)&lt;&gt;0,VLOOKUP($A831,DICO_Complet!$A$3:$U$983,9,FALSE),"")</f>
        <v/>
      </c>
      <c r="J831" s="1" t="str">
        <f>VLOOKUP($A831,DICO_Complet!$A$3:$U$983,10,FALSE)</f>
        <v>Debt recovery type</v>
      </c>
      <c r="K831" s="53" t="str">
        <f>IF(VLOOKUP($A831,DICO_Complet!$A$3:$U$983,12,FALSE)=0,"",VLOOKUP($A831,DICO_Complet!$A$3:$U$983,12,FALSE))</f>
        <v/>
      </c>
      <c r="L831" s="53" t="str">
        <f>IF(VLOOKUP($A831,DICO_Complet!$A$3:$U$983,13,FALSE)=0,"",VLOOKUP($A831,DICO_Complet!$A$3:$U$983,13,FALSE))</f>
        <v/>
      </c>
      <c r="M831" s="53" t="str">
        <f>IF(VLOOKUP($A831,DICO_Complet!$A$3:$U$983,14,FALSE)=0,"",VLOOKUP($A831,DICO_Complet!$A$3:$U$983,14,FALSE))</f>
        <v>72_DFAE part 12</v>
      </c>
      <c r="N831" s="53" t="str">
        <f>IF(VLOOKUP($A831,DICO_Complet!$A$3:$U$983,15,FALSE)=0,"",VLOOKUP($A831,DICO_Complet!$A$3:$U$983,15,FALSE))</f>
        <v/>
      </c>
      <c r="O831" s="53" t="str">
        <f>IF(VLOOKUP($A831,DICO_Complet!$A$3:$U$983,16,FALSE)=0,"",VLOOKUP($A831,DICO_Complet!$A$3:$U$983,16,FALSE))</f>
        <v/>
      </c>
      <c r="P831" s="53" t="str">
        <f>IF(VLOOKUP($A831,DICO_Complet!$A$3:$U$983,17,FALSE)=0,"",VLOOKUP($A831,DICO_Complet!$A$3:$U$983,17,FALSE))</f>
        <v/>
      </c>
      <c r="Q831" s="53" t="str">
        <f>IF(VLOOKUP($A831,DICO_Complet!$A$3:$U$983,18,FALSE)=0,"",VLOOKUP($A831,DICO_Complet!$A$3:$U$983,18,FALSE))</f>
        <v/>
      </c>
    </row>
    <row r="832" spans="1:17">
      <c r="A832" s="38">
        <v>250425201524</v>
      </c>
      <c r="B832" s="47" t="s">
        <v>858</v>
      </c>
      <c r="C832" s="3" t="str">
        <f>VLOOKUP($A832,DICO_Complet!$A$3:$U$983,3,FALSE)</f>
        <v>Transaction</v>
      </c>
      <c r="D832" s="3" t="str">
        <f>VLOOKUP($A832,DICO_Complet!$A$3:$U$983,4,FALSE)</f>
        <v>transactionDetails</v>
      </c>
      <c r="E832" s="2" t="str">
        <f>VLOOKUP($A832,DICO_Complet!$A$3:$U$983,5,FALSE)</f>
        <v>temp_durationOfAcceptorOffer</v>
      </c>
      <c r="F832" s="2" t="str">
        <f>VLOOKUP($A832,DICO_Complet!$A$3:$U$983,6,FALSE)</f>
        <v>Exact3NumericText</v>
      </c>
      <c r="G832" s="48">
        <f>VLOOKUP($A832,DICO_Complet!$A$3:$U$983,7,FALSE)</f>
        <v>0</v>
      </c>
      <c r="H832" s="48">
        <f>VLOOKUP($A832,DICO_Complet!$A$3:$U$983,8,FALSE)</f>
        <v>0</v>
      </c>
      <c r="I832" s="2" t="str">
        <f>IF(VLOOKUP($A832,DICO_Complet!$A$3:$U$983,9,FALSE)&lt;&gt;0,VLOOKUP($A832,DICO_Complet!$A$3:$U$983,9,FALSE),"")</f>
        <v/>
      </c>
      <c r="J832" s="1" t="str">
        <f>VLOOKUP($A832,DICO_Complet!$A$3:$U$983,10,FALSE)</f>
        <v>Duration of the acceptor offer</v>
      </c>
      <c r="K832" s="53" t="str">
        <f>IF(VLOOKUP($A832,DICO_Complet!$A$3:$U$983,12,FALSE)=0,"",VLOOKUP($A832,DICO_Complet!$A$3:$U$983,12,FALSE))</f>
        <v/>
      </c>
      <c r="L832" s="53" t="str">
        <f>IF(VLOOKUP($A832,DICO_Complet!$A$3:$U$983,13,FALSE)=0,"",VLOOKUP($A832,DICO_Complet!$A$3:$U$983,13,FALSE))</f>
        <v/>
      </c>
      <c r="M832" s="53" t="str">
        <f>IF(VLOOKUP($A832,DICO_Complet!$A$3:$U$983,14,FALSE)=0,"",VLOOKUP($A832,DICO_Complet!$A$3:$U$983,14,FALSE))</f>
        <v>72_DFAE part 1</v>
      </c>
      <c r="N832" s="53" t="str">
        <f>IF(VLOOKUP($A832,DICO_Complet!$A$3:$U$983,15,FALSE)=0,"",VLOOKUP($A832,DICO_Complet!$A$3:$U$983,15,FALSE))</f>
        <v/>
      </c>
      <c r="O832" s="53" t="str">
        <f>IF(VLOOKUP($A832,DICO_Complet!$A$3:$U$983,16,FALSE)=0,"",VLOOKUP($A832,DICO_Complet!$A$3:$U$983,16,FALSE))</f>
        <v/>
      </c>
      <c r="P832" s="53" t="str">
        <f>IF(VLOOKUP($A832,DICO_Complet!$A$3:$U$983,17,FALSE)=0,"",VLOOKUP($A832,DICO_Complet!$A$3:$U$983,17,FALSE))</f>
        <v/>
      </c>
      <c r="Q832" s="53" t="str">
        <f>IF(VLOOKUP($A832,DICO_Complet!$A$3:$U$983,18,FALSE)=0,"",VLOOKUP($A832,DICO_Complet!$A$3:$U$983,18,FALSE))</f>
        <v/>
      </c>
    </row>
    <row r="833" spans="1:17">
      <c r="A833" s="38">
        <v>250418220168</v>
      </c>
      <c r="B833" s="47" t="s">
        <v>858</v>
      </c>
      <c r="C833" s="3" t="str">
        <f>VLOOKUP($A833,DICO_Complet!$A$3:$U$983,3,FALSE)</f>
        <v>Transaction</v>
      </c>
      <c r="D833" s="3" t="str">
        <f>VLOOKUP($A833,DICO_Complet!$A$3:$U$983,4,FALSE)</f>
        <v>transactionDetails</v>
      </c>
      <c r="E833" s="2" t="str">
        <f>VLOOKUP($A833,DICO_Complet!$A$3:$U$983,5,FALSE)</f>
        <v>temp_editionCode</v>
      </c>
      <c r="F833" s="2" t="str">
        <f>VLOOKUP($A833,DICO_Complet!$A$3:$U$983,6,FALSE)</f>
        <v>temp_merchantMailCodeCodeset</v>
      </c>
      <c r="G833" s="48">
        <f>VLOOKUP($A833,DICO_Complet!$A$3:$U$983,7,FALSE)</f>
        <v>0</v>
      </c>
      <c r="H833" s="48">
        <f>VLOOKUP($A833,DICO_Complet!$A$3:$U$983,8,FALSE)</f>
        <v>0</v>
      </c>
      <c r="I833" s="2" t="str">
        <f>IF(VLOOKUP($A833,DICO_Complet!$A$3:$U$983,9,FALSE)&lt;&gt;0,VLOOKUP($A833,DICO_Complet!$A$3:$U$983,9,FALSE),"")</f>
        <v/>
      </c>
      <c r="J833" s="1" t="str">
        <f>VLOOKUP($A833,DICO_Complet!$A$3:$U$983,10,FALSE)</f>
        <v>Top d'edition</v>
      </c>
      <c r="K833" s="53" t="str">
        <f>IF(VLOOKUP($A833,DICO_Complet!$A$3:$U$983,12,FALSE)=0,"",VLOOKUP($A833,DICO_Complet!$A$3:$U$983,12,FALSE))</f>
        <v/>
      </c>
      <c r="L833" s="53" t="str">
        <f>IF(VLOOKUP($A833,DICO_Complet!$A$3:$U$983,13,FALSE)=0,"",VLOOKUP($A833,DICO_Complet!$A$3:$U$983,13,FALSE))</f>
        <v/>
      </c>
      <c r="M833" s="53" t="str">
        <f>IF(VLOOKUP($A833,DICO_Complet!$A$3:$U$983,14,FALSE)=0,"",VLOOKUP($A833,DICO_Complet!$A$3:$U$983,14,FALSE))</f>
        <v/>
      </c>
      <c r="N833" s="53" t="str">
        <f>IF(VLOOKUP($A833,DICO_Complet!$A$3:$U$983,15,FALSE)=0,"",VLOOKUP($A833,DICO_Complet!$A$3:$U$983,15,FALSE))</f>
        <v/>
      </c>
      <c r="O833" s="53" t="str">
        <f>IF(VLOOKUP($A833,DICO_Complet!$A$3:$U$983,16,FALSE)=0,"",VLOOKUP($A833,DICO_Complet!$A$3:$U$983,16,FALSE))</f>
        <v/>
      </c>
      <c r="P833" s="53" t="str">
        <f>IF(VLOOKUP($A833,DICO_Complet!$A$3:$U$983,17,FALSE)=0,"",VLOOKUP($A833,DICO_Complet!$A$3:$U$983,17,FALSE))</f>
        <v/>
      </c>
      <c r="Q833" s="53" t="str">
        <f>IF(VLOOKUP($A833,DICO_Complet!$A$3:$U$983,18,FALSE)=0,"",VLOOKUP($A833,DICO_Complet!$A$3:$U$983,18,FALSE))</f>
        <v>CEDIT</v>
      </c>
    </row>
    <row r="834" spans="1:17">
      <c r="A834" s="38">
        <v>250425200810</v>
      </c>
      <c r="B834" s="47" t="s">
        <v>858</v>
      </c>
      <c r="C834" s="3" t="str">
        <f>VLOOKUP($A834,DICO_Complet!$A$3:$U$983,3,FALSE)</f>
        <v>Transaction</v>
      </c>
      <c r="D834" s="3" t="str">
        <f>VLOOKUP($A834,DICO_Complet!$A$3:$U$983,4,FALSE)</f>
        <v>transactionDetails</v>
      </c>
      <c r="E834" s="2" t="str">
        <f>VLOOKUP($A834,DICO_Complet!$A$3:$U$983,5,FALSE)</f>
        <v>temp_endOfBINRange</v>
      </c>
      <c r="F834" s="2" t="str">
        <f>VLOOKUP($A834,DICO_Complet!$A$3:$U$983,6,FALSE)</f>
        <v>Min1Max19NumericText</v>
      </c>
      <c r="G834" s="48">
        <f>VLOOKUP($A834,DICO_Complet!$A$3:$U$983,7,FALSE)</f>
        <v>0</v>
      </c>
      <c r="H834" s="48">
        <f>VLOOKUP($A834,DICO_Complet!$A$3:$U$983,8,FALSE)</f>
        <v>0</v>
      </c>
      <c r="I834" s="2" t="str">
        <f>IF(VLOOKUP($A834,DICO_Complet!$A$3:$U$983,9,FALSE)&lt;&gt;0,VLOOKUP($A834,DICO_Complet!$A$3:$U$983,9,FALSE),"")</f>
        <v/>
      </c>
      <c r="J834" s="1" t="str">
        <f>VLOOKUP($A834,DICO_Complet!$A$3:$U$983,10,FALSE)</f>
        <v>End of BIN range</v>
      </c>
      <c r="K834" s="53" t="str">
        <f>IF(VLOOKUP($A834,DICO_Complet!$A$3:$U$983,12,FALSE)=0,"",VLOOKUP($A834,DICO_Complet!$A$3:$U$983,12,FALSE))</f>
        <v/>
      </c>
      <c r="L834" s="53" t="str">
        <f>IF(VLOOKUP($A834,DICO_Complet!$A$3:$U$983,13,FALSE)=0,"",VLOOKUP($A834,DICO_Complet!$A$3:$U$983,13,FALSE))</f>
        <v/>
      </c>
      <c r="M834" s="53" t="str">
        <f>IF(VLOOKUP($A834,DICO_Complet!$A$3:$U$983,14,FALSE)=0,"",VLOOKUP($A834,DICO_Complet!$A$3:$U$983,14,FALSE))</f>
        <v>72_DF1E part 4</v>
      </c>
      <c r="N834" s="53" t="str">
        <f>IF(VLOOKUP($A834,DICO_Complet!$A$3:$U$983,15,FALSE)=0,"",VLOOKUP($A834,DICO_Complet!$A$3:$U$983,15,FALSE))</f>
        <v/>
      </c>
      <c r="O834" s="53" t="str">
        <f>IF(VLOOKUP($A834,DICO_Complet!$A$3:$U$983,16,FALSE)=0,"",VLOOKUP($A834,DICO_Complet!$A$3:$U$983,16,FALSE))</f>
        <v/>
      </c>
      <c r="P834" s="53" t="str">
        <f>IF(VLOOKUP($A834,DICO_Complet!$A$3:$U$983,17,FALSE)=0,"",VLOOKUP($A834,DICO_Complet!$A$3:$U$983,17,FALSE))</f>
        <v/>
      </c>
      <c r="Q834" s="53" t="str">
        <f>IF(VLOOKUP($A834,DICO_Complet!$A$3:$U$983,18,FALSE)=0,"",VLOOKUP($A834,DICO_Complet!$A$3:$U$983,18,FALSE))</f>
        <v/>
      </c>
    </row>
    <row r="835" spans="1:17">
      <c r="A835" s="38">
        <v>250425201006</v>
      </c>
      <c r="B835" s="47" t="s">
        <v>858</v>
      </c>
      <c r="C835" s="3" t="str">
        <f>VLOOKUP($A835,DICO_Complet!$A$3:$U$983,3,FALSE)</f>
        <v>Transaction</v>
      </c>
      <c r="D835" s="3" t="str">
        <f>VLOOKUP($A835,DICO_Complet!$A$3:$U$983,4,FALSE)</f>
        <v>transactionDetails</v>
      </c>
      <c r="E835" s="2" t="str">
        <f>VLOOKUP($A835,DICO_Complet!$A$3:$U$983,5,FALSE)</f>
        <v>temp_evelope1DownloadReferenceOfSoftwareToDownload</v>
      </c>
      <c r="F835" s="2" t="str">
        <f>VLOOKUP($A835,DICO_Complet!$A$3:$U$983,6,FALSE)</f>
        <v>Max30Text</v>
      </c>
      <c r="G835" s="48">
        <f>VLOOKUP($A835,DICO_Complet!$A$3:$U$983,7,FALSE)</f>
        <v>0</v>
      </c>
      <c r="H835" s="48">
        <f>VLOOKUP($A835,DICO_Complet!$A$3:$U$983,8,FALSE)</f>
        <v>0</v>
      </c>
      <c r="I835" s="2" t="str">
        <f>IF(VLOOKUP($A835,DICO_Complet!$A$3:$U$983,9,FALSE)&lt;&gt;0,VLOOKUP($A835,DICO_Complet!$A$3:$U$983,9,FALSE),"")</f>
        <v/>
      </c>
      <c r="J835" s="1" t="str">
        <f>VLOOKUP($A835,DICO_Complet!$A$3:$U$983,10,FALSE)</f>
        <v xml:space="preserve">Envelope 1 download/reference of software to download </v>
      </c>
      <c r="K835" s="53" t="str">
        <f>IF(VLOOKUP($A835,DICO_Complet!$A$3:$U$983,12,FALSE)=0,"",VLOOKUP($A835,DICO_Complet!$A$3:$U$983,12,FALSE))</f>
        <v/>
      </c>
      <c r="L835" s="53" t="str">
        <f>IF(VLOOKUP($A835,DICO_Complet!$A$3:$U$983,13,FALSE)=0,"",VLOOKUP($A835,DICO_Complet!$A$3:$U$983,13,FALSE))</f>
        <v/>
      </c>
      <c r="M835" s="53" t="str">
        <f>IF(VLOOKUP($A835,DICO_Complet!$A$3:$U$983,14,FALSE)=0,"",VLOOKUP($A835,DICO_Complet!$A$3:$U$983,14,FALSE))</f>
        <v>72_DF2D</v>
      </c>
      <c r="N835" s="53" t="str">
        <f>IF(VLOOKUP($A835,DICO_Complet!$A$3:$U$983,15,FALSE)=0,"",VLOOKUP($A835,DICO_Complet!$A$3:$U$983,15,FALSE))</f>
        <v/>
      </c>
      <c r="O835" s="53" t="str">
        <f>IF(VLOOKUP($A835,DICO_Complet!$A$3:$U$983,16,FALSE)=0,"",VLOOKUP($A835,DICO_Complet!$A$3:$U$983,16,FALSE))</f>
        <v/>
      </c>
      <c r="P835" s="53" t="str">
        <f>IF(VLOOKUP($A835,DICO_Complet!$A$3:$U$983,17,FALSE)=0,"",VLOOKUP($A835,DICO_Complet!$A$3:$U$983,17,FALSE))</f>
        <v/>
      </c>
      <c r="Q835" s="53" t="str">
        <f>IF(VLOOKUP($A835,DICO_Complet!$A$3:$U$983,18,FALSE)=0,"",VLOOKUP($A835,DICO_Complet!$A$3:$U$983,18,FALSE))</f>
        <v/>
      </c>
    </row>
    <row r="836" spans="1:17">
      <c r="A836" s="38">
        <v>250423100400</v>
      </c>
      <c r="B836" s="47" t="s">
        <v>858</v>
      </c>
      <c r="C836" s="3" t="str">
        <f>VLOOKUP($A836,DICO_Complet!$A$3:$U$983,3,FALSE)</f>
        <v>Transaction</v>
      </c>
      <c r="D836" s="3" t="str">
        <f>VLOOKUP($A836,DICO_Complet!$A$3:$U$983,4,FALSE)</f>
        <v>transactionDetails</v>
      </c>
      <c r="E836" s="2" t="str">
        <f>VLOOKUP($A836,DICO_Complet!$A$3:$U$983,5,FALSE)</f>
        <v>temp_exponentOfTheRSAPublickey</v>
      </c>
      <c r="F836" s="2" t="str">
        <f>VLOOKUP($A836,DICO_Complet!$A$3:$U$983,6,FALSE)</f>
        <v>Exact3HexBinaryText</v>
      </c>
      <c r="G836" s="48">
        <f>VLOOKUP($A836,DICO_Complet!$A$3:$U$983,7,FALSE)</f>
        <v>0</v>
      </c>
      <c r="H836" s="48">
        <f>VLOOKUP($A836,DICO_Complet!$A$3:$U$983,8,FALSE)</f>
        <v>0</v>
      </c>
      <c r="I836" s="2" t="str">
        <f>IF(VLOOKUP($A836,DICO_Complet!$A$3:$U$983,9,FALSE)&lt;&gt;0,VLOOKUP($A836,DICO_Complet!$A$3:$U$983,9,FALSE),"")</f>
        <v/>
      </c>
      <c r="J836" s="1" t="str">
        <f>VLOOKUP($A836,DICO_Complet!$A$3:$U$983,10,FALSE)</f>
        <v>Exponent of the RSA public key</v>
      </c>
      <c r="K836" s="53" t="str">
        <f>IF(VLOOKUP($A836,DICO_Complet!$A$3:$U$983,12,FALSE)=0,"",VLOOKUP($A836,DICO_Complet!$A$3:$U$983,12,FALSE))</f>
        <v/>
      </c>
      <c r="L836" s="53" t="str">
        <f>IF(VLOOKUP($A836,DICO_Complet!$A$3:$U$983,13,FALSE)=0,"",VLOOKUP($A836,DICO_Complet!$A$3:$U$983,13,FALSE))</f>
        <v/>
      </c>
      <c r="M836" s="53" t="str">
        <f>IF(VLOOKUP($A836,DICO_Complet!$A$3:$U$983,14,FALSE)=0,"",VLOOKUP($A836,DICO_Complet!$A$3:$U$983,14,FALSE))</f>
        <v>72_DF16</v>
      </c>
      <c r="N836" s="53" t="str">
        <f>IF(VLOOKUP($A836,DICO_Complet!$A$3:$U$983,15,FALSE)=0,"",VLOOKUP($A836,DICO_Complet!$A$3:$U$983,15,FALSE))</f>
        <v/>
      </c>
      <c r="O836" s="53" t="str">
        <f>IF(VLOOKUP($A836,DICO_Complet!$A$3:$U$983,16,FALSE)=0,"",VLOOKUP($A836,DICO_Complet!$A$3:$U$983,16,FALSE))</f>
        <v/>
      </c>
      <c r="P836" s="53" t="str">
        <f>IF(VLOOKUP($A836,DICO_Complet!$A$3:$U$983,17,FALSE)=0,"",VLOOKUP($A836,DICO_Complet!$A$3:$U$983,17,FALSE))</f>
        <v/>
      </c>
      <c r="Q836" s="53" t="str">
        <f>IF(VLOOKUP($A836,DICO_Complet!$A$3:$U$983,18,FALSE)=0,"",VLOOKUP($A836,DICO_Complet!$A$3:$U$983,18,FALSE))</f>
        <v/>
      </c>
    </row>
    <row r="837" spans="1:17">
      <c r="A837" s="38">
        <v>250425201516</v>
      </c>
      <c r="B837" s="47" t="s">
        <v>858</v>
      </c>
      <c r="C837" s="3" t="str">
        <f>VLOOKUP($A837,DICO_Complet!$A$3:$U$983,3,FALSE)</f>
        <v>Transaction</v>
      </c>
      <c r="D837" s="3" t="str">
        <f>VLOOKUP($A837,DICO_Complet!$A$3:$U$983,4,FALSE)</f>
        <v>transactionDetails</v>
      </c>
      <c r="E837" s="2" t="str">
        <f>VLOOKUP($A837,DICO_Complet!$A$3:$U$983,5,FALSE)</f>
        <v>temp_floorLimitForReversal</v>
      </c>
      <c r="F837" s="2" t="str">
        <f>VLOOKUP($A837,DICO_Complet!$A$3:$U$983,6,FALSE)</f>
        <v>Exac12AlphaNumericText</v>
      </c>
      <c r="G837" s="48">
        <f>VLOOKUP($A837,DICO_Complet!$A$3:$U$983,7,FALSE)</f>
        <v>0</v>
      </c>
      <c r="H837" s="48">
        <f>VLOOKUP($A837,DICO_Complet!$A$3:$U$983,8,FALSE)</f>
        <v>0</v>
      </c>
      <c r="I837" s="2" t="str">
        <f>IF(VLOOKUP($A837,DICO_Complet!$A$3:$U$983,9,FALSE)&lt;&gt;0,VLOOKUP($A837,DICO_Complet!$A$3:$U$983,9,FALSE),"")</f>
        <v/>
      </c>
      <c r="J837" s="1" t="str">
        <f>VLOOKUP($A837,DICO_Complet!$A$3:$U$983,10,FALSE)</f>
        <v>Floor limit</v>
      </c>
      <c r="K837" s="53" t="str">
        <f>IF(VLOOKUP($A837,DICO_Complet!$A$3:$U$983,12,FALSE)=0,"",VLOOKUP($A837,DICO_Complet!$A$3:$U$983,12,FALSE))</f>
        <v/>
      </c>
      <c r="L837" s="53" t="str">
        <f>IF(VLOOKUP($A837,DICO_Complet!$A$3:$U$983,13,FALSE)=0,"",VLOOKUP($A837,DICO_Complet!$A$3:$U$983,13,FALSE))</f>
        <v/>
      </c>
      <c r="M837" s="53" t="str">
        <f>IF(VLOOKUP($A837,DICO_Complet!$A$3:$U$983,14,FALSE)=0,"",VLOOKUP($A837,DICO_Complet!$A$3:$U$983,14,FALSE))</f>
        <v>72_DFA2</v>
      </c>
      <c r="N837" s="53" t="str">
        <f>IF(VLOOKUP($A837,DICO_Complet!$A$3:$U$983,15,FALSE)=0,"",VLOOKUP($A837,DICO_Complet!$A$3:$U$983,15,FALSE))</f>
        <v/>
      </c>
      <c r="O837" s="53" t="str">
        <f>IF(VLOOKUP($A837,DICO_Complet!$A$3:$U$983,16,FALSE)=0,"",VLOOKUP($A837,DICO_Complet!$A$3:$U$983,16,FALSE))</f>
        <v/>
      </c>
      <c r="P837" s="53" t="str">
        <f>IF(VLOOKUP($A837,DICO_Complet!$A$3:$U$983,17,FALSE)=0,"",VLOOKUP($A837,DICO_Complet!$A$3:$U$983,17,FALSE))</f>
        <v/>
      </c>
      <c r="Q837" s="53" t="str">
        <f>IF(VLOOKUP($A837,DICO_Complet!$A$3:$U$983,18,FALSE)=0,"",VLOOKUP($A837,DICO_Complet!$A$3:$U$983,18,FALSE))</f>
        <v/>
      </c>
    </row>
    <row r="838" spans="1:17">
      <c r="A838" s="38">
        <v>250423104500</v>
      </c>
      <c r="B838" s="47" t="s">
        <v>858</v>
      </c>
      <c r="C838" s="3" t="str">
        <f>VLOOKUP($A838,DICO_Complet!$A$3:$U$983,3,FALSE)</f>
        <v>Transaction</v>
      </c>
      <c r="D838" s="3" t="str">
        <f>VLOOKUP($A838,DICO_Complet!$A$3:$U$983,4,FALSE)</f>
        <v>transactionDetails</v>
      </c>
      <c r="E838" s="2" t="str">
        <f>VLOOKUP($A838,DICO_Complet!$A$3:$U$983,5,FALSE)</f>
        <v>temp_forcedAuthorisationIndicator</v>
      </c>
      <c r="F838" s="2" t="str">
        <f>VLOOKUP($A838,DICO_Complet!$A$3:$U$983,6,FALSE)</f>
        <v>ForcedAuthorisationIndicatorCodeset</v>
      </c>
      <c r="G838" s="48">
        <f>VLOOKUP($A838,DICO_Complet!$A$3:$U$983,7,FALSE)</f>
        <v>0</v>
      </c>
      <c r="H838" s="48">
        <f>VLOOKUP($A838,DICO_Complet!$A$3:$U$983,8,FALSE)</f>
        <v>0</v>
      </c>
      <c r="I838" s="2" t="str">
        <f>IF(VLOOKUP($A838,DICO_Complet!$A$3:$U$983,9,FALSE)&lt;&gt;0,VLOOKUP($A838,DICO_Complet!$A$3:$U$983,9,FALSE),"")</f>
        <v/>
      </c>
      <c r="J838" s="1" t="str">
        <f>VLOOKUP($A838,DICO_Complet!$A$3:$U$983,10,FALSE)</f>
        <v>Forced authorisation indicator</v>
      </c>
      <c r="K838" s="53" t="str">
        <f>IF(VLOOKUP($A838,DICO_Complet!$A$3:$U$983,12,FALSE)=0,"",VLOOKUP($A838,DICO_Complet!$A$3:$U$983,12,FALSE))</f>
        <v/>
      </c>
      <c r="L838" s="53" t="str">
        <f>IF(VLOOKUP($A838,DICO_Complet!$A$3:$U$983,13,FALSE)=0,"",VLOOKUP($A838,DICO_Complet!$A$3:$U$983,13,FALSE))</f>
        <v/>
      </c>
      <c r="M838" s="53" t="str">
        <f>IF(VLOOKUP($A838,DICO_Complet!$A$3:$U$983,14,FALSE)=0,"",VLOOKUP($A838,DICO_Complet!$A$3:$U$983,14,FALSE))</f>
        <v>72_DF17</v>
      </c>
      <c r="N838" s="53" t="str">
        <f>IF(VLOOKUP($A838,DICO_Complet!$A$3:$U$983,15,FALSE)=0,"",VLOOKUP($A838,DICO_Complet!$A$3:$U$983,15,FALSE))</f>
        <v/>
      </c>
      <c r="O838" s="53" t="str">
        <f>IF(VLOOKUP($A838,DICO_Complet!$A$3:$U$983,16,FALSE)=0,"",VLOOKUP($A838,DICO_Complet!$A$3:$U$983,16,FALSE))</f>
        <v/>
      </c>
      <c r="P838" s="53" t="str">
        <f>IF(VLOOKUP($A838,DICO_Complet!$A$3:$U$983,17,FALSE)=0,"",VLOOKUP($A838,DICO_Complet!$A$3:$U$983,17,FALSE))</f>
        <v/>
      </c>
      <c r="Q838" s="53" t="str">
        <f>IF(VLOOKUP($A838,DICO_Complet!$A$3:$U$983,18,FALSE)=0,"",VLOOKUP($A838,DICO_Complet!$A$3:$U$983,18,FALSE))</f>
        <v/>
      </c>
    </row>
    <row r="839" spans="1:17">
      <c r="A839" s="38">
        <v>250423093005</v>
      </c>
      <c r="B839" s="47" t="s">
        <v>858</v>
      </c>
      <c r="C839" s="3" t="str">
        <f>VLOOKUP($A839,DICO_Complet!$A$3:$U$983,3,FALSE)</f>
        <v>Transaction</v>
      </c>
      <c r="D839" s="3" t="str">
        <f>VLOOKUP($A839,DICO_Complet!$A$3:$U$983,4,FALSE)</f>
        <v>transactionDetails</v>
      </c>
      <c r="E839" s="2" t="str">
        <f>VLOOKUP($A839,DICO_Complet!$A$3:$U$983,5,FALSE)</f>
        <v>temp_indexOfTheAuthenticationkey</v>
      </c>
      <c r="F839" s="2" t="str">
        <f>VLOOKUP($A839,DICO_Complet!$A$3:$U$983,6,FALSE)</f>
        <v>Exact2HexBinaryText</v>
      </c>
      <c r="G839" s="48">
        <f>VLOOKUP($A839,DICO_Complet!$A$3:$U$983,7,FALSE)</f>
        <v>0</v>
      </c>
      <c r="H839" s="48">
        <f>VLOOKUP($A839,DICO_Complet!$A$3:$U$983,8,FALSE)</f>
        <v>0</v>
      </c>
      <c r="I839" s="2" t="str">
        <f>IF(VLOOKUP($A839,DICO_Complet!$A$3:$U$983,9,FALSE)&lt;&gt;0,VLOOKUP($A839,DICO_Complet!$A$3:$U$983,9,FALSE),"")</f>
        <v/>
      </c>
      <c r="J839" s="1" t="str">
        <f>VLOOKUP($A839,DICO_Complet!$A$3:$U$983,10,FALSE)</f>
        <v>Index of the authentication key</v>
      </c>
      <c r="K839" s="53" t="str">
        <f>IF(VLOOKUP($A839,DICO_Complet!$A$3:$U$983,12,FALSE)=0,"",VLOOKUP($A839,DICO_Complet!$A$3:$U$983,12,FALSE))</f>
        <v/>
      </c>
      <c r="L839" s="53" t="str">
        <f>IF(VLOOKUP($A839,DICO_Complet!$A$3:$U$983,13,FALSE)=0,"",VLOOKUP($A839,DICO_Complet!$A$3:$U$983,13,FALSE))</f>
        <v/>
      </c>
      <c r="M839" s="53" t="str">
        <f>IF(VLOOKUP($A839,DICO_Complet!$A$3:$U$983,14,FALSE)=0,"",VLOOKUP($A839,DICO_Complet!$A$3:$U$983,14,FALSE))</f>
        <v>72_DF16</v>
      </c>
      <c r="N839" s="53" t="str">
        <f>IF(VLOOKUP($A839,DICO_Complet!$A$3:$U$983,15,FALSE)=0,"",VLOOKUP($A839,DICO_Complet!$A$3:$U$983,15,FALSE))</f>
        <v/>
      </c>
      <c r="O839" s="53" t="str">
        <f>IF(VLOOKUP($A839,DICO_Complet!$A$3:$U$983,16,FALSE)=0,"",VLOOKUP($A839,DICO_Complet!$A$3:$U$983,16,FALSE))</f>
        <v/>
      </c>
      <c r="P839" s="53" t="str">
        <f>IF(VLOOKUP($A839,DICO_Complet!$A$3:$U$983,17,FALSE)=0,"",VLOOKUP($A839,DICO_Complet!$A$3:$U$983,17,FALSE))</f>
        <v/>
      </c>
      <c r="Q839" s="53" t="str">
        <f>IF(VLOOKUP($A839,DICO_Complet!$A$3:$U$983,18,FALSE)=0,"",VLOOKUP($A839,DICO_Complet!$A$3:$U$983,18,FALSE))</f>
        <v/>
      </c>
    </row>
    <row r="840" spans="1:17">
      <c r="A840" s="38">
        <v>250418220169</v>
      </c>
      <c r="B840" s="47" t="s">
        <v>858</v>
      </c>
      <c r="C840" s="3" t="str">
        <f>VLOOKUP($A840,DICO_Complet!$A$3:$U$983,3,FALSE)</f>
        <v>Transaction</v>
      </c>
      <c r="D840" s="3" t="str">
        <f>VLOOKUP($A840,DICO_Complet!$A$3:$U$983,4,FALSE)</f>
        <v>transactionDetails</v>
      </c>
      <c r="E840" s="2" t="str">
        <f>VLOOKUP($A840,DICO_Complet!$A$3:$U$983,5,FALSE)</f>
        <v>temp_interchangeCorrelationId</v>
      </c>
      <c r="F840" s="2" t="str">
        <f>VLOOKUP($A840,DICO_Complet!$A$3:$U$983,6,FALSE)</f>
        <v>UUIDType</v>
      </c>
      <c r="G840" s="48">
        <f>VLOOKUP($A840,DICO_Complet!$A$3:$U$983,7,FALSE)</f>
        <v>0</v>
      </c>
      <c r="H840" s="48">
        <f>VLOOKUP($A840,DICO_Complet!$A$3:$U$983,8,FALSE)</f>
        <v>0</v>
      </c>
      <c r="I840" s="2" t="str">
        <f>IF(VLOOKUP($A840,DICO_Complet!$A$3:$U$983,9,FALSE)&lt;&gt;0,VLOOKUP($A840,DICO_Complet!$A$3:$U$983,9,FALSE),"")</f>
        <v/>
      </c>
      <c r="J840" s="1" t="str">
        <f>VLOOKUP($A840,DICO_Complet!$A$3:$U$983,10,FALSE)</f>
        <v>identification traçabilite CIP (corelation Id ?)</v>
      </c>
      <c r="K840" s="53" t="str">
        <f>IF(VLOOKUP($A840,DICO_Complet!$A$3:$U$983,12,FALSE)=0,"",VLOOKUP($A840,DICO_Complet!$A$3:$U$983,12,FALSE))</f>
        <v/>
      </c>
      <c r="L840" s="53" t="str">
        <f>IF(VLOOKUP($A840,DICO_Complet!$A$3:$U$983,13,FALSE)=0,"",VLOOKUP($A840,DICO_Complet!$A$3:$U$983,13,FALSE))</f>
        <v/>
      </c>
      <c r="M840" s="53" t="str">
        <f>IF(VLOOKUP($A840,DICO_Complet!$A$3:$U$983,14,FALSE)=0,"",VLOOKUP($A840,DICO_Complet!$A$3:$U$983,14,FALSE))</f>
        <v/>
      </c>
      <c r="N840" s="53" t="str">
        <f>IF(VLOOKUP($A840,DICO_Complet!$A$3:$U$983,15,FALSE)=0,"",VLOOKUP($A840,DICO_Complet!$A$3:$U$983,15,FALSE))</f>
        <v/>
      </c>
      <c r="O840" s="53" t="str">
        <f>IF(VLOOKUP($A840,DICO_Complet!$A$3:$U$983,16,FALSE)=0,"",VLOOKUP($A840,DICO_Complet!$A$3:$U$983,16,FALSE))</f>
        <v/>
      </c>
      <c r="P840" s="53" t="str">
        <f>IF(VLOOKUP($A840,DICO_Complet!$A$3:$U$983,17,FALSE)=0,"",VLOOKUP($A840,DICO_Complet!$A$3:$U$983,17,FALSE))</f>
        <v/>
      </c>
      <c r="Q840" s="53" t="str">
        <f>IF(VLOOKUP($A840,DICO_Complet!$A$3:$U$983,18,FALSE)=0,"",VLOOKUP($A840,DICO_Complet!$A$3:$U$983,18,FALSE))</f>
        <v>ZZZZZZ</v>
      </c>
    </row>
    <row r="841" spans="1:17">
      <c r="A841" s="38">
        <v>250425200809</v>
      </c>
      <c r="B841" s="47" t="s">
        <v>858</v>
      </c>
      <c r="C841" s="3" t="str">
        <f>VLOOKUP($A841,DICO_Complet!$A$3:$U$983,3,FALSE)</f>
        <v>Transaction</v>
      </c>
      <c r="D841" s="3" t="str">
        <f>VLOOKUP($A841,DICO_Complet!$A$3:$U$983,4,FALSE)</f>
        <v>transactionDetails</v>
      </c>
      <c r="E841" s="2" t="str">
        <f>VLOOKUP($A841,DICO_Complet!$A$3:$U$983,5,FALSE)</f>
        <v>temp_lengthOfDataElementEndOfBINRange</v>
      </c>
      <c r="F841" s="2" t="str">
        <f>VLOOKUP($A841,DICO_Complet!$A$3:$U$983,6,FALSE)</f>
        <v>Exact2NumericText</v>
      </c>
      <c r="G841" s="48">
        <f>VLOOKUP($A841,DICO_Complet!$A$3:$U$983,7,FALSE)</f>
        <v>0</v>
      </c>
      <c r="H841" s="48">
        <f>VLOOKUP($A841,DICO_Complet!$A$3:$U$983,8,FALSE)</f>
        <v>0</v>
      </c>
      <c r="I841" s="2" t="str">
        <f>IF(VLOOKUP($A841,DICO_Complet!$A$3:$U$983,9,FALSE)&lt;&gt;0,VLOOKUP($A841,DICO_Complet!$A$3:$U$983,9,FALSE),"")</f>
        <v/>
      </c>
      <c r="J841" s="1" t="str">
        <f>VLOOKUP($A841,DICO_Complet!$A$3:$U$983,10,FALSE)</f>
        <v>Length of data element: 'End of BIN range'</v>
      </c>
      <c r="K841" s="53" t="str">
        <f>IF(VLOOKUP($A841,DICO_Complet!$A$3:$U$983,12,FALSE)=0,"",VLOOKUP($A841,DICO_Complet!$A$3:$U$983,12,FALSE))</f>
        <v/>
      </c>
      <c r="L841" s="53" t="str">
        <f>IF(VLOOKUP($A841,DICO_Complet!$A$3:$U$983,13,FALSE)=0,"",VLOOKUP($A841,DICO_Complet!$A$3:$U$983,13,FALSE))</f>
        <v/>
      </c>
      <c r="M841" s="53" t="str">
        <f>IF(VLOOKUP($A841,DICO_Complet!$A$3:$U$983,14,FALSE)=0,"",VLOOKUP($A841,DICO_Complet!$A$3:$U$983,14,FALSE))</f>
        <v>72_DF1E part 3</v>
      </c>
      <c r="N841" s="53" t="str">
        <f>IF(VLOOKUP($A841,DICO_Complet!$A$3:$U$983,15,FALSE)=0,"",VLOOKUP($A841,DICO_Complet!$A$3:$U$983,15,FALSE))</f>
        <v/>
      </c>
      <c r="O841" s="53" t="str">
        <f>IF(VLOOKUP($A841,DICO_Complet!$A$3:$U$983,16,FALSE)=0,"",VLOOKUP($A841,DICO_Complet!$A$3:$U$983,16,FALSE))</f>
        <v/>
      </c>
      <c r="P841" s="53" t="str">
        <f>IF(VLOOKUP($A841,DICO_Complet!$A$3:$U$983,17,FALSE)=0,"",VLOOKUP($A841,DICO_Complet!$A$3:$U$983,17,FALSE))</f>
        <v/>
      </c>
      <c r="Q841" s="53" t="str">
        <f>IF(VLOOKUP($A841,DICO_Complet!$A$3:$U$983,18,FALSE)=0,"",VLOOKUP($A841,DICO_Complet!$A$3:$U$983,18,FALSE))</f>
        <v/>
      </c>
    </row>
    <row r="842" spans="1:17">
      <c r="A842" s="38">
        <v>250425200807</v>
      </c>
      <c r="B842" s="47" t="s">
        <v>858</v>
      </c>
      <c r="C842" s="3" t="str">
        <f>VLOOKUP($A842,DICO_Complet!$A$3:$U$983,3,FALSE)</f>
        <v>Transaction</v>
      </c>
      <c r="D842" s="3" t="str">
        <f>VLOOKUP($A842,DICO_Complet!$A$3:$U$983,4,FALSE)</f>
        <v>transactionDetails</v>
      </c>
      <c r="E842" s="2" t="str">
        <f>VLOOKUP($A842,DICO_Complet!$A$3:$U$983,5,FALSE)</f>
        <v>temp_lengthOfDataElementStartOfBINRange</v>
      </c>
      <c r="F842" s="2" t="str">
        <f>VLOOKUP($A842,DICO_Complet!$A$3:$U$983,6,FALSE)</f>
        <v>Exact2NumericText</v>
      </c>
      <c r="G842" s="48">
        <f>VLOOKUP($A842,DICO_Complet!$A$3:$U$983,7,FALSE)</f>
        <v>0</v>
      </c>
      <c r="H842" s="48">
        <f>VLOOKUP($A842,DICO_Complet!$A$3:$U$983,8,FALSE)</f>
        <v>0</v>
      </c>
      <c r="I842" s="2" t="str">
        <f>IF(VLOOKUP($A842,DICO_Complet!$A$3:$U$983,9,FALSE)&lt;&gt;0,VLOOKUP($A842,DICO_Complet!$A$3:$U$983,9,FALSE),"")</f>
        <v/>
      </c>
      <c r="J842" s="1" t="str">
        <f>VLOOKUP($A842,DICO_Complet!$A$3:$U$983,10,FALSE)</f>
        <v>Length of data element: 'Start of BIN range'</v>
      </c>
      <c r="K842" s="53" t="str">
        <f>IF(VLOOKUP($A842,DICO_Complet!$A$3:$U$983,12,FALSE)=0,"",VLOOKUP($A842,DICO_Complet!$A$3:$U$983,12,FALSE))</f>
        <v/>
      </c>
      <c r="L842" s="53" t="str">
        <f>IF(VLOOKUP($A842,DICO_Complet!$A$3:$U$983,13,FALSE)=0,"",VLOOKUP($A842,DICO_Complet!$A$3:$U$983,13,FALSE))</f>
        <v/>
      </c>
      <c r="M842" s="53" t="str">
        <f>IF(VLOOKUP($A842,DICO_Complet!$A$3:$U$983,14,FALSE)=0,"",VLOOKUP($A842,DICO_Complet!$A$3:$U$983,14,FALSE))</f>
        <v>72_DF1E part 1</v>
      </c>
      <c r="N842" s="53" t="str">
        <f>IF(VLOOKUP($A842,DICO_Complet!$A$3:$U$983,15,FALSE)=0,"",VLOOKUP($A842,DICO_Complet!$A$3:$U$983,15,FALSE))</f>
        <v/>
      </c>
      <c r="O842" s="53" t="str">
        <f>IF(VLOOKUP($A842,DICO_Complet!$A$3:$U$983,16,FALSE)=0,"",VLOOKUP($A842,DICO_Complet!$A$3:$U$983,16,FALSE))</f>
        <v/>
      </c>
      <c r="P842" s="53" t="str">
        <f>IF(VLOOKUP($A842,DICO_Complet!$A$3:$U$983,17,FALSE)=0,"",VLOOKUP($A842,DICO_Complet!$A$3:$U$983,17,FALSE))</f>
        <v/>
      </c>
      <c r="Q842" s="53" t="str">
        <f>IF(VLOOKUP($A842,DICO_Complet!$A$3:$U$983,18,FALSE)=0,"",VLOOKUP($A842,DICO_Complet!$A$3:$U$983,18,FALSE))</f>
        <v/>
      </c>
    </row>
    <row r="843" spans="1:17">
      <c r="A843" s="38">
        <v>250423100401</v>
      </c>
      <c r="B843" s="47" t="s">
        <v>858</v>
      </c>
      <c r="C843" s="3" t="str">
        <f>VLOOKUP($A843,DICO_Complet!$A$3:$U$983,3,FALSE)</f>
        <v>Transaction</v>
      </c>
      <c r="D843" s="3" t="str">
        <f>VLOOKUP($A843,DICO_Complet!$A$3:$U$983,4,FALSE)</f>
        <v>transactionDetails</v>
      </c>
      <c r="E843" s="2" t="str">
        <f>VLOOKUP($A843,DICO_Complet!$A$3:$U$983,5,FALSE)</f>
        <v>temp_lengthOfTheRSAPublickeyModulus</v>
      </c>
      <c r="F843" s="2" t="str">
        <f>VLOOKUP($A843,DICO_Complet!$A$3:$U$983,6,FALSE)</f>
        <v>Exact2HexBinaryText</v>
      </c>
      <c r="G843" s="48">
        <f>VLOOKUP($A843,DICO_Complet!$A$3:$U$983,7,FALSE)</f>
        <v>0</v>
      </c>
      <c r="H843" s="48">
        <f>VLOOKUP($A843,DICO_Complet!$A$3:$U$983,8,FALSE)</f>
        <v>0</v>
      </c>
      <c r="I843" s="2" t="str">
        <f>IF(VLOOKUP($A843,DICO_Complet!$A$3:$U$983,9,FALSE)&lt;&gt;0,VLOOKUP($A843,DICO_Complet!$A$3:$U$983,9,FALSE),"")</f>
        <v/>
      </c>
      <c r="J843" s="1" t="str">
        <f>VLOOKUP($A843,DICO_Complet!$A$3:$U$983,10,FALSE)</f>
        <v>Length of the RSA public key modulus</v>
      </c>
      <c r="K843" s="53" t="str">
        <f>IF(VLOOKUP($A843,DICO_Complet!$A$3:$U$983,12,FALSE)=0,"",VLOOKUP($A843,DICO_Complet!$A$3:$U$983,12,FALSE))</f>
        <v/>
      </c>
      <c r="L843" s="53" t="str">
        <f>IF(VLOOKUP($A843,DICO_Complet!$A$3:$U$983,13,FALSE)=0,"",VLOOKUP($A843,DICO_Complet!$A$3:$U$983,13,FALSE))</f>
        <v/>
      </c>
      <c r="M843" s="53" t="str">
        <f>IF(VLOOKUP($A843,DICO_Complet!$A$3:$U$983,14,FALSE)=0,"",VLOOKUP($A843,DICO_Complet!$A$3:$U$983,14,FALSE))</f>
        <v>72_DF16</v>
      </c>
      <c r="N843" s="53" t="str">
        <f>IF(VLOOKUP($A843,DICO_Complet!$A$3:$U$983,15,FALSE)=0,"",VLOOKUP($A843,DICO_Complet!$A$3:$U$983,15,FALSE))</f>
        <v/>
      </c>
      <c r="O843" s="53" t="str">
        <f>IF(VLOOKUP($A843,DICO_Complet!$A$3:$U$983,16,FALSE)=0,"",VLOOKUP($A843,DICO_Complet!$A$3:$U$983,16,FALSE))</f>
        <v/>
      </c>
      <c r="P843" s="53" t="str">
        <f>IF(VLOOKUP($A843,DICO_Complet!$A$3:$U$983,17,FALSE)=0,"",VLOOKUP($A843,DICO_Complet!$A$3:$U$983,17,FALSE))</f>
        <v/>
      </c>
      <c r="Q843" s="53" t="str">
        <f>IF(VLOOKUP($A843,DICO_Complet!$A$3:$U$983,18,FALSE)=0,"",VLOOKUP($A843,DICO_Complet!$A$3:$U$983,18,FALSE))</f>
        <v/>
      </c>
    </row>
    <row r="844" spans="1:17">
      <c r="A844" s="38">
        <v>250425201005</v>
      </c>
      <c r="B844" s="47" t="s">
        <v>858</v>
      </c>
      <c r="C844" s="3" t="str">
        <f>VLOOKUP($A844,DICO_Complet!$A$3:$U$983,3,FALSE)</f>
        <v>Transaction</v>
      </c>
      <c r="D844" s="3" t="str">
        <f>VLOOKUP($A844,DICO_Complet!$A$3:$U$983,4,FALSE)</f>
        <v>transactionDetails</v>
      </c>
      <c r="E844" s="2" t="str">
        <f>VLOOKUP($A844,DICO_Complet!$A$3:$U$983,5,FALSE)</f>
        <v>temp_limitsForContactlessPayment</v>
      </c>
      <c r="F844" s="2" t="str">
        <f>VLOOKUP($A844,DICO_Complet!$A$3:$U$983,6,FALSE)</f>
        <v>Max30Text</v>
      </c>
      <c r="G844" s="48">
        <f>VLOOKUP($A844,DICO_Complet!$A$3:$U$983,7,FALSE)</f>
        <v>0</v>
      </c>
      <c r="H844" s="48">
        <f>VLOOKUP($A844,DICO_Complet!$A$3:$U$983,8,FALSE)</f>
        <v>0</v>
      </c>
      <c r="I844" s="2" t="str">
        <f>IF(VLOOKUP($A844,DICO_Complet!$A$3:$U$983,9,FALSE)&lt;&gt;0,VLOOKUP($A844,DICO_Complet!$A$3:$U$983,9,FALSE),"")</f>
        <v/>
      </c>
      <c r="J844" s="1" t="str">
        <f>VLOOKUP($A844,DICO_Complet!$A$3:$U$983,10,FALSE)</f>
        <v xml:space="preserve">Dynamic Reader Limits for contactless payment </v>
      </c>
      <c r="K844" s="53" t="str">
        <f>IF(VLOOKUP($A844,DICO_Complet!$A$3:$U$983,12,FALSE)=0,"",VLOOKUP($A844,DICO_Complet!$A$3:$U$983,12,FALSE))</f>
        <v/>
      </c>
      <c r="L844" s="53" t="str">
        <f>IF(VLOOKUP($A844,DICO_Complet!$A$3:$U$983,13,FALSE)=0,"",VLOOKUP($A844,DICO_Complet!$A$3:$U$983,13,FALSE))</f>
        <v/>
      </c>
      <c r="M844" s="53" t="str">
        <f>IF(VLOOKUP($A844,DICO_Complet!$A$3:$U$983,14,FALSE)=0,"",VLOOKUP($A844,DICO_Complet!$A$3:$U$983,14,FALSE))</f>
        <v>72_DF2C</v>
      </c>
      <c r="N844" s="53" t="str">
        <f>IF(VLOOKUP($A844,DICO_Complet!$A$3:$U$983,15,FALSE)=0,"",VLOOKUP($A844,DICO_Complet!$A$3:$U$983,15,FALSE))</f>
        <v/>
      </c>
      <c r="O844" s="53" t="str">
        <f>IF(VLOOKUP($A844,DICO_Complet!$A$3:$U$983,16,FALSE)=0,"",VLOOKUP($A844,DICO_Complet!$A$3:$U$983,16,FALSE))</f>
        <v/>
      </c>
      <c r="P844" s="53" t="str">
        <f>IF(VLOOKUP($A844,DICO_Complet!$A$3:$U$983,17,FALSE)=0,"",VLOOKUP($A844,DICO_Complet!$A$3:$U$983,17,FALSE))</f>
        <v/>
      </c>
      <c r="Q844" s="53" t="str">
        <f>IF(VLOOKUP($A844,DICO_Complet!$A$3:$U$983,18,FALSE)=0,"",VLOOKUP($A844,DICO_Complet!$A$3:$U$983,18,FALSE))</f>
        <v/>
      </c>
    </row>
    <row r="845" spans="1:17">
      <c r="A845" s="38">
        <v>250418220170</v>
      </c>
      <c r="B845" s="47" t="s">
        <v>858</v>
      </c>
      <c r="C845" s="3" t="str">
        <f>VLOOKUP($A845,DICO_Complet!$A$3:$U$983,3,FALSE)</f>
        <v>Transaction</v>
      </c>
      <c r="D845" s="3" t="str">
        <f>VLOOKUP($A845,DICO_Complet!$A$3:$U$983,4,FALSE)</f>
        <v>transactionDetails</v>
      </c>
      <c r="E845" s="2" t="str">
        <f>VLOOKUP($A845,DICO_Complet!$A$3:$U$983,5,FALSE)</f>
        <v>temp_linkedTransactionNature</v>
      </c>
      <c r="F845" s="2" t="str">
        <f>VLOOKUP($A845,DICO_Complet!$A$3:$U$983,6,FALSE)</f>
        <v>temp_linkedTransactionNatureCodeset</v>
      </c>
      <c r="G845" s="48">
        <f>VLOOKUP($A845,DICO_Complet!$A$3:$U$983,7,FALSE)</f>
        <v>0</v>
      </c>
      <c r="H845" s="48">
        <f>VLOOKUP($A845,DICO_Complet!$A$3:$U$983,8,FALSE)</f>
        <v>0</v>
      </c>
      <c r="I845" s="2" t="str">
        <f>IF(VLOOKUP($A845,DICO_Complet!$A$3:$U$983,9,FALSE)&lt;&gt;0,VLOOKUP($A845,DICO_Complet!$A$3:$U$983,9,FALSE),"")</f>
        <v/>
      </c>
      <c r="J845" s="1" t="str">
        <f>VLOOKUP($A845,DICO_Complet!$A$3:$U$983,10,FALSE)</f>
        <v>Type operation transaction associee</v>
      </c>
      <c r="K845" s="53" t="str">
        <f>IF(VLOOKUP($A845,DICO_Complet!$A$3:$U$983,12,FALSE)=0,"",VLOOKUP($A845,DICO_Complet!$A$3:$U$983,12,FALSE))</f>
        <v/>
      </c>
      <c r="L845" s="53" t="str">
        <f>IF(VLOOKUP($A845,DICO_Complet!$A$3:$U$983,13,FALSE)=0,"",VLOOKUP($A845,DICO_Complet!$A$3:$U$983,13,FALSE))</f>
        <v/>
      </c>
      <c r="M845" s="53" t="str">
        <f>IF(VLOOKUP($A845,DICO_Complet!$A$3:$U$983,14,FALSE)=0,"",VLOOKUP($A845,DICO_Complet!$A$3:$U$983,14,FALSE))</f>
        <v/>
      </c>
      <c r="N845" s="53" t="str">
        <f>IF(VLOOKUP($A845,DICO_Complet!$A$3:$U$983,15,FALSE)=0,"",VLOOKUP($A845,DICO_Complet!$A$3:$U$983,15,FALSE))</f>
        <v/>
      </c>
      <c r="O845" s="53" t="str">
        <f>IF(VLOOKUP($A845,DICO_Complet!$A$3:$U$983,16,FALSE)=0,"",VLOOKUP($A845,DICO_Complet!$A$3:$U$983,16,FALSE))</f>
        <v/>
      </c>
      <c r="P845" s="53" t="str">
        <f>IF(VLOOKUP($A845,DICO_Complet!$A$3:$U$983,17,FALSE)=0,"",VLOOKUP($A845,DICO_Complet!$A$3:$U$983,17,FALSE))</f>
        <v/>
      </c>
      <c r="Q845" s="53" t="str">
        <f>IF(VLOOKUP($A845,DICO_Complet!$A$3:$U$983,18,FALSE)=0,"",VLOOKUP($A845,DICO_Complet!$A$3:$U$983,18,FALSE))</f>
        <v/>
      </c>
    </row>
    <row r="846" spans="1:17">
      <c r="A846" s="38">
        <v>250425201007</v>
      </c>
      <c r="B846" s="47" t="s">
        <v>858</v>
      </c>
      <c r="C846" s="3" t="str">
        <f>VLOOKUP($A846,DICO_Complet!$A$3:$U$983,3,FALSE)</f>
        <v>Transaction</v>
      </c>
      <c r="D846" s="3" t="str">
        <f>VLOOKUP($A846,DICO_Complet!$A$3:$U$983,4,FALSE)</f>
        <v>transactionDetails</v>
      </c>
      <c r="E846" s="2" t="str">
        <f>VLOOKUP($A846,DICO_Complet!$A$3:$U$983,5,FALSE)</f>
        <v>temp_listEMVPublicAuthenticationKEYSRSAKeyModulus</v>
      </c>
      <c r="F846" s="2" t="str">
        <f>VLOOKUP($A846,DICO_Complet!$A$3:$U$983,6,FALSE)</f>
        <v>Max248HexBinaryText</v>
      </c>
      <c r="G846" s="48">
        <f>VLOOKUP($A846,DICO_Complet!$A$3:$U$983,7,FALSE)</f>
        <v>0</v>
      </c>
      <c r="H846" s="48">
        <f>VLOOKUP($A846,DICO_Complet!$A$3:$U$983,8,FALSE)</f>
        <v>0</v>
      </c>
      <c r="I846" s="2" t="str">
        <f>IF(VLOOKUP($A846,DICO_Complet!$A$3:$U$983,9,FALSE)&lt;&gt;0,VLOOKUP($A846,DICO_Complet!$A$3:$U$983,9,FALSE),"")</f>
        <v/>
      </c>
      <c r="J846" s="1" t="str">
        <f>VLOOKUP($A846,DICO_Complet!$A$3:$U$983,10,FALSE)</f>
        <v>List oF EMV Public Authentication KEYS/RSA Key Modulus</v>
      </c>
      <c r="K846" s="53" t="str">
        <f>IF(VLOOKUP($A846,DICO_Complet!$A$3:$U$983,12,FALSE)=0,"",VLOOKUP($A846,DICO_Complet!$A$3:$U$983,12,FALSE))</f>
        <v/>
      </c>
      <c r="L846" s="53" t="str">
        <f>IF(VLOOKUP($A846,DICO_Complet!$A$3:$U$983,13,FALSE)=0,"",VLOOKUP($A846,DICO_Complet!$A$3:$U$983,13,FALSE))</f>
        <v/>
      </c>
      <c r="M846" s="53" t="str">
        <f>IF(VLOOKUP($A846,DICO_Complet!$A$3:$U$983,14,FALSE)=0,"",VLOOKUP($A846,DICO_Complet!$A$3:$U$983,14,FALSE))</f>
        <v>72_DF2F</v>
      </c>
      <c r="N846" s="53" t="str">
        <f>IF(VLOOKUP($A846,DICO_Complet!$A$3:$U$983,15,FALSE)=0,"",VLOOKUP($A846,DICO_Complet!$A$3:$U$983,15,FALSE))</f>
        <v/>
      </c>
      <c r="O846" s="53" t="str">
        <f>IF(VLOOKUP($A846,DICO_Complet!$A$3:$U$983,16,FALSE)=0,"",VLOOKUP($A846,DICO_Complet!$A$3:$U$983,16,FALSE))</f>
        <v/>
      </c>
      <c r="P846" s="53" t="str">
        <f>IF(VLOOKUP($A846,DICO_Complet!$A$3:$U$983,17,FALSE)=0,"",VLOOKUP($A846,DICO_Complet!$A$3:$U$983,17,FALSE))</f>
        <v/>
      </c>
      <c r="Q846" s="53" t="str">
        <f>IF(VLOOKUP($A846,DICO_Complet!$A$3:$U$983,18,FALSE)=0,"",VLOOKUP($A846,DICO_Complet!$A$3:$U$983,18,FALSE))</f>
        <v/>
      </c>
    </row>
    <row r="847" spans="1:17">
      <c r="A847" s="38">
        <v>250425200813</v>
      </c>
      <c r="B847" s="47" t="s">
        <v>858</v>
      </c>
      <c r="C847" s="3" t="str">
        <f>VLOOKUP($A847,DICO_Complet!$A$3:$U$983,3,FALSE)</f>
        <v>Transaction</v>
      </c>
      <c r="D847" s="3" t="str">
        <f>VLOOKUP($A847,DICO_Complet!$A$3:$U$983,4,FALSE)</f>
        <v>transactionDetails</v>
      </c>
      <c r="E847" s="2" t="str">
        <f>VLOOKUP($A847,DICO_Complet!$A$3:$U$983,5,FALSE)</f>
        <v>temp_listOfAdditionalTagsCalledParty0CallingParty</v>
      </c>
      <c r="F847" s="2" t="str">
        <f>VLOOKUP($A847,DICO_Complet!$A$3:$U$983,6,FALSE)</f>
        <v>Max255HexBinaryText</v>
      </c>
      <c r="G847" s="48">
        <f>VLOOKUP($A847,DICO_Complet!$A$3:$U$983,7,FALSE)</f>
        <v>0</v>
      </c>
      <c r="H847" s="48">
        <f>VLOOKUP($A847,DICO_Complet!$A$3:$U$983,8,FALSE)</f>
        <v>0</v>
      </c>
      <c r="I847" s="2" t="str">
        <f>IF(VLOOKUP($A847,DICO_Complet!$A$3:$U$983,9,FALSE)&lt;&gt;0,VLOOKUP($A847,DICO_Complet!$A$3:$U$983,9,FALSE),"")</f>
        <v/>
      </c>
      <c r="J847" s="1" t="str">
        <f>VLOOKUP($A847,DICO_Complet!$A$3:$U$983,10,FALSE)</f>
        <v>List of additional tags : Called party (0) / Calling party</v>
      </c>
      <c r="K847" s="53" t="str">
        <f>IF(VLOOKUP($A847,DICO_Complet!$A$3:$U$983,12,FALSE)=0,"",VLOOKUP($A847,DICO_Complet!$A$3:$U$983,12,FALSE))</f>
        <v/>
      </c>
      <c r="L847" s="53" t="str">
        <f>IF(VLOOKUP($A847,DICO_Complet!$A$3:$U$983,13,FALSE)=0,"",VLOOKUP($A847,DICO_Complet!$A$3:$U$983,13,FALSE))</f>
        <v/>
      </c>
      <c r="M847" s="53" t="str">
        <f>IF(VLOOKUP($A847,DICO_Complet!$A$3:$U$983,14,FALSE)=0,"",VLOOKUP($A847,DICO_Complet!$A$3:$U$983,14,FALSE))</f>
        <v>72_DF1F</v>
      </c>
      <c r="N847" s="53" t="str">
        <f>IF(VLOOKUP($A847,DICO_Complet!$A$3:$U$983,15,FALSE)=0,"",VLOOKUP($A847,DICO_Complet!$A$3:$U$983,15,FALSE))</f>
        <v/>
      </c>
      <c r="O847" s="53" t="str">
        <f>IF(VLOOKUP($A847,DICO_Complet!$A$3:$U$983,16,FALSE)=0,"",VLOOKUP($A847,DICO_Complet!$A$3:$U$983,16,FALSE))</f>
        <v/>
      </c>
      <c r="P847" s="53" t="str">
        <f>IF(VLOOKUP($A847,DICO_Complet!$A$3:$U$983,17,FALSE)=0,"",VLOOKUP($A847,DICO_Complet!$A$3:$U$983,17,FALSE))</f>
        <v/>
      </c>
      <c r="Q847" s="53" t="str">
        <f>IF(VLOOKUP($A847,DICO_Complet!$A$3:$U$983,18,FALSE)=0,"",VLOOKUP($A847,DICO_Complet!$A$3:$U$983,18,FALSE))</f>
        <v/>
      </c>
    </row>
    <row r="848" spans="1:17">
      <c r="A848" s="38">
        <v>2504252007010</v>
      </c>
      <c r="B848" s="47" t="s">
        <v>858</v>
      </c>
      <c r="C848" s="3" t="str">
        <f>VLOOKUP($A848,DICO_Complet!$A$3:$U$983,3,FALSE)</f>
        <v>Transaction</v>
      </c>
      <c r="D848" s="3" t="str">
        <f>VLOOKUP($A848,DICO_Complet!$A$3:$U$983,4,FALSE)</f>
        <v>transactionDetails</v>
      </c>
      <c r="E848" s="2" t="str">
        <f>VLOOKUP($A848,DICO_Complet!$A$3:$U$983,5,FALSE)</f>
        <v>temp_listOfDataElements</v>
      </c>
      <c r="F848" s="2" t="str">
        <f>VLOOKUP($A848,DICO_Complet!$A$3:$U$983,6,FALSE)</f>
        <v>Exact252HexBinaryText</v>
      </c>
      <c r="G848" s="48">
        <f>VLOOKUP($A848,DICO_Complet!$A$3:$U$983,7,FALSE)</f>
        <v>0</v>
      </c>
      <c r="H848" s="48">
        <f>VLOOKUP($A848,DICO_Complet!$A$3:$U$983,8,FALSE)</f>
        <v>0</v>
      </c>
      <c r="I848" s="2" t="str">
        <f>IF(VLOOKUP($A848,DICO_Complet!$A$3:$U$983,9,FALSE)&lt;&gt;0,VLOOKUP($A848,DICO_Complet!$A$3:$U$983,9,FALSE),"")</f>
        <v/>
      </c>
      <c r="J848" s="1" t="str">
        <f>VLOOKUP($A848,DICO_Complet!$A$3:$U$983,10,FALSE)</f>
        <v>List of data elements</v>
      </c>
      <c r="K848" s="53" t="str">
        <f>IF(VLOOKUP($A848,DICO_Complet!$A$3:$U$983,12,FALSE)=0,"",VLOOKUP($A848,DICO_Complet!$A$3:$U$983,12,FALSE))</f>
        <v/>
      </c>
      <c r="L848" s="53" t="str">
        <f>IF(VLOOKUP($A848,DICO_Complet!$A$3:$U$983,13,FALSE)=0,"",VLOOKUP($A848,DICO_Complet!$A$3:$U$983,13,FALSE))</f>
        <v/>
      </c>
      <c r="M848" s="53" t="str">
        <f>IF(VLOOKUP($A848,DICO_Complet!$A$3:$U$983,14,FALSE)=0,"",VLOOKUP($A848,DICO_Complet!$A$3:$U$983,14,FALSE))</f>
        <v>72_DF1A part 4</v>
      </c>
      <c r="N848" s="53" t="str">
        <f>IF(VLOOKUP($A848,DICO_Complet!$A$3:$U$983,15,FALSE)=0,"",VLOOKUP($A848,DICO_Complet!$A$3:$U$983,15,FALSE))</f>
        <v/>
      </c>
      <c r="O848" s="53" t="str">
        <f>IF(VLOOKUP($A848,DICO_Complet!$A$3:$U$983,16,FALSE)=0,"",VLOOKUP($A848,DICO_Complet!$A$3:$U$983,16,FALSE))</f>
        <v/>
      </c>
      <c r="P848" s="53" t="str">
        <f>IF(VLOOKUP($A848,DICO_Complet!$A$3:$U$983,17,FALSE)=0,"",VLOOKUP($A848,DICO_Complet!$A$3:$U$983,17,FALSE))</f>
        <v/>
      </c>
      <c r="Q848" s="53" t="str">
        <f>IF(VLOOKUP($A848,DICO_Complet!$A$3:$U$983,18,FALSE)=0,"",VLOOKUP($A848,DICO_Complet!$A$3:$U$983,18,FALSE))</f>
        <v/>
      </c>
    </row>
    <row r="849" spans="1:17">
      <c r="A849" s="38">
        <v>250425201008</v>
      </c>
      <c r="B849" s="47" t="s">
        <v>858</v>
      </c>
      <c r="C849" s="3" t="str">
        <f>VLOOKUP($A849,DICO_Complet!$A$3:$U$983,3,FALSE)</f>
        <v>Transaction</v>
      </c>
      <c r="D849" s="3" t="str">
        <f>VLOOKUP($A849,DICO_Complet!$A$3:$U$983,4,FALSE)</f>
        <v>transactionDetails</v>
      </c>
      <c r="E849" s="2" t="str">
        <f>VLOOKUP($A849,DICO_Complet!$A$3:$U$983,5,FALSE)</f>
        <v>temp_maximumAcceptedAmountForForeignCard</v>
      </c>
      <c r="F849" s="2" t="str">
        <f>VLOOKUP($A849,DICO_Complet!$A$3:$U$983,6,FALSE)</f>
        <v>Exact12AlphaNumericText</v>
      </c>
      <c r="G849" s="48">
        <f>VLOOKUP($A849,DICO_Complet!$A$3:$U$983,7,FALSE)</f>
        <v>0</v>
      </c>
      <c r="H849" s="48">
        <f>VLOOKUP($A849,DICO_Complet!$A$3:$U$983,8,FALSE)</f>
        <v>0</v>
      </c>
      <c r="I849" s="2" t="str">
        <f>IF(VLOOKUP($A849,DICO_Complet!$A$3:$U$983,9,FALSE)&lt;&gt;0,VLOOKUP($A849,DICO_Complet!$A$3:$U$983,9,FALSE),"")</f>
        <v/>
      </c>
      <c r="J849" s="1" t="str">
        <f>VLOOKUP($A849,DICO_Complet!$A$3:$U$983,10,FALSE)</f>
        <v xml:space="preserve">maximum accepted amount for a foreign card in an unattended terminal </v>
      </c>
      <c r="K849" s="53" t="str">
        <f>IF(VLOOKUP($A849,DICO_Complet!$A$3:$U$983,12,FALSE)=0,"",VLOOKUP($A849,DICO_Complet!$A$3:$U$983,12,FALSE))</f>
        <v/>
      </c>
      <c r="L849" s="53" t="str">
        <f>IF(VLOOKUP($A849,DICO_Complet!$A$3:$U$983,13,FALSE)=0,"",VLOOKUP($A849,DICO_Complet!$A$3:$U$983,13,FALSE))</f>
        <v/>
      </c>
      <c r="M849" s="53" t="str">
        <f>IF(VLOOKUP($A849,DICO_Complet!$A$3:$U$983,14,FALSE)=0,"",VLOOKUP($A849,DICO_Complet!$A$3:$U$983,14,FALSE))</f>
        <v>72_DF3A</v>
      </c>
      <c r="N849" s="53" t="str">
        <f>IF(VLOOKUP($A849,DICO_Complet!$A$3:$U$983,15,FALSE)=0,"",VLOOKUP($A849,DICO_Complet!$A$3:$U$983,15,FALSE))</f>
        <v/>
      </c>
      <c r="O849" s="53" t="str">
        <f>IF(VLOOKUP($A849,DICO_Complet!$A$3:$U$983,16,FALSE)=0,"",VLOOKUP($A849,DICO_Complet!$A$3:$U$983,16,FALSE))</f>
        <v/>
      </c>
      <c r="P849" s="53" t="str">
        <f>IF(VLOOKUP($A849,DICO_Complet!$A$3:$U$983,17,FALSE)=0,"",VLOOKUP($A849,DICO_Complet!$A$3:$U$983,17,FALSE))</f>
        <v/>
      </c>
      <c r="Q849" s="53" t="str">
        <f>IF(VLOOKUP($A849,DICO_Complet!$A$3:$U$983,18,FALSE)=0,"",VLOOKUP($A849,DICO_Complet!$A$3:$U$983,18,FALSE))</f>
        <v/>
      </c>
    </row>
    <row r="850" spans="1:17">
      <c r="A850" s="38">
        <v>250425201601</v>
      </c>
      <c r="B850" s="47" t="s">
        <v>858</v>
      </c>
      <c r="C850" s="3" t="str">
        <f>VLOOKUP($A850,DICO_Complet!$A$3:$U$983,3,FALSE)</f>
        <v>Transaction</v>
      </c>
      <c r="D850" s="3" t="str">
        <f>VLOOKUP($A850,DICO_Complet!$A$3:$U$983,4,FALSE)</f>
        <v>transactionDetails</v>
      </c>
      <c r="E850" s="2" t="str">
        <f>VLOOKUP($A850,DICO_Complet!$A$3:$U$983,5,FALSE)</f>
        <v>temp_maximumAmountForGuaranteeRequesForFrenchCards</v>
      </c>
      <c r="F850" s="2" t="str">
        <f>VLOOKUP($A850,DICO_Complet!$A$3:$U$983,6,FALSE)</f>
        <v>AmountType</v>
      </c>
      <c r="G850" s="48">
        <f>VLOOKUP($A850,DICO_Complet!$A$3:$U$983,7,FALSE)</f>
        <v>0</v>
      </c>
      <c r="H850" s="48">
        <f>VLOOKUP($A850,DICO_Complet!$A$3:$U$983,8,FALSE)</f>
        <v>0</v>
      </c>
      <c r="I850" s="2" t="str">
        <f>IF(VLOOKUP($A850,DICO_Complet!$A$3:$U$983,9,FALSE)&lt;&gt;0,VLOOKUP($A850,DICO_Complet!$A$3:$U$983,9,FALSE),"")</f>
        <v/>
      </c>
      <c r="J850" s="1" t="str">
        <f>VLOOKUP($A850,DICO_Complet!$A$3:$U$983,10,FALSE)</f>
        <v>Maximum amount for guarantee request for French cards</v>
      </c>
      <c r="K850" s="53" t="str">
        <f>IF(VLOOKUP($A850,DICO_Complet!$A$3:$U$983,12,FALSE)=0,"",VLOOKUP($A850,DICO_Complet!$A$3:$U$983,12,FALSE))</f>
        <v/>
      </c>
      <c r="L850" s="53" t="str">
        <f>IF(VLOOKUP($A850,DICO_Complet!$A$3:$U$983,13,FALSE)=0,"",VLOOKUP($A850,DICO_Complet!$A$3:$U$983,13,FALSE))</f>
        <v/>
      </c>
      <c r="M850" s="53" t="str">
        <f>IF(VLOOKUP($A850,DICO_Complet!$A$3:$U$983,14,FALSE)=0,"",VLOOKUP($A850,DICO_Complet!$A$3:$U$983,14,FALSE))</f>
        <v>72_DFAE part 10</v>
      </c>
      <c r="N850" s="53" t="str">
        <f>IF(VLOOKUP($A850,DICO_Complet!$A$3:$U$983,15,FALSE)=0,"",VLOOKUP($A850,DICO_Complet!$A$3:$U$983,15,FALSE))</f>
        <v/>
      </c>
      <c r="O850" s="53" t="str">
        <f>IF(VLOOKUP($A850,DICO_Complet!$A$3:$U$983,16,FALSE)=0,"",VLOOKUP($A850,DICO_Complet!$A$3:$U$983,16,FALSE))</f>
        <v/>
      </c>
      <c r="P850" s="53" t="str">
        <f>IF(VLOOKUP($A850,DICO_Complet!$A$3:$U$983,17,FALSE)=0,"",VLOOKUP($A850,DICO_Complet!$A$3:$U$983,17,FALSE))</f>
        <v/>
      </c>
      <c r="Q850" s="53" t="str">
        <f>IF(VLOOKUP($A850,DICO_Complet!$A$3:$U$983,18,FALSE)=0,"",VLOOKUP($A850,DICO_Complet!$A$3:$U$983,18,FALSE))</f>
        <v/>
      </c>
    </row>
    <row r="851" spans="1:17">
      <c r="A851" s="38">
        <v>250425201602</v>
      </c>
      <c r="B851" s="47" t="s">
        <v>858</v>
      </c>
      <c r="C851" s="3" t="str">
        <f>VLOOKUP($A851,DICO_Complet!$A$3:$U$983,3,FALSE)</f>
        <v>Transaction</v>
      </c>
      <c r="D851" s="3" t="str">
        <f>VLOOKUP($A851,DICO_Complet!$A$3:$U$983,4,FALSE)</f>
        <v>transactionDetails</v>
      </c>
      <c r="E851" s="2" t="str">
        <f>VLOOKUP($A851,DICO_Complet!$A$3:$U$983,5,FALSE)</f>
        <v>temp_maximumAmountForGuaranteeRequestForForeignCards</v>
      </c>
      <c r="F851" s="2" t="str">
        <f>VLOOKUP($A851,DICO_Complet!$A$3:$U$983,6,FALSE)</f>
        <v>AmountType</v>
      </c>
      <c r="G851" s="48">
        <f>VLOOKUP($A851,DICO_Complet!$A$3:$U$983,7,FALSE)</f>
        <v>0</v>
      </c>
      <c r="H851" s="48">
        <f>VLOOKUP($A851,DICO_Complet!$A$3:$U$983,8,FALSE)</f>
        <v>0</v>
      </c>
      <c r="I851" s="2" t="str">
        <f>IF(VLOOKUP($A851,DICO_Complet!$A$3:$U$983,9,FALSE)&lt;&gt;0,VLOOKUP($A851,DICO_Complet!$A$3:$U$983,9,FALSE),"")</f>
        <v/>
      </c>
      <c r="J851" s="1" t="str">
        <f>VLOOKUP($A851,DICO_Complet!$A$3:$U$983,10,FALSE)</f>
        <v>Maximum amount for guarantee request for foreign cards</v>
      </c>
      <c r="K851" s="53" t="str">
        <f>IF(VLOOKUP($A851,DICO_Complet!$A$3:$U$983,12,FALSE)=0,"",VLOOKUP($A851,DICO_Complet!$A$3:$U$983,12,FALSE))</f>
        <v/>
      </c>
      <c r="L851" s="53" t="str">
        <f>IF(VLOOKUP($A851,DICO_Complet!$A$3:$U$983,13,FALSE)=0,"",VLOOKUP($A851,DICO_Complet!$A$3:$U$983,13,FALSE))</f>
        <v/>
      </c>
      <c r="M851" s="53" t="str">
        <f>IF(VLOOKUP($A851,DICO_Complet!$A$3:$U$983,14,FALSE)=0,"",VLOOKUP($A851,DICO_Complet!$A$3:$U$983,14,FALSE))</f>
        <v>72_DFAE part 11</v>
      </c>
      <c r="N851" s="53" t="str">
        <f>IF(VLOOKUP($A851,DICO_Complet!$A$3:$U$983,15,FALSE)=0,"",VLOOKUP($A851,DICO_Complet!$A$3:$U$983,15,FALSE))</f>
        <v/>
      </c>
      <c r="O851" s="53" t="str">
        <f>IF(VLOOKUP($A851,DICO_Complet!$A$3:$U$983,16,FALSE)=0,"",VLOOKUP($A851,DICO_Complet!$A$3:$U$983,16,FALSE))</f>
        <v/>
      </c>
      <c r="P851" s="53" t="str">
        <f>IF(VLOOKUP($A851,DICO_Complet!$A$3:$U$983,17,FALSE)=0,"",VLOOKUP($A851,DICO_Complet!$A$3:$U$983,17,FALSE))</f>
        <v/>
      </c>
      <c r="Q851" s="53" t="str">
        <f>IF(VLOOKUP($A851,DICO_Complet!$A$3:$U$983,18,FALSE)=0,"",VLOOKUP($A851,DICO_Complet!$A$3:$U$983,18,FALSE))</f>
        <v/>
      </c>
    </row>
    <row r="852" spans="1:17">
      <c r="A852" s="38">
        <v>250425200803</v>
      </c>
      <c r="B852" s="47" t="s">
        <v>858</v>
      </c>
      <c r="C852" s="3" t="str">
        <f>VLOOKUP($A852,DICO_Complet!$A$3:$U$983,3,FALSE)</f>
        <v>Transaction</v>
      </c>
      <c r="D852" s="3" t="str">
        <f>VLOOKUP($A852,DICO_Complet!$A$3:$U$983,4,FALSE)</f>
        <v>transactionDetails</v>
      </c>
      <c r="E852" s="2" t="str">
        <f>VLOOKUP($A852,DICO_Complet!$A$3:$U$983,5,FALSE)</f>
        <v>temp_maximumCoefficientAssociatedWithTheRandomSelection</v>
      </c>
      <c r="F852" s="2" t="str">
        <f>VLOOKUP($A852,DICO_Complet!$A$3:$U$983,6,FALSE)</f>
        <v>Exact2NumericText</v>
      </c>
      <c r="G852" s="48">
        <f>VLOOKUP($A852,DICO_Complet!$A$3:$U$983,7,FALSE)</f>
        <v>0</v>
      </c>
      <c r="H852" s="48">
        <f>VLOOKUP($A852,DICO_Complet!$A$3:$U$983,8,FALSE)</f>
        <v>0</v>
      </c>
      <c r="I852" s="2" t="str">
        <f>IF(VLOOKUP($A852,DICO_Complet!$A$3:$U$983,9,FALSE)&lt;&gt;0,VLOOKUP($A852,DICO_Complet!$A$3:$U$983,9,FALSE),"")</f>
        <v/>
      </c>
      <c r="J852" s="1" t="str">
        <f>VLOOKUP($A852,DICO_Complet!$A$3:$U$983,10,FALSE)</f>
        <v>Maximum coefficient associated with the random selection _</v>
      </c>
      <c r="K852" s="53" t="str">
        <f>IF(VLOOKUP($A852,DICO_Complet!$A$3:$U$983,12,FALSE)=0,"",VLOOKUP($A852,DICO_Complet!$A$3:$U$983,12,FALSE))</f>
        <v/>
      </c>
      <c r="L852" s="53" t="str">
        <f>IF(VLOOKUP($A852,DICO_Complet!$A$3:$U$983,13,FALSE)=0,"",VLOOKUP($A852,DICO_Complet!$A$3:$U$983,13,FALSE))</f>
        <v/>
      </c>
      <c r="M852" s="53" t="str">
        <f>IF(VLOOKUP($A852,DICO_Complet!$A$3:$U$983,14,FALSE)=0,"",VLOOKUP($A852,DICO_Complet!$A$3:$U$983,14,FALSE))</f>
        <v>72_DF1B part 6</v>
      </c>
      <c r="N852" s="53" t="str">
        <f>IF(VLOOKUP($A852,DICO_Complet!$A$3:$U$983,15,FALSE)=0,"",VLOOKUP($A852,DICO_Complet!$A$3:$U$983,15,FALSE))</f>
        <v/>
      </c>
      <c r="O852" s="53" t="str">
        <f>IF(VLOOKUP($A852,DICO_Complet!$A$3:$U$983,16,FALSE)=0,"",VLOOKUP($A852,DICO_Complet!$A$3:$U$983,16,FALSE))</f>
        <v/>
      </c>
      <c r="P852" s="53" t="str">
        <f>IF(VLOOKUP($A852,DICO_Complet!$A$3:$U$983,17,FALSE)=0,"",VLOOKUP($A852,DICO_Complet!$A$3:$U$983,17,FALSE))</f>
        <v/>
      </c>
      <c r="Q852" s="53" t="str">
        <f>IF(VLOOKUP($A852,DICO_Complet!$A$3:$U$983,18,FALSE)=0,"",VLOOKUP($A852,DICO_Complet!$A$3:$U$983,18,FALSE))</f>
        <v/>
      </c>
    </row>
    <row r="853" spans="1:17">
      <c r="A853" s="38">
        <v>250425201525</v>
      </c>
      <c r="B853" s="47" t="s">
        <v>858</v>
      </c>
      <c r="C853" s="3" t="str">
        <f>VLOOKUP($A853,DICO_Complet!$A$3:$U$983,3,FALSE)</f>
        <v>Transaction</v>
      </c>
      <c r="D853" s="3" t="str">
        <f>VLOOKUP($A853,DICO_Complet!$A$3:$U$983,4,FALSE)</f>
        <v>transactionDetails</v>
      </c>
      <c r="E853" s="2" t="str">
        <f>VLOOKUP($A853,DICO_Complet!$A$3:$U$983,5,FALSE)</f>
        <v>temp_maximumCumulativeAmount</v>
      </c>
      <c r="F853" s="2" t="str">
        <f>VLOOKUP($A853,DICO_Complet!$A$3:$U$983,6,FALSE)</f>
        <v>AmountType</v>
      </c>
      <c r="G853" s="48">
        <f>VLOOKUP($A853,DICO_Complet!$A$3:$U$983,7,FALSE)</f>
        <v>0</v>
      </c>
      <c r="H853" s="48">
        <f>VLOOKUP($A853,DICO_Complet!$A$3:$U$983,8,FALSE)</f>
        <v>0</v>
      </c>
      <c r="I853" s="2" t="str">
        <f>IF(VLOOKUP($A853,DICO_Complet!$A$3:$U$983,9,FALSE)&lt;&gt;0,VLOOKUP($A853,DICO_Complet!$A$3:$U$983,9,FALSE),"")</f>
        <v/>
      </c>
      <c r="J853" s="1" t="str">
        <f>VLOOKUP($A853,DICO_Complet!$A$3:$U$983,10,FALSE)</f>
        <v>Maximum cumulative amount</v>
      </c>
      <c r="K853" s="53" t="str">
        <f>IF(VLOOKUP($A853,DICO_Complet!$A$3:$U$983,12,FALSE)=0,"",VLOOKUP($A853,DICO_Complet!$A$3:$U$983,12,FALSE))</f>
        <v/>
      </c>
      <c r="L853" s="53" t="str">
        <f>IF(VLOOKUP($A853,DICO_Complet!$A$3:$U$983,13,FALSE)=0,"",VLOOKUP($A853,DICO_Complet!$A$3:$U$983,13,FALSE))</f>
        <v/>
      </c>
      <c r="M853" s="53" t="str">
        <f>IF(VLOOKUP($A853,DICO_Complet!$A$3:$U$983,14,FALSE)=0,"",VLOOKUP($A853,DICO_Complet!$A$3:$U$983,14,FALSE))</f>
        <v>72_DFAE part 3</v>
      </c>
      <c r="N853" s="53" t="str">
        <f>IF(VLOOKUP($A853,DICO_Complet!$A$3:$U$983,15,FALSE)=0,"",VLOOKUP($A853,DICO_Complet!$A$3:$U$983,15,FALSE))</f>
        <v/>
      </c>
      <c r="O853" s="53" t="str">
        <f>IF(VLOOKUP($A853,DICO_Complet!$A$3:$U$983,16,FALSE)=0,"",VLOOKUP($A853,DICO_Complet!$A$3:$U$983,16,FALSE))</f>
        <v/>
      </c>
      <c r="P853" s="53" t="str">
        <f>IF(VLOOKUP($A853,DICO_Complet!$A$3:$U$983,17,FALSE)=0,"",VLOOKUP($A853,DICO_Complet!$A$3:$U$983,17,FALSE))</f>
        <v/>
      </c>
      <c r="Q853" s="53" t="str">
        <f>IF(VLOOKUP($A853,DICO_Complet!$A$3:$U$983,18,FALSE)=0,"",VLOOKUP($A853,DICO_Complet!$A$3:$U$983,18,FALSE))</f>
        <v/>
      </c>
    </row>
    <row r="854" spans="1:17">
      <c r="A854" s="38">
        <v>250425201606</v>
      </c>
      <c r="B854" s="47" t="s">
        <v>858</v>
      </c>
      <c r="C854" s="3" t="str">
        <f>VLOOKUP($A854,DICO_Complet!$A$3:$U$983,3,FALSE)</f>
        <v>Transaction</v>
      </c>
      <c r="D854" s="3" t="str">
        <f>VLOOKUP($A854,DICO_Complet!$A$3:$U$983,4,FALSE)</f>
        <v>transactionDetails</v>
      </c>
      <c r="E854" s="2" t="str">
        <f>VLOOKUP($A854,DICO_Complet!$A$3:$U$983,5,FALSE)</f>
        <v>temp_maximumNumberOfRetries</v>
      </c>
      <c r="F854" s="2" t="str">
        <f>VLOOKUP($A854,DICO_Complet!$A$3:$U$983,6,FALSE)</f>
        <v>Exact3NumericText</v>
      </c>
      <c r="G854" s="48">
        <f>VLOOKUP($A854,DICO_Complet!$A$3:$U$983,7,FALSE)</f>
        <v>0</v>
      </c>
      <c r="H854" s="48">
        <f>VLOOKUP($A854,DICO_Complet!$A$3:$U$983,8,FALSE)</f>
        <v>0</v>
      </c>
      <c r="I854" s="2" t="str">
        <f>IF(VLOOKUP($A854,DICO_Complet!$A$3:$U$983,9,FALSE)&lt;&gt;0,VLOOKUP($A854,DICO_Complet!$A$3:$U$983,9,FALSE),"")</f>
        <v/>
      </c>
      <c r="J854" s="1" t="str">
        <f>VLOOKUP($A854,DICO_Complet!$A$3:$U$983,10,FALSE)</f>
        <v>Maximum number of retries</v>
      </c>
      <c r="K854" s="53" t="str">
        <f>IF(VLOOKUP($A854,DICO_Complet!$A$3:$U$983,12,FALSE)=0,"",VLOOKUP($A854,DICO_Complet!$A$3:$U$983,12,FALSE))</f>
        <v/>
      </c>
      <c r="L854" s="53" t="str">
        <f>IF(VLOOKUP($A854,DICO_Complet!$A$3:$U$983,13,FALSE)=0,"",VLOOKUP($A854,DICO_Complet!$A$3:$U$983,13,FALSE))</f>
        <v/>
      </c>
      <c r="M854" s="53" t="str">
        <f>IF(VLOOKUP($A854,DICO_Complet!$A$3:$U$983,14,FALSE)=0,"",VLOOKUP($A854,DICO_Complet!$A$3:$U$983,14,FALSE))</f>
        <v>72_DFAE part 15</v>
      </c>
      <c r="N854" s="53" t="str">
        <f>IF(VLOOKUP($A854,DICO_Complet!$A$3:$U$983,15,FALSE)=0,"",VLOOKUP($A854,DICO_Complet!$A$3:$U$983,15,FALSE))</f>
        <v/>
      </c>
      <c r="O854" s="53" t="str">
        <f>IF(VLOOKUP($A854,DICO_Complet!$A$3:$U$983,16,FALSE)=0,"",VLOOKUP($A854,DICO_Complet!$A$3:$U$983,16,FALSE))</f>
        <v/>
      </c>
      <c r="P854" s="53" t="str">
        <f>IF(VLOOKUP($A854,DICO_Complet!$A$3:$U$983,17,FALSE)=0,"",VLOOKUP($A854,DICO_Complet!$A$3:$U$983,17,FALSE))</f>
        <v/>
      </c>
      <c r="Q854" s="53" t="str">
        <f>IF(VLOOKUP($A854,DICO_Complet!$A$3:$U$983,18,FALSE)=0,"",VLOOKUP($A854,DICO_Complet!$A$3:$U$983,18,FALSE))</f>
        <v/>
      </c>
    </row>
    <row r="855" spans="1:17">
      <c r="A855" s="38">
        <v>250425201600</v>
      </c>
      <c r="B855" s="47" t="s">
        <v>858</v>
      </c>
      <c r="C855" s="3" t="str">
        <f>VLOOKUP($A855,DICO_Complet!$A$3:$U$983,3,FALSE)</f>
        <v>Transaction</v>
      </c>
      <c r="D855" s="3" t="str">
        <f>VLOOKUP($A855,DICO_Complet!$A$3:$U$983,4,FALSE)</f>
        <v>transactionDetails</v>
      </c>
      <c r="E855" s="2" t="str">
        <f>VLOOKUP($A855,DICO_Complet!$A$3:$U$983,5,FALSE)</f>
        <v>temp_maximumOfferAmount</v>
      </c>
      <c r="F855" s="2" t="str">
        <f>VLOOKUP($A855,DICO_Complet!$A$3:$U$983,6,FALSE)</f>
        <v>AmountType</v>
      </c>
      <c r="G855" s="48">
        <f>VLOOKUP($A855,DICO_Complet!$A$3:$U$983,7,FALSE)</f>
        <v>0</v>
      </c>
      <c r="H855" s="48">
        <f>VLOOKUP($A855,DICO_Complet!$A$3:$U$983,8,FALSE)</f>
        <v>0</v>
      </c>
      <c r="I855" s="2" t="str">
        <f>IF(VLOOKUP($A855,DICO_Complet!$A$3:$U$983,9,FALSE)&lt;&gt;0,VLOOKUP($A855,DICO_Complet!$A$3:$U$983,9,FALSE),"")</f>
        <v/>
      </c>
      <c r="J855" s="1" t="str">
        <f>VLOOKUP($A855,DICO_Complet!$A$3:$U$983,10,FALSE)</f>
        <v>Maximum Offer Amount</v>
      </c>
      <c r="K855" s="53" t="str">
        <f>IF(VLOOKUP($A855,DICO_Complet!$A$3:$U$983,12,FALSE)=0,"",VLOOKUP($A855,DICO_Complet!$A$3:$U$983,12,FALSE))</f>
        <v/>
      </c>
      <c r="L855" s="53" t="str">
        <f>IF(VLOOKUP($A855,DICO_Complet!$A$3:$U$983,13,FALSE)=0,"",VLOOKUP($A855,DICO_Complet!$A$3:$U$983,13,FALSE))</f>
        <v/>
      </c>
      <c r="M855" s="53" t="str">
        <f>IF(VLOOKUP($A855,DICO_Complet!$A$3:$U$983,14,FALSE)=0,"",VLOOKUP($A855,DICO_Complet!$A$3:$U$983,14,FALSE))</f>
        <v>72_DFAE part 9</v>
      </c>
      <c r="N855" s="53" t="str">
        <f>IF(VLOOKUP($A855,DICO_Complet!$A$3:$U$983,15,FALSE)=0,"",VLOOKUP($A855,DICO_Complet!$A$3:$U$983,15,FALSE))</f>
        <v/>
      </c>
      <c r="O855" s="53" t="str">
        <f>IF(VLOOKUP($A855,DICO_Complet!$A$3:$U$983,16,FALSE)=0,"",VLOOKUP($A855,DICO_Complet!$A$3:$U$983,16,FALSE))</f>
        <v/>
      </c>
      <c r="P855" s="53" t="str">
        <f>IF(VLOOKUP($A855,DICO_Complet!$A$3:$U$983,17,FALSE)=0,"",VLOOKUP($A855,DICO_Complet!$A$3:$U$983,17,FALSE))</f>
        <v/>
      </c>
      <c r="Q855" s="53" t="str">
        <f>IF(VLOOKUP($A855,DICO_Complet!$A$3:$U$983,18,FALSE)=0,"",VLOOKUP($A855,DICO_Complet!$A$3:$U$983,18,FALSE))</f>
        <v/>
      </c>
    </row>
    <row r="856" spans="1:17">
      <c r="A856" s="38">
        <v>250418220166</v>
      </c>
      <c r="B856" s="47" t="s">
        <v>858</v>
      </c>
      <c r="C856" s="3" t="str">
        <f>VLOOKUP($A856,DICO_Complet!$A$3:$U$983,3,FALSE)</f>
        <v>Transaction</v>
      </c>
      <c r="D856" s="3" t="str">
        <f>VLOOKUP($A856,DICO_Complet!$A$3:$U$983,4,FALSE)</f>
        <v>transactionDetails</v>
      </c>
      <c r="E856" s="2" t="str">
        <f>VLOOKUP($A856,DICO_Complet!$A$3:$U$983,5,FALSE)</f>
        <v>temp_merchantCategoryCode</v>
      </c>
      <c r="F856" s="2" t="str">
        <f>VLOOKUP($A856,DICO_Complet!$A$3:$U$983,6,FALSE)</f>
        <v>ISO18245MerchantCategoryCode</v>
      </c>
      <c r="G856" s="48">
        <f>VLOOKUP($A856,DICO_Complet!$A$3:$U$983,7,FALSE)</f>
        <v>0</v>
      </c>
      <c r="H856" s="48">
        <f>VLOOKUP($A856,DICO_Complet!$A$3:$U$983,8,FALSE)</f>
        <v>0</v>
      </c>
      <c r="I856" s="2" t="str">
        <f>IF(VLOOKUP($A856,DICO_Complet!$A$3:$U$983,9,FALSE)&lt;&gt;0,VLOOKUP($A856,DICO_Complet!$A$3:$U$983,9,FALSE),"")</f>
        <v/>
      </c>
      <c r="J856" s="1" t="str">
        <f>VLOOKUP($A856,DICO_Complet!$A$3:$U$983,10,FALSE)</f>
        <v>Code professionnel (ou MCC)</v>
      </c>
      <c r="K856" s="53" t="str">
        <f>IF(VLOOKUP($A856,DICO_Complet!$A$3:$U$983,12,FALSE)=0,"",VLOOKUP($A856,DICO_Complet!$A$3:$U$983,12,FALSE))</f>
        <v/>
      </c>
      <c r="L856" s="53" t="str">
        <f>IF(VLOOKUP($A856,DICO_Complet!$A$3:$U$983,13,FALSE)=0,"",VLOOKUP($A856,DICO_Complet!$A$3:$U$983,13,FALSE))</f>
        <v/>
      </c>
      <c r="M856" s="53" t="str">
        <f>IF(VLOOKUP($A856,DICO_Complet!$A$3:$U$983,14,FALSE)=0,"",VLOOKUP($A856,DICO_Complet!$A$3:$U$983,14,FALSE))</f>
        <v/>
      </c>
      <c r="N856" s="53" t="str">
        <f>IF(VLOOKUP($A856,DICO_Complet!$A$3:$U$983,15,FALSE)=0,"",VLOOKUP($A856,DICO_Complet!$A$3:$U$983,15,FALSE))</f>
        <v/>
      </c>
      <c r="O856" s="53" t="str">
        <f>IF(VLOOKUP($A856,DICO_Complet!$A$3:$U$983,16,FALSE)=0,"",VLOOKUP($A856,DICO_Complet!$A$3:$U$983,16,FALSE))</f>
        <v/>
      </c>
      <c r="P856" s="53" t="str">
        <f>IF(VLOOKUP($A856,DICO_Complet!$A$3:$U$983,17,FALSE)=0,"",VLOOKUP($A856,DICO_Complet!$A$3:$U$983,17,FALSE))</f>
        <v/>
      </c>
      <c r="Q856" s="53" t="str">
        <f>IF(VLOOKUP($A856,DICO_Complet!$A$3:$U$983,18,FALSE)=0,"",VLOOKUP($A856,DICO_Complet!$A$3:$U$983,18,FALSE))</f>
        <v>CODMCC</v>
      </c>
    </row>
    <row r="857" spans="1:17">
      <c r="A857" s="38">
        <v>250418220171</v>
      </c>
      <c r="B857" s="47" t="s">
        <v>858</v>
      </c>
      <c r="C857" s="3" t="str">
        <f>VLOOKUP($A857,DICO_Complet!$A$3:$U$983,3,FALSE)</f>
        <v>Transaction</v>
      </c>
      <c r="D857" s="3" t="str">
        <f>VLOOKUP($A857,DICO_Complet!$A$3:$U$983,4,FALSE)</f>
        <v>transactionDetails</v>
      </c>
      <c r="E857" s="2" t="str">
        <f>VLOOKUP($A857,DICO_Complet!$A$3:$U$983,5,FALSE)</f>
        <v>temp_merchantMailCode</v>
      </c>
      <c r="F857" s="2" t="str">
        <f>VLOOKUP($A857,DICO_Complet!$A$3:$U$983,6,FALSE)</f>
        <v>Exact2Text</v>
      </c>
      <c r="G857" s="48">
        <f>VLOOKUP($A857,DICO_Complet!$A$3:$U$983,7,FALSE)</f>
        <v>0</v>
      </c>
      <c r="H857" s="48">
        <f>VLOOKUP($A857,DICO_Complet!$A$3:$U$983,8,FALSE)</f>
        <v>0</v>
      </c>
      <c r="I857" s="2" t="str">
        <f>IF(VLOOKUP($A857,DICO_Complet!$A$3:$U$983,9,FALSE)&lt;&gt;0,VLOOKUP($A857,DICO_Complet!$A$3:$U$983,9,FALSE),"")</f>
        <v/>
      </c>
      <c r="J857" s="1" t="str">
        <f>VLOOKUP($A857,DICO_Complet!$A$3:$U$983,10,FALSE)</f>
        <v>Type de courrier commerçant</v>
      </c>
      <c r="K857" s="53" t="str">
        <f>IF(VLOOKUP($A857,DICO_Complet!$A$3:$U$983,12,FALSE)=0,"",VLOOKUP($A857,DICO_Complet!$A$3:$U$983,12,FALSE))</f>
        <v/>
      </c>
      <c r="L857" s="53" t="str">
        <f>IF(VLOOKUP($A857,DICO_Complet!$A$3:$U$983,13,FALSE)=0,"",VLOOKUP($A857,DICO_Complet!$A$3:$U$983,13,FALSE))</f>
        <v/>
      </c>
      <c r="M857" s="53" t="str">
        <f>IF(VLOOKUP($A857,DICO_Complet!$A$3:$U$983,14,FALSE)=0,"",VLOOKUP($A857,DICO_Complet!$A$3:$U$983,14,FALSE))</f>
        <v/>
      </c>
      <c r="N857" s="53" t="str">
        <f>IF(VLOOKUP($A857,DICO_Complet!$A$3:$U$983,15,FALSE)=0,"",VLOOKUP($A857,DICO_Complet!$A$3:$U$983,15,FALSE))</f>
        <v/>
      </c>
      <c r="O857" s="53" t="str">
        <f>IF(VLOOKUP($A857,DICO_Complet!$A$3:$U$983,16,FALSE)=0,"",VLOOKUP($A857,DICO_Complet!$A$3:$U$983,16,FALSE))</f>
        <v/>
      </c>
      <c r="P857" s="53" t="str">
        <f>IF(VLOOKUP($A857,DICO_Complet!$A$3:$U$983,17,FALSE)=0,"",VLOOKUP($A857,DICO_Complet!$A$3:$U$983,17,FALSE))</f>
        <v/>
      </c>
      <c r="Q857" s="53" t="str">
        <f>IF(VLOOKUP($A857,DICO_Complet!$A$3:$U$983,18,FALSE)=0,"",VLOOKUP($A857,DICO_Complet!$A$3:$U$983,18,FALSE))</f>
        <v>CTCOCM</v>
      </c>
    </row>
    <row r="858" spans="1:17">
      <c r="A858" s="38">
        <v>250418220172</v>
      </c>
      <c r="B858" s="47" t="s">
        <v>858</v>
      </c>
      <c r="C858" s="3" t="str">
        <f>VLOOKUP($A858,DICO_Complet!$A$3:$U$983,3,FALSE)</f>
        <v>Transaction</v>
      </c>
      <c r="D858" s="3" t="str">
        <f>VLOOKUP($A858,DICO_Complet!$A$3:$U$983,4,FALSE)</f>
        <v>transactionDetails</v>
      </c>
      <c r="E858" s="2" t="str">
        <f>VLOOKUP($A858,DICO_Complet!$A$3:$U$983,5,FALSE)</f>
        <v>temp_merchantMailLabel</v>
      </c>
      <c r="F858" s="2" t="str">
        <f>VLOOKUP($A858,DICO_Complet!$A$3:$U$983,6,FALSE)</f>
        <v>Max50Text</v>
      </c>
      <c r="G858" s="48">
        <f>VLOOKUP($A858,DICO_Complet!$A$3:$U$983,7,FALSE)</f>
        <v>0</v>
      </c>
      <c r="H858" s="48">
        <f>VLOOKUP($A858,DICO_Complet!$A$3:$U$983,8,FALSE)</f>
        <v>0</v>
      </c>
      <c r="I858" s="2" t="str">
        <f>IF(VLOOKUP($A858,DICO_Complet!$A$3:$U$983,9,FALSE)&lt;&gt;0,VLOOKUP($A858,DICO_Complet!$A$3:$U$983,9,FALSE),"")</f>
        <v/>
      </c>
      <c r="J858" s="1" t="str">
        <f>VLOOKUP($A858,DICO_Complet!$A$3:$U$983,10,FALSE)</f>
        <v>Libelle courrier commerçant</v>
      </c>
      <c r="K858" s="53" t="str">
        <f>IF(VLOOKUP($A858,DICO_Complet!$A$3:$U$983,12,FALSE)=0,"",VLOOKUP($A858,DICO_Complet!$A$3:$U$983,12,FALSE))</f>
        <v/>
      </c>
      <c r="L858" s="53" t="str">
        <f>IF(VLOOKUP($A858,DICO_Complet!$A$3:$U$983,13,FALSE)=0,"",VLOOKUP($A858,DICO_Complet!$A$3:$U$983,13,FALSE))</f>
        <v/>
      </c>
      <c r="M858" s="53" t="str">
        <f>IF(VLOOKUP($A858,DICO_Complet!$A$3:$U$983,14,FALSE)=0,"",VLOOKUP($A858,DICO_Complet!$A$3:$U$983,14,FALSE))</f>
        <v/>
      </c>
      <c r="N858" s="53" t="str">
        <f>IF(VLOOKUP($A858,DICO_Complet!$A$3:$U$983,15,FALSE)=0,"",VLOOKUP($A858,DICO_Complet!$A$3:$U$983,15,FALSE))</f>
        <v/>
      </c>
      <c r="O858" s="53" t="str">
        <f>IF(VLOOKUP($A858,DICO_Complet!$A$3:$U$983,16,FALSE)=0,"",VLOOKUP($A858,DICO_Complet!$A$3:$U$983,16,FALSE))</f>
        <v/>
      </c>
      <c r="P858" s="53" t="str">
        <f>IF(VLOOKUP($A858,DICO_Complet!$A$3:$U$983,17,FALSE)=0,"",VLOOKUP($A858,DICO_Complet!$A$3:$U$983,17,FALSE))</f>
        <v/>
      </c>
      <c r="Q858" s="53" t="str">
        <f>IF(VLOOKUP($A858,DICO_Complet!$A$3:$U$983,18,FALSE)=0,"",VLOOKUP($A858,DICO_Complet!$A$3:$U$983,18,FALSE))</f>
        <v>LIBCCT</v>
      </c>
    </row>
    <row r="859" spans="1:17">
      <c r="A859" s="38">
        <v>250425201004</v>
      </c>
      <c r="B859" s="47" t="s">
        <v>858</v>
      </c>
      <c r="C859" s="3" t="str">
        <f>VLOOKUP($A859,DICO_Complet!$A$3:$U$983,3,FALSE)</f>
        <v>Transaction</v>
      </c>
      <c r="D859" s="3" t="str">
        <f>VLOOKUP($A859,DICO_Complet!$A$3:$U$983,4,FALSE)</f>
        <v>transactionDetails</v>
      </c>
      <c r="E859" s="2" t="str">
        <f>VLOOKUP($A859,DICO_Complet!$A$3:$U$983,5,FALSE)</f>
        <v>temp_minimumAcceptedAmount</v>
      </c>
      <c r="F859" s="2" t="str">
        <f>VLOOKUP($A859,DICO_Complet!$A$3:$U$983,6,FALSE)</f>
        <v>Exact12AlphaNumericText</v>
      </c>
      <c r="G859" s="48">
        <f>VLOOKUP($A859,DICO_Complet!$A$3:$U$983,7,FALSE)</f>
        <v>0</v>
      </c>
      <c r="H859" s="48">
        <f>VLOOKUP($A859,DICO_Complet!$A$3:$U$983,8,FALSE)</f>
        <v>0</v>
      </c>
      <c r="I859" s="2" t="str">
        <f>IF(VLOOKUP($A859,DICO_Complet!$A$3:$U$983,9,FALSE)&lt;&gt;0,VLOOKUP($A859,DICO_Complet!$A$3:$U$983,9,FALSE),"")</f>
        <v/>
      </c>
      <c r="J859" s="1" t="str">
        <f>VLOOKUP($A859,DICO_Complet!$A$3:$U$983,10,FALSE)</f>
        <v>minimum accepted amount for a transaction</v>
      </c>
      <c r="K859" s="53" t="str">
        <f>IF(VLOOKUP($A859,DICO_Complet!$A$3:$U$983,12,FALSE)=0,"",VLOOKUP($A859,DICO_Complet!$A$3:$U$983,12,FALSE))</f>
        <v/>
      </c>
      <c r="L859" s="53" t="str">
        <f>IF(VLOOKUP($A859,DICO_Complet!$A$3:$U$983,13,FALSE)=0,"",VLOOKUP($A859,DICO_Complet!$A$3:$U$983,13,FALSE))</f>
        <v/>
      </c>
      <c r="M859" s="53" t="str">
        <f>IF(VLOOKUP($A859,DICO_Complet!$A$3:$U$983,14,FALSE)=0,"",VLOOKUP($A859,DICO_Complet!$A$3:$U$983,14,FALSE))</f>
        <v>72_DF2A</v>
      </c>
      <c r="N859" s="53" t="str">
        <f>IF(VLOOKUP($A859,DICO_Complet!$A$3:$U$983,15,FALSE)=0,"",VLOOKUP($A859,DICO_Complet!$A$3:$U$983,15,FALSE))</f>
        <v/>
      </c>
      <c r="O859" s="53" t="str">
        <f>IF(VLOOKUP($A859,DICO_Complet!$A$3:$U$983,16,FALSE)=0,"",VLOOKUP($A859,DICO_Complet!$A$3:$U$983,16,FALSE))</f>
        <v/>
      </c>
      <c r="P859" s="53" t="str">
        <f>IF(VLOOKUP($A859,DICO_Complet!$A$3:$U$983,17,FALSE)=0,"",VLOOKUP($A859,DICO_Complet!$A$3:$U$983,17,FALSE))</f>
        <v/>
      </c>
      <c r="Q859" s="53" t="str">
        <f>IF(VLOOKUP($A859,DICO_Complet!$A$3:$U$983,18,FALSE)=0,"",VLOOKUP($A859,DICO_Complet!$A$3:$U$983,18,FALSE))</f>
        <v/>
      </c>
    </row>
    <row r="860" spans="1:17">
      <c r="A860" s="38">
        <v>250423093003</v>
      </c>
      <c r="B860" s="47" t="s">
        <v>858</v>
      </c>
      <c r="C860" s="3" t="str">
        <f>VLOOKUP($A860,DICO_Complet!$A$3:$U$983,3,FALSE)</f>
        <v>Transaction</v>
      </c>
      <c r="D860" s="3" t="str">
        <f>VLOOKUP($A860,DICO_Complet!$A$3:$U$983,4,FALSE)</f>
        <v>transactionDetails</v>
      </c>
      <c r="E860" s="2" t="str">
        <f>VLOOKUP($A860,DICO_Complet!$A$3:$U$983,5,FALSE)</f>
        <v>temp_minimumValueOfCommercialService</v>
      </c>
      <c r="F860" s="2" t="str">
        <f>VLOOKUP($A860,DICO_Complet!$A$3:$U$983,6,FALSE)</f>
        <v>Exact12AlphaNumericText</v>
      </c>
      <c r="G860" s="48">
        <f>VLOOKUP($A860,DICO_Complet!$A$3:$U$983,7,FALSE)</f>
        <v>0</v>
      </c>
      <c r="H860" s="48">
        <f>VLOOKUP($A860,DICO_Complet!$A$3:$U$983,8,FALSE)</f>
        <v>0</v>
      </c>
      <c r="I860" s="2" t="str">
        <f>IF(VLOOKUP($A860,DICO_Complet!$A$3:$U$983,9,FALSE)&lt;&gt;0,VLOOKUP($A860,DICO_Complet!$A$3:$U$983,9,FALSE),"")</f>
        <v/>
      </c>
      <c r="J860" s="1" t="str">
        <f>VLOOKUP($A860,DICO_Complet!$A$3:$U$983,10,FALSE)</f>
        <v>Minimum value, of commercial service</v>
      </c>
      <c r="K860" s="53" t="str">
        <f>IF(VLOOKUP($A860,DICO_Complet!$A$3:$U$983,12,FALSE)=0,"",VLOOKUP($A860,DICO_Complet!$A$3:$U$983,12,FALSE))</f>
        <v/>
      </c>
      <c r="L860" s="53" t="str">
        <f>IF(VLOOKUP($A860,DICO_Complet!$A$3:$U$983,13,FALSE)=0,"",VLOOKUP($A860,DICO_Complet!$A$3:$U$983,13,FALSE))</f>
        <v/>
      </c>
      <c r="M860" s="53" t="str">
        <f>IF(VLOOKUP($A860,DICO_Complet!$A$3:$U$983,14,FALSE)=0,"",VLOOKUP($A860,DICO_Complet!$A$3:$U$983,14,FALSE))</f>
        <v>72_DF0C</v>
      </c>
      <c r="N860" s="53" t="str">
        <f>IF(VLOOKUP($A860,DICO_Complet!$A$3:$U$983,15,FALSE)=0,"",VLOOKUP($A860,DICO_Complet!$A$3:$U$983,15,FALSE))</f>
        <v/>
      </c>
      <c r="O860" s="53" t="str">
        <f>IF(VLOOKUP($A860,DICO_Complet!$A$3:$U$983,16,FALSE)=0,"",VLOOKUP($A860,DICO_Complet!$A$3:$U$983,16,FALSE))</f>
        <v/>
      </c>
      <c r="P860" s="53" t="str">
        <f>IF(VLOOKUP($A860,DICO_Complet!$A$3:$U$983,17,FALSE)=0,"",VLOOKUP($A860,DICO_Complet!$A$3:$U$983,17,FALSE))</f>
        <v/>
      </c>
      <c r="Q860" s="53" t="str">
        <f>IF(VLOOKUP($A860,DICO_Complet!$A$3:$U$983,18,FALSE)=0,"",VLOOKUP($A860,DICO_Complet!$A$3:$U$983,18,FALSE))</f>
        <v/>
      </c>
    </row>
    <row r="861" spans="1:17">
      <c r="A861" s="38">
        <v>250425200806</v>
      </c>
      <c r="B861" s="47" t="s">
        <v>858</v>
      </c>
      <c r="C861" s="3" t="str">
        <f>VLOOKUP($A861,DICO_Complet!$A$3:$U$983,3,FALSE)</f>
        <v>Transaction</v>
      </c>
      <c r="D861" s="3" t="str">
        <f>VLOOKUP($A861,DICO_Complet!$A$3:$U$983,4,FALSE)</f>
        <v>transactionDetails</v>
      </c>
      <c r="E861" s="2" t="str">
        <f>VLOOKUP($A861,DICO_Complet!$A$3:$U$983,5,FALSE)</f>
        <v>temp_pANInExceptionFile</v>
      </c>
      <c r="F861" s="2" t="str">
        <f>VLOOKUP($A861,DICO_Complet!$A$3:$U$983,6,FALSE)</f>
        <v>Min1Max19NumericText</v>
      </c>
      <c r="G861" s="48">
        <f>VLOOKUP($A861,DICO_Complet!$A$3:$U$983,7,FALSE)</f>
        <v>0</v>
      </c>
      <c r="H861" s="48">
        <f>VLOOKUP($A861,DICO_Complet!$A$3:$U$983,8,FALSE)</f>
        <v>0</v>
      </c>
      <c r="I861" s="2" t="str">
        <f>IF(VLOOKUP($A861,DICO_Complet!$A$3:$U$983,9,FALSE)&lt;&gt;0,VLOOKUP($A861,DICO_Complet!$A$3:$U$983,9,FALSE),"")</f>
        <v/>
      </c>
      <c r="J861" s="1" t="str">
        <f>VLOOKUP($A861,DICO_Complet!$A$3:$U$983,10,FALSE)</f>
        <v>PAN in exception file</v>
      </c>
      <c r="K861" s="53" t="str">
        <f>IF(VLOOKUP($A861,DICO_Complet!$A$3:$U$983,12,FALSE)=0,"",VLOOKUP($A861,DICO_Complet!$A$3:$U$983,12,FALSE))</f>
        <v/>
      </c>
      <c r="L861" s="53" t="str">
        <f>IF(VLOOKUP($A861,DICO_Complet!$A$3:$U$983,13,FALSE)=0,"",VLOOKUP($A861,DICO_Complet!$A$3:$U$983,13,FALSE))</f>
        <v/>
      </c>
      <c r="M861" s="53" t="str">
        <f>IF(VLOOKUP($A861,DICO_Complet!$A$3:$U$983,14,FALSE)=0,"",VLOOKUP($A861,DICO_Complet!$A$3:$U$983,14,FALSE))</f>
        <v>72_DF1D part 2</v>
      </c>
      <c r="N861" s="53" t="str">
        <f>IF(VLOOKUP($A861,DICO_Complet!$A$3:$U$983,15,FALSE)=0,"",VLOOKUP($A861,DICO_Complet!$A$3:$U$983,15,FALSE))</f>
        <v/>
      </c>
      <c r="O861" s="53" t="str">
        <f>IF(VLOOKUP($A861,DICO_Complet!$A$3:$U$983,16,FALSE)=0,"",VLOOKUP($A861,DICO_Complet!$A$3:$U$983,16,FALSE))</f>
        <v/>
      </c>
      <c r="P861" s="53" t="str">
        <f>IF(VLOOKUP($A861,DICO_Complet!$A$3:$U$983,17,FALSE)=0,"",VLOOKUP($A861,DICO_Complet!$A$3:$U$983,17,FALSE))</f>
        <v/>
      </c>
      <c r="Q861" s="53" t="str">
        <f>IF(VLOOKUP($A861,DICO_Complet!$A$3:$U$983,18,FALSE)=0,"",VLOOKUP($A861,DICO_Complet!$A$3:$U$983,18,FALSE))</f>
        <v/>
      </c>
    </row>
    <row r="862" spans="1:17">
      <c r="A862" s="38">
        <v>250425200805</v>
      </c>
      <c r="B862" s="47" t="s">
        <v>858</v>
      </c>
      <c r="C862" s="3" t="str">
        <f>VLOOKUP($A862,DICO_Complet!$A$3:$U$983,3,FALSE)</f>
        <v>Transaction</v>
      </c>
      <c r="D862" s="3" t="str">
        <f>VLOOKUP($A862,DICO_Complet!$A$3:$U$983,4,FALSE)</f>
        <v>transactionDetails</v>
      </c>
      <c r="E862" s="2" t="str">
        <f>VLOOKUP($A862,DICO_Complet!$A$3:$U$983,5,FALSE)</f>
        <v>temp_pANLengthInExceptionFile</v>
      </c>
      <c r="F862" s="2" t="str">
        <f>VLOOKUP($A862,DICO_Complet!$A$3:$U$983,6,FALSE)</f>
        <v>Exact2NumericText</v>
      </c>
      <c r="G862" s="48">
        <f>VLOOKUP($A862,DICO_Complet!$A$3:$U$983,7,FALSE)</f>
        <v>0</v>
      </c>
      <c r="H862" s="48">
        <f>VLOOKUP($A862,DICO_Complet!$A$3:$U$983,8,FALSE)</f>
        <v>0</v>
      </c>
      <c r="I862" s="2" t="str">
        <f>IF(VLOOKUP($A862,DICO_Complet!$A$3:$U$983,9,FALSE)&lt;&gt;0,VLOOKUP($A862,DICO_Complet!$A$3:$U$983,9,FALSE),"")</f>
        <v/>
      </c>
      <c r="J862" s="1" t="str">
        <f>VLOOKUP($A862,DICO_Complet!$A$3:$U$983,10,FALSE)</f>
        <v>PAN length in exception file</v>
      </c>
      <c r="K862" s="53" t="str">
        <f>IF(VLOOKUP($A862,DICO_Complet!$A$3:$U$983,12,FALSE)=0,"",VLOOKUP($A862,DICO_Complet!$A$3:$U$983,12,FALSE))</f>
        <v/>
      </c>
      <c r="L862" s="53" t="str">
        <f>IF(VLOOKUP($A862,DICO_Complet!$A$3:$U$983,13,FALSE)=0,"",VLOOKUP($A862,DICO_Complet!$A$3:$U$983,13,FALSE))</f>
        <v/>
      </c>
      <c r="M862" s="53" t="str">
        <f>IF(VLOOKUP($A862,DICO_Complet!$A$3:$U$983,14,FALSE)=0,"",VLOOKUP($A862,DICO_Complet!$A$3:$U$983,14,FALSE))</f>
        <v>72_DF1D part 1</v>
      </c>
      <c r="N862" s="53" t="str">
        <f>IF(VLOOKUP($A862,DICO_Complet!$A$3:$U$983,15,FALSE)=0,"",VLOOKUP($A862,DICO_Complet!$A$3:$U$983,15,FALSE))</f>
        <v/>
      </c>
      <c r="O862" s="53" t="str">
        <f>IF(VLOOKUP($A862,DICO_Complet!$A$3:$U$983,16,FALSE)=0,"",VLOOKUP($A862,DICO_Complet!$A$3:$U$983,16,FALSE))</f>
        <v/>
      </c>
      <c r="P862" s="53" t="str">
        <f>IF(VLOOKUP($A862,DICO_Complet!$A$3:$U$983,17,FALSE)=0,"",VLOOKUP($A862,DICO_Complet!$A$3:$U$983,17,FALSE))</f>
        <v/>
      </c>
      <c r="Q862" s="53" t="str">
        <f>IF(VLOOKUP($A862,DICO_Complet!$A$3:$U$983,18,FALSE)=0,"",VLOOKUP($A862,DICO_Complet!$A$3:$U$983,18,FALSE))</f>
        <v/>
      </c>
    </row>
    <row r="863" spans="1:17">
      <c r="A863" s="38">
        <v>250423104501</v>
      </c>
      <c r="B863" s="47" t="s">
        <v>858</v>
      </c>
      <c r="C863" s="3" t="str">
        <f>VLOOKUP($A863,DICO_Complet!$A$3:$U$983,3,FALSE)</f>
        <v>Transaction</v>
      </c>
      <c r="D863" s="3" t="str">
        <f>VLOOKUP($A863,DICO_Complet!$A$3:$U$983,4,FALSE)</f>
        <v>transactionDetails</v>
      </c>
      <c r="E863" s="2" t="str">
        <f>VLOOKUP($A863,DICO_Complet!$A$3:$U$983,5,FALSE)</f>
        <v>temp_priorityLevel</v>
      </c>
      <c r="F863" s="2" t="str">
        <f>VLOOKUP($A863,DICO_Complet!$A$3:$U$983,6,FALSE)</f>
        <v>Exact1HexBinaryText</v>
      </c>
      <c r="G863" s="48">
        <f>VLOOKUP($A863,DICO_Complet!$A$3:$U$983,7,FALSE)</f>
        <v>0</v>
      </c>
      <c r="H863" s="48">
        <f>VLOOKUP($A863,DICO_Complet!$A$3:$U$983,8,FALSE)</f>
        <v>0</v>
      </c>
      <c r="I863" s="2" t="str">
        <f>IF(VLOOKUP($A863,DICO_Complet!$A$3:$U$983,9,FALSE)&lt;&gt;0,VLOOKUP($A863,DICO_Complet!$A$3:$U$983,9,FALSE),"")</f>
        <v/>
      </c>
      <c r="J863" s="1" t="str">
        <f>VLOOKUP($A863,DICO_Complet!$A$3:$U$983,10,FALSE)</f>
        <v>Priority level</v>
      </c>
      <c r="K863" s="53" t="str">
        <f>IF(VLOOKUP($A863,DICO_Complet!$A$3:$U$983,12,FALSE)=0,"",VLOOKUP($A863,DICO_Complet!$A$3:$U$983,12,FALSE))</f>
        <v/>
      </c>
      <c r="L863" s="53" t="str">
        <f>IF(VLOOKUP($A863,DICO_Complet!$A$3:$U$983,13,FALSE)=0,"",VLOOKUP($A863,DICO_Complet!$A$3:$U$983,13,FALSE))</f>
        <v/>
      </c>
      <c r="M863" s="53" t="str">
        <f>IF(VLOOKUP($A863,DICO_Complet!$A$3:$U$983,14,FALSE)=0,"",VLOOKUP($A863,DICO_Complet!$A$3:$U$983,14,FALSE))</f>
        <v>72_DF17</v>
      </c>
      <c r="N863" s="53" t="str">
        <f>IF(VLOOKUP($A863,DICO_Complet!$A$3:$U$983,15,FALSE)=0,"",VLOOKUP($A863,DICO_Complet!$A$3:$U$983,15,FALSE))</f>
        <v/>
      </c>
      <c r="O863" s="53" t="str">
        <f>IF(VLOOKUP($A863,DICO_Complet!$A$3:$U$983,16,FALSE)=0,"",VLOOKUP($A863,DICO_Complet!$A$3:$U$983,16,FALSE))</f>
        <v/>
      </c>
      <c r="P863" s="53" t="str">
        <f>IF(VLOOKUP($A863,DICO_Complet!$A$3:$U$983,17,FALSE)=0,"",VLOOKUP($A863,DICO_Complet!$A$3:$U$983,17,FALSE))</f>
        <v/>
      </c>
      <c r="Q863" s="53" t="str">
        <f>IF(VLOOKUP($A863,DICO_Complet!$A$3:$U$983,18,FALSE)=0,"",VLOOKUP($A863,DICO_Complet!$A$3:$U$983,18,FALSE))</f>
        <v/>
      </c>
    </row>
    <row r="864" spans="1:17">
      <c r="A864" s="38">
        <v>250418220173</v>
      </c>
      <c r="B864" s="47" t="s">
        <v>858</v>
      </c>
      <c r="C864" s="3" t="str">
        <f>VLOOKUP($A864,DICO_Complet!$A$3:$U$983,3,FALSE)</f>
        <v>Transaction</v>
      </c>
      <c r="D864" s="3" t="str">
        <f>VLOOKUP($A864,DICO_Complet!$A$3:$U$983,4,FALSE)</f>
        <v>transactionDetails</v>
      </c>
      <c r="E864" s="2" t="str">
        <f>VLOOKUP($A864,DICO_Complet!$A$3:$U$983,5,FALSE)</f>
        <v>temp_reissuedTransactionIndicator</v>
      </c>
      <c r="F864" s="2" t="str">
        <f>VLOOKUP($A864,DICO_Complet!$A$3:$U$983,6,FALSE)</f>
        <v>TrueFalseIndicator</v>
      </c>
      <c r="G864" s="48">
        <f>VLOOKUP($A864,DICO_Complet!$A$3:$U$983,7,FALSE)</f>
        <v>0</v>
      </c>
      <c r="H864" s="48">
        <f>VLOOKUP($A864,DICO_Complet!$A$3:$U$983,8,FALSE)</f>
        <v>0</v>
      </c>
      <c r="I864" s="2" t="str">
        <f>IF(VLOOKUP($A864,DICO_Complet!$A$3:$U$983,9,FALSE)&lt;&gt;0,VLOOKUP($A864,DICO_Complet!$A$3:$U$983,9,FALSE),"")</f>
        <v/>
      </c>
      <c r="J864" s="1" t="str">
        <f>VLOOKUP($A864,DICO_Complet!$A$3:$U$983,10,FALSE)</f>
        <v>Indcateur reemission transaction</v>
      </c>
      <c r="K864" s="53" t="str">
        <f>IF(VLOOKUP($A864,DICO_Complet!$A$3:$U$983,12,FALSE)=0,"",VLOOKUP($A864,DICO_Complet!$A$3:$U$983,12,FALSE))</f>
        <v/>
      </c>
      <c r="L864" s="53" t="str">
        <f>IF(VLOOKUP($A864,DICO_Complet!$A$3:$U$983,13,FALSE)=0,"",VLOOKUP($A864,DICO_Complet!$A$3:$U$983,13,FALSE))</f>
        <v/>
      </c>
      <c r="M864" s="53" t="str">
        <f>IF(VLOOKUP($A864,DICO_Complet!$A$3:$U$983,14,FALSE)=0,"",VLOOKUP($A864,DICO_Complet!$A$3:$U$983,14,FALSE))</f>
        <v/>
      </c>
      <c r="N864" s="53" t="str">
        <f>IF(VLOOKUP($A864,DICO_Complet!$A$3:$U$983,15,FALSE)=0,"",VLOOKUP($A864,DICO_Complet!$A$3:$U$983,15,FALSE))</f>
        <v/>
      </c>
      <c r="O864" s="53" t="str">
        <f>IF(VLOOKUP($A864,DICO_Complet!$A$3:$U$983,16,FALSE)=0,"",VLOOKUP($A864,DICO_Complet!$A$3:$U$983,16,FALSE))</f>
        <v/>
      </c>
      <c r="P864" s="53" t="str">
        <f>IF(VLOOKUP($A864,DICO_Complet!$A$3:$U$983,17,FALSE)=0,"",VLOOKUP($A864,DICO_Complet!$A$3:$U$983,17,FALSE))</f>
        <v/>
      </c>
      <c r="Q864" s="53" t="str">
        <f>IF(VLOOKUP($A864,DICO_Complet!$A$3:$U$983,18,FALSE)=0,"",VLOOKUP($A864,DICO_Complet!$A$3:$U$983,18,FALSE))</f>
        <v/>
      </c>
    </row>
    <row r="865" spans="1:17">
      <c r="A865" s="38">
        <v>250418220174</v>
      </c>
      <c r="B865" s="47" t="s">
        <v>858</v>
      </c>
      <c r="C865" s="3" t="str">
        <f>VLOOKUP($A865,DICO_Complet!$A$3:$U$983,3,FALSE)</f>
        <v>Transaction</v>
      </c>
      <c r="D865" s="3" t="str">
        <f>VLOOKUP($A865,DICO_Complet!$A$3:$U$983,4,FALSE)</f>
        <v>transactionDetails</v>
      </c>
      <c r="E865" s="2" t="str">
        <f>VLOOKUP($A865,DICO_Complet!$A$3:$U$983,5,FALSE)</f>
        <v>temp_rejectionDateTime</v>
      </c>
      <c r="F865" s="2" t="str">
        <f>VLOOKUP($A865,DICO_Complet!$A$3:$U$983,6,FALSE)</f>
        <v>ISODateTime</v>
      </c>
      <c r="G865" s="48">
        <f>VLOOKUP($A865,DICO_Complet!$A$3:$U$983,7,FALSE)</f>
        <v>0</v>
      </c>
      <c r="H865" s="48">
        <f>VLOOKUP($A865,DICO_Complet!$A$3:$U$983,8,FALSE)</f>
        <v>0</v>
      </c>
      <c r="I865" s="2" t="str">
        <f>IF(VLOOKUP($A865,DICO_Complet!$A$3:$U$983,9,FALSE)&lt;&gt;0,VLOOKUP($A865,DICO_Complet!$A$3:$U$983,9,FALSE),"")</f>
        <v/>
      </c>
      <c r="J865" s="1" t="str">
        <f>VLOOKUP($A865,DICO_Complet!$A$3:$U$983,10,FALSE)</f>
        <v>Date creation operation en suspens</v>
      </c>
      <c r="K865" s="53" t="str">
        <f>IF(VLOOKUP($A865,DICO_Complet!$A$3:$U$983,12,FALSE)=0,"",VLOOKUP($A865,DICO_Complet!$A$3:$U$983,12,FALSE))</f>
        <v/>
      </c>
      <c r="L865" s="53" t="str">
        <f>IF(VLOOKUP($A865,DICO_Complet!$A$3:$U$983,13,FALSE)=0,"",VLOOKUP($A865,DICO_Complet!$A$3:$U$983,13,FALSE))</f>
        <v/>
      </c>
      <c r="M865" s="53" t="str">
        <f>IF(VLOOKUP($A865,DICO_Complet!$A$3:$U$983,14,FALSE)=0,"",VLOOKUP($A865,DICO_Complet!$A$3:$U$983,14,FALSE))</f>
        <v/>
      </c>
      <c r="N865" s="53" t="str">
        <f>IF(VLOOKUP($A865,DICO_Complet!$A$3:$U$983,15,FALSE)=0,"",VLOOKUP($A865,DICO_Complet!$A$3:$U$983,15,FALSE))</f>
        <v/>
      </c>
      <c r="O865" s="53" t="str">
        <f>IF(VLOOKUP($A865,DICO_Complet!$A$3:$U$983,16,FALSE)=0,"",VLOOKUP($A865,DICO_Complet!$A$3:$U$983,16,FALSE))</f>
        <v/>
      </c>
      <c r="P865" s="53" t="str">
        <f>IF(VLOOKUP($A865,DICO_Complet!$A$3:$U$983,17,FALSE)=0,"",VLOOKUP($A865,DICO_Complet!$A$3:$U$983,17,FALSE))</f>
        <v/>
      </c>
      <c r="Q865" s="53" t="str">
        <f>IF(VLOOKUP($A865,DICO_Complet!$A$3:$U$983,18,FALSE)=0,"",VLOOKUP($A865,DICO_Complet!$A$3:$U$983,18,FALSE))</f>
        <v>DMSTUT</v>
      </c>
    </row>
    <row r="866" spans="1:17">
      <c r="A866" s="38">
        <v>250418220175</v>
      </c>
      <c r="B866" s="47" t="s">
        <v>858</v>
      </c>
      <c r="C866" s="3" t="str">
        <f>VLOOKUP($A866,DICO_Complet!$A$3:$U$983,3,FALSE)</f>
        <v>Transaction</v>
      </c>
      <c r="D866" s="3" t="str">
        <f>VLOOKUP($A866,DICO_Complet!$A$3:$U$983,4,FALSE)</f>
        <v>transactionDetails</v>
      </c>
      <c r="E866" s="2" t="str">
        <f>VLOOKUP($A866,DICO_Complet!$A$3:$U$983,5,FALSE)</f>
        <v>temp_rejectionNature</v>
      </c>
      <c r="F866" s="2" t="str">
        <f>VLOOKUP($A866,DICO_Complet!$A$3:$U$983,6,FALSE)</f>
        <v>temp_rejectionNatureCodeset</v>
      </c>
      <c r="G866" s="48">
        <f>VLOOKUP($A866,DICO_Complet!$A$3:$U$983,7,FALSE)</f>
        <v>0</v>
      </c>
      <c r="H866" s="48">
        <f>VLOOKUP($A866,DICO_Complet!$A$3:$U$983,8,FALSE)</f>
        <v>0</v>
      </c>
      <c r="I866" s="2" t="str">
        <f>IF(VLOOKUP($A866,DICO_Complet!$A$3:$U$983,9,FALSE)&lt;&gt;0,VLOOKUP($A866,DICO_Complet!$A$3:$U$983,9,FALSE),"")</f>
        <v/>
      </c>
      <c r="J866" s="1" t="str">
        <f>VLOOKUP($A866,DICO_Complet!$A$3:$U$983,10,FALSE)</f>
        <v>Top rejet remise</v>
      </c>
      <c r="K866" s="53" t="str">
        <f>IF(VLOOKUP($A866,DICO_Complet!$A$3:$U$983,12,FALSE)=0,"",VLOOKUP($A866,DICO_Complet!$A$3:$U$983,12,FALSE))</f>
        <v/>
      </c>
      <c r="L866" s="53" t="str">
        <f>IF(VLOOKUP($A866,DICO_Complet!$A$3:$U$983,13,FALSE)=0,"",VLOOKUP($A866,DICO_Complet!$A$3:$U$983,13,FALSE))</f>
        <v/>
      </c>
      <c r="M866" s="53" t="str">
        <f>IF(VLOOKUP($A866,DICO_Complet!$A$3:$U$983,14,FALSE)=0,"",VLOOKUP($A866,DICO_Complet!$A$3:$U$983,14,FALSE))</f>
        <v/>
      </c>
      <c r="N866" s="53" t="str">
        <f>IF(VLOOKUP($A866,DICO_Complet!$A$3:$U$983,15,FALSE)=0,"",VLOOKUP($A866,DICO_Complet!$A$3:$U$983,15,FALSE))</f>
        <v/>
      </c>
      <c r="O866" s="53" t="str">
        <f>IF(VLOOKUP($A866,DICO_Complet!$A$3:$U$983,16,FALSE)=0,"",VLOOKUP($A866,DICO_Complet!$A$3:$U$983,16,FALSE))</f>
        <v/>
      </c>
      <c r="P866" s="53" t="str">
        <f>IF(VLOOKUP($A866,DICO_Complet!$A$3:$U$983,17,FALSE)=0,"",VLOOKUP($A866,DICO_Complet!$A$3:$U$983,17,FALSE))</f>
        <v/>
      </c>
      <c r="Q866" s="53" t="str">
        <f>IF(VLOOKUP($A866,DICO_Complet!$A$3:$U$983,18,FALSE)=0,"",VLOOKUP($A866,DICO_Complet!$A$3:$U$983,18,FALSE))</f>
        <v>CEREJR</v>
      </c>
    </row>
    <row r="867" spans="1:17">
      <c r="A867" s="38">
        <v>250418220176</v>
      </c>
      <c r="B867" s="47" t="s">
        <v>858</v>
      </c>
      <c r="C867" s="3" t="str">
        <f>VLOOKUP($A867,DICO_Complet!$A$3:$U$983,3,FALSE)</f>
        <v>Transaction</v>
      </c>
      <c r="D867" s="3" t="str">
        <f>VLOOKUP($A867,DICO_Complet!$A$3:$U$983,4,FALSE)</f>
        <v>transactionDetails</v>
      </c>
      <c r="E867" s="2" t="str">
        <f>VLOOKUP($A867,DICO_Complet!$A$3:$U$983,5,FALSE)</f>
        <v>temp_rejectionReasonCode</v>
      </c>
      <c r="F867" s="2" t="str">
        <f>VLOOKUP($A867,DICO_Complet!$A$3:$U$983,6,FALSE)</f>
        <v>Exact3Text</v>
      </c>
      <c r="G867" s="48">
        <f>VLOOKUP($A867,DICO_Complet!$A$3:$U$983,7,FALSE)</f>
        <v>0</v>
      </c>
      <c r="H867" s="48">
        <f>VLOOKUP($A867,DICO_Complet!$A$3:$U$983,8,FALSE)</f>
        <v>0</v>
      </c>
      <c r="I867" s="2" t="str">
        <f>IF(VLOOKUP($A867,DICO_Complet!$A$3:$U$983,9,FALSE)&lt;&gt;0,VLOOKUP($A867,DICO_Complet!$A$3:$U$983,9,FALSE),"")</f>
        <v/>
      </c>
      <c r="J867" s="1" t="str">
        <f>VLOOKUP($A867,DICO_Complet!$A$3:$U$983,10,FALSE)</f>
        <v>Code motif de rejet precompensation</v>
      </c>
      <c r="K867" s="53" t="str">
        <f>IF(VLOOKUP($A867,DICO_Complet!$A$3:$U$983,12,FALSE)=0,"",VLOOKUP($A867,DICO_Complet!$A$3:$U$983,12,FALSE))</f>
        <v/>
      </c>
      <c r="L867" s="53" t="str">
        <f>IF(VLOOKUP($A867,DICO_Complet!$A$3:$U$983,13,FALSE)=0,"",VLOOKUP($A867,DICO_Complet!$A$3:$U$983,13,FALSE))</f>
        <v/>
      </c>
      <c r="M867" s="53" t="str">
        <f>IF(VLOOKUP($A867,DICO_Complet!$A$3:$U$983,14,FALSE)=0,"",VLOOKUP($A867,DICO_Complet!$A$3:$U$983,14,FALSE))</f>
        <v/>
      </c>
      <c r="N867" s="53" t="str">
        <f>IF(VLOOKUP($A867,DICO_Complet!$A$3:$U$983,15,FALSE)=0,"",VLOOKUP($A867,DICO_Complet!$A$3:$U$983,15,FALSE))</f>
        <v/>
      </c>
      <c r="O867" s="53" t="str">
        <f>IF(VLOOKUP($A867,DICO_Complet!$A$3:$U$983,16,FALSE)=0,"",VLOOKUP($A867,DICO_Complet!$A$3:$U$983,16,FALSE))</f>
        <v/>
      </c>
      <c r="P867" s="53" t="str">
        <f>IF(VLOOKUP($A867,DICO_Complet!$A$3:$U$983,17,FALSE)=0,"",VLOOKUP($A867,DICO_Complet!$A$3:$U$983,17,FALSE))</f>
        <v/>
      </c>
      <c r="Q867" s="53" t="str">
        <f>IF(VLOOKUP($A867,DICO_Complet!$A$3:$U$983,18,FALSE)=0,"",VLOOKUP($A867,DICO_Complet!$A$3:$U$983,18,FALSE))</f>
        <v>COMRJ1</v>
      </c>
    </row>
    <row r="868" spans="1:17">
      <c r="A868" s="38">
        <v>250418220177</v>
      </c>
      <c r="B868" s="47" t="s">
        <v>858</v>
      </c>
      <c r="C868" s="3" t="str">
        <f>VLOOKUP($A868,DICO_Complet!$A$3:$U$983,3,FALSE)</f>
        <v>Transaction</v>
      </c>
      <c r="D868" s="3" t="str">
        <f>VLOOKUP($A868,DICO_Complet!$A$3:$U$983,4,FALSE)</f>
        <v>transactionDetails</v>
      </c>
      <c r="E868" s="2" t="str">
        <f>VLOOKUP($A868,DICO_Complet!$A$3:$U$983,5,FALSE)</f>
        <v>temp_rejectionReasonLabel</v>
      </c>
      <c r="F868" s="2" t="str">
        <f>VLOOKUP($A868,DICO_Complet!$A$3:$U$983,6,FALSE)</f>
        <v>Max50Text</v>
      </c>
      <c r="G868" s="48">
        <f>VLOOKUP($A868,DICO_Complet!$A$3:$U$983,7,FALSE)</f>
        <v>0</v>
      </c>
      <c r="H868" s="48">
        <f>VLOOKUP($A868,DICO_Complet!$A$3:$U$983,8,FALSE)</f>
        <v>0</v>
      </c>
      <c r="I868" s="2" t="str">
        <f>IF(VLOOKUP($A868,DICO_Complet!$A$3:$U$983,9,FALSE)&lt;&gt;0,VLOOKUP($A868,DICO_Complet!$A$3:$U$983,9,FALSE),"")</f>
        <v/>
      </c>
      <c r="J868" s="1" t="str">
        <f>VLOOKUP($A868,DICO_Complet!$A$3:$U$983,10,FALSE)</f>
        <v>Libelle motif rejet precompensation</v>
      </c>
      <c r="K868" s="53" t="str">
        <f>IF(VLOOKUP($A868,DICO_Complet!$A$3:$U$983,12,FALSE)=0,"",VLOOKUP($A868,DICO_Complet!$A$3:$U$983,12,FALSE))</f>
        <v/>
      </c>
      <c r="L868" s="53" t="str">
        <f>IF(VLOOKUP($A868,DICO_Complet!$A$3:$U$983,13,FALSE)=0,"",VLOOKUP($A868,DICO_Complet!$A$3:$U$983,13,FALSE))</f>
        <v/>
      </c>
      <c r="M868" s="53" t="str">
        <f>IF(VLOOKUP($A868,DICO_Complet!$A$3:$U$983,14,FALSE)=0,"",VLOOKUP($A868,DICO_Complet!$A$3:$U$983,14,FALSE))</f>
        <v/>
      </c>
      <c r="N868" s="53" t="str">
        <f>IF(VLOOKUP($A868,DICO_Complet!$A$3:$U$983,15,FALSE)=0,"",VLOOKUP($A868,DICO_Complet!$A$3:$U$983,15,FALSE))</f>
        <v/>
      </c>
      <c r="O868" s="53" t="str">
        <f>IF(VLOOKUP($A868,DICO_Complet!$A$3:$U$983,16,FALSE)=0,"",VLOOKUP($A868,DICO_Complet!$A$3:$U$983,16,FALSE))</f>
        <v/>
      </c>
      <c r="P868" s="53" t="str">
        <f>IF(VLOOKUP($A868,DICO_Complet!$A$3:$U$983,17,FALSE)=0,"",VLOOKUP($A868,DICO_Complet!$A$3:$U$983,17,FALSE))</f>
        <v/>
      </c>
      <c r="Q868" s="53" t="str">
        <f>IF(VLOOKUP($A868,DICO_Complet!$A$3:$U$983,18,FALSE)=0,"",VLOOKUP($A868,DICO_Complet!$A$3:$U$983,18,FALSE))</f>
        <v>LIMRPC</v>
      </c>
    </row>
    <row r="869" spans="1:17">
      <c r="A869" s="38">
        <v>250418220178</v>
      </c>
      <c r="B869" s="47" t="s">
        <v>858</v>
      </c>
      <c r="C869" s="3" t="str">
        <f>VLOOKUP($A869,DICO_Complet!$A$3:$U$983,3,FALSE)</f>
        <v>Transaction</v>
      </c>
      <c r="D869" s="3" t="str">
        <f>VLOOKUP($A869,DICO_Complet!$A$3:$U$983,4,FALSE)</f>
        <v>transactionDetails</v>
      </c>
      <c r="E869" s="2" t="str">
        <f>VLOOKUP($A869,DICO_Complet!$A$3:$U$983,5,FALSE)</f>
        <v>temp_remittanceNumber</v>
      </c>
      <c r="F869" s="2" t="str">
        <f>VLOOKUP($A869,DICO_Complet!$A$3:$U$983,6,FALSE)</f>
        <v>Exact6NumericText</v>
      </c>
      <c r="G869" s="48">
        <f>VLOOKUP($A869,DICO_Complet!$A$3:$U$983,7,FALSE)</f>
        <v>0</v>
      </c>
      <c r="H869" s="48">
        <f>VLOOKUP($A869,DICO_Complet!$A$3:$U$983,8,FALSE)</f>
        <v>0</v>
      </c>
      <c r="I869" s="2" t="str">
        <f>IF(VLOOKUP($A869,DICO_Complet!$A$3:$U$983,9,FALSE)&lt;&gt;0,VLOOKUP($A869,DICO_Complet!$A$3:$U$983,9,FALSE),"")</f>
        <v/>
      </c>
      <c r="J869" s="1" t="str">
        <f>VLOOKUP($A869,DICO_Complet!$A$3:$U$983,10,FALSE)</f>
        <v>Numero de remise commerçant</v>
      </c>
      <c r="K869" s="53" t="str">
        <f>IF(VLOOKUP($A869,DICO_Complet!$A$3:$U$983,12,FALSE)=0,"",VLOOKUP($A869,DICO_Complet!$A$3:$U$983,12,FALSE))</f>
        <v/>
      </c>
      <c r="L869" s="53" t="str">
        <f>IF(VLOOKUP($A869,DICO_Complet!$A$3:$U$983,13,FALSE)=0,"",VLOOKUP($A869,DICO_Complet!$A$3:$U$983,13,FALSE))</f>
        <v/>
      </c>
      <c r="M869" s="53" t="str">
        <f>IF(VLOOKUP($A869,DICO_Complet!$A$3:$U$983,14,FALSE)=0,"",VLOOKUP($A869,DICO_Complet!$A$3:$U$983,14,FALSE))</f>
        <v/>
      </c>
      <c r="N869" s="53" t="str">
        <f>IF(VLOOKUP($A869,DICO_Complet!$A$3:$U$983,15,FALSE)=0,"",VLOOKUP($A869,DICO_Complet!$A$3:$U$983,15,FALSE))</f>
        <v/>
      </c>
      <c r="O869" s="53" t="str">
        <f>IF(VLOOKUP($A869,DICO_Complet!$A$3:$U$983,16,FALSE)=0,"",VLOOKUP($A869,DICO_Complet!$A$3:$U$983,16,FALSE))</f>
        <v/>
      </c>
      <c r="P869" s="53" t="str">
        <f>IF(VLOOKUP($A869,DICO_Complet!$A$3:$U$983,17,FALSE)=0,"",VLOOKUP($A869,DICO_Complet!$A$3:$U$983,17,FALSE))</f>
        <v/>
      </c>
      <c r="Q869" s="53" t="str">
        <f>IF(VLOOKUP($A869,DICO_Complet!$A$3:$U$983,18,FALSE)=0,"",VLOOKUP($A869,DICO_Complet!$A$3:$U$983,18,FALSE))</f>
        <v>CONUMN</v>
      </c>
    </row>
    <row r="870" spans="1:17">
      <c r="A870" s="38">
        <v>250418220179</v>
      </c>
      <c r="B870" s="47" t="s">
        <v>858</v>
      </c>
      <c r="C870" s="3" t="str">
        <f>VLOOKUP($A870,DICO_Complet!$A$3:$U$983,3,FALSE)</f>
        <v>Transaction</v>
      </c>
      <c r="D870" s="3" t="str">
        <f>VLOOKUP($A870,DICO_Complet!$A$3:$U$983,4,FALSE)</f>
        <v>transactionDetails</v>
      </c>
      <c r="E870" s="2" t="str">
        <f>VLOOKUP($A870,DICO_Complet!$A$3:$U$983,5,FALSE)</f>
        <v>temp_responseTimeBeforeAbandonment</v>
      </c>
      <c r="F870" s="2" t="str">
        <f>VLOOKUP($A870,DICO_Complet!$A$3:$U$983,6,FALSE)</f>
        <v>Max3NumericText</v>
      </c>
      <c r="G870" s="48">
        <f>VLOOKUP($A870,DICO_Complet!$A$3:$U$983,7,FALSE)</f>
        <v>0</v>
      </c>
      <c r="H870" s="48">
        <f>VLOOKUP($A870,DICO_Complet!$A$3:$U$983,8,FALSE)</f>
        <v>0</v>
      </c>
      <c r="I870" s="2" t="str">
        <f>IF(VLOOKUP($A870,DICO_Complet!$A$3:$U$983,9,FALSE)&lt;&gt;0,VLOOKUP($A870,DICO_Complet!$A$3:$U$983,9,FALSE),"")</f>
        <v/>
      </c>
      <c r="J870" s="1" t="str">
        <f>VLOOKUP($A870,DICO_Complet!$A$3:$U$983,10,FALSE)</f>
        <v>Delai envoi message 1</v>
      </c>
      <c r="K870" s="53" t="str">
        <f>IF(VLOOKUP($A870,DICO_Complet!$A$3:$U$983,12,FALSE)=0,"",VLOOKUP($A870,DICO_Complet!$A$3:$U$983,12,FALSE))</f>
        <v/>
      </c>
      <c r="L870" s="53" t="str">
        <f>IF(VLOOKUP($A870,DICO_Complet!$A$3:$U$983,13,FALSE)=0,"",VLOOKUP($A870,DICO_Complet!$A$3:$U$983,13,FALSE))</f>
        <v/>
      </c>
      <c r="M870" s="53" t="str">
        <f>IF(VLOOKUP($A870,DICO_Complet!$A$3:$U$983,14,FALSE)=0,"",VLOOKUP($A870,DICO_Complet!$A$3:$U$983,14,FALSE))</f>
        <v/>
      </c>
      <c r="N870" s="53" t="str">
        <f>IF(VLOOKUP($A870,DICO_Complet!$A$3:$U$983,15,FALSE)=0,"",VLOOKUP($A870,DICO_Complet!$A$3:$U$983,15,FALSE))</f>
        <v/>
      </c>
      <c r="O870" s="53" t="str">
        <f>IF(VLOOKUP($A870,DICO_Complet!$A$3:$U$983,16,FALSE)=0,"",VLOOKUP($A870,DICO_Complet!$A$3:$U$983,16,FALSE))</f>
        <v/>
      </c>
      <c r="P870" s="53" t="str">
        <f>IF(VLOOKUP($A870,DICO_Complet!$A$3:$U$983,17,FALSE)=0,"",VLOOKUP($A870,DICO_Complet!$A$3:$U$983,17,FALSE))</f>
        <v/>
      </c>
      <c r="Q870" s="53" t="str">
        <f>IF(VLOOKUP($A870,DICO_Complet!$A$3:$U$983,18,FALSE)=0,"",VLOOKUP($A870,DICO_Complet!$A$3:$U$983,18,FALSE))</f>
        <v>PEDME1</v>
      </c>
    </row>
    <row r="871" spans="1:17">
      <c r="A871" s="38">
        <v>250418220180</v>
      </c>
      <c r="B871" s="47" t="s">
        <v>858</v>
      </c>
      <c r="C871" s="3" t="str">
        <f>VLOOKUP($A871,DICO_Complet!$A$3:$U$983,3,FALSE)</f>
        <v>Transaction</v>
      </c>
      <c r="D871" s="3" t="str">
        <f>VLOOKUP($A871,DICO_Complet!$A$3:$U$983,4,FALSE)</f>
        <v>transactionDetails</v>
      </c>
      <c r="E871" s="2" t="str">
        <f>VLOOKUP($A871,DICO_Complet!$A$3:$U$983,5,FALSE)</f>
        <v>temp_schemeFeesCorrelationId</v>
      </c>
      <c r="F871" s="2" t="str">
        <f>VLOOKUP($A871,DICO_Complet!$A$3:$U$983,6,FALSE)</f>
        <v>UUIDType</v>
      </c>
      <c r="G871" s="48">
        <f>VLOOKUP($A871,DICO_Complet!$A$3:$U$983,7,FALSE)</f>
        <v>0</v>
      </c>
      <c r="H871" s="48">
        <f>VLOOKUP($A871,DICO_Complet!$A$3:$U$983,8,FALSE)</f>
        <v>0</v>
      </c>
      <c r="I871" s="2" t="str">
        <f>IF(VLOOKUP($A871,DICO_Complet!$A$3:$U$983,9,FALSE)&lt;&gt;0,VLOOKUP($A871,DICO_Complet!$A$3:$U$983,9,FALSE),"")</f>
        <v/>
      </c>
      <c r="J871" s="1" t="str">
        <f>VLOOKUP($A871,DICO_Complet!$A$3:$U$983,10,FALSE)</f>
        <v>identification traçabilite frais reseaux (corelation Id ?)</v>
      </c>
      <c r="K871" s="53" t="str">
        <f>IF(VLOOKUP($A871,DICO_Complet!$A$3:$U$983,12,FALSE)=0,"",VLOOKUP($A871,DICO_Complet!$A$3:$U$983,12,FALSE))</f>
        <v/>
      </c>
      <c r="L871" s="53" t="str">
        <f>IF(VLOOKUP($A871,DICO_Complet!$A$3:$U$983,13,FALSE)=0,"",VLOOKUP($A871,DICO_Complet!$A$3:$U$983,13,FALSE))</f>
        <v/>
      </c>
      <c r="M871" s="53" t="str">
        <f>IF(VLOOKUP($A871,DICO_Complet!$A$3:$U$983,14,FALSE)=0,"",VLOOKUP($A871,DICO_Complet!$A$3:$U$983,14,FALSE))</f>
        <v/>
      </c>
      <c r="N871" s="53" t="str">
        <f>IF(VLOOKUP($A871,DICO_Complet!$A$3:$U$983,15,FALSE)=0,"",VLOOKUP($A871,DICO_Complet!$A$3:$U$983,15,FALSE))</f>
        <v/>
      </c>
      <c r="O871" s="53" t="str">
        <f>IF(VLOOKUP($A871,DICO_Complet!$A$3:$U$983,16,FALSE)=0,"",VLOOKUP($A871,DICO_Complet!$A$3:$U$983,16,FALSE))</f>
        <v/>
      </c>
      <c r="P871" s="53" t="str">
        <f>IF(VLOOKUP($A871,DICO_Complet!$A$3:$U$983,17,FALSE)=0,"",VLOOKUP($A871,DICO_Complet!$A$3:$U$983,17,FALSE))</f>
        <v/>
      </c>
      <c r="Q871" s="53" t="str">
        <f>IF(VLOOKUP($A871,DICO_Complet!$A$3:$U$983,18,FALSE)=0,"",VLOOKUP($A871,DICO_Complet!$A$3:$U$983,18,FALSE))</f>
        <v>ZZZZZZ</v>
      </c>
    </row>
    <row r="872" spans="1:17">
      <c r="A872" s="38">
        <v>250418220181</v>
      </c>
      <c r="B872" s="47" t="s">
        <v>858</v>
      </c>
      <c r="C872" s="3" t="str">
        <f>VLOOKUP($A872,DICO_Complet!$A$3:$U$983,3,FALSE)</f>
        <v>Transaction</v>
      </c>
      <c r="D872" s="3" t="str">
        <f>VLOOKUP($A872,DICO_Complet!$A$3:$U$983,4,FALSE)</f>
        <v>transactionDetails</v>
      </c>
      <c r="E872" s="2" t="str">
        <f>VLOOKUP($A872,DICO_Complet!$A$3:$U$983,5,FALSE)</f>
        <v>temp_sequentialNumber</v>
      </c>
      <c r="F872" s="2" t="str">
        <f>VLOOKUP($A872,DICO_Complet!$A$3:$U$983,6,FALSE)</f>
        <v>Max9NumericText</v>
      </c>
      <c r="G872" s="48">
        <f>VLOOKUP($A872,DICO_Complet!$A$3:$U$983,7,FALSE)</f>
        <v>0</v>
      </c>
      <c r="H872" s="48">
        <f>VLOOKUP($A872,DICO_Complet!$A$3:$U$983,8,FALSE)</f>
        <v>0</v>
      </c>
      <c r="I872" s="2" t="str">
        <f>IF(VLOOKUP($A872,DICO_Complet!$A$3:$U$983,9,FALSE)&lt;&gt;0,VLOOKUP($A872,DICO_Complet!$A$3:$U$983,9,FALSE),"")</f>
        <v/>
      </c>
      <c r="J872" s="1" t="str">
        <f>VLOOKUP($A872,DICO_Complet!$A$3:$U$983,10,FALSE)</f>
        <v>Numero sequentiel de transaction</v>
      </c>
      <c r="K872" s="53" t="str">
        <f>IF(VLOOKUP($A872,DICO_Complet!$A$3:$U$983,12,FALSE)=0,"",VLOOKUP($A872,DICO_Complet!$A$3:$U$983,12,FALSE))</f>
        <v/>
      </c>
      <c r="L872" s="53" t="str">
        <f>IF(VLOOKUP($A872,DICO_Complet!$A$3:$U$983,13,FALSE)=0,"",VLOOKUP($A872,DICO_Complet!$A$3:$U$983,13,FALSE))</f>
        <v/>
      </c>
      <c r="M872" s="53" t="str">
        <f>IF(VLOOKUP($A872,DICO_Complet!$A$3:$U$983,14,FALSE)=0,"",VLOOKUP($A872,DICO_Complet!$A$3:$U$983,14,FALSE))</f>
        <v/>
      </c>
      <c r="N872" s="53" t="str">
        <f>IF(VLOOKUP($A872,DICO_Complet!$A$3:$U$983,15,FALSE)=0,"",VLOOKUP($A872,DICO_Complet!$A$3:$U$983,15,FALSE))</f>
        <v/>
      </c>
      <c r="O872" s="53" t="str">
        <f>IF(VLOOKUP($A872,DICO_Complet!$A$3:$U$983,16,FALSE)=0,"",VLOOKUP($A872,DICO_Complet!$A$3:$U$983,16,FALSE))</f>
        <v/>
      </c>
      <c r="P872" s="53" t="str">
        <f>IF(VLOOKUP($A872,DICO_Complet!$A$3:$U$983,17,FALSE)=0,"",VLOOKUP($A872,DICO_Complet!$A$3:$U$983,17,FALSE))</f>
        <v/>
      </c>
      <c r="Q872" s="53" t="str">
        <f>IF(VLOOKUP($A872,DICO_Complet!$A$3:$U$983,18,FALSE)=0,"",VLOOKUP($A872,DICO_Complet!$A$3:$U$983,18,FALSE))</f>
        <v>COSQOP</v>
      </c>
    </row>
    <row r="873" spans="1:17">
      <c r="A873" s="38">
        <v>250425200812</v>
      </c>
      <c r="B873" s="47" t="s">
        <v>858</v>
      </c>
      <c r="C873" s="3" t="str">
        <f>VLOOKUP($A873,DICO_Complet!$A$3:$U$983,3,FALSE)</f>
        <v>Transaction</v>
      </c>
      <c r="D873" s="3" t="str">
        <f>VLOOKUP($A873,DICO_Complet!$A$3:$U$983,4,FALSE)</f>
        <v>transactionDetails</v>
      </c>
      <c r="E873" s="2" t="str">
        <f>VLOOKUP($A873,DICO_Complet!$A$3:$U$983,5,FALSE)</f>
        <v>temp_specialProcessingCodes</v>
      </c>
      <c r="F873" s="2" t="str">
        <f>VLOOKUP($A873,DICO_Complet!$A$3:$U$983,6,FALSE)</f>
        <v>Exact2NumericText</v>
      </c>
      <c r="G873" s="48">
        <f>VLOOKUP($A873,DICO_Complet!$A$3:$U$983,7,FALSE)</f>
        <v>0</v>
      </c>
      <c r="H873" s="48">
        <f>VLOOKUP($A873,DICO_Complet!$A$3:$U$983,8,FALSE)</f>
        <v>0</v>
      </c>
      <c r="I873" s="2" t="str">
        <f>IF(VLOOKUP($A873,DICO_Complet!$A$3:$U$983,9,FALSE)&lt;&gt;0,VLOOKUP($A873,DICO_Complet!$A$3:$U$983,9,FALSE),"")</f>
        <v/>
      </c>
      <c r="J873" s="1" t="str">
        <f>VLOOKUP($A873,DICO_Complet!$A$3:$U$983,10,FALSE)</f>
        <v>Special processing codes _</v>
      </c>
      <c r="K873" s="53" t="str">
        <f>IF(VLOOKUP($A873,DICO_Complet!$A$3:$U$983,12,FALSE)=0,"",VLOOKUP($A873,DICO_Complet!$A$3:$U$983,12,FALSE))</f>
        <v/>
      </c>
      <c r="L873" s="53" t="str">
        <f>IF(VLOOKUP($A873,DICO_Complet!$A$3:$U$983,13,FALSE)=0,"",VLOOKUP($A873,DICO_Complet!$A$3:$U$983,13,FALSE))</f>
        <v/>
      </c>
      <c r="M873" s="53" t="str">
        <f>IF(VLOOKUP($A873,DICO_Complet!$A$3:$U$983,14,FALSE)=0,"",VLOOKUP($A873,DICO_Complet!$A$3:$U$983,14,FALSE))</f>
        <v>72_DF1E part 6</v>
      </c>
      <c r="N873" s="53" t="str">
        <f>IF(VLOOKUP($A873,DICO_Complet!$A$3:$U$983,15,FALSE)=0,"",VLOOKUP($A873,DICO_Complet!$A$3:$U$983,15,FALSE))</f>
        <v/>
      </c>
      <c r="O873" s="53" t="str">
        <f>IF(VLOOKUP($A873,DICO_Complet!$A$3:$U$983,16,FALSE)=0,"",VLOOKUP($A873,DICO_Complet!$A$3:$U$983,16,FALSE))</f>
        <v/>
      </c>
      <c r="P873" s="53" t="str">
        <f>IF(VLOOKUP($A873,DICO_Complet!$A$3:$U$983,17,FALSE)=0,"",VLOOKUP($A873,DICO_Complet!$A$3:$U$983,17,FALSE))</f>
        <v/>
      </c>
      <c r="Q873" s="53" t="str">
        <f>IF(VLOOKUP($A873,DICO_Complet!$A$3:$U$983,18,FALSE)=0,"",VLOOKUP($A873,DICO_Complet!$A$3:$U$983,18,FALSE))</f>
        <v/>
      </c>
    </row>
    <row r="874" spans="1:17">
      <c r="A874" s="38">
        <v>250425200808</v>
      </c>
      <c r="B874" s="47" t="s">
        <v>858</v>
      </c>
      <c r="C874" s="3" t="str">
        <f>VLOOKUP($A874,DICO_Complet!$A$3:$U$983,3,FALSE)</f>
        <v>Transaction</v>
      </c>
      <c r="D874" s="3" t="str">
        <f>VLOOKUP($A874,DICO_Complet!$A$3:$U$983,4,FALSE)</f>
        <v>transactionDetails</v>
      </c>
      <c r="E874" s="2" t="str">
        <f>VLOOKUP($A874,DICO_Complet!$A$3:$U$983,5,FALSE)</f>
        <v>temp_startOfBINRange</v>
      </c>
      <c r="F874" s="2" t="str">
        <f>VLOOKUP($A874,DICO_Complet!$A$3:$U$983,6,FALSE)</f>
        <v>Min1Max19NumericText</v>
      </c>
      <c r="G874" s="48">
        <f>VLOOKUP($A874,DICO_Complet!$A$3:$U$983,7,FALSE)</f>
        <v>0</v>
      </c>
      <c r="H874" s="48">
        <f>VLOOKUP($A874,DICO_Complet!$A$3:$U$983,8,FALSE)</f>
        <v>0</v>
      </c>
      <c r="I874" s="2" t="str">
        <f>IF(VLOOKUP($A874,DICO_Complet!$A$3:$U$983,9,FALSE)&lt;&gt;0,VLOOKUP($A874,DICO_Complet!$A$3:$U$983,9,FALSE),"")</f>
        <v/>
      </c>
      <c r="J874" s="1" t="str">
        <f>VLOOKUP($A874,DICO_Complet!$A$3:$U$983,10,FALSE)</f>
        <v>Start of BIN range</v>
      </c>
      <c r="K874" s="53" t="str">
        <f>IF(VLOOKUP($A874,DICO_Complet!$A$3:$U$983,12,FALSE)=0,"",VLOOKUP($A874,DICO_Complet!$A$3:$U$983,12,FALSE))</f>
        <v/>
      </c>
      <c r="L874" s="53" t="str">
        <f>IF(VLOOKUP($A874,DICO_Complet!$A$3:$U$983,13,FALSE)=0,"",VLOOKUP($A874,DICO_Complet!$A$3:$U$983,13,FALSE))</f>
        <v/>
      </c>
      <c r="M874" s="53" t="str">
        <f>IF(VLOOKUP($A874,DICO_Complet!$A$3:$U$983,14,FALSE)=0,"",VLOOKUP($A874,DICO_Complet!$A$3:$U$983,14,FALSE))</f>
        <v>72_DF1E part 2</v>
      </c>
      <c r="N874" s="53" t="str">
        <f>IF(VLOOKUP($A874,DICO_Complet!$A$3:$U$983,15,FALSE)=0,"",VLOOKUP($A874,DICO_Complet!$A$3:$U$983,15,FALSE))</f>
        <v/>
      </c>
      <c r="O874" s="53" t="str">
        <f>IF(VLOOKUP($A874,DICO_Complet!$A$3:$U$983,16,FALSE)=0,"",VLOOKUP($A874,DICO_Complet!$A$3:$U$983,16,FALSE))</f>
        <v/>
      </c>
      <c r="P874" s="53" t="str">
        <f>IF(VLOOKUP($A874,DICO_Complet!$A$3:$U$983,17,FALSE)=0,"",VLOOKUP($A874,DICO_Complet!$A$3:$U$983,17,FALSE))</f>
        <v/>
      </c>
      <c r="Q874" s="53" t="str">
        <f>IF(VLOOKUP($A874,DICO_Complet!$A$3:$U$983,18,FALSE)=0,"",VLOOKUP($A874,DICO_Complet!$A$3:$U$983,18,FALSE))</f>
        <v/>
      </c>
    </row>
    <row r="875" spans="1:17">
      <c r="A875" s="38">
        <v>250418220182</v>
      </c>
      <c r="B875" s="47" t="s">
        <v>858</v>
      </c>
      <c r="C875" s="3" t="str">
        <f>VLOOKUP($A875,DICO_Complet!$A$3:$U$983,3,FALSE)</f>
        <v>Transaction</v>
      </c>
      <c r="D875" s="3" t="str">
        <f>VLOOKUP($A875,DICO_Complet!$A$3:$U$983,4,FALSE)</f>
        <v>transactionDetails</v>
      </c>
      <c r="E875" s="2" t="str">
        <f>VLOOKUP($A875,DICO_Complet!$A$3:$U$983,5,FALSE)</f>
        <v>temp_statusCode</v>
      </c>
      <c r="F875" s="2" t="str">
        <f>VLOOKUP($A875,DICO_Complet!$A$3:$U$983,6,FALSE)</f>
        <v>StatusCodeCodeset</v>
      </c>
      <c r="G875" s="48">
        <f>VLOOKUP($A875,DICO_Complet!$A$3:$U$983,7,FALSE)</f>
        <v>0</v>
      </c>
      <c r="H875" s="48">
        <f>VLOOKUP($A875,DICO_Complet!$A$3:$U$983,8,FALSE)</f>
        <v>0</v>
      </c>
      <c r="I875" s="2" t="str">
        <f>IF(VLOOKUP($A875,DICO_Complet!$A$3:$U$983,9,FALSE)&lt;&gt;0,VLOOKUP($A875,DICO_Complet!$A$3:$U$983,9,FALSE),"")</f>
        <v/>
      </c>
      <c r="J875" s="1" t="str">
        <f>VLOOKUP($A875,DICO_Complet!$A$3:$U$983,10,FALSE)</f>
        <v>Code etat remise ou transaction</v>
      </c>
      <c r="K875" s="53" t="str">
        <f>IF(VLOOKUP($A875,DICO_Complet!$A$3:$U$983,12,FALSE)=0,"",VLOOKUP($A875,DICO_Complet!$A$3:$U$983,12,FALSE))</f>
        <v/>
      </c>
      <c r="L875" s="53" t="str">
        <f>IF(VLOOKUP($A875,DICO_Complet!$A$3:$U$983,13,FALSE)=0,"",VLOOKUP($A875,DICO_Complet!$A$3:$U$983,13,FALSE))</f>
        <v/>
      </c>
      <c r="M875" s="53" t="str">
        <f>IF(VLOOKUP($A875,DICO_Complet!$A$3:$U$983,14,FALSE)=0,"",VLOOKUP($A875,DICO_Complet!$A$3:$U$983,14,FALSE))</f>
        <v/>
      </c>
      <c r="N875" s="53" t="str">
        <f>IF(VLOOKUP($A875,DICO_Complet!$A$3:$U$983,15,FALSE)=0,"",VLOOKUP($A875,DICO_Complet!$A$3:$U$983,15,FALSE))</f>
        <v/>
      </c>
      <c r="O875" s="53" t="str">
        <f>IF(VLOOKUP($A875,DICO_Complet!$A$3:$U$983,16,FALSE)=0,"",VLOOKUP($A875,DICO_Complet!$A$3:$U$983,16,FALSE))</f>
        <v/>
      </c>
      <c r="P875" s="53" t="str">
        <f>IF(VLOOKUP($A875,DICO_Complet!$A$3:$U$983,17,FALSE)=0,"",VLOOKUP($A875,DICO_Complet!$A$3:$U$983,17,FALSE))</f>
        <v/>
      </c>
      <c r="Q875" s="53" t="str">
        <f>IF(VLOOKUP($A875,DICO_Complet!$A$3:$U$983,18,FALSE)=0,"",VLOOKUP($A875,DICO_Complet!$A$3:$U$983,18,FALSE))</f>
        <v>CESTUT</v>
      </c>
    </row>
    <row r="876" spans="1:17">
      <c r="A876" s="38">
        <v>250425201604</v>
      </c>
      <c r="B876" s="47" t="s">
        <v>858</v>
      </c>
      <c r="C876" s="3" t="str">
        <f>VLOOKUP($A876,DICO_Complet!$A$3:$U$983,3,FALSE)</f>
        <v>Transaction</v>
      </c>
      <c r="D876" s="3" t="str">
        <f>VLOOKUP($A876,DICO_Complet!$A$3:$U$983,4,FALSE)</f>
        <v>transactionDetails</v>
      </c>
      <c r="E876" s="2" t="str">
        <f>VLOOKUP($A876,DICO_Complet!$A$3:$U$983,5,FALSE)</f>
        <v>temp_superTapActivation</v>
      </c>
      <c r="F876" s="2" t="str">
        <f>VLOOKUP($A876,DICO_Complet!$A$3:$U$983,6,FALSE)</f>
        <v>Exact1HexBinaryText</v>
      </c>
      <c r="G876" s="48">
        <f>VLOOKUP($A876,DICO_Complet!$A$3:$U$983,7,FALSE)</f>
        <v>0</v>
      </c>
      <c r="H876" s="48">
        <f>VLOOKUP($A876,DICO_Complet!$A$3:$U$983,8,FALSE)</f>
        <v>0</v>
      </c>
      <c r="I876" s="2" t="str">
        <f>IF(VLOOKUP($A876,DICO_Complet!$A$3:$U$983,9,FALSE)&lt;&gt;0,VLOOKUP($A876,DICO_Complet!$A$3:$U$983,9,FALSE),"")</f>
        <v/>
      </c>
      <c r="J876" s="1" t="str">
        <f>VLOOKUP($A876,DICO_Complet!$A$3:$U$983,10,FALSE)</f>
        <v>Super TAP activation</v>
      </c>
      <c r="K876" s="53" t="str">
        <f>IF(VLOOKUP($A876,DICO_Complet!$A$3:$U$983,12,FALSE)=0,"",VLOOKUP($A876,DICO_Complet!$A$3:$U$983,12,FALSE))</f>
        <v/>
      </c>
      <c r="L876" s="53" t="str">
        <f>IF(VLOOKUP($A876,DICO_Complet!$A$3:$U$983,13,FALSE)=0,"",VLOOKUP($A876,DICO_Complet!$A$3:$U$983,13,FALSE))</f>
        <v/>
      </c>
      <c r="M876" s="53" t="str">
        <f>IF(VLOOKUP($A876,DICO_Complet!$A$3:$U$983,14,FALSE)=0,"",VLOOKUP($A876,DICO_Complet!$A$3:$U$983,14,FALSE))</f>
        <v>72_DFAE part 13</v>
      </c>
      <c r="N876" s="53" t="str">
        <f>IF(VLOOKUP($A876,DICO_Complet!$A$3:$U$983,15,FALSE)=0,"",VLOOKUP($A876,DICO_Complet!$A$3:$U$983,15,FALSE))</f>
        <v/>
      </c>
      <c r="O876" s="53" t="str">
        <f>IF(VLOOKUP($A876,DICO_Complet!$A$3:$U$983,16,FALSE)=0,"",VLOOKUP($A876,DICO_Complet!$A$3:$U$983,16,FALSE))</f>
        <v/>
      </c>
      <c r="P876" s="53" t="str">
        <f>IF(VLOOKUP($A876,DICO_Complet!$A$3:$U$983,17,FALSE)=0,"",VLOOKUP($A876,DICO_Complet!$A$3:$U$983,17,FALSE))</f>
        <v/>
      </c>
      <c r="Q876" s="53" t="str">
        <f>IF(VLOOKUP($A876,DICO_Complet!$A$3:$U$983,18,FALSE)=0,"",VLOOKUP($A876,DICO_Complet!$A$3:$U$983,18,FALSE))</f>
        <v/>
      </c>
    </row>
    <row r="877" spans="1:17">
      <c r="A877" s="38">
        <v>250425201515</v>
      </c>
      <c r="B877" s="47" t="s">
        <v>858</v>
      </c>
      <c r="C877" s="3" t="str">
        <f>VLOOKUP($A877,DICO_Complet!$A$3:$U$983,3,FALSE)</f>
        <v>Transaction</v>
      </c>
      <c r="D877" s="3" t="str">
        <f>VLOOKUP($A877,DICO_Complet!$A$3:$U$983,4,FALSE)</f>
        <v>transactionDetails</v>
      </c>
      <c r="E877" s="2" t="str">
        <f>VLOOKUP($A877,DICO_Complet!$A$3:$U$983,5,FALSE)</f>
        <v>temp_systemCountryCode</v>
      </c>
      <c r="F877" s="2" t="str">
        <f>VLOOKUP($A877,DICO_Complet!$A$3:$U$983,6,FALSE)</f>
        <v>Exact3AlphaNumericText</v>
      </c>
      <c r="G877" s="48">
        <f>VLOOKUP($A877,DICO_Complet!$A$3:$U$983,7,FALSE)</f>
        <v>0</v>
      </c>
      <c r="H877" s="48">
        <f>VLOOKUP($A877,DICO_Complet!$A$3:$U$983,8,FALSE)</f>
        <v>0</v>
      </c>
      <c r="I877" s="2" t="str">
        <f>IF(VLOOKUP($A877,DICO_Complet!$A$3:$U$983,9,FALSE)&lt;&gt;0,VLOOKUP($A877,DICO_Complet!$A$3:$U$983,9,FALSE),"")</f>
        <v/>
      </c>
      <c r="J877" s="1" t="str">
        <f>VLOOKUP($A877,DICO_Complet!$A$3:$U$983,10,FALSE)</f>
        <v>System country code</v>
      </c>
      <c r="K877" s="53" t="str">
        <f>IF(VLOOKUP($A877,DICO_Complet!$A$3:$U$983,12,FALSE)=0,"",VLOOKUP($A877,DICO_Complet!$A$3:$U$983,12,FALSE))</f>
        <v/>
      </c>
      <c r="L877" s="53" t="str">
        <f>IF(VLOOKUP($A877,DICO_Complet!$A$3:$U$983,13,FALSE)=0,"",VLOOKUP($A877,DICO_Complet!$A$3:$U$983,13,FALSE))</f>
        <v/>
      </c>
      <c r="M877" s="53" t="str">
        <f>IF(VLOOKUP($A877,DICO_Complet!$A$3:$U$983,14,FALSE)=0,"",VLOOKUP($A877,DICO_Complet!$A$3:$U$983,14,FALSE))</f>
        <v>72_DFA0 part 1</v>
      </c>
      <c r="N877" s="53" t="str">
        <f>IF(VLOOKUP($A877,DICO_Complet!$A$3:$U$983,15,FALSE)=0,"",VLOOKUP($A877,DICO_Complet!$A$3:$U$983,15,FALSE))</f>
        <v/>
      </c>
      <c r="O877" s="53" t="str">
        <f>IF(VLOOKUP($A877,DICO_Complet!$A$3:$U$983,16,FALSE)=0,"",VLOOKUP($A877,DICO_Complet!$A$3:$U$983,16,FALSE))</f>
        <v/>
      </c>
      <c r="P877" s="53" t="str">
        <f>IF(VLOOKUP($A877,DICO_Complet!$A$3:$U$983,17,FALSE)=0,"",VLOOKUP($A877,DICO_Complet!$A$3:$U$983,17,FALSE))</f>
        <v/>
      </c>
      <c r="Q877" s="53" t="str">
        <f>IF(VLOOKUP($A877,DICO_Complet!$A$3:$U$983,18,FALSE)=0,"",VLOOKUP($A877,DICO_Complet!$A$3:$U$983,18,FALSE))</f>
        <v/>
      </c>
    </row>
    <row r="878" spans="1:17">
      <c r="A878" s="38">
        <v>250423110202</v>
      </c>
      <c r="B878" s="47" t="s">
        <v>858</v>
      </c>
      <c r="C878" s="3" t="str">
        <f>VLOOKUP($A878,DICO_Complet!$A$3:$U$983,3,FALSE)</f>
        <v>Transaction</v>
      </c>
      <c r="D878" s="3" t="str">
        <f>VLOOKUP($A878,DICO_Complet!$A$3:$U$983,4,FALSE)</f>
        <v>transactionDetails</v>
      </c>
      <c r="E878" s="2" t="str">
        <f>VLOOKUP($A878,DICO_Complet!$A$3:$U$983,5,FALSE)</f>
        <v>temp_tACDefault</v>
      </c>
      <c r="F878" s="2" t="str">
        <f>VLOOKUP($A878,DICO_Complet!$A$3:$U$983,6,FALSE)</f>
        <v>Exact5HexBinaryText</v>
      </c>
      <c r="G878" s="48">
        <f>VLOOKUP($A878,DICO_Complet!$A$3:$U$983,7,FALSE)</f>
        <v>0</v>
      </c>
      <c r="H878" s="48">
        <f>VLOOKUP($A878,DICO_Complet!$A$3:$U$983,8,FALSE)</f>
        <v>0</v>
      </c>
      <c r="I878" s="2" t="str">
        <f>IF(VLOOKUP($A878,DICO_Complet!$A$3:$U$983,9,FALSE)&lt;&gt;0,VLOOKUP($A878,DICO_Complet!$A$3:$U$983,9,FALSE),"")</f>
        <v/>
      </c>
      <c r="J878" s="1" t="str">
        <f>VLOOKUP($A878,DICO_Complet!$A$3:$U$983,10,FALSE)</f>
        <v>TAC Default</v>
      </c>
      <c r="K878" s="53" t="str">
        <f>IF(VLOOKUP($A878,DICO_Complet!$A$3:$U$983,12,FALSE)=0,"",VLOOKUP($A878,DICO_Complet!$A$3:$U$983,12,FALSE))</f>
        <v/>
      </c>
      <c r="L878" s="53" t="str">
        <f>IF(VLOOKUP($A878,DICO_Complet!$A$3:$U$983,13,FALSE)=0,"",VLOOKUP($A878,DICO_Complet!$A$3:$U$983,13,FALSE))</f>
        <v/>
      </c>
      <c r="M878" s="53" t="str">
        <f>IF(VLOOKUP($A878,DICO_Complet!$A$3:$U$983,14,FALSE)=0,"",VLOOKUP($A878,DICO_Complet!$A$3:$U$983,14,FALSE))</f>
        <v>72_DF18</v>
      </c>
      <c r="N878" s="53" t="str">
        <f>IF(VLOOKUP($A878,DICO_Complet!$A$3:$U$983,15,FALSE)=0,"",VLOOKUP($A878,DICO_Complet!$A$3:$U$983,15,FALSE))</f>
        <v/>
      </c>
      <c r="O878" s="53" t="str">
        <f>IF(VLOOKUP($A878,DICO_Complet!$A$3:$U$983,16,FALSE)=0,"",VLOOKUP($A878,DICO_Complet!$A$3:$U$983,16,FALSE))</f>
        <v/>
      </c>
      <c r="P878" s="53" t="str">
        <f>IF(VLOOKUP($A878,DICO_Complet!$A$3:$U$983,17,FALSE)=0,"",VLOOKUP($A878,DICO_Complet!$A$3:$U$983,17,FALSE))</f>
        <v/>
      </c>
      <c r="Q878" s="53" t="str">
        <f>IF(VLOOKUP($A878,DICO_Complet!$A$3:$U$983,18,FALSE)=0,"",VLOOKUP($A878,DICO_Complet!$A$3:$U$983,18,FALSE))</f>
        <v/>
      </c>
    </row>
    <row r="879" spans="1:17">
      <c r="A879" s="38">
        <v>250423110200</v>
      </c>
      <c r="B879" s="47" t="s">
        <v>858</v>
      </c>
      <c r="C879" s="3" t="str">
        <f>VLOOKUP($A879,DICO_Complet!$A$3:$U$983,3,FALSE)</f>
        <v>Transaction</v>
      </c>
      <c r="D879" s="3" t="str">
        <f>VLOOKUP($A879,DICO_Complet!$A$3:$U$983,4,FALSE)</f>
        <v>transactionDetails</v>
      </c>
      <c r="E879" s="2" t="str">
        <f>VLOOKUP($A879,DICO_Complet!$A$3:$U$983,5,FALSE)</f>
        <v>temp_tACDenial</v>
      </c>
      <c r="F879" s="2" t="str">
        <f>VLOOKUP($A879,DICO_Complet!$A$3:$U$983,6,FALSE)</f>
        <v>Exact5HexBinaryText</v>
      </c>
      <c r="G879" s="48">
        <f>VLOOKUP($A879,DICO_Complet!$A$3:$U$983,7,FALSE)</f>
        <v>0</v>
      </c>
      <c r="H879" s="48">
        <f>VLOOKUP($A879,DICO_Complet!$A$3:$U$983,8,FALSE)</f>
        <v>0</v>
      </c>
      <c r="I879" s="2" t="str">
        <f>IF(VLOOKUP($A879,DICO_Complet!$A$3:$U$983,9,FALSE)&lt;&gt;0,VLOOKUP($A879,DICO_Complet!$A$3:$U$983,9,FALSE),"")</f>
        <v/>
      </c>
      <c r="J879" s="1" t="str">
        <f>VLOOKUP($A879,DICO_Complet!$A$3:$U$983,10,FALSE)</f>
        <v>TAC Denial</v>
      </c>
      <c r="K879" s="53" t="str">
        <f>IF(VLOOKUP($A879,DICO_Complet!$A$3:$U$983,12,FALSE)=0,"",VLOOKUP($A879,DICO_Complet!$A$3:$U$983,12,FALSE))</f>
        <v/>
      </c>
      <c r="L879" s="53" t="str">
        <f>IF(VLOOKUP($A879,DICO_Complet!$A$3:$U$983,13,FALSE)=0,"",VLOOKUP($A879,DICO_Complet!$A$3:$U$983,13,FALSE))</f>
        <v/>
      </c>
      <c r="M879" s="53" t="str">
        <f>IF(VLOOKUP($A879,DICO_Complet!$A$3:$U$983,14,FALSE)=0,"",VLOOKUP($A879,DICO_Complet!$A$3:$U$983,14,FALSE))</f>
        <v>72_DF18</v>
      </c>
      <c r="N879" s="53" t="str">
        <f>IF(VLOOKUP($A879,DICO_Complet!$A$3:$U$983,15,FALSE)=0,"",VLOOKUP($A879,DICO_Complet!$A$3:$U$983,15,FALSE))</f>
        <v/>
      </c>
      <c r="O879" s="53" t="str">
        <f>IF(VLOOKUP($A879,DICO_Complet!$A$3:$U$983,16,FALSE)=0,"",VLOOKUP($A879,DICO_Complet!$A$3:$U$983,16,FALSE))</f>
        <v/>
      </c>
      <c r="P879" s="53" t="str">
        <f>IF(VLOOKUP($A879,DICO_Complet!$A$3:$U$983,17,FALSE)=0,"",VLOOKUP($A879,DICO_Complet!$A$3:$U$983,17,FALSE))</f>
        <v/>
      </c>
      <c r="Q879" s="53" t="str">
        <f>IF(VLOOKUP($A879,DICO_Complet!$A$3:$U$983,18,FALSE)=0,"",VLOOKUP($A879,DICO_Complet!$A$3:$U$983,18,FALSE))</f>
        <v/>
      </c>
    </row>
    <row r="880" spans="1:17">
      <c r="A880" s="38">
        <v>250423110201</v>
      </c>
      <c r="B880" s="47" t="s">
        <v>858</v>
      </c>
      <c r="C880" s="3" t="str">
        <f>VLOOKUP($A880,DICO_Complet!$A$3:$U$983,3,FALSE)</f>
        <v>Transaction</v>
      </c>
      <c r="D880" s="3" t="str">
        <f>VLOOKUP($A880,DICO_Complet!$A$3:$U$983,4,FALSE)</f>
        <v>transactionDetails</v>
      </c>
      <c r="E880" s="2" t="str">
        <f>VLOOKUP($A880,DICO_Complet!$A$3:$U$983,5,FALSE)</f>
        <v>temp_tACOnline</v>
      </c>
      <c r="F880" s="2" t="str">
        <f>VLOOKUP($A880,DICO_Complet!$A$3:$U$983,6,FALSE)</f>
        <v>Exact5HexBinaryText</v>
      </c>
      <c r="G880" s="48">
        <f>VLOOKUP($A880,DICO_Complet!$A$3:$U$983,7,FALSE)</f>
        <v>0</v>
      </c>
      <c r="H880" s="48">
        <f>VLOOKUP($A880,DICO_Complet!$A$3:$U$983,8,FALSE)</f>
        <v>0</v>
      </c>
      <c r="I880" s="2" t="str">
        <f>IF(VLOOKUP($A880,DICO_Complet!$A$3:$U$983,9,FALSE)&lt;&gt;0,VLOOKUP($A880,DICO_Complet!$A$3:$U$983,9,FALSE),"")</f>
        <v/>
      </c>
      <c r="J880" s="1" t="str">
        <f>VLOOKUP($A880,DICO_Complet!$A$3:$U$983,10,FALSE)</f>
        <v>TAC Online</v>
      </c>
      <c r="K880" s="53" t="str">
        <f>IF(VLOOKUP($A880,DICO_Complet!$A$3:$U$983,12,FALSE)=0,"",VLOOKUP($A880,DICO_Complet!$A$3:$U$983,12,FALSE))</f>
        <v/>
      </c>
      <c r="L880" s="53" t="str">
        <f>IF(VLOOKUP($A880,DICO_Complet!$A$3:$U$983,13,FALSE)=0,"",VLOOKUP($A880,DICO_Complet!$A$3:$U$983,13,FALSE))</f>
        <v/>
      </c>
      <c r="M880" s="53" t="str">
        <f>IF(VLOOKUP($A880,DICO_Complet!$A$3:$U$983,14,FALSE)=0,"",VLOOKUP($A880,DICO_Complet!$A$3:$U$983,14,FALSE))</f>
        <v>72_DF18</v>
      </c>
      <c r="N880" s="53" t="str">
        <f>IF(VLOOKUP($A880,DICO_Complet!$A$3:$U$983,15,FALSE)=0,"",VLOOKUP($A880,DICO_Complet!$A$3:$U$983,15,FALSE))</f>
        <v/>
      </c>
      <c r="O880" s="53" t="str">
        <f>IF(VLOOKUP($A880,DICO_Complet!$A$3:$U$983,16,FALSE)=0,"",VLOOKUP($A880,DICO_Complet!$A$3:$U$983,16,FALSE))</f>
        <v/>
      </c>
      <c r="P880" s="53" t="str">
        <f>IF(VLOOKUP($A880,DICO_Complet!$A$3:$U$983,17,FALSE)=0,"",VLOOKUP($A880,DICO_Complet!$A$3:$U$983,17,FALSE))</f>
        <v/>
      </c>
      <c r="Q880" s="53" t="str">
        <f>IF(VLOOKUP($A880,DICO_Complet!$A$3:$U$983,18,FALSE)=0,"",VLOOKUP($A880,DICO_Complet!$A$3:$U$983,18,FALSE))</f>
        <v/>
      </c>
    </row>
    <row r="881" spans="1:17">
      <c r="A881" s="38">
        <v>250423110204</v>
      </c>
      <c r="B881" s="47" t="s">
        <v>858</v>
      </c>
      <c r="C881" s="3" t="str">
        <f>VLOOKUP($A881,DICO_Complet!$A$3:$U$983,3,FALSE)</f>
        <v>Transaction</v>
      </c>
      <c r="D881" s="3" t="str">
        <f>VLOOKUP($A881,DICO_Complet!$A$3:$U$983,4,FALSE)</f>
        <v>transactionDetails</v>
      </c>
      <c r="E881" s="2" t="str">
        <f>VLOOKUP($A881,DICO_Complet!$A$3:$U$983,5,FALSE)</f>
        <v>temp_tag</v>
      </c>
      <c r="F881" s="2" t="str">
        <f>VLOOKUP($A881,DICO_Complet!$A$3:$U$983,6,FALSE)</f>
        <v>Exact2HexBinaryText</v>
      </c>
      <c r="G881" s="48">
        <f>VLOOKUP($A881,DICO_Complet!$A$3:$U$983,7,FALSE)</f>
        <v>0</v>
      </c>
      <c r="H881" s="48">
        <f>VLOOKUP($A881,DICO_Complet!$A$3:$U$983,8,FALSE)</f>
        <v>0</v>
      </c>
      <c r="I881" s="2" t="str">
        <f>IF(VLOOKUP($A881,DICO_Complet!$A$3:$U$983,9,FALSE)&lt;&gt;0,VLOOKUP($A881,DICO_Complet!$A$3:$U$983,9,FALSE),"")</f>
        <v/>
      </c>
      <c r="J881" s="1" t="str">
        <f>VLOOKUP($A881,DICO_Complet!$A$3:$U$983,10,FALSE)</f>
        <v>Tag</v>
      </c>
      <c r="K881" s="53" t="str">
        <f>IF(VLOOKUP($A881,DICO_Complet!$A$3:$U$983,12,FALSE)=0,"",VLOOKUP($A881,DICO_Complet!$A$3:$U$983,12,FALSE))</f>
        <v/>
      </c>
      <c r="L881" s="53" t="str">
        <f>IF(VLOOKUP($A881,DICO_Complet!$A$3:$U$983,13,FALSE)=0,"",VLOOKUP($A881,DICO_Complet!$A$3:$U$983,13,FALSE))</f>
        <v/>
      </c>
      <c r="M881" s="53" t="str">
        <f>IF(VLOOKUP($A881,DICO_Complet!$A$3:$U$983,14,FALSE)=0,"",VLOOKUP($A881,DICO_Complet!$A$3:$U$983,14,FALSE))</f>
        <v>72_DF19</v>
      </c>
      <c r="N881" s="53" t="str">
        <f>IF(VLOOKUP($A881,DICO_Complet!$A$3:$U$983,15,FALSE)=0,"",VLOOKUP($A881,DICO_Complet!$A$3:$U$983,15,FALSE))</f>
        <v/>
      </c>
      <c r="O881" s="53" t="str">
        <f>IF(VLOOKUP($A881,DICO_Complet!$A$3:$U$983,16,FALSE)=0,"",VLOOKUP($A881,DICO_Complet!$A$3:$U$983,16,FALSE))</f>
        <v/>
      </c>
      <c r="P881" s="53" t="str">
        <f>IF(VLOOKUP($A881,DICO_Complet!$A$3:$U$983,17,FALSE)=0,"",VLOOKUP($A881,DICO_Complet!$A$3:$U$983,17,FALSE))</f>
        <v/>
      </c>
      <c r="Q881" s="53" t="str">
        <f>IF(VLOOKUP($A881,DICO_Complet!$A$3:$U$983,18,FALSE)=0,"",VLOOKUP($A881,DICO_Complet!$A$3:$U$983,18,FALSE))</f>
        <v/>
      </c>
    </row>
    <row r="882" spans="1:17">
      <c r="A882" s="38">
        <v>250423110205</v>
      </c>
      <c r="B882" s="47" t="s">
        <v>858</v>
      </c>
      <c r="C882" s="3" t="str">
        <f>VLOOKUP($A882,DICO_Complet!$A$3:$U$983,3,FALSE)</f>
        <v>Transaction</v>
      </c>
      <c r="D882" s="3" t="str">
        <f>VLOOKUP($A882,DICO_Complet!$A$3:$U$983,4,FALSE)</f>
        <v>transactionDetails</v>
      </c>
      <c r="E882" s="2" t="str">
        <f>VLOOKUP($A882,DICO_Complet!$A$3:$U$983,5,FALSE)</f>
        <v>temp_tagDataLength</v>
      </c>
      <c r="F882" s="2" t="str">
        <f>VLOOKUP($A882,DICO_Complet!$A$3:$U$983,6,FALSE)</f>
        <v>Exact1HexBinaryText</v>
      </c>
      <c r="G882" s="48">
        <f>VLOOKUP($A882,DICO_Complet!$A$3:$U$983,7,FALSE)</f>
        <v>0</v>
      </c>
      <c r="H882" s="48">
        <f>VLOOKUP($A882,DICO_Complet!$A$3:$U$983,8,FALSE)</f>
        <v>0</v>
      </c>
      <c r="I882" s="2" t="str">
        <f>IF(VLOOKUP($A882,DICO_Complet!$A$3:$U$983,9,FALSE)&lt;&gt;0,VLOOKUP($A882,DICO_Complet!$A$3:$U$983,9,FALSE),"")</f>
        <v/>
      </c>
      <c r="J882" s="1" t="str">
        <f>VLOOKUP($A882,DICO_Complet!$A$3:$U$983,10,FALSE)</f>
        <v>Tag data length</v>
      </c>
      <c r="K882" s="53" t="str">
        <f>IF(VLOOKUP($A882,DICO_Complet!$A$3:$U$983,12,FALSE)=0,"",VLOOKUP($A882,DICO_Complet!$A$3:$U$983,12,FALSE))</f>
        <v/>
      </c>
      <c r="L882" s="53" t="str">
        <f>IF(VLOOKUP($A882,DICO_Complet!$A$3:$U$983,13,FALSE)=0,"",VLOOKUP($A882,DICO_Complet!$A$3:$U$983,13,FALSE))</f>
        <v/>
      </c>
      <c r="M882" s="53" t="str">
        <f>IF(VLOOKUP($A882,DICO_Complet!$A$3:$U$983,14,FALSE)=0,"",VLOOKUP($A882,DICO_Complet!$A$3:$U$983,14,FALSE))</f>
        <v>72_DF19</v>
      </c>
      <c r="N882" s="53" t="str">
        <f>IF(VLOOKUP($A882,DICO_Complet!$A$3:$U$983,15,FALSE)=0,"",VLOOKUP($A882,DICO_Complet!$A$3:$U$983,15,FALSE))</f>
        <v/>
      </c>
      <c r="O882" s="53" t="str">
        <f>IF(VLOOKUP($A882,DICO_Complet!$A$3:$U$983,16,FALSE)=0,"",VLOOKUP($A882,DICO_Complet!$A$3:$U$983,16,FALSE))</f>
        <v/>
      </c>
      <c r="P882" s="53" t="str">
        <f>IF(VLOOKUP($A882,DICO_Complet!$A$3:$U$983,17,FALSE)=0,"",VLOOKUP($A882,DICO_Complet!$A$3:$U$983,17,FALSE))</f>
        <v/>
      </c>
      <c r="Q882" s="53" t="str">
        <f>IF(VLOOKUP($A882,DICO_Complet!$A$3:$U$983,18,FALSE)=0,"",VLOOKUP($A882,DICO_Complet!$A$3:$U$983,18,FALSE))</f>
        <v/>
      </c>
    </row>
    <row r="883" spans="1:17">
      <c r="A883" s="38">
        <v>250423110206</v>
      </c>
      <c r="B883" s="47" t="s">
        <v>858</v>
      </c>
      <c r="C883" s="3" t="str">
        <f>VLOOKUP($A883,DICO_Complet!$A$3:$U$983,3,FALSE)</f>
        <v>Transaction</v>
      </c>
      <c r="D883" s="3" t="str">
        <f>VLOOKUP($A883,DICO_Complet!$A$3:$U$983,4,FALSE)</f>
        <v>transactionDetails</v>
      </c>
      <c r="E883" s="2" t="str">
        <f>VLOOKUP($A883,DICO_Complet!$A$3:$U$983,5,FALSE)</f>
        <v>temp_tagValue</v>
      </c>
      <c r="F883" s="2" t="str">
        <f>VLOOKUP($A883,DICO_Complet!$A$3:$U$983,6,FALSE)</f>
        <v>Max252HexBinaryText</v>
      </c>
      <c r="G883" s="48">
        <f>VLOOKUP($A883,DICO_Complet!$A$3:$U$983,7,FALSE)</f>
        <v>0</v>
      </c>
      <c r="H883" s="48">
        <f>VLOOKUP($A883,DICO_Complet!$A$3:$U$983,8,FALSE)</f>
        <v>0</v>
      </c>
      <c r="I883" s="2" t="str">
        <f>IF(VLOOKUP($A883,DICO_Complet!$A$3:$U$983,9,FALSE)&lt;&gt;0,VLOOKUP($A883,DICO_Complet!$A$3:$U$983,9,FALSE),"")</f>
        <v/>
      </c>
      <c r="J883" s="1" t="str">
        <f>VLOOKUP($A883,DICO_Complet!$A$3:$U$983,10,FALSE)</f>
        <v>Tag value</v>
      </c>
      <c r="K883" s="53" t="str">
        <f>IF(VLOOKUP($A883,DICO_Complet!$A$3:$U$983,12,FALSE)=0,"",VLOOKUP($A883,DICO_Complet!$A$3:$U$983,12,FALSE))</f>
        <v/>
      </c>
      <c r="L883" s="53" t="str">
        <f>IF(VLOOKUP($A883,DICO_Complet!$A$3:$U$983,13,FALSE)=0,"",VLOOKUP($A883,DICO_Complet!$A$3:$U$983,13,FALSE))</f>
        <v/>
      </c>
      <c r="M883" s="53" t="str">
        <f>IF(VLOOKUP($A883,DICO_Complet!$A$3:$U$983,14,FALSE)=0,"",VLOOKUP($A883,DICO_Complet!$A$3:$U$983,14,FALSE))</f>
        <v>72_DF19</v>
      </c>
      <c r="N883" s="53" t="str">
        <f>IF(VLOOKUP($A883,DICO_Complet!$A$3:$U$983,15,FALSE)=0,"",VLOOKUP($A883,DICO_Complet!$A$3:$U$983,15,FALSE))</f>
        <v/>
      </c>
      <c r="O883" s="53" t="str">
        <f>IF(VLOOKUP($A883,DICO_Complet!$A$3:$U$983,16,FALSE)=0,"",VLOOKUP($A883,DICO_Complet!$A$3:$U$983,16,FALSE))</f>
        <v/>
      </c>
      <c r="P883" s="53" t="str">
        <f>IF(VLOOKUP($A883,DICO_Complet!$A$3:$U$983,17,FALSE)=0,"",VLOOKUP($A883,DICO_Complet!$A$3:$U$983,17,FALSE))</f>
        <v/>
      </c>
      <c r="Q883" s="53" t="str">
        <f>IF(VLOOKUP($A883,DICO_Complet!$A$3:$U$983,18,FALSE)=0,"",VLOOKUP($A883,DICO_Complet!$A$3:$U$983,18,FALSE))</f>
        <v/>
      </c>
    </row>
    <row r="884" spans="1:17">
      <c r="A884" s="38">
        <v>241112000221</v>
      </c>
      <c r="B884" s="47" t="s">
        <v>858</v>
      </c>
      <c r="C884" s="3" t="str">
        <f>VLOOKUP($A884,DICO_Complet!$A$3:$U$983,3,FALSE)</f>
        <v>Transaction</v>
      </c>
      <c r="D884" s="3" t="str">
        <f>VLOOKUP($A884,DICO_Complet!$A$3:$U$983,4,FALSE)</f>
        <v>transactionDetails</v>
      </c>
      <c r="E884" s="2" t="str">
        <f>VLOOKUP($A884,DICO_Complet!$A$3:$U$983,5,FALSE)</f>
        <v>terminalTransactionQualifiers</v>
      </c>
      <c r="F884" s="2" t="str">
        <f>VLOOKUP($A884,DICO_Complet!$A$3:$U$983,6,FALSE)</f>
        <v>Exact4HexBinaryText</v>
      </c>
      <c r="G884" s="48">
        <f>VLOOKUP($A884,DICO_Complet!$A$3:$U$983,7,FALSE)</f>
        <v>0</v>
      </c>
      <c r="H884" s="48">
        <f>VLOOKUP($A884,DICO_Complet!$A$3:$U$983,8,FALSE)</f>
        <v>0</v>
      </c>
      <c r="I884" s="2" t="str">
        <f>IF(VLOOKUP($A884,DICO_Complet!$A$3:$U$983,9,FALSE)&lt;&gt;0,VLOOKUP($A884,DICO_Complet!$A$3:$U$983,9,FALSE),"")</f>
        <v/>
      </c>
      <c r="J884" s="1" t="str">
        <f>VLOOKUP($A884,DICO_Complet!$A$3:$U$983,10,FALSE)</f>
        <v>Terminal transaction qualifiers (TTQ)</v>
      </c>
      <c r="K884" s="53" t="str">
        <f>IF(VLOOKUP($A884,DICO_Complet!$A$3:$U$983,12,FALSE)=0,"",VLOOKUP($A884,DICO_Complet!$A$3:$U$983,12,FALSE))</f>
        <v>RSB55_9F66</v>
      </c>
      <c r="L884" s="53" t="str">
        <f>IF(VLOOKUP($A884,DICO_Complet!$A$3:$U$983,13,FALSE)=0,"",VLOOKUP($A884,DICO_Complet!$A$3:$U$983,13,FALSE))</f>
        <v>[55-9F66]</v>
      </c>
      <c r="M884" s="53" t="str">
        <f>IF(VLOOKUP($A884,DICO_Complet!$A$3:$U$983,14,FALSE)=0,"",VLOOKUP($A884,DICO_Complet!$A$3:$U$983,14,FALSE))</f>
        <v/>
      </c>
      <c r="N884" s="53" t="str">
        <f>IF(VLOOKUP($A884,DICO_Complet!$A$3:$U$983,15,FALSE)=0,"",VLOOKUP($A884,DICO_Complet!$A$3:$U$983,15,FALSE))</f>
        <v/>
      </c>
      <c r="O884" s="53" t="str">
        <f>IF(VLOOKUP($A884,DICO_Complet!$A$3:$U$983,16,FALSE)=0,"",VLOOKUP($A884,DICO_Complet!$A$3:$U$983,16,FALSE))</f>
        <v/>
      </c>
      <c r="P884" s="53" t="str">
        <f>IF(VLOOKUP($A884,DICO_Complet!$A$3:$U$983,17,FALSE)=0,"",VLOOKUP($A884,DICO_Complet!$A$3:$U$983,17,FALSE))</f>
        <v/>
      </c>
      <c r="Q884" s="53" t="str">
        <f>IF(VLOOKUP($A884,DICO_Complet!$A$3:$U$983,18,FALSE)=0,"",VLOOKUP($A884,DICO_Complet!$A$3:$U$983,18,FALSE))</f>
        <v/>
      </c>
    </row>
    <row r="885" spans="1:17">
      <c r="A885" s="38">
        <v>250414114700</v>
      </c>
      <c r="B885" s="47" t="s">
        <v>858</v>
      </c>
      <c r="C885" s="3" t="str">
        <f>VLOOKUP($A885,DICO_Complet!$A$3:$U$983,3,FALSE)</f>
        <v>Transaction</v>
      </c>
      <c r="D885" s="3" t="str">
        <f>VLOOKUP($A885,DICO_Complet!$A$3:$U$983,4,FALSE)</f>
        <v>transactionDetails</v>
      </c>
      <c r="E885" s="2" t="str">
        <f>VLOOKUP($A885,DICO_Complet!$A$3:$U$983,5,FALSE)</f>
        <v>tipAmount</v>
      </c>
      <c r="F885" s="2" t="str">
        <f>VLOOKUP($A885,DICO_Complet!$A$3:$U$983,6,FALSE)</f>
        <v>AmountType</v>
      </c>
      <c r="G885" s="48">
        <f>VLOOKUP($A885,DICO_Complet!$A$3:$U$983,7,FALSE)</f>
        <v>0</v>
      </c>
      <c r="H885" s="48">
        <f>VLOOKUP($A885,DICO_Complet!$A$3:$U$983,8,FALSE)</f>
        <v>0</v>
      </c>
      <c r="I885" s="2" t="str">
        <f>IF(VLOOKUP($A885,DICO_Complet!$A$3:$U$983,9,FALSE)&lt;&gt;0,VLOOKUP($A885,DICO_Complet!$A$3:$U$983,9,FALSE),"")</f>
        <v/>
      </c>
      <c r="J885" s="1" t="str">
        <f>VLOOKUP($A885,DICO_Complet!$A$3:$U$983,10,FALSE)</f>
        <v>Tip amount</v>
      </c>
      <c r="K885" s="53" t="str">
        <f>IF(VLOOKUP($A885,DICO_Complet!$A$3:$U$983,12,FALSE)=0,"",VLOOKUP($A885,DICO_Complet!$A$3:$U$983,12,FALSE))</f>
        <v/>
      </c>
      <c r="L885" s="53" t="str">
        <f>IF(VLOOKUP($A885,DICO_Complet!$A$3:$U$983,13,FALSE)=0,"",VLOOKUP($A885,DICO_Complet!$A$3:$U$983,13,FALSE))</f>
        <v/>
      </c>
      <c r="M885" s="53" t="str">
        <f>IF(VLOOKUP($A885,DICO_Complet!$A$3:$U$983,14,FALSE)=0,"",VLOOKUP($A885,DICO_Complet!$A$3:$U$983,14,FALSE))</f>
        <v>54 Amount_44</v>
      </c>
      <c r="N885" s="53" t="str">
        <f>IF(VLOOKUP($A885,DICO_Complet!$A$3:$U$983,15,FALSE)=0,"",VLOOKUP($A885,DICO_Complet!$A$3:$U$983,15,FALSE))</f>
        <v/>
      </c>
      <c r="O885" s="53" t="str">
        <f>IF(VLOOKUP($A885,DICO_Complet!$A$3:$U$983,16,FALSE)=0,"",VLOOKUP($A885,DICO_Complet!$A$3:$U$983,16,FALSE))</f>
        <v/>
      </c>
      <c r="P885" s="53" t="str">
        <f>IF(VLOOKUP($A885,DICO_Complet!$A$3:$U$983,17,FALSE)=0,"",VLOOKUP($A885,DICO_Complet!$A$3:$U$983,17,FALSE))</f>
        <v/>
      </c>
      <c r="Q885" s="53" t="str">
        <f>IF(VLOOKUP($A885,DICO_Complet!$A$3:$U$983,18,FALSE)=0,"",VLOOKUP($A885,DICO_Complet!$A$3:$U$983,18,FALSE))</f>
        <v/>
      </c>
    </row>
    <row r="886" spans="1:17">
      <c r="A886" s="38">
        <v>241112000222</v>
      </c>
      <c r="B886" s="47" t="s">
        <v>858</v>
      </c>
      <c r="C886" s="3" t="str">
        <f>VLOOKUP($A886,DICO_Complet!$A$3:$U$983,3,FALSE)</f>
        <v>Transaction</v>
      </c>
      <c r="D886" s="3" t="str">
        <f>VLOOKUP($A886,DICO_Complet!$A$3:$U$983,4,FALSE)</f>
        <v>transactionDetails</v>
      </c>
      <c r="E886" s="2" t="str">
        <f>VLOOKUP($A886,DICO_Complet!$A$3:$U$983,5,FALSE)</f>
        <v>tokenAuthenticationVerificationValue</v>
      </c>
      <c r="F886" s="2" t="str">
        <f>VLOOKUP($A886,DICO_Complet!$A$3:$U$983,6,FALSE)</f>
        <v>Min4Max40HexBinaryText</v>
      </c>
      <c r="G886" s="48">
        <f>VLOOKUP($A886,DICO_Complet!$A$3:$U$983,7,FALSE)</f>
        <v>0</v>
      </c>
      <c r="H886" s="48">
        <f>VLOOKUP($A886,DICO_Complet!$A$3:$U$983,8,FALSE)</f>
        <v>0</v>
      </c>
      <c r="I886" s="2" t="str">
        <f>IF(VLOOKUP($A886,DICO_Complet!$A$3:$U$983,9,FALSE)&lt;&gt;0,VLOOKUP($A886,DICO_Complet!$A$3:$U$983,9,FALSE),"")</f>
        <v/>
      </c>
      <c r="J886" s="1" t="str">
        <f>VLOOKUP($A886,DICO_Complet!$A$3:$U$983,10,FALSE)</f>
        <v>Token authentification verification value</v>
      </c>
      <c r="K886" s="53" t="str">
        <f>IF(VLOOKUP($A886,DICO_Complet!$A$3:$U$983,12,FALSE)=0,"",VLOOKUP($A886,DICO_Complet!$A$3:$U$983,12,FALSE))</f>
        <v>RSB119_0015</v>
      </c>
      <c r="L886" s="53" t="str">
        <f>IF(VLOOKUP($A886,DICO_Complet!$A$3:$U$983,13,FALSE)=0,"",VLOOKUP($A886,DICO_Complet!$A$3:$U$983,13,FALSE))</f>
        <v>[119-0015]</v>
      </c>
      <c r="M886" s="53" t="str">
        <f>IF(VLOOKUP($A886,DICO_Complet!$A$3:$U$983,14,FALSE)=0,"",VLOOKUP($A886,DICO_Complet!$A$3:$U$983,14,FALSE))</f>
        <v/>
      </c>
      <c r="N886" s="53" t="str">
        <f>IF(VLOOKUP($A886,DICO_Complet!$A$3:$U$983,15,FALSE)=0,"",VLOOKUP($A886,DICO_Complet!$A$3:$U$983,15,FALSE))</f>
        <v/>
      </c>
      <c r="O886" s="53" t="str">
        <f>IF(VLOOKUP($A886,DICO_Complet!$A$3:$U$983,16,FALSE)=0,"",VLOOKUP($A886,DICO_Complet!$A$3:$U$983,16,FALSE))</f>
        <v/>
      </c>
      <c r="P886" s="53" t="str">
        <f>IF(VLOOKUP($A886,DICO_Complet!$A$3:$U$983,17,FALSE)=0,"",VLOOKUP($A886,DICO_Complet!$A$3:$U$983,17,FALSE))</f>
        <v/>
      </c>
      <c r="Q886" s="53" t="str">
        <f>IF(VLOOKUP($A886,DICO_Complet!$A$3:$U$983,18,FALSE)=0,"",VLOOKUP($A886,DICO_Complet!$A$3:$U$983,18,FALSE))</f>
        <v/>
      </c>
    </row>
    <row r="887" spans="1:17">
      <c r="A887" s="38">
        <v>241112000224</v>
      </c>
      <c r="B887" s="47" t="s">
        <v>858</v>
      </c>
      <c r="C887" s="3" t="str">
        <f>VLOOKUP($A887,DICO_Complet!$A$3:$U$983,3,FALSE)</f>
        <v>Transaction</v>
      </c>
      <c r="D887" s="3" t="str">
        <f>VLOOKUP($A887,DICO_Complet!$A$3:$U$983,4,FALSE)</f>
        <v>transactionDetails</v>
      </c>
      <c r="E887" s="2" t="str">
        <f>VLOOKUP($A887,DICO_Complet!$A$3:$U$983,5,FALSE)</f>
        <v>totalAmount</v>
      </c>
      <c r="F887" s="2" t="str">
        <f>VLOOKUP($A887,DICO_Complet!$A$3:$U$983,6,FALSE)</f>
        <v>AmountType</v>
      </c>
      <c r="G887" s="48">
        <f>VLOOKUP($A887,DICO_Complet!$A$3:$U$983,7,FALSE)</f>
        <v>0</v>
      </c>
      <c r="H887" s="48">
        <f>VLOOKUP($A887,DICO_Complet!$A$3:$U$983,8,FALSE)</f>
        <v>0</v>
      </c>
      <c r="I887" s="2" t="str">
        <f>IF(VLOOKUP($A887,DICO_Complet!$A$3:$U$983,9,FALSE)&lt;&gt;0,VLOOKUP($A887,DICO_Complet!$A$3:$U$983,9,FALSE),"")</f>
        <v/>
      </c>
      <c r="J887" s="1" t="str">
        <f>VLOOKUP($A887,DICO_Complet!$A$3:$U$983,10,FALSE)</f>
        <v>Total Amount</v>
      </c>
      <c r="K887" s="53" t="str">
        <f>IF(VLOOKUP($A887,DICO_Complet!$A$3:$U$983,12,FALSE)=0,"",VLOOKUP($A887,DICO_Complet!$A$3:$U$983,12,FALSE))</f>
        <v>ISO 4, ISO49, ISO50</v>
      </c>
      <c r="L887" s="53" t="str">
        <f>IF(VLOOKUP($A887,DICO_Complet!$A$3:$U$983,13,FALSE)=0,"",VLOOKUP($A887,DICO_Complet!$A$3:$U$983,13,FALSE))</f>
        <v>[4, 49, 50]</v>
      </c>
      <c r="M887" s="53" t="str">
        <f>IF(VLOOKUP($A887,DICO_Complet!$A$3:$U$983,14,FALSE)=0,"",VLOOKUP($A887,DICO_Complet!$A$3:$U$983,14,FALSE))</f>
        <v>[4, 49, 50]/54 _ Amount_43</v>
      </c>
      <c r="N887" s="53" t="str">
        <f>IF(VLOOKUP($A887,DICO_Complet!$A$3:$U$983,15,FALSE)=0,"",VLOOKUP($A887,DICO_Complet!$A$3:$U$983,15,FALSE))</f>
        <v/>
      </c>
      <c r="O887" s="53" t="str">
        <f>IF(VLOOKUP($A887,DICO_Complet!$A$3:$U$983,16,FALSE)=0,"",VLOOKUP($A887,DICO_Complet!$A$3:$U$983,16,FALSE))</f>
        <v/>
      </c>
      <c r="P887" s="53" t="str">
        <f>IF(VLOOKUP($A887,DICO_Complet!$A$3:$U$983,17,FALSE)=0,"",VLOOKUP($A887,DICO_Complet!$A$3:$U$983,17,FALSE))</f>
        <v/>
      </c>
      <c r="Q887" s="53" t="str">
        <f>IF(VLOOKUP($A887,DICO_Complet!$A$3:$U$983,18,FALSE)=0,"",VLOOKUP($A887,DICO_Complet!$A$3:$U$983,18,FALSE))</f>
        <v/>
      </c>
    </row>
    <row r="888" spans="1:17">
      <c r="A888" s="38">
        <v>250414115106</v>
      </c>
      <c r="B888" s="47" t="s">
        <v>858</v>
      </c>
      <c r="C888" s="3" t="str">
        <f>VLOOKUP($A888,DICO_Complet!$A$3:$U$983,3,FALSE)</f>
        <v>Transaction</v>
      </c>
      <c r="D888" s="3" t="str">
        <f>VLOOKUP($A888,DICO_Complet!$A$3:$U$983,4,FALSE)</f>
        <v>transactionDetails</v>
      </c>
      <c r="E888" s="2" t="str">
        <f>VLOOKUP($A888,DICO_Complet!$A$3:$U$983,5,FALSE)</f>
        <v>transferService</v>
      </c>
      <c r="F888" s="2" t="str">
        <f>VLOOKUP($A888,DICO_Complet!$A$3:$U$983,6,FALSE)</f>
        <v>AmountType</v>
      </c>
      <c r="G888" s="48">
        <f>VLOOKUP($A888,DICO_Complet!$A$3:$U$983,7,FALSE)</f>
        <v>0</v>
      </c>
      <c r="H888" s="48">
        <f>VLOOKUP($A888,DICO_Complet!$A$3:$U$983,8,FALSE)</f>
        <v>0</v>
      </c>
      <c r="I888" s="2" t="str">
        <f>IF(VLOOKUP($A888,DICO_Complet!$A$3:$U$983,9,FALSE)&lt;&gt;0,VLOOKUP($A888,DICO_Complet!$A$3:$U$983,9,FALSE),"")</f>
        <v/>
      </c>
      <c r="J888" s="1" t="str">
        <f>VLOOKUP($A888,DICO_Complet!$A$3:$U$983,10,FALSE)</f>
        <v>Transfer service</v>
      </c>
      <c r="K888" s="53" t="str">
        <f>IF(VLOOKUP($A888,DICO_Complet!$A$3:$U$983,12,FALSE)=0,"",VLOOKUP($A888,DICO_Complet!$A$3:$U$983,12,FALSE))</f>
        <v/>
      </c>
      <c r="L888" s="53" t="str">
        <f>IF(VLOOKUP($A888,DICO_Complet!$A$3:$U$983,13,FALSE)=0,"",VLOOKUP($A888,DICO_Complet!$A$3:$U$983,13,FALSE))</f>
        <v>54 Amount type 95</v>
      </c>
      <c r="M888" s="53" t="str">
        <f>IF(VLOOKUP($A888,DICO_Complet!$A$3:$U$983,14,FALSE)=0,"",VLOOKUP($A888,DICO_Complet!$A$3:$U$983,14,FALSE))</f>
        <v/>
      </c>
      <c r="N888" s="53" t="str">
        <f>IF(VLOOKUP($A888,DICO_Complet!$A$3:$U$983,15,FALSE)=0,"",VLOOKUP($A888,DICO_Complet!$A$3:$U$983,15,FALSE))</f>
        <v/>
      </c>
      <c r="O888" s="53" t="str">
        <f>IF(VLOOKUP($A888,DICO_Complet!$A$3:$U$983,16,FALSE)=0,"",VLOOKUP($A888,DICO_Complet!$A$3:$U$983,16,FALSE))</f>
        <v/>
      </c>
      <c r="P888" s="53" t="str">
        <f>IF(VLOOKUP($A888,DICO_Complet!$A$3:$U$983,17,FALSE)=0,"",VLOOKUP($A888,DICO_Complet!$A$3:$U$983,17,FALSE))</f>
        <v/>
      </c>
      <c r="Q888" s="53" t="str">
        <f>IF(VLOOKUP($A888,DICO_Complet!$A$3:$U$983,18,FALSE)=0,"",VLOOKUP($A888,DICO_Complet!$A$3:$U$983,18,FALSE))</f>
        <v/>
      </c>
    </row>
    <row r="889" spans="1:17">
      <c r="A889" s="38">
        <v>250317176903</v>
      </c>
      <c r="B889" s="47" t="s">
        <v>858</v>
      </c>
      <c r="C889" s="3" t="str">
        <f>VLOOKUP($A889,DICO_Complet!$A$3:$U$983,3,FALSE)</f>
        <v>Transaction</v>
      </c>
      <c r="D889" s="3" t="str">
        <f>VLOOKUP($A889,DICO_Complet!$A$3:$U$983,4,FALSE)</f>
        <v>transactionDetails</v>
      </c>
      <c r="E889" s="2" t="str">
        <f>VLOOKUP($A889,DICO_Complet!$A$3:$U$983,5,FALSE)</f>
        <v>vrolTransactionReference</v>
      </c>
      <c r="F889" s="2" t="str">
        <f>VLOOKUP($A889,DICO_Complet!$A$3:$U$983,6,FALSE)</f>
        <v>Max35AlphaNumericText</v>
      </c>
      <c r="G889" s="48">
        <f>VLOOKUP($A889,DICO_Complet!$A$3:$U$983,7,FALSE)</f>
        <v>0</v>
      </c>
      <c r="H889" s="48">
        <f>VLOOKUP($A889,DICO_Complet!$A$3:$U$983,8,FALSE)</f>
        <v>0</v>
      </c>
      <c r="I889" s="2" t="str">
        <f>IF(VLOOKUP($A889,DICO_Complet!$A$3:$U$983,9,FALSE)&lt;&gt;0,VLOOKUP($A889,DICO_Complet!$A$3:$U$983,9,FALSE),"")</f>
        <v/>
      </c>
      <c r="J889" s="1" t="str">
        <f>VLOOKUP($A889,DICO_Complet!$A$3:$U$983,10,FALSE)</f>
        <v>VISA Resolve Online transaction reference</v>
      </c>
      <c r="K889" s="53" t="str">
        <f>IF(VLOOKUP($A889,DICO_Complet!$A$3:$U$983,12,FALSE)=0,"",VLOOKUP($A889,DICO_Complet!$A$3:$U$983,12,FALSE))</f>
        <v/>
      </c>
      <c r="L889" s="53" t="str">
        <f>IF(VLOOKUP($A889,DICO_Complet!$A$3:$U$983,13,FALSE)=0,"",VLOOKUP($A889,DICO_Complet!$A$3:$U$983,13,FALSE))</f>
        <v/>
      </c>
      <c r="M889" s="53" t="str">
        <f>IF(VLOOKUP($A889,DICO_Complet!$A$3:$U$983,14,FALSE)=0,"",VLOOKUP($A889,DICO_Complet!$A$3:$U$983,14,FALSE))</f>
        <v/>
      </c>
      <c r="N889" s="53" t="str">
        <f>IF(VLOOKUP($A889,DICO_Complet!$A$3:$U$983,15,FALSE)=0,"",VLOOKUP($A889,DICO_Complet!$A$3:$U$983,15,FALSE))</f>
        <v/>
      </c>
      <c r="O889" s="53" t="str">
        <f>IF(VLOOKUP($A889,DICO_Complet!$A$3:$U$983,16,FALSE)=0,"",VLOOKUP($A889,DICO_Complet!$A$3:$U$983,16,FALSE))</f>
        <v/>
      </c>
      <c r="P889" s="53" t="str">
        <f>IF(VLOOKUP($A889,DICO_Complet!$A$3:$U$983,17,FALSE)=0,"",VLOOKUP($A889,DICO_Complet!$A$3:$U$983,17,FALSE))</f>
        <v/>
      </c>
      <c r="Q889" s="53" t="str">
        <f>IF(VLOOKUP($A889,DICO_Complet!$A$3:$U$983,18,FALSE)=0,"",VLOOKUP($A889,DICO_Complet!$A$3:$U$983,18,FALSE))</f>
        <v/>
      </c>
    </row>
    <row r="890" spans="1:17">
      <c r="A890" s="38">
        <v>241112000226</v>
      </c>
      <c r="B890" s="47" t="s">
        <v>858</v>
      </c>
      <c r="C890" s="3" t="str">
        <f>VLOOKUP($A890,DICO_Complet!$A$3:$U$983,3,FALSE)</f>
        <v>Transaction</v>
      </c>
      <c r="D890" s="3" t="str">
        <f>VLOOKUP($A890,DICO_Complet!$A$3:$U$983,4,FALSE)</f>
        <v>transactionIdentification</v>
      </c>
      <c r="E890" s="2" t="str">
        <f>VLOOKUP($A890,DICO_Complet!$A$3:$U$983,5,FALSE)</f>
        <v>cryptogramDateTime</v>
      </c>
      <c r="F890" s="2" t="str">
        <f>VLOOKUP($A890,DICO_Complet!$A$3:$U$983,6,FALSE)</f>
        <v>ISODateTime</v>
      </c>
      <c r="G890" s="48">
        <f>VLOOKUP($A890,DICO_Complet!$A$3:$U$983,7,FALSE)</f>
        <v>0</v>
      </c>
      <c r="H890" s="48">
        <f>VLOOKUP($A890,DICO_Complet!$A$3:$U$983,8,FALSE)</f>
        <v>0</v>
      </c>
      <c r="I890" s="2" t="str">
        <f>IF(VLOOKUP($A890,DICO_Complet!$A$3:$U$983,9,FALSE)&lt;&gt;0,VLOOKUP($A890,DICO_Complet!$A$3:$U$983,9,FALSE),"")</f>
        <v/>
      </c>
      <c r="J890" s="1" t="str">
        <f>VLOOKUP($A890,DICO_Complet!$A$3:$U$983,10,FALSE)</f>
        <v>Cryptogram entry DATE AND GMT TIME</v>
      </c>
      <c r="K890" s="53" t="str">
        <f>IF(VLOOKUP($A890,DICO_Complet!$A$3:$U$983,12,FALSE)=0,"",VLOOKUP($A890,DICO_Complet!$A$3:$U$983,12,FALSE))</f>
        <v>RSB57_17</v>
      </c>
      <c r="L890" s="53" t="str">
        <f>IF(VLOOKUP($A890,DICO_Complet!$A$3:$U$983,13,FALSE)=0,"",VLOOKUP($A890,DICO_Complet!$A$3:$U$983,13,FALSE))</f>
        <v>[57-0017]</v>
      </c>
      <c r="M890" s="53" t="str">
        <f>IF(VLOOKUP($A890,DICO_Complet!$A$3:$U$983,14,FALSE)=0,"",VLOOKUP($A890,DICO_Complet!$A$3:$U$983,14,FALSE))</f>
        <v/>
      </c>
      <c r="N890" s="53" t="str">
        <f>IF(VLOOKUP($A890,DICO_Complet!$A$3:$U$983,15,FALSE)=0,"",VLOOKUP($A890,DICO_Complet!$A$3:$U$983,15,FALSE))</f>
        <v/>
      </c>
      <c r="O890" s="53" t="str">
        <f>IF(VLOOKUP($A890,DICO_Complet!$A$3:$U$983,16,FALSE)=0,"",VLOOKUP($A890,DICO_Complet!$A$3:$U$983,16,FALSE))</f>
        <v/>
      </c>
      <c r="P890" s="53" t="str">
        <f>IF(VLOOKUP($A890,DICO_Complet!$A$3:$U$983,17,FALSE)=0,"",VLOOKUP($A890,DICO_Complet!$A$3:$U$983,17,FALSE))</f>
        <v/>
      </c>
      <c r="Q890" s="53" t="str">
        <f>IF(VLOOKUP($A890,DICO_Complet!$A$3:$U$983,18,FALSE)=0,"",VLOOKUP($A890,DICO_Complet!$A$3:$U$983,18,FALSE))</f>
        <v/>
      </c>
    </row>
    <row r="891" spans="1:17">
      <c r="A891" s="38">
        <v>241112000227</v>
      </c>
      <c r="B891" s="47" t="s">
        <v>858</v>
      </c>
      <c r="C891" s="3" t="str">
        <f>VLOOKUP($A891,DICO_Complet!$A$3:$U$983,3,FALSE)</f>
        <v>Transaction</v>
      </c>
      <c r="D891" s="3" t="str">
        <f>VLOOKUP($A891,DICO_Complet!$A$3:$U$983,4,FALSE)</f>
        <v>transactionIdentification</v>
      </c>
      <c r="E891" s="2" t="str">
        <f>VLOOKUP($A891,DICO_Complet!$A$3:$U$983,5,FALSE)</f>
        <v>ecommerceTransactionId</v>
      </c>
      <c r="F891" s="2" t="str">
        <f>VLOOKUP($A891,DICO_Complet!$A$3:$U$983,6,FALSE)</f>
        <v>Min4Max40HexBinaryText</v>
      </c>
      <c r="G891" s="48">
        <f>VLOOKUP($A891,DICO_Complet!$A$3:$U$983,7,FALSE)</f>
        <v>0</v>
      </c>
      <c r="H891" s="48">
        <f>VLOOKUP($A891,DICO_Complet!$A$3:$U$983,8,FALSE)</f>
        <v>0</v>
      </c>
      <c r="I891" s="2" t="str">
        <f>IF(VLOOKUP($A891,DICO_Complet!$A$3:$U$983,9,FALSE)&lt;&gt;0,VLOOKUP($A891,DICO_Complet!$A$3:$U$983,9,FALSE),"")</f>
        <v/>
      </c>
      <c r="J891" s="1" t="str">
        <f>VLOOKUP($A891,DICO_Complet!$A$3:$U$983,10,FALSE)</f>
        <v>Transaction identifier or cryptogram supplied by the acceptor</v>
      </c>
      <c r="K891" s="53" t="str">
        <f>IF(VLOOKUP($A891,DICO_Complet!$A$3:$U$983,12,FALSE)=0,"",VLOOKUP($A891,DICO_Complet!$A$3:$U$983,12,FALSE))</f>
        <v>RSB59_400</v>
      </c>
      <c r="L891" s="53" t="str">
        <f>IF(VLOOKUP($A891,DICO_Complet!$A$3:$U$983,13,FALSE)=0,"",VLOOKUP($A891,DICO_Complet!$A$3:$U$983,13,FALSE))</f>
        <v>[59-0400]</v>
      </c>
      <c r="M891" s="53" t="str">
        <f>IF(VLOOKUP($A891,DICO_Complet!$A$3:$U$983,14,FALSE)=0,"",VLOOKUP($A891,DICO_Complet!$A$3:$U$983,14,FALSE))</f>
        <v/>
      </c>
      <c r="N891" s="53" t="str">
        <f>IF(VLOOKUP($A891,DICO_Complet!$A$3:$U$983,15,FALSE)=0,"",VLOOKUP($A891,DICO_Complet!$A$3:$U$983,15,FALSE))</f>
        <v/>
      </c>
      <c r="O891" s="53" t="str">
        <f>IF(VLOOKUP($A891,DICO_Complet!$A$3:$U$983,16,FALSE)=0,"",VLOOKUP($A891,DICO_Complet!$A$3:$U$983,16,FALSE))</f>
        <v/>
      </c>
      <c r="P891" s="53" t="str">
        <f>IF(VLOOKUP($A891,DICO_Complet!$A$3:$U$983,17,FALSE)=0,"",VLOOKUP($A891,DICO_Complet!$A$3:$U$983,17,FALSE))</f>
        <v/>
      </c>
      <c r="Q891" s="53" t="str">
        <f>IF(VLOOKUP($A891,DICO_Complet!$A$3:$U$983,18,FALSE)=0,"",VLOOKUP($A891,DICO_Complet!$A$3:$U$983,18,FALSE))</f>
        <v/>
      </c>
    </row>
    <row r="892" spans="1:17">
      <c r="A892" s="38">
        <v>241112000228</v>
      </c>
      <c r="B892" s="47" t="s">
        <v>858</v>
      </c>
      <c r="C892" s="3" t="str">
        <f>VLOOKUP($A892,DICO_Complet!$A$3:$U$983,3,FALSE)</f>
        <v>Transaction</v>
      </c>
      <c r="D892" s="3" t="str">
        <f>VLOOKUP($A892,DICO_Complet!$A$3:$U$983,4,FALSE)</f>
        <v>transactionIdentification</v>
      </c>
      <c r="E892" s="2" t="str">
        <f>VLOOKUP($A892,DICO_Complet!$A$3:$U$983,5,FALSE)</f>
        <v>localDateTime</v>
      </c>
      <c r="F892" s="2" t="str">
        <f>VLOOKUP($A892,DICO_Complet!$A$3:$U$983,6,FALSE)</f>
        <v>ISODateTime</v>
      </c>
      <c r="G892" s="48">
        <f>VLOOKUP($A892,DICO_Complet!$A$3:$U$983,7,FALSE)</f>
        <v>0</v>
      </c>
      <c r="H892" s="48">
        <f>VLOOKUP($A892,DICO_Complet!$A$3:$U$983,8,FALSE)</f>
        <v>0</v>
      </c>
      <c r="I892" s="2" t="str">
        <f>IF(VLOOKUP($A892,DICO_Complet!$A$3:$U$983,9,FALSE)&lt;&gt;0,VLOOKUP($A892,DICO_Complet!$A$3:$U$983,9,FALSE),"")</f>
        <v/>
      </c>
      <c r="J892" s="1" t="str">
        <f>VLOOKUP($A892,DICO_Complet!$A$3:$U$983,10,FALSE)</f>
        <v>Date Time in local region</v>
      </c>
      <c r="K892" s="53" t="str">
        <f>IF(VLOOKUP($A892,DICO_Complet!$A$3:$U$983,12,FALSE)=0,"",VLOOKUP($A892,DICO_Complet!$A$3:$U$983,12,FALSE))</f>
        <v>ISO12, ISO13, RSB59_102</v>
      </c>
      <c r="L892" s="53" t="str">
        <f>IF(VLOOKUP($A892,DICO_Complet!$A$3:$U$983,13,FALSE)=0,"",VLOOKUP($A892,DICO_Complet!$A$3:$U$983,13,FALSE))</f>
        <v>[12;13;59-0102]</v>
      </c>
      <c r="M892" s="53" t="str">
        <f>IF(VLOOKUP($A892,DICO_Complet!$A$3:$U$983,14,FALSE)=0,"",VLOOKUP($A892,DICO_Complet!$A$3:$U$983,14,FALSE))</f>
        <v>[12, 13, 47.07]/814_champ 12</v>
      </c>
      <c r="N892" s="53" t="str">
        <f>IF(VLOOKUP($A892,DICO_Complet!$A$3:$U$983,15,FALSE)=0,"",VLOOKUP($A892,DICO_Complet!$A$3:$U$983,15,FALSE))</f>
        <v/>
      </c>
      <c r="O892" s="53" t="str">
        <f>IF(VLOOKUP($A892,DICO_Complet!$A$3:$U$983,16,FALSE)=0,"",VLOOKUP($A892,DICO_Complet!$A$3:$U$983,16,FALSE))</f>
        <v/>
      </c>
      <c r="P892" s="53" t="str">
        <f>IF(VLOOKUP($A892,DICO_Complet!$A$3:$U$983,17,FALSE)=0,"",VLOOKUP($A892,DICO_Complet!$A$3:$U$983,17,FALSE))</f>
        <v/>
      </c>
      <c r="Q892" s="53" t="str">
        <f>IF(VLOOKUP($A892,DICO_Complet!$A$3:$U$983,18,FALSE)=0,"",VLOOKUP($A892,DICO_Complet!$A$3:$U$983,18,FALSE))</f>
        <v/>
      </c>
    </row>
    <row r="893" spans="1:17">
      <c r="A893" s="38">
        <v>250418220184</v>
      </c>
      <c r="B893" s="47" t="s">
        <v>858</v>
      </c>
      <c r="C893" s="3" t="str">
        <f>VLOOKUP($A893,DICO_Complet!$A$3:$U$983,3,FALSE)</f>
        <v>Transaction</v>
      </c>
      <c r="D893" s="3" t="str">
        <f>VLOOKUP($A893,DICO_Complet!$A$3:$U$983,4,FALSE)</f>
        <v>transactionIdentification</v>
      </c>
      <c r="E893" s="2" t="str">
        <f>VLOOKUP($A893,DICO_Complet!$A$3:$U$983,5,FALSE)</f>
        <v>stampingReference</v>
      </c>
      <c r="F893" s="2" t="str">
        <f>VLOOKUP($A893,DICO_Complet!$A$3:$U$983,6,FALSE)</f>
        <v>Exact16AlphaNumericText</v>
      </c>
      <c r="G893" s="48">
        <f>VLOOKUP($A893,DICO_Complet!$A$3:$U$983,7,FALSE)</f>
        <v>0</v>
      </c>
      <c r="H893" s="48">
        <f>VLOOKUP($A893,DICO_Complet!$A$3:$U$983,8,FALSE)</f>
        <v>0</v>
      </c>
      <c r="I893" s="2" t="str">
        <f>IF(VLOOKUP($A893,DICO_Complet!$A$3:$U$983,9,FALSE)&lt;&gt;0,VLOOKUP($A893,DICO_Complet!$A$3:$U$983,9,FALSE),"")</f>
        <v/>
      </c>
      <c r="J893" s="1" t="str">
        <f>VLOOKUP($A893,DICO_Complet!$A$3:$U$983,10,FALSE)</f>
        <v>Reference d'estampillage transaction</v>
      </c>
      <c r="K893" s="53" t="str">
        <f>IF(VLOOKUP($A893,DICO_Complet!$A$3:$U$983,12,FALSE)=0,"",VLOOKUP($A893,DICO_Complet!$A$3:$U$983,12,FALSE))</f>
        <v/>
      </c>
      <c r="L893" s="53" t="str">
        <f>IF(VLOOKUP($A893,DICO_Complet!$A$3:$U$983,13,FALSE)=0,"",VLOOKUP($A893,DICO_Complet!$A$3:$U$983,13,FALSE))</f>
        <v/>
      </c>
      <c r="M893" s="53" t="str">
        <f>IF(VLOOKUP($A893,DICO_Complet!$A$3:$U$983,14,FALSE)=0,"",VLOOKUP($A893,DICO_Complet!$A$3:$U$983,14,FALSE))</f>
        <v/>
      </c>
      <c r="N893" s="53" t="str">
        <f>IF(VLOOKUP($A893,DICO_Complet!$A$3:$U$983,15,FALSE)=0,"",VLOOKUP($A893,DICO_Complet!$A$3:$U$983,15,FALSE))</f>
        <v/>
      </c>
      <c r="O893" s="53" t="str">
        <f>IF(VLOOKUP($A893,DICO_Complet!$A$3:$U$983,16,FALSE)=0,"",VLOOKUP($A893,DICO_Complet!$A$3:$U$983,16,FALSE))</f>
        <v/>
      </c>
      <c r="P893" s="53" t="str">
        <f>IF(VLOOKUP($A893,DICO_Complet!$A$3:$U$983,17,FALSE)=0,"",VLOOKUP($A893,DICO_Complet!$A$3:$U$983,17,FALSE))</f>
        <v/>
      </c>
      <c r="Q893" s="53" t="str">
        <f>IF(VLOOKUP($A893,DICO_Complet!$A$3:$U$983,18,FALSE)=0,"",VLOOKUP($A893,DICO_Complet!$A$3:$U$983,18,FALSE))</f>
        <v>CNRFO1</v>
      </c>
    </row>
    <row r="894" spans="1:17">
      <c r="A894" s="38">
        <v>250418220183</v>
      </c>
      <c r="B894" s="47" t="s">
        <v>858</v>
      </c>
      <c r="C894" s="3" t="str">
        <f>VLOOKUP($A894,DICO_Complet!$A$3:$U$983,3,FALSE)</f>
        <v>Transaction</v>
      </c>
      <c r="D894" s="3" t="str">
        <f>VLOOKUP($A894,DICO_Complet!$A$3:$U$983,4,FALSE)</f>
        <v>transactionIdentification</v>
      </c>
      <c r="E894" s="2" t="str">
        <f>VLOOKUP($A894,DICO_Complet!$A$3:$U$983,5,FALSE)</f>
        <v>temp_linkedTransactionStampingReference</v>
      </c>
      <c r="F894" s="2" t="str">
        <f>VLOOKUP($A894,DICO_Complet!$A$3:$U$983,6,FALSE)</f>
        <v>Exact16AlphaNumericText</v>
      </c>
      <c r="G894" s="48">
        <f>VLOOKUP($A894,DICO_Complet!$A$3:$U$983,7,FALSE)</f>
        <v>0</v>
      </c>
      <c r="H894" s="48">
        <f>VLOOKUP($A894,DICO_Complet!$A$3:$U$983,8,FALSE)</f>
        <v>0</v>
      </c>
      <c r="I894" s="2" t="str">
        <f>IF(VLOOKUP($A894,DICO_Complet!$A$3:$U$983,9,FALSE)&lt;&gt;0,VLOOKUP($A894,DICO_Complet!$A$3:$U$983,9,FALSE),"")</f>
        <v/>
      </c>
      <c r="J894" s="1" t="str">
        <f>VLOOKUP($A894,DICO_Complet!$A$3:$U$983,10,FALSE)</f>
        <v>Reference d'estampillage transaction asssociee</v>
      </c>
      <c r="K894" s="53" t="str">
        <f>IF(VLOOKUP($A894,DICO_Complet!$A$3:$U$983,12,FALSE)=0,"",VLOOKUP($A894,DICO_Complet!$A$3:$U$983,12,FALSE))</f>
        <v/>
      </c>
      <c r="L894" s="53" t="str">
        <f>IF(VLOOKUP($A894,DICO_Complet!$A$3:$U$983,13,FALSE)=0,"",VLOOKUP($A894,DICO_Complet!$A$3:$U$983,13,FALSE))</f>
        <v/>
      </c>
      <c r="M894" s="53" t="str">
        <f>IF(VLOOKUP($A894,DICO_Complet!$A$3:$U$983,14,FALSE)=0,"",VLOOKUP($A894,DICO_Complet!$A$3:$U$983,14,FALSE))</f>
        <v/>
      </c>
      <c r="N894" s="53" t="str">
        <f>IF(VLOOKUP($A894,DICO_Complet!$A$3:$U$983,15,FALSE)=0,"",VLOOKUP($A894,DICO_Complet!$A$3:$U$983,15,FALSE))</f>
        <v/>
      </c>
      <c r="O894" s="53" t="str">
        <f>IF(VLOOKUP($A894,DICO_Complet!$A$3:$U$983,16,FALSE)=0,"",VLOOKUP($A894,DICO_Complet!$A$3:$U$983,16,FALSE))</f>
        <v/>
      </c>
      <c r="P894" s="53" t="str">
        <f>IF(VLOOKUP($A894,DICO_Complet!$A$3:$U$983,17,FALSE)=0,"",VLOOKUP($A894,DICO_Complet!$A$3:$U$983,17,FALSE))</f>
        <v/>
      </c>
      <c r="Q894" s="53" t="str">
        <f>IF(VLOOKUP($A894,DICO_Complet!$A$3:$U$983,18,FALSE)=0,"",VLOOKUP($A894,DICO_Complet!$A$3:$U$983,18,FALSE))</f>
        <v>CNRFO1</v>
      </c>
    </row>
    <row r="895" spans="1:17">
      <c r="A895" s="38">
        <v>241112000229</v>
      </c>
      <c r="B895" s="47" t="s">
        <v>858</v>
      </c>
      <c r="C895" s="3" t="str">
        <f>VLOOKUP($A895,DICO_Complet!$A$3:$U$983,3,FALSE)</f>
        <v>Transaction</v>
      </c>
      <c r="D895" s="3" t="str">
        <f>VLOOKUP($A895,DICO_Complet!$A$3:$U$983,4,FALSE)</f>
        <v>transactionIdentification</v>
      </c>
      <c r="E895" s="2" t="str">
        <f>VLOOKUP($A895,DICO_Complet!$A$3:$U$983,5,FALSE)</f>
        <v>transactionReference</v>
      </c>
      <c r="F895" s="2" t="str">
        <f>VLOOKUP($A895,DICO_Complet!$A$3:$U$983,6,FALSE)</f>
        <v>Max35Text</v>
      </c>
      <c r="G895" s="48">
        <f>VLOOKUP($A895,DICO_Complet!$A$3:$U$983,7,FALSE)</f>
        <v>0</v>
      </c>
      <c r="H895" s="48">
        <f>VLOOKUP($A895,DICO_Complet!$A$3:$U$983,8,FALSE)</f>
        <v>0</v>
      </c>
      <c r="I895" s="2" t="str">
        <f>IF(VLOOKUP($A895,DICO_Complet!$A$3:$U$983,9,FALSE)&lt;&gt;0,VLOOKUP($A895,DICO_Complet!$A$3:$U$983,9,FALSE),"")</f>
        <v/>
      </c>
      <c r="J895" s="1" t="str">
        <f>VLOOKUP($A895,DICO_Complet!$A$3:$U$983,10,FALSE)</f>
        <v>Transaction Reference</v>
      </c>
      <c r="K895" s="53" t="str">
        <f>IF(VLOOKUP($A895,DICO_Complet!$A$3:$U$983,12,FALSE)=0,"",VLOOKUP($A895,DICO_Complet!$A$3:$U$983,12,FALSE))</f>
        <v>ISO11</v>
      </c>
      <c r="L895" s="53" t="str">
        <f>IF(VLOOKUP($A895,DICO_Complet!$A$3:$U$983,13,FALSE)=0,"",VLOOKUP($A895,DICO_Complet!$A$3:$U$983,13,FALSE))</f>
        <v>[11]</v>
      </c>
      <c r="M895" s="53" t="str">
        <f>IF(VLOOKUP($A895,DICO_Complet!$A$3:$U$983,14,FALSE)=0,"",VLOOKUP($A895,DICO_Complet!$A$3:$U$983,14,FALSE))</f>
        <v/>
      </c>
      <c r="N895" s="53" t="str">
        <f>IF(VLOOKUP($A895,DICO_Complet!$A$3:$U$983,15,FALSE)=0,"",VLOOKUP($A895,DICO_Complet!$A$3:$U$983,15,FALSE))</f>
        <v/>
      </c>
      <c r="O895" s="53" t="str">
        <f>IF(VLOOKUP($A895,DICO_Complet!$A$3:$U$983,16,FALSE)=0,"",VLOOKUP($A895,DICO_Complet!$A$3:$U$983,16,FALSE))</f>
        <v/>
      </c>
      <c r="P895" s="53" t="str">
        <f>IF(VLOOKUP($A895,DICO_Complet!$A$3:$U$983,17,FALSE)=0,"",VLOOKUP($A895,DICO_Complet!$A$3:$U$983,17,FALSE))</f>
        <v/>
      </c>
      <c r="Q895" s="53" t="str">
        <f>IF(VLOOKUP($A895,DICO_Complet!$A$3:$U$983,18,FALSE)=0,"",VLOOKUP($A895,DICO_Complet!$A$3:$U$983,18,FALSE))</f>
        <v/>
      </c>
    </row>
    <row r="896" spans="1:17">
      <c r="A896" s="38">
        <v>241112000230</v>
      </c>
      <c r="B896" s="47" t="s">
        <v>858</v>
      </c>
      <c r="C896" s="3" t="str">
        <f>VLOOKUP($A896,DICO_Complet!$A$3:$U$983,3,FALSE)</f>
        <v>Transaction</v>
      </c>
      <c r="D896" s="3" t="str">
        <f>VLOOKUP($A896,DICO_Complet!$A$3:$U$983,4,FALSE)</f>
        <v>transactionIdentification</v>
      </c>
      <c r="E896" s="2" t="str">
        <f>VLOOKUP($A896,DICO_Complet!$A$3:$U$983,5,FALSE)</f>
        <v>transmissionGmtDateTime</v>
      </c>
      <c r="F896" s="2" t="str">
        <f>VLOOKUP($A896,DICO_Complet!$A$3:$U$983,6,FALSE)</f>
        <v>ISODateTime</v>
      </c>
      <c r="G896" s="48">
        <f>VLOOKUP($A896,DICO_Complet!$A$3:$U$983,7,FALSE)</f>
        <v>0</v>
      </c>
      <c r="H896" s="48">
        <f>VLOOKUP($A896,DICO_Complet!$A$3:$U$983,8,FALSE)</f>
        <v>0</v>
      </c>
      <c r="I896" s="2" t="str">
        <f>IF(VLOOKUP($A896,DICO_Complet!$A$3:$U$983,9,FALSE)&lt;&gt;0,VLOOKUP($A896,DICO_Complet!$A$3:$U$983,9,FALSE),"")</f>
        <v/>
      </c>
      <c r="J896" s="1" t="str">
        <f>VLOOKUP($A896,DICO_Complet!$A$3:$U$983,10,FALSE)</f>
        <v>Transmission date and time GMT</v>
      </c>
      <c r="K896" s="53" t="str">
        <f>IF(VLOOKUP($A896,DICO_Complet!$A$3:$U$983,12,FALSE)=0,"",VLOOKUP($A896,DICO_Complet!$A$3:$U$983,12,FALSE))</f>
        <v>ISO7</v>
      </c>
      <c r="L896" s="53" t="str">
        <f>IF(VLOOKUP($A896,DICO_Complet!$A$3:$U$983,13,FALSE)=0,"",VLOOKUP($A896,DICO_Complet!$A$3:$U$983,13,FALSE))</f>
        <v>[7]</v>
      </c>
      <c r="M896" s="53" t="str">
        <f>IF(VLOOKUP($A896,DICO_Complet!$A$3:$U$983,14,FALSE)=0,"",VLOOKUP($A896,DICO_Complet!$A$3:$U$983,14,FALSE))</f>
        <v/>
      </c>
      <c r="N896" s="53" t="str">
        <f>IF(VLOOKUP($A896,DICO_Complet!$A$3:$U$983,15,FALSE)=0,"",VLOOKUP($A896,DICO_Complet!$A$3:$U$983,15,FALSE))</f>
        <v/>
      </c>
      <c r="O896" s="53" t="str">
        <f>IF(VLOOKUP($A896,DICO_Complet!$A$3:$U$983,16,FALSE)=0,"",VLOOKUP($A896,DICO_Complet!$A$3:$U$983,16,FALSE))</f>
        <v/>
      </c>
      <c r="P896" s="53" t="str">
        <f>IF(VLOOKUP($A896,DICO_Complet!$A$3:$U$983,17,FALSE)=0,"",VLOOKUP($A896,DICO_Complet!$A$3:$U$983,17,FALSE))</f>
        <v/>
      </c>
      <c r="Q896" s="53" t="str">
        <f>IF(VLOOKUP($A896,DICO_Complet!$A$3:$U$983,18,FALSE)=0,"",VLOOKUP($A896,DICO_Complet!$A$3:$U$983,18,FALSE))</f>
        <v/>
      </c>
    </row>
    <row r="897" spans="1:17">
      <c r="A897" s="38"/>
      <c r="B897" s="47"/>
      <c r="C897" s="3"/>
      <c r="D897" s="3"/>
      <c r="F897" s="2"/>
      <c r="J897" s="1"/>
      <c r="K897" s="53"/>
      <c r="L897" s="53"/>
      <c r="M897" s="53"/>
      <c r="N897" s="53"/>
      <c r="O897" s="53"/>
      <c r="P897" s="53"/>
      <c r="Q897" s="53"/>
    </row>
    <row r="898" spans="1:17">
      <c r="A898" s="38"/>
      <c r="B898" s="47"/>
      <c r="C898" s="3"/>
      <c r="D898" s="3"/>
      <c r="F898" s="2"/>
      <c r="J898" s="1"/>
      <c r="K898" s="53"/>
      <c r="L898" s="53"/>
      <c r="M898" s="53"/>
      <c r="N898" s="53"/>
      <c r="O898" s="53"/>
      <c r="P898" s="53"/>
      <c r="Q898" s="53"/>
    </row>
    <row r="899" spans="1:17">
      <c r="A899" s="38"/>
      <c r="B899" s="47"/>
      <c r="C899" s="3"/>
      <c r="D899" s="3"/>
      <c r="F899" s="2"/>
      <c r="J899" s="1"/>
      <c r="K899" s="53"/>
      <c r="L899" s="53"/>
      <c r="M899" s="53"/>
      <c r="N899" s="53"/>
      <c r="O899" s="53"/>
      <c r="P899" s="53"/>
      <c r="Q899" s="53"/>
    </row>
    <row r="900" spans="1:17">
      <c r="A900" s="38"/>
      <c r="B900" s="47"/>
      <c r="C900" s="3"/>
      <c r="D900" s="3"/>
      <c r="F900" s="2"/>
      <c r="J900" s="1"/>
      <c r="K900" s="53"/>
      <c r="L900" s="53"/>
      <c r="M900" s="53"/>
      <c r="N900" s="53"/>
      <c r="O900" s="53"/>
      <c r="P900" s="53"/>
      <c r="Q900" s="53"/>
    </row>
    <row r="901" spans="1:17">
      <c r="A901" s="38"/>
      <c r="B901" s="47"/>
      <c r="C901" s="3"/>
      <c r="D901" s="3"/>
      <c r="F901" s="2"/>
      <c r="J901" s="1"/>
      <c r="K901" s="53"/>
      <c r="L901" s="53"/>
      <c r="M901" s="53"/>
      <c r="N901" s="53"/>
      <c r="O901" s="53"/>
      <c r="P901" s="53"/>
      <c r="Q901" s="53"/>
    </row>
    <row r="902" spans="1:17">
      <c r="A902" s="38"/>
      <c r="B902" s="47"/>
      <c r="C902" s="3"/>
      <c r="D902" s="3"/>
      <c r="F902" s="2"/>
      <c r="G902" s="141"/>
      <c r="H902" s="141"/>
      <c r="I902" s="7"/>
      <c r="J902" s="1"/>
      <c r="K902" s="53"/>
      <c r="L902" s="53"/>
      <c r="M902" s="53"/>
      <c r="N902" s="53"/>
      <c r="O902" s="53"/>
      <c r="P902" s="53"/>
      <c r="Q902" s="53"/>
    </row>
    <row r="903" spans="1:17">
      <c r="A903" s="38"/>
      <c r="B903" s="47"/>
      <c r="C903" s="51"/>
      <c r="D903" s="1"/>
      <c r="E903" s="1"/>
      <c r="F903" s="1"/>
      <c r="G903" s="141"/>
      <c r="H903" s="141"/>
      <c r="I903" s="7"/>
      <c r="J903" s="1"/>
      <c r="K903" s="53"/>
      <c r="L903" s="53"/>
      <c r="M903" s="53"/>
      <c r="N903" s="53"/>
      <c r="O903" s="53"/>
      <c r="P903" s="53"/>
      <c r="Q903" s="53"/>
    </row>
    <row r="904" spans="1:17">
      <c r="A904" s="38"/>
      <c r="B904" s="47"/>
      <c r="C904" s="51"/>
      <c r="D904" s="1"/>
      <c r="E904" s="1"/>
      <c r="F904" s="1"/>
      <c r="G904" s="141"/>
      <c r="H904" s="141"/>
      <c r="I904" s="7"/>
      <c r="J904" s="1"/>
      <c r="K904" s="53"/>
      <c r="L904" s="53"/>
      <c r="M904" s="53"/>
      <c r="N904" s="53"/>
      <c r="O904" s="53"/>
      <c r="P904" s="53"/>
      <c r="Q904" s="53"/>
    </row>
  </sheetData>
  <mergeCells count="1">
    <mergeCell ref="C1:Q1"/>
  </mergeCell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4B0F6-F140-4DA5-8B50-E147DBE52DBE}">
  <sheetPr codeName="Feuil24">
    <tabColor rgb="FF0070C0"/>
  </sheetPr>
  <dimension ref="A2:T3126"/>
  <sheetViews>
    <sheetView tabSelected="1" zoomScale="115" zoomScaleNormal="115" workbookViewId="0">
      <pane ySplit="2" topLeftCell="A434" activePane="bottomLeft" state="frozen"/>
      <selection pane="bottomLeft" activeCell="E903" sqref="E903"/>
    </sheetView>
  </sheetViews>
  <sheetFormatPr defaultColWidth="10.7109375" defaultRowHeight="14.45"/>
  <cols>
    <col min="1" max="1" width="16.7109375" style="2" customWidth="1"/>
    <col min="2" max="2" width="12.28515625" style="48" hidden="1" customWidth="1"/>
    <col min="3" max="3" width="19.7109375" style="2" bestFit="1" customWidth="1"/>
    <col min="4" max="4" width="30.42578125" customWidth="1"/>
    <col min="5" max="5" width="57.7109375" style="2" customWidth="1"/>
    <col min="6" max="6" width="66.42578125" style="4" customWidth="1"/>
    <col min="7" max="7" width="22.7109375" style="4" hidden="1" customWidth="1"/>
    <col min="8" max="8" width="8.7109375" style="48" hidden="1" customWidth="1"/>
    <col min="9" max="9" width="15.42578125" style="48" customWidth="1"/>
    <col min="10" max="10" width="56" style="48" customWidth="1"/>
    <col min="11" max="11" width="29.5703125" style="4" customWidth="1"/>
    <col min="12" max="12" width="16.5703125" style="4" customWidth="1"/>
    <col min="13" max="13" width="17.7109375" style="2" customWidth="1"/>
    <col min="14" max="14" width="29.42578125" style="2" customWidth="1"/>
    <col min="15" max="15" width="12.28515625" style="2" customWidth="1"/>
    <col min="16" max="16" width="11.28515625" style="2" customWidth="1"/>
    <col min="17" max="17" width="11.42578125" style="2" customWidth="1"/>
    <col min="18" max="18" width="10.7109375" style="2" customWidth="1"/>
    <col min="19" max="19" width="10.7109375" style="48"/>
    <col min="20" max="20" width="18.42578125" style="2" customWidth="1"/>
    <col min="21" max="16384" width="10.7109375" style="2"/>
  </cols>
  <sheetData>
    <row r="2" spans="1:20" ht="45" customHeight="1">
      <c r="A2" s="3" t="s">
        <v>840</v>
      </c>
      <c r="B2" s="142" t="s">
        <v>859</v>
      </c>
      <c r="C2" s="50" t="s">
        <v>842</v>
      </c>
      <c r="D2" s="50" t="s">
        <v>843</v>
      </c>
      <c r="E2" s="50" t="s">
        <v>844</v>
      </c>
      <c r="F2" s="50" t="s">
        <v>845</v>
      </c>
      <c r="G2" s="50" t="s">
        <v>860</v>
      </c>
      <c r="H2" s="50" t="s">
        <v>861</v>
      </c>
      <c r="I2" s="50" t="s">
        <v>862</v>
      </c>
      <c r="J2" s="49" t="s">
        <v>849</v>
      </c>
      <c r="K2" s="49" t="s">
        <v>863</v>
      </c>
      <c r="L2" s="49" t="s">
        <v>850</v>
      </c>
      <c r="M2" s="49" t="s">
        <v>851</v>
      </c>
      <c r="N2" s="49" t="s">
        <v>852</v>
      </c>
      <c r="O2" s="49" t="s">
        <v>853</v>
      </c>
      <c r="P2" s="49" t="s">
        <v>864</v>
      </c>
      <c r="Q2" s="49" t="s">
        <v>855</v>
      </c>
      <c r="R2" s="49" t="s">
        <v>856</v>
      </c>
      <c r="S2" s="50" t="s">
        <v>865</v>
      </c>
      <c r="T2" s="50" t="s">
        <v>866</v>
      </c>
    </row>
    <row r="3" spans="1:20" hidden="1">
      <c r="A3" s="38">
        <v>241112000000</v>
      </c>
      <c r="B3" s="147" t="s">
        <v>867</v>
      </c>
      <c r="C3" s="3" t="s">
        <v>868</v>
      </c>
      <c r="D3" s="3" t="s">
        <v>869</v>
      </c>
      <c r="E3" s="2" t="s">
        <v>870</v>
      </c>
      <c r="F3" s="2" t="s">
        <v>871</v>
      </c>
      <c r="G3" s="148"/>
      <c r="H3" s="148"/>
      <c r="J3" s="1" t="s">
        <v>870</v>
      </c>
      <c r="K3" s="10"/>
      <c r="L3" s="13"/>
      <c r="M3" s="7"/>
      <c r="N3" s="7"/>
      <c r="O3" s="7"/>
      <c r="P3" s="7"/>
      <c r="Q3" s="7"/>
      <c r="R3" s="7"/>
      <c r="S3" s="141"/>
      <c r="T3" s="7"/>
    </row>
    <row r="4" spans="1:20" hidden="1">
      <c r="A4" s="38">
        <v>241112000001</v>
      </c>
      <c r="B4" s="147" t="s">
        <v>867</v>
      </c>
      <c r="C4" s="3" t="s">
        <v>868</v>
      </c>
      <c r="D4" s="3" t="s">
        <v>869</v>
      </c>
      <c r="E4" s="2" t="s">
        <v>872</v>
      </c>
      <c r="F4" s="2" t="s">
        <v>873</v>
      </c>
      <c r="G4" s="148"/>
      <c r="H4" s="148"/>
      <c r="J4" s="1" t="s">
        <v>874</v>
      </c>
      <c r="K4" s="10"/>
      <c r="L4" s="13"/>
      <c r="M4" s="7"/>
      <c r="N4" s="7"/>
      <c r="O4" s="7"/>
      <c r="P4" s="7"/>
      <c r="Q4" s="7"/>
      <c r="R4" s="7"/>
      <c r="S4" s="141"/>
      <c r="T4" s="7"/>
    </row>
    <row r="5" spans="1:20" ht="15" hidden="1" customHeight="1">
      <c r="A5" s="38">
        <v>241112000003</v>
      </c>
      <c r="B5" s="147" t="s">
        <v>867</v>
      </c>
      <c r="C5" s="3" t="s">
        <v>868</v>
      </c>
      <c r="D5" s="3" t="s">
        <v>869</v>
      </c>
      <c r="E5" s="2" t="s">
        <v>875</v>
      </c>
      <c r="F5" s="2" t="s">
        <v>876</v>
      </c>
      <c r="G5" s="148"/>
      <c r="H5" s="148"/>
      <c r="J5" s="1" t="s">
        <v>877</v>
      </c>
      <c r="K5" s="10"/>
      <c r="L5" s="13"/>
      <c r="M5" s="7"/>
      <c r="N5" s="7"/>
      <c r="O5" s="7"/>
      <c r="P5" s="7"/>
      <c r="Q5" s="7"/>
      <c r="R5" s="7"/>
      <c r="S5" s="141"/>
      <c r="T5" s="7"/>
    </row>
    <row r="6" spans="1:20" ht="15" hidden="1" customHeight="1">
      <c r="A6" s="38">
        <v>241112000004</v>
      </c>
      <c r="B6" s="147" t="s">
        <v>867</v>
      </c>
      <c r="C6" s="3" t="s">
        <v>868</v>
      </c>
      <c r="D6" s="3" t="s">
        <v>869</v>
      </c>
      <c r="E6" s="2" t="s">
        <v>878</v>
      </c>
      <c r="F6" s="2" t="s">
        <v>879</v>
      </c>
      <c r="G6" s="148"/>
      <c r="H6" s="148"/>
      <c r="J6" s="99" t="s">
        <v>880</v>
      </c>
      <c r="K6" s="10"/>
      <c r="L6" s="13"/>
      <c r="M6" s="7"/>
      <c r="N6" s="7"/>
      <c r="O6" s="7"/>
      <c r="P6" s="7"/>
      <c r="Q6" s="7"/>
      <c r="R6" s="7"/>
      <c r="S6" s="141"/>
      <c r="T6" s="7"/>
    </row>
    <row r="7" spans="1:20" ht="15" hidden="1" customHeight="1">
      <c r="A7" s="38">
        <v>241112000002</v>
      </c>
      <c r="B7" s="147" t="s">
        <v>867</v>
      </c>
      <c r="C7" s="3" t="s">
        <v>868</v>
      </c>
      <c r="D7" s="3" t="s">
        <v>881</v>
      </c>
      <c r="E7" s="2" t="s">
        <v>882</v>
      </c>
      <c r="F7" s="2" t="s">
        <v>883</v>
      </c>
      <c r="G7" s="148"/>
      <c r="H7" s="148"/>
      <c r="J7" s="1" t="s">
        <v>884</v>
      </c>
      <c r="K7" s="10"/>
      <c r="L7" s="13"/>
      <c r="M7" s="7"/>
      <c r="N7" s="7"/>
      <c r="O7" s="7"/>
      <c r="P7" s="7"/>
      <c r="Q7" s="7"/>
      <c r="R7" s="7"/>
      <c r="S7" s="141"/>
      <c r="T7" s="7"/>
    </row>
    <row r="8" spans="1:20" hidden="1">
      <c r="A8" s="38">
        <v>250331114316</v>
      </c>
      <c r="B8" s="147" t="s">
        <v>867</v>
      </c>
      <c r="C8" s="3" t="s">
        <v>868</v>
      </c>
      <c r="D8" s="3" t="s">
        <v>881</v>
      </c>
      <c r="E8" s="2" t="s">
        <v>885</v>
      </c>
      <c r="F8" s="91" t="s">
        <v>886</v>
      </c>
      <c r="G8" s="148"/>
      <c r="H8" s="148"/>
      <c r="J8" s="10" t="s">
        <v>887</v>
      </c>
      <c r="K8" s="10"/>
      <c r="L8" s="13"/>
      <c r="M8" s="7"/>
      <c r="N8" s="7"/>
      <c r="O8" s="7"/>
      <c r="P8" s="7"/>
      <c r="Q8" s="7"/>
      <c r="R8" s="7"/>
      <c r="S8" s="141"/>
      <c r="T8" s="7"/>
    </row>
    <row r="9" spans="1:20" ht="15" hidden="1" customHeight="1">
      <c r="A9" s="38">
        <v>250331114321</v>
      </c>
      <c r="B9" s="147" t="s">
        <v>867</v>
      </c>
      <c r="C9" s="3" t="s">
        <v>888</v>
      </c>
      <c r="D9" s="3" t="s">
        <v>889</v>
      </c>
      <c r="E9" s="2" t="s">
        <v>890</v>
      </c>
      <c r="F9" s="2" t="s">
        <v>891</v>
      </c>
      <c r="G9" s="148"/>
      <c r="H9" s="148"/>
      <c r="J9" s="10" t="s">
        <v>892</v>
      </c>
      <c r="K9" s="10"/>
      <c r="L9" s="13"/>
      <c r="M9" s="7"/>
      <c r="N9" s="7"/>
      <c r="O9" s="7"/>
      <c r="P9" s="7"/>
      <c r="Q9" s="7"/>
      <c r="R9" s="7"/>
      <c r="S9" s="141"/>
      <c r="T9" s="7"/>
    </row>
    <row r="10" spans="1:20" ht="15" hidden="1" customHeight="1">
      <c r="A10" s="38">
        <v>241112000005</v>
      </c>
      <c r="B10" s="147" t="s">
        <v>867</v>
      </c>
      <c r="C10" s="3" t="s">
        <v>888</v>
      </c>
      <c r="D10" s="3" t="s">
        <v>889</v>
      </c>
      <c r="E10" s="2" t="s">
        <v>893</v>
      </c>
      <c r="F10" s="2" t="s">
        <v>894</v>
      </c>
      <c r="G10" s="148"/>
      <c r="H10" s="148"/>
      <c r="J10" s="1" t="s">
        <v>895</v>
      </c>
      <c r="K10" s="10" t="s">
        <v>896</v>
      </c>
      <c r="L10" s="13" t="s">
        <v>897</v>
      </c>
      <c r="M10" s="7"/>
      <c r="N10" s="7"/>
      <c r="O10" s="7"/>
      <c r="P10" s="7"/>
      <c r="Q10" s="7"/>
      <c r="R10" s="7"/>
      <c r="S10" s="141"/>
      <c r="T10" s="7"/>
    </row>
    <row r="11" spans="1:20" ht="15" hidden="1" customHeight="1">
      <c r="A11" s="38">
        <v>250331162616</v>
      </c>
      <c r="B11" s="147" t="s">
        <v>867</v>
      </c>
      <c r="C11" s="3" t="s">
        <v>888</v>
      </c>
      <c r="D11" s="3" t="s">
        <v>889</v>
      </c>
      <c r="E11" s="2" t="s">
        <v>898</v>
      </c>
      <c r="F11" s="2" t="s">
        <v>899</v>
      </c>
      <c r="G11" s="148"/>
      <c r="H11" s="148"/>
      <c r="J11" s="10" t="s">
        <v>900</v>
      </c>
      <c r="K11" s="14"/>
      <c r="L11" s="13"/>
      <c r="M11" s="7"/>
      <c r="N11" s="7" t="s">
        <v>901</v>
      </c>
      <c r="O11" s="7"/>
      <c r="P11" s="7"/>
      <c r="Q11" s="7"/>
      <c r="R11" s="7"/>
      <c r="S11" s="141"/>
      <c r="T11" s="7"/>
    </row>
    <row r="12" spans="1:20" ht="15" hidden="1" customHeight="1">
      <c r="A12" s="38">
        <v>250331162615</v>
      </c>
      <c r="B12" s="147" t="s">
        <v>867</v>
      </c>
      <c r="C12" s="3" t="s">
        <v>888</v>
      </c>
      <c r="D12" s="3" t="s">
        <v>889</v>
      </c>
      <c r="E12" s="2" t="s">
        <v>902</v>
      </c>
      <c r="F12" s="2" t="s">
        <v>899</v>
      </c>
      <c r="G12" s="148"/>
      <c r="H12" s="148"/>
      <c r="J12" s="10" t="s">
        <v>903</v>
      </c>
      <c r="K12" s="14"/>
      <c r="L12" s="13"/>
      <c r="M12" s="7"/>
      <c r="N12" s="7"/>
      <c r="O12" s="7"/>
      <c r="P12" s="7"/>
      <c r="Q12" s="7"/>
      <c r="R12" s="7"/>
      <c r="S12" s="141"/>
      <c r="T12" s="7"/>
    </row>
    <row r="13" spans="1:20" ht="15" hidden="1" customHeight="1">
      <c r="A13" s="38">
        <v>250331162617</v>
      </c>
      <c r="B13" s="147" t="s">
        <v>867</v>
      </c>
      <c r="C13" s="3" t="s">
        <v>888</v>
      </c>
      <c r="D13" s="3" t="s">
        <v>889</v>
      </c>
      <c r="E13" s="2" t="s">
        <v>904</v>
      </c>
      <c r="F13" s="2" t="s">
        <v>899</v>
      </c>
      <c r="G13" s="148"/>
      <c r="H13" s="148"/>
      <c r="J13" s="10" t="s">
        <v>905</v>
      </c>
      <c r="K13" s="14"/>
      <c r="L13" s="13"/>
      <c r="M13" s="7"/>
      <c r="N13" s="7" t="s">
        <v>906</v>
      </c>
      <c r="O13" s="7"/>
      <c r="P13" s="7"/>
      <c r="Q13" s="7"/>
      <c r="R13" s="7"/>
      <c r="S13" s="141"/>
      <c r="T13" s="7"/>
    </row>
    <row r="14" spans="1:20" ht="15" hidden="1" customHeight="1">
      <c r="A14" s="38">
        <v>250410114322</v>
      </c>
      <c r="B14" s="147" t="s">
        <v>867</v>
      </c>
      <c r="C14" s="3" t="s">
        <v>888</v>
      </c>
      <c r="D14" s="3" t="s">
        <v>889</v>
      </c>
      <c r="E14" s="2" t="s">
        <v>907</v>
      </c>
      <c r="F14" s="2" t="s">
        <v>908</v>
      </c>
      <c r="G14" s="148"/>
      <c r="H14" s="148"/>
      <c r="J14" s="10" t="s">
        <v>908</v>
      </c>
      <c r="K14" s="14"/>
      <c r="L14" s="13"/>
      <c r="M14" s="7"/>
      <c r="N14" s="7"/>
      <c r="O14" s="7"/>
      <c r="P14" s="7"/>
      <c r="Q14" s="7"/>
      <c r="R14" s="7"/>
      <c r="S14" s="141"/>
      <c r="T14" s="7"/>
    </row>
    <row r="15" spans="1:20" ht="15" hidden="1" customHeight="1">
      <c r="A15" s="38">
        <v>250410114323</v>
      </c>
      <c r="B15" s="147" t="s">
        <v>867</v>
      </c>
      <c r="C15" s="3" t="s">
        <v>888</v>
      </c>
      <c r="D15" s="3" t="s">
        <v>889</v>
      </c>
      <c r="E15" s="2" t="s">
        <v>909</v>
      </c>
      <c r="F15" s="2" t="s">
        <v>910</v>
      </c>
      <c r="G15" s="148"/>
      <c r="H15" s="148"/>
      <c r="J15" s="10" t="s">
        <v>910</v>
      </c>
      <c r="K15" s="14"/>
      <c r="L15" s="13"/>
      <c r="M15" s="7"/>
      <c r="N15" s="7"/>
      <c r="O15" s="7"/>
      <c r="P15" s="7"/>
      <c r="Q15" s="7"/>
      <c r="R15" s="7"/>
      <c r="S15" s="141"/>
      <c r="T15" s="7"/>
    </row>
    <row r="16" spans="1:20" ht="15" hidden="1" customHeight="1">
      <c r="A16" s="38">
        <v>250331114322</v>
      </c>
      <c r="B16" s="147" t="s">
        <v>867</v>
      </c>
      <c r="C16" s="3" t="s">
        <v>888</v>
      </c>
      <c r="D16" s="3" t="s">
        <v>889</v>
      </c>
      <c r="E16" s="2" t="s">
        <v>911</v>
      </c>
      <c r="F16" s="2" t="s">
        <v>912</v>
      </c>
      <c r="G16" s="148"/>
      <c r="H16" s="148"/>
      <c r="J16" s="10" t="s">
        <v>913</v>
      </c>
      <c r="K16" s="10"/>
      <c r="L16" s="13"/>
      <c r="M16" s="7"/>
      <c r="N16" s="7"/>
      <c r="O16" s="7"/>
      <c r="P16" s="7"/>
      <c r="Q16" s="7"/>
      <c r="R16" s="7"/>
      <c r="S16" s="141"/>
      <c r="T16" s="7"/>
    </row>
    <row r="17" spans="1:20" ht="15" hidden="1" customHeight="1">
      <c r="A17" s="38">
        <v>250410114320</v>
      </c>
      <c r="B17" s="147" t="s">
        <v>867</v>
      </c>
      <c r="C17" s="3" t="s">
        <v>888</v>
      </c>
      <c r="D17" s="3" t="s">
        <v>889</v>
      </c>
      <c r="E17" s="2" t="s">
        <v>914</v>
      </c>
      <c r="F17" s="2" t="s">
        <v>915</v>
      </c>
      <c r="G17" s="148"/>
      <c r="H17" s="148"/>
      <c r="J17" s="10" t="s">
        <v>916</v>
      </c>
      <c r="K17" s="14"/>
      <c r="L17" s="13"/>
      <c r="M17" s="7"/>
      <c r="N17" s="7"/>
      <c r="O17" s="7"/>
      <c r="P17" s="7"/>
      <c r="Q17" s="7"/>
      <c r="R17" s="7"/>
      <c r="S17" s="141"/>
      <c r="T17" s="7"/>
    </row>
    <row r="18" spans="1:20" s="16" customFormat="1" ht="15" hidden="1" customHeight="1">
      <c r="A18" s="38">
        <v>250331162613</v>
      </c>
      <c r="B18" s="147" t="s">
        <v>867</v>
      </c>
      <c r="C18" s="3" t="s">
        <v>888</v>
      </c>
      <c r="D18" s="3" t="s">
        <v>889</v>
      </c>
      <c r="E18" s="2" t="s">
        <v>917</v>
      </c>
      <c r="F18" s="2" t="s">
        <v>899</v>
      </c>
      <c r="G18" s="148"/>
      <c r="H18" s="148"/>
      <c r="I18" s="48"/>
      <c r="J18" s="10" t="s">
        <v>918</v>
      </c>
      <c r="K18" s="14"/>
      <c r="L18" s="13"/>
      <c r="M18" s="7"/>
      <c r="N18" s="7"/>
      <c r="O18" s="7"/>
      <c r="P18" s="7"/>
      <c r="Q18" s="7"/>
      <c r="R18" s="7"/>
      <c r="S18" s="141"/>
      <c r="T18" s="7"/>
    </row>
    <row r="19" spans="1:20" s="16" customFormat="1" ht="15" hidden="1" customHeight="1">
      <c r="A19" s="38">
        <v>250331114323</v>
      </c>
      <c r="B19" s="147" t="s">
        <v>867</v>
      </c>
      <c r="C19" s="3" t="s">
        <v>888</v>
      </c>
      <c r="D19" s="3" t="s">
        <v>889</v>
      </c>
      <c r="E19" s="2" t="s">
        <v>919</v>
      </c>
      <c r="F19" s="2" t="s">
        <v>912</v>
      </c>
      <c r="G19" s="148"/>
      <c r="H19" s="148"/>
      <c r="I19" s="48"/>
      <c r="J19" s="10" t="s">
        <v>920</v>
      </c>
      <c r="K19" s="10"/>
      <c r="L19" s="13"/>
      <c r="M19" s="7"/>
      <c r="N19" s="7"/>
      <c r="O19" s="7"/>
      <c r="P19" s="7"/>
      <c r="Q19" s="7"/>
      <c r="R19" s="7"/>
      <c r="S19" s="141"/>
      <c r="T19" s="7"/>
    </row>
    <row r="20" spans="1:20" ht="15" hidden="1" customHeight="1">
      <c r="A20" s="38">
        <v>250410114321</v>
      </c>
      <c r="B20" s="147" t="s">
        <v>867</v>
      </c>
      <c r="C20" s="3" t="s">
        <v>888</v>
      </c>
      <c r="D20" s="3" t="s">
        <v>889</v>
      </c>
      <c r="E20" s="2" t="s">
        <v>921</v>
      </c>
      <c r="F20" s="2" t="s">
        <v>922</v>
      </c>
      <c r="G20" s="148"/>
      <c r="H20" s="148"/>
      <c r="J20" s="10" t="s">
        <v>922</v>
      </c>
      <c r="K20" s="14"/>
      <c r="L20" s="13"/>
      <c r="M20" s="7"/>
      <c r="N20" s="7"/>
      <c r="O20" s="7"/>
      <c r="P20" s="7"/>
      <c r="Q20" s="7"/>
      <c r="R20" s="7"/>
      <c r="S20" s="141"/>
      <c r="T20" s="7"/>
    </row>
    <row r="21" spans="1:20" ht="14.85" hidden="1" customHeight="1">
      <c r="A21" s="38">
        <v>250331162610</v>
      </c>
      <c r="B21" s="147" t="s">
        <v>867</v>
      </c>
      <c r="C21" s="3" t="s">
        <v>888</v>
      </c>
      <c r="D21" s="3" t="s">
        <v>889</v>
      </c>
      <c r="E21" s="2" t="s">
        <v>923</v>
      </c>
      <c r="F21" s="2" t="s">
        <v>924</v>
      </c>
      <c r="G21" s="148"/>
      <c r="H21" s="148"/>
      <c r="J21" s="10" t="s">
        <v>925</v>
      </c>
      <c r="K21" s="14"/>
      <c r="L21" s="13"/>
      <c r="M21" s="7"/>
      <c r="N21" s="7" t="s">
        <v>926</v>
      </c>
      <c r="O21" s="7"/>
      <c r="P21" s="7"/>
      <c r="Q21" s="7"/>
      <c r="R21" s="7"/>
      <c r="S21" s="141"/>
      <c r="T21" s="7"/>
    </row>
    <row r="22" spans="1:20" ht="14.85" hidden="1" customHeight="1">
      <c r="A22" s="38">
        <v>250331162609</v>
      </c>
      <c r="B22" s="147" t="s">
        <v>867</v>
      </c>
      <c r="C22" s="3" t="s">
        <v>888</v>
      </c>
      <c r="D22" s="3" t="s">
        <v>889</v>
      </c>
      <c r="E22" s="2" t="s">
        <v>927</v>
      </c>
      <c r="F22" s="2" t="s">
        <v>924</v>
      </c>
      <c r="G22" s="148"/>
      <c r="H22" s="148"/>
      <c r="J22" s="10" t="s">
        <v>928</v>
      </c>
      <c r="K22" s="14"/>
      <c r="L22" s="13"/>
      <c r="M22" s="7"/>
      <c r="N22" s="7" t="s">
        <v>929</v>
      </c>
      <c r="O22" s="7"/>
      <c r="P22" s="7"/>
      <c r="Q22" s="7"/>
      <c r="R22" s="7"/>
      <c r="S22" s="141"/>
      <c r="T22" s="7"/>
    </row>
    <row r="23" spans="1:20" ht="15" hidden="1" customHeight="1">
      <c r="A23" s="38">
        <v>250410114325</v>
      </c>
      <c r="B23" s="147" t="s">
        <v>867</v>
      </c>
      <c r="C23" s="3" t="s">
        <v>888</v>
      </c>
      <c r="D23" s="3" t="s">
        <v>889</v>
      </c>
      <c r="E23" s="2" t="s">
        <v>930</v>
      </c>
      <c r="F23" s="2" t="s">
        <v>912</v>
      </c>
      <c r="G23" s="148"/>
      <c r="H23" s="148"/>
      <c r="J23" s="10" t="s">
        <v>912</v>
      </c>
      <c r="K23" s="14"/>
      <c r="L23" s="13"/>
      <c r="M23" s="7"/>
      <c r="N23" s="7"/>
      <c r="O23" s="7"/>
      <c r="P23" s="7"/>
      <c r="Q23" s="7"/>
      <c r="R23" s="7"/>
      <c r="S23" s="141"/>
      <c r="T23" s="7"/>
    </row>
    <row r="24" spans="1:20" ht="15" hidden="1" customHeight="1">
      <c r="A24" s="38">
        <v>250331162611</v>
      </c>
      <c r="B24" s="147" t="s">
        <v>867</v>
      </c>
      <c r="C24" s="3" t="s">
        <v>888</v>
      </c>
      <c r="D24" s="3" t="s">
        <v>889</v>
      </c>
      <c r="E24" s="2" t="s">
        <v>931</v>
      </c>
      <c r="F24" s="2" t="s">
        <v>932</v>
      </c>
      <c r="G24" s="148"/>
      <c r="H24" s="148"/>
      <c r="J24" s="10" t="s">
        <v>933</v>
      </c>
      <c r="K24" s="14"/>
      <c r="L24" s="13"/>
      <c r="M24" s="7"/>
      <c r="N24" s="7" t="s">
        <v>934</v>
      </c>
      <c r="O24" s="7"/>
      <c r="P24" s="7"/>
      <c r="Q24" s="7"/>
      <c r="R24" s="7"/>
      <c r="S24" s="141"/>
      <c r="T24" s="7"/>
    </row>
    <row r="25" spans="1:20" ht="15" hidden="1" customHeight="1">
      <c r="A25" s="38">
        <v>250331162612</v>
      </c>
      <c r="B25" s="147" t="s">
        <v>867</v>
      </c>
      <c r="C25" s="3" t="s">
        <v>888</v>
      </c>
      <c r="D25" s="3" t="s">
        <v>889</v>
      </c>
      <c r="E25" s="2" t="s">
        <v>935</v>
      </c>
      <c r="F25" s="2" t="s">
        <v>899</v>
      </c>
      <c r="G25" s="148"/>
      <c r="H25" s="148"/>
      <c r="J25" s="10" t="s">
        <v>936</v>
      </c>
      <c r="K25" s="14"/>
      <c r="L25" s="13"/>
      <c r="M25" s="7"/>
      <c r="N25" s="7" t="s">
        <v>937</v>
      </c>
      <c r="O25" s="7"/>
      <c r="P25" s="7"/>
      <c r="Q25" s="7"/>
      <c r="R25" s="7"/>
      <c r="S25" s="141"/>
      <c r="T25" s="7"/>
    </row>
    <row r="26" spans="1:20" ht="15" hidden="1" customHeight="1">
      <c r="A26" s="38">
        <v>250410114324</v>
      </c>
      <c r="B26" s="147" t="s">
        <v>867</v>
      </c>
      <c r="C26" s="3" t="s">
        <v>888</v>
      </c>
      <c r="D26" s="3" t="s">
        <v>889</v>
      </c>
      <c r="E26" s="2" t="s">
        <v>938</v>
      </c>
      <c r="F26" s="2" t="s">
        <v>912</v>
      </c>
      <c r="G26" s="148"/>
      <c r="H26" s="148"/>
      <c r="J26" s="10" t="s">
        <v>912</v>
      </c>
      <c r="K26" s="14"/>
      <c r="L26" s="13"/>
      <c r="M26" s="7"/>
      <c r="N26" s="7"/>
      <c r="O26" s="7"/>
      <c r="P26" s="7"/>
      <c r="Q26" s="7"/>
      <c r="R26" s="7"/>
      <c r="S26" s="141"/>
      <c r="T26" s="7"/>
    </row>
    <row r="27" spans="1:20" ht="15" hidden="1" customHeight="1">
      <c r="A27" s="38">
        <v>250410114319</v>
      </c>
      <c r="B27" s="147" t="s">
        <v>867</v>
      </c>
      <c r="C27" s="3" t="s">
        <v>888</v>
      </c>
      <c r="D27" s="3" t="s">
        <v>889</v>
      </c>
      <c r="E27" s="2" t="s">
        <v>939</v>
      </c>
      <c r="F27" s="2" t="s">
        <v>912</v>
      </c>
      <c r="G27" s="148"/>
      <c r="H27" s="148"/>
      <c r="J27" s="10" t="s">
        <v>940</v>
      </c>
      <c r="K27" s="14"/>
      <c r="L27" s="13"/>
      <c r="M27" s="7"/>
      <c r="N27" s="7"/>
      <c r="O27" s="7"/>
      <c r="P27" s="7"/>
      <c r="Q27" s="7"/>
      <c r="R27" s="7"/>
      <c r="S27" s="141"/>
      <c r="T27" s="7"/>
    </row>
    <row r="28" spans="1:20" ht="15" hidden="1" customHeight="1">
      <c r="A28" s="38">
        <v>250331114324</v>
      </c>
      <c r="B28" s="147" t="s">
        <v>867</v>
      </c>
      <c r="C28" s="3" t="s">
        <v>888</v>
      </c>
      <c r="D28" s="3" t="s">
        <v>889</v>
      </c>
      <c r="E28" s="2" t="s">
        <v>941</v>
      </c>
      <c r="F28" s="2" t="s">
        <v>912</v>
      </c>
      <c r="G28" s="148"/>
      <c r="H28" s="148"/>
      <c r="J28" s="10" t="s">
        <v>942</v>
      </c>
      <c r="K28" s="10"/>
      <c r="L28" s="13"/>
      <c r="M28" s="7"/>
      <c r="N28" s="7"/>
      <c r="O28" s="7"/>
      <c r="P28" s="7"/>
      <c r="Q28" s="7"/>
      <c r="R28" s="7"/>
      <c r="S28" s="141"/>
      <c r="T28" s="7"/>
    </row>
    <row r="29" spans="1:20" ht="14.85" hidden="1" customHeight="1">
      <c r="A29" s="38">
        <v>250331114320</v>
      </c>
      <c r="B29" s="147" t="s">
        <v>867</v>
      </c>
      <c r="C29" s="3" t="s">
        <v>888</v>
      </c>
      <c r="D29" s="3" t="s">
        <v>889</v>
      </c>
      <c r="E29" s="2" t="s">
        <v>943</v>
      </c>
      <c r="F29" s="2" t="s">
        <v>912</v>
      </c>
      <c r="G29" s="148"/>
      <c r="H29" s="148"/>
      <c r="J29" s="10" t="s">
        <v>944</v>
      </c>
      <c r="K29" s="10"/>
      <c r="L29" s="13"/>
      <c r="M29" s="7"/>
      <c r="N29" s="7"/>
      <c r="O29" s="7"/>
      <c r="P29" s="7"/>
      <c r="Q29" s="7"/>
      <c r="R29" s="7"/>
      <c r="S29" s="141"/>
      <c r="T29" s="7"/>
    </row>
    <row r="30" spans="1:20" ht="15" hidden="1" customHeight="1">
      <c r="A30" s="38">
        <v>250425201501</v>
      </c>
      <c r="B30" s="149"/>
      <c r="C30" s="3" t="s">
        <v>888</v>
      </c>
      <c r="D30" s="3" t="s">
        <v>889</v>
      </c>
      <c r="E30" s="2" t="s">
        <v>945</v>
      </c>
      <c r="F30" s="2" t="s">
        <v>946</v>
      </c>
      <c r="G30" s="48"/>
      <c r="H30" s="150"/>
      <c r="J30" s="10" t="s">
        <v>947</v>
      </c>
      <c r="K30" s="14"/>
      <c r="L30" s="13"/>
      <c r="M30" s="7"/>
      <c r="N30" s="7" t="s">
        <v>948</v>
      </c>
      <c r="O30" s="7"/>
      <c r="P30" s="7"/>
      <c r="Q30" s="7"/>
      <c r="R30" s="7"/>
      <c r="S30" s="141" t="s">
        <v>949</v>
      </c>
      <c r="T30" s="7"/>
    </row>
    <row r="31" spans="1:20" ht="14.85" hidden="1" customHeight="1">
      <c r="A31" s="38">
        <v>250425201031</v>
      </c>
      <c r="B31" s="149"/>
      <c r="C31" s="3" t="s">
        <v>888</v>
      </c>
      <c r="D31" s="3" t="s">
        <v>889</v>
      </c>
      <c r="E31" s="2" t="s">
        <v>950</v>
      </c>
      <c r="F31" s="2" t="s">
        <v>951</v>
      </c>
      <c r="G31" s="48"/>
      <c r="H31" s="150"/>
      <c r="J31" s="10" t="s">
        <v>952</v>
      </c>
      <c r="K31" s="14"/>
      <c r="L31" s="13"/>
      <c r="M31" s="7"/>
      <c r="N31" s="7" t="s">
        <v>953</v>
      </c>
      <c r="O31" s="7"/>
      <c r="P31" s="7"/>
      <c r="Q31" s="7"/>
      <c r="R31" s="7"/>
      <c r="S31" s="141" t="s">
        <v>949</v>
      </c>
      <c r="T31" s="7"/>
    </row>
    <row r="32" spans="1:20" ht="15" hidden="1" customHeight="1">
      <c r="A32" s="38">
        <v>250425201032</v>
      </c>
      <c r="B32" s="149"/>
      <c r="C32" s="3" t="s">
        <v>888</v>
      </c>
      <c r="D32" s="3" t="s">
        <v>889</v>
      </c>
      <c r="E32" s="2" t="s">
        <v>954</v>
      </c>
      <c r="F32" s="2" t="s">
        <v>955</v>
      </c>
      <c r="G32" s="48"/>
      <c r="H32" s="150"/>
      <c r="J32" s="10" t="s">
        <v>956</v>
      </c>
      <c r="K32" s="14"/>
      <c r="L32" s="13"/>
      <c r="M32" s="7"/>
      <c r="N32" s="7" t="s">
        <v>957</v>
      </c>
      <c r="O32" s="7"/>
      <c r="P32" s="7"/>
      <c r="Q32" s="7"/>
      <c r="R32" s="7"/>
      <c r="S32" s="141" t="s">
        <v>949</v>
      </c>
      <c r="T32" s="7"/>
    </row>
    <row r="33" spans="1:20" ht="14.85" hidden="1" customHeight="1">
      <c r="A33" s="38">
        <v>250425201508</v>
      </c>
      <c r="B33" s="149"/>
      <c r="C33" s="3" t="s">
        <v>888</v>
      </c>
      <c r="D33" s="3" t="s">
        <v>889</v>
      </c>
      <c r="E33" s="2" t="s">
        <v>958</v>
      </c>
      <c r="F33" s="2" t="s">
        <v>951</v>
      </c>
      <c r="G33" s="48"/>
      <c r="H33" s="150"/>
      <c r="J33" s="10" t="s">
        <v>959</v>
      </c>
      <c r="K33" s="14"/>
      <c r="L33" s="13"/>
      <c r="M33" s="7"/>
      <c r="N33" s="7" t="s">
        <v>960</v>
      </c>
      <c r="O33" s="7"/>
      <c r="P33" s="7"/>
      <c r="Q33" s="7"/>
      <c r="R33" s="7"/>
      <c r="S33" s="141" t="s">
        <v>949</v>
      </c>
      <c r="T33" s="7"/>
    </row>
    <row r="34" spans="1:20" ht="15" hidden="1" customHeight="1">
      <c r="A34" s="38">
        <v>250425201518</v>
      </c>
      <c r="B34" s="149"/>
      <c r="C34" s="3" t="s">
        <v>888</v>
      </c>
      <c r="D34" s="3" t="s">
        <v>889</v>
      </c>
      <c r="E34" s="2" t="s">
        <v>961</v>
      </c>
      <c r="F34" s="2" t="s">
        <v>951</v>
      </c>
      <c r="G34" s="48"/>
      <c r="H34" s="150"/>
      <c r="J34" s="10" t="s">
        <v>962</v>
      </c>
      <c r="K34" s="14"/>
      <c r="L34" s="13"/>
      <c r="M34" s="7"/>
      <c r="N34" s="7" t="s">
        <v>963</v>
      </c>
      <c r="O34" s="7"/>
      <c r="P34" s="7"/>
      <c r="Q34" s="7"/>
      <c r="R34" s="7"/>
      <c r="S34" s="141" t="s">
        <v>949</v>
      </c>
      <c r="T34" s="7"/>
    </row>
    <row r="35" spans="1:20" ht="15" hidden="1" customHeight="1">
      <c r="A35" s="38">
        <v>250425200709</v>
      </c>
      <c r="B35" s="149"/>
      <c r="C35" s="3" t="s">
        <v>888</v>
      </c>
      <c r="D35" s="3" t="s">
        <v>889</v>
      </c>
      <c r="E35" s="2" t="s">
        <v>964</v>
      </c>
      <c r="F35" s="2" t="s">
        <v>965</v>
      </c>
      <c r="G35" s="48"/>
      <c r="H35" s="150"/>
      <c r="J35" s="10" t="s">
        <v>966</v>
      </c>
      <c r="K35" s="14"/>
      <c r="L35" s="13"/>
      <c r="M35" s="7"/>
      <c r="N35" s="7" t="s">
        <v>967</v>
      </c>
      <c r="O35" s="7"/>
      <c r="P35" s="7"/>
      <c r="Q35" s="7"/>
      <c r="R35" s="7"/>
      <c r="S35" s="141" t="s">
        <v>949</v>
      </c>
      <c r="T35" s="7"/>
    </row>
    <row r="36" spans="1:20" ht="15" hidden="1" customHeight="1">
      <c r="A36" s="38">
        <v>250425201506</v>
      </c>
      <c r="B36" s="149"/>
      <c r="C36" s="3" t="s">
        <v>888</v>
      </c>
      <c r="D36" s="3" t="s">
        <v>889</v>
      </c>
      <c r="E36" s="2" t="s">
        <v>968</v>
      </c>
      <c r="F36" s="2" t="s">
        <v>969</v>
      </c>
      <c r="G36" s="48"/>
      <c r="H36" s="150"/>
      <c r="J36" s="10" t="s">
        <v>970</v>
      </c>
      <c r="K36" s="14"/>
      <c r="L36" s="13"/>
      <c r="M36" s="7"/>
      <c r="N36" s="7" t="s">
        <v>971</v>
      </c>
      <c r="O36" s="7"/>
      <c r="P36" s="7"/>
      <c r="Q36" s="7"/>
      <c r="R36" s="7"/>
      <c r="S36" s="141" t="s">
        <v>949</v>
      </c>
      <c r="T36" s="7"/>
    </row>
    <row r="37" spans="1:20" ht="15" hidden="1" customHeight="1">
      <c r="A37" s="38">
        <v>250425201507</v>
      </c>
      <c r="B37" s="149"/>
      <c r="C37" s="3" t="s">
        <v>888</v>
      </c>
      <c r="D37" s="3" t="s">
        <v>889</v>
      </c>
      <c r="E37" s="2" t="s">
        <v>972</v>
      </c>
      <c r="F37" s="2" t="s">
        <v>969</v>
      </c>
      <c r="G37" s="48"/>
      <c r="H37" s="150"/>
      <c r="J37" s="10" t="s">
        <v>973</v>
      </c>
      <c r="K37" s="14"/>
      <c r="L37" s="13"/>
      <c r="M37" s="7"/>
      <c r="N37" s="7" t="s">
        <v>974</v>
      </c>
      <c r="O37" s="7"/>
      <c r="P37" s="7"/>
      <c r="Q37" s="7"/>
      <c r="R37" s="7"/>
      <c r="S37" s="141" t="s">
        <v>949</v>
      </c>
      <c r="T37" s="7"/>
    </row>
    <row r="38" spans="1:20" ht="15" hidden="1" customHeight="1">
      <c r="A38" s="38">
        <v>250425201503</v>
      </c>
      <c r="B38" s="149"/>
      <c r="C38" s="3" t="s">
        <v>888</v>
      </c>
      <c r="D38" s="3" t="s">
        <v>889</v>
      </c>
      <c r="E38" s="2" t="s">
        <v>975</v>
      </c>
      <c r="F38" s="2" t="s">
        <v>969</v>
      </c>
      <c r="G38" s="48"/>
      <c r="H38" s="150"/>
      <c r="J38" s="10" t="s">
        <v>976</v>
      </c>
      <c r="K38" s="14"/>
      <c r="L38" s="13"/>
      <c r="M38" s="7"/>
      <c r="N38" s="7" t="s">
        <v>977</v>
      </c>
      <c r="O38" s="7"/>
      <c r="P38" s="7"/>
      <c r="Q38" s="7"/>
      <c r="R38" s="7"/>
      <c r="S38" s="141" t="s">
        <v>949</v>
      </c>
      <c r="T38" s="7"/>
    </row>
    <row r="39" spans="1:20" ht="15" hidden="1" customHeight="1">
      <c r="A39" s="38">
        <v>250425201505</v>
      </c>
      <c r="B39" s="149"/>
      <c r="C39" s="3" t="s">
        <v>888</v>
      </c>
      <c r="D39" s="3" t="s">
        <v>889</v>
      </c>
      <c r="E39" s="2" t="s">
        <v>978</v>
      </c>
      <c r="F39" s="2" t="s">
        <v>969</v>
      </c>
      <c r="G39" s="48"/>
      <c r="H39" s="150"/>
      <c r="J39" s="10" t="s">
        <v>979</v>
      </c>
      <c r="K39" s="14"/>
      <c r="L39" s="13"/>
      <c r="M39" s="7"/>
      <c r="N39" s="7" t="s">
        <v>980</v>
      </c>
      <c r="O39" s="7"/>
      <c r="P39" s="7"/>
      <c r="Q39" s="7"/>
      <c r="R39" s="7"/>
      <c r="S39" s="141" t="s">
        <v>949</v>
      </c>
      <c r="T39" s="7"/>
    </row>
    <row r="40" spans="1:20" ht="14.85" hidden="1" customHeight="1">
      <c r="A40" s="38">
        <v>250425201504</v>
      </c>
      <c r="B40" s="149"/>
      <c r="C40" s="3" t="s">
        <v>888</v>
      </c>
      <c r="D40" s="3" t="s">
        <v>889</v>
      </c>
      <c r="E40" s="2" t="s">
        <v>981</v>
      </c>
      <c r="F40" s="2" t="s">
        <v>969</v>
      </c>
      <c r="G40" s="48"/>
      <c r="H40" s="150"/>
      <c r="J40" s="10" t="s">
        <v>982</v>
      </c>
      <c r="K40" s="14"/>
      <c r="L40" s="13"/>
      <c r="M40" s="7"/>
      <c r="N40" s="7" t="s">
        <v>983</v>
      </c>
      <c r="O40" s="7"/>
      <c r="P40" s="7"/>
      <c r="Q40" s="7"/>
      <c r="R40" s="7"/>
      <c r="S40" s="141" t="s">
        <v>949</v>
      </c>
      <c r="T40" s="7"/>
    </row>
    <row r="41" spans="1:20" ht="15" hidden="1" customHeight="1">
      <c r="A41" s="38">
        <v>250425201509</v>
      </c>
      <c r="B41" s="149"/>
      <c r="C41" s="3" t="s">
        <v>888</v>
      </c>
      <c r="D41" s="3" t="s">
        <v>889</v>
      </c>
      <c r="E41" s="2" t="s">
        <v>984</v>
      </c>
      <c r="F41" s="2" t="s">
        <v>912</v>
      </c>
      <c r="G41" s="48"/>
      <c r="H41" s="150"/>
      <c r="J41" s="10" t="s">
        <v>985</v>
      </c>
      <c r="K41" s="14"/>
      <c r="L41" s="13"/>
      <c r="M41" s="7"/>
      <c r="N41" s="7" t="s">
        <v>986</v>
      </c>
      <c r="O41" s="7"/>
      <c r="P41" s="7"/>
      <c r="Q41" s="7"/>
      <c r="R41" s="7"/>
      <c r="S41" s="141" t="s">
        <v>949</v>
      </c>
      <c r="T41" s="7"/>
    </row>
    <row r="42" spans="1:20" ht="14.85" hidden="1" customHeight="1">
      <c r="A42" s="38">
        <v>250425201502</v>
      </c>
      <c r="B42" s="149"/>
      <c r="C42" s="3" t="s">
        <v>888</v>
      </c>
      <c r="D42" s="3" t="s">
        <v>889</v>
      </c>
      <c r="E42" s="2" t="s">
        <v>987</v>
      </c>
      <c r="F42" s="2" t="s">
        <v>969</v>
      </c>
      <c r="G42" s="48"/>
      <c r="H42" s="150"/>
      <c r="J42" s="10" t="s">
        <v>988</v>
      </c>
      <c r="K42" s="14"/>
      <c r="L42" s="13"/>
      <c r="M42" s="7"/>
      <c r="N42" s="7" t="s">
        <v>989</v>
      </c>
      <c r="O42" s="7"/>
      <c r="P42" s="7"/>
      <c r="Q42" s="7"/>
      <c r="R42" s="7"/>
      <c r="S42" s="141" t="s">
        <v>949</v>
      </c>
      <c r="T42" s="7"/>
    </row>
    <row r="43" spans="1:20" ht="15" hidden="1" customHeight="1">
      <c r="A43" s="38">
        <v>250425201500</v>
      </c>
      <c r="B43" s="149"/>
      <c r="C43" s="3" t="s">
        <v>888</v>
      </c>
      <c r="D43" s="3" t="s">
        <v>889</v>
      </c>
      <c r="E43" s="2" t="s">
        <v>990</v>
      </c>
      <c r="F43" s="2" t="s">
        <v>991</v>
      </c>
      <c r="G43" s="48"/>
      <c r="H43" s="150"/>
      <c r="J43" s="10" t="s">
        <v>992</v>
      </c>
      <c r="K43" s="14"/>
      <c r="L43" s="13"/>
      <c r="M43" s="7"/>
      <c r="N43" s="7" t="s">
        <v>993</v>
      </c>
      <c r="O43" s="7"/>
      <c r="P43" s="7"/>
      <c r="Q43" s="7"/>
      <c r="R43" s="7"/>
      <c r="S43" s="141" t="s">
        <v>949</v>
      </c>
      <c r="T43" s="7"/>
    </row>
    <row r="44" spans="1:20" ht="15" hidden="1" customHeight="1">
      <c r="A44" s="38">
        <v>250425201510</v>
      </c>
      <c r="B44" s="149"/>
      <c r="C44" s="3" t="s">
        <v>888</v>
      </c>
      <c r="D44" s="3" t="s">
        <v>889</v>
      </c>
      <c r="E44" s="2" t="s">
        <v>994</v>
      </c>
      <c r="F44" s="2" t="s">
        <v>912</v>
      </c>
      <c r="G44" s="48"/>
      <c r="H44" s="150"/>
      <c r="J44" s="10" t="s">
        <v>995</v>
      </c>
      <c r="K44" s="14"/>
      <c r="L44" s="13"/>
      <c r="M44" s="7"/>
      <c r="N44" s="7" t="s">
        <v>996</v>
      </c>
      <c r="O44" s="7"/>
      <c r="P44" s="7"/>
      <c r="Q44" s="7"/>
      <c r="R44" s="7"/>
      <c r="S44" s="141" t="s">
        <v>949</v>
      </c>
      <c r="T44" s="7"/>
    </row>
    <row r="45" spans="1:20" ht="15" hidden="1" customHeight="1">
      <c r="A45" s="38">
        <v>250425201519</v>
      </c>
      <c r="B45" s="149"/>
      <c r="C45" s="3" t="s">
        <v>888</v>
      </c>
      <c r="D45" s="3" t="s">
        <v>889</v>
      </c>
      <c r="E45" s="2" t="s">
        <v>997</v>
      </c>
      <c r="F45" s="2" t="s">
        <v>912</v>
      </c>
      <c r="G45" s="48"/>
      <c r="H45" s="150"/>
      <c r="J45" s="10" t="s">
        <v>998</v>
      </c>
      <c r="K45" s="14"/>
      <c r="L45" s="13"/>
      <c r="M45" s="7"/>
      <c r="N45" s="7" t="s">
        <v>999</v>
      </c>
      <c r="O45" s="7"/>
      <c r="P45" s="7"/>
      <c r="Q45" s="7"/>
      <c r="R45" s="7"/>
      <c r="S45" s="141" t="s">
        <v>949</v>
      </c>
      <c r="T45" s="7"/>
    </row>
    <row r="46" spans="1:20" ht="15" hidden="1" customHeight="1">
      <c r="A46" s="38">
        <v>250331162614</v>
      </c>
      <c r="B46" s="147" t="s">
        <v>867</v>
      </c>
      <c r="C46" s="3" t="s">
        <v>888</v>
      </c>
      <c r="D46" s="3" t="s">
        <v>889</v>
      </c>
      <c r="E46" s="2" t="s">
        <v>1000</v>
      </c>
      <c r="F46" s="2" t="s">
        <v>899</v>
      </c>
      <c r="G46" s="148"/>
      <c r="H46" s="148"/>
      <c r="J46" s="10" t="s">
        <v>1001</v>
      </c>
      <c r="K46" s="14"/>
      <c r="L46" s="13"/>
      <c r="M46" s="7"/>
      <c r="N46" s="7"/>
      <c r="O46" s="7"/>
      <c r="P46" s="7"/>
      <c r="Q46" s="7"/>
      <c r="R46" s="7"/>
      <c r="S46" s="141"/>
      <c r="T46" s="7"/>
    </row>
    <row r="47" spans="1:20" ht="15" hidden="1" customHeight="1">
      <c r="A47" s="38">
        <v>250410114318</v>
      </c>
      <c r="B47" s="147" t="s">
        <v>867</v>
      </c>
      <c r="C47" s="3" t="s">
        <v>888</v>
      </c>
      <c r="D47" s="3" t="s">
        <v>889</v>
      </c>
      <c r="E47" s="2" t="s">
        <v>1002</v>
      </c>
      <c r="F47" s="2" t="s">
        <v>912</v>
      </c>
      <c r="G47" s="148"/>
      <c r="H47" s="148"/>
      <c r="J47" s="10" t="s">
        <v>1003</v>
      </c>
      <c r="K47" s="14"/>
      <c r="L47" s="13"/>
      <c r="M47" s="7"/>
      <c r="N47" s="7"/>
      <c r="O47" s="7"/>
      <c r="P47" s="7"/>
      <c r="Q47" s="7"/>
      <c r="R47" s="7"/>
      <c r="S47" s="141"/>
      <c r="T47" s="7"/>
    </row>
    <row r="48" spans="1:20" ht="15" hidden="1" customHeight="1">
      <c r="A48" s="38">
        <v>250415114200</v>
      </c>
      <c r="B48" s="147" t="s">
        <v>867</v>
      </c>
      <c r="C48" s="3" t="s">
        <v>888</v>
      </c>
      <c r="D48" s="3" t="s">
        <v>1004</v>
      </c>
      <c r="E48" s="2" t="s">
        <v>1005</v>
      </c>
      <c r="F48" s="2" t="s">
        <v>1006</v>
      </c>
      <c r="G48" s="148"/>
      <c r="H48" s="148"/>
      <c r="J48" s="10" t="s">
        <v>1007</v>
      </c>
      <c r="K48" s="14"/>
      <c r="L48" s="13"/>
      <c r="M48" s="7"/>
      <c r="N48" s="7"/>
      <c r="O48" s="7"/>
      <c r="P48" s="7"/>
      <c r="Q48" s="7"/>
      <c r="R48" s="7"/>
      <c r="S48" s="141"/>
      <c r="T48" s="7"/>
    </row>
    <row r="49" spans="1:20" ht="14.85" hidden="1" customHeight="1">
      <c r="A49" s="38">
        <v>250428083000</v>
      </c>
      <c r="B49" s="149"/>
      <c r="C49" s="3" t="s">
        <v>888</v>
      </c>
      <c r="D49" s="3" t="s">
        <v>1004</v>
      </c>
      <c r="E49" s="2" t="s">
        <v>1008</v>
      </c>
      <c r="F49" s="2" t="s">
        <v>912</v>
      </c>
      <c r="G49" s="48"/>
      <c r="H49" s="150"/>
      <c r="J49" s="10" t="s">
        <v>1009</v>
      </c>
      <c r="K49" s="14"/>
      <c r="L49" s="13"/>
      <c r="M49" s="7"/>
      <c r="N49" s="7"/>
      <c r="O49" s="7"/>
      <c r="P49" s="7"/>
      <c r="Q49" s="7"/>
      <c r="R49" s="7"/>
      <c r="S49" s="141"/>
      <c r="T49" s="7"/>
    </row>
    <row r="50" spans="1:20" ht="15" hidden="1" customHeight="1">
      <c r="A50" s="38">
        <v>250415120100</v>
      </c>
      <c r="B50" s="147" t="s">
        <v>867</v>
      </c>
      <c r="C50" s="3" t="s">
        <v>888</v>
      </c>
      <c r="D50" s="3" t="s">
        <v>1004</v>
      </c>
      <c r="E50" s="2" t="s">
        <v>1010</v>
      </c>
      <c r="F50" s="2" t="s">
        <v>1011</v>
      </c>
      <c r="G50" s="148"/>
      <c r="H50" s="148"/>
      <c r="J50" s="10" t="s">
        <v>1012</v>
      </c>
      <c r="K50" s="14"/>
      <c r="L50" s="13"/>
      <c r="M50" s="7"/>
      <c r="N50" s="7"/>
      <c r="O50" s="7"/>
      <c r="P50" s="7"/>
      <c r="Q50" s="7"/>
      <c r="R50" s="7"/>
      <c r="S50" s="141"/>
      <c r="T50" s="7"/>
    </row>
    <row r="51" spans="1:20" ht="15" hidden="1" customHeight="1">
      <c r="A51" s="38">
        <v>250428083400</v>
      </c>
      <c r="B51" s="149"/>
      <c r="C51" s="3" t="s">
        <v>888</v>
      </c>
      <c r="D51" s="3" t="s">
        <v>1004</v>
      </c>
      <c r="E51" s="2" t="s">
        <v>1013</v>
      </c>
      <c r="F51" s="2" t="s">
        <v>1014</v>
      </c>
      <c r="G51" s="48"/>
      <c r="H51" s="150"/>
      <c r="J51" s="10" t="s">
        <v>1015</v>
      </c>
      <c r="K51" s="14"/>
      <c r="L51" s="13"/>
      <c r="M51" s="7"/>
      <c r="N51" s="7"/>
      <c r="O51" s="7"/>
      <c r="P51" s="7"/>
      <c r="Q51" s="7"/>
      <c r="R51" s="7"/>
      <c r="S51" s="141"/>
      <c r="T51" s="7"/>
    </row>
    <row r="52" spans="1:20" ht="15" hidden="1" customHeight="1">
      <c r="A52" s="38">
        <v>250428082600</v>
      </c>
      <c r="B52" s="149"/>
      <c r="C52" s="3" t="s">
        <v>888</v>
      </c>
      <c r="D52" s="3" t="s">
        <v>1004</v>
      </c>
      <c r="E52" s="2" t="s">
        <v>1016</v>
      </c>
      <c r="F52" s="2" t="s">
        <v>912</v>
      </c>
      <c r="G52" s="48"/>
      <c r="H52" s="150"/>
      <c r="J52" s="10" t="s">
        <v>1017</v>
      </c>
      <c r="K52" s="14"/>
      <c r="L52" s="13"/>
      <c r="M52" s="7"/>
      <c r="N52" s="7"/>
      <c r="O52" s="7"/>
      <c r="P52" s="7"/>
      <c r="Q52" s="7"/>
      <c r="R52" s="7"/>
      <c r="S52" s="141"/>
      <c r="T52" s="7"/>
    </row>
    <row r="53" spans="1:20" ht="15" hidden="1" customHeight="1">
      <c r="A53" s="38">
        <v>250401135800</v>
      </c>
      <c r="B53" s="147" t="s">
        <v>867</v>
      </c>
      <c r="C53" s="3" t="s">
        <v>888</v>
      </c>
      <c r="D53" s="3" t="s">
        <v>1004</v>
      </c>
      <c r="E53" s="2" t="s">
        <v>1018</v>
      </c>
      <c r="F53" s="2" t="s">
        <v>1019</v>
      </c>
      <c r="G53" s="148"/>
      <c r="H53" s="148"/>
      <c r="I53" s="10"/>
      <c r="J53" s="10" t="s">
        <v>1020</v>
      </c>
      <c r="K53" s="14"/>
      <c r="L53" s="13"/>
      <c r="M53" s="7"/>
      <c r="N53" s="7"/>
      <c r="O53" s="7"/>
      <c r="P53" s="7"/>
      <c r="Q53" s="7"/>
      <c r="R53" s="7"/>
      <c r="S53" s="141"/>
      <c r="T53" s="7"/>
    </row>
    <row r="54" spans="1:20" ht="15" hidden="1" customHeight="1">
      <c r="A54" s="38">
        <v>250408115500</v>
      </c>
      <c r="B54" s="147" t="s">
        <v>867</v>
      </c>
      <c r="C54" s="3" t="s">
        <v>888</v>
      </c>
      <c r="D54" s="3" t="s">
        <v>1004</v>
      </c>
      <c r="E54" s="2" t="s">
        <v>1021</v>
      </c>
      <c r="F54" s="2" t="s">
        <v>912</v>
      </c>
      <c r="G54" s="148"/>
      <c r="H54" s="148"/>
      <c r="J54" s="1" t="s">
        <v>1022</v>
      </c>
      <c r="K54" s="14"/>
      <c r="L54" s="13"/>
      <c r="M54" s="7"/>
      <c r="N54" s="7"/>
      <c r="O54" s="7"/>
      <c r="P54" s="7"/>
      <c r="Q54" s="7"/>
      <c r="R54" s="7"/>
      <c r="S54" s="141"/>
      <c r="T54" s="7"/>
    </row>
    <row r="55" spans="1:20" ht="15.6" hidden="1" customHeight="1">
      <c r="A55" s="38">
        <v>250415114400</v>
      </c>
      <c r="B55" s="147" t="s">
        <v>867</v>
      </c>
      <c r="C55" s="3" t="s">
        <v>888</v>
      </c>
      <c r="D55" s="3" t="s">
        <v>1004</v>
      </c>
      <c r="E55" s="2" t="s">
        <v>1023</v>
      </c>
      <c r="F55" s="2" t="s">
        <v>912</v>
      </c>
      <c r="G55" s="148"/>
      <c r="H55" s="148"/>
      <c r="J55" s="10" t="s">
        <v>1024</v>
      </c>
      <c r="K55" s="14"/>
      <c r="L55" s="13"/>
      <c r="M55" s="7"/>
      <c r="N55" s="7"/>
      <c r="O55" s="7"/>
      <c r="P55" s="7"/>
      <c r="Q55" s="7"/>
      <c r="R55" s="7"/>
      <c r="S55" s="141"/>
      <c r="T55" s="7"/>
    </row>
    <row r="56" spans="1:20" ht="14.85" hidden="1" customHeight="1">
      <c r="A56" s="38">
        <v>250415114500</v>
      </c>
      <c r="B56" s="147" t="s">
        <v>867</v>
      </c>
      <c r="C56" s="3" t="s">
        <v>888</v>
      </c>
      <c r="D56" s="3" t="s">
        <v>1004</v>
      </c>
      <c r="E56" s="2" t="s">
        <v>1025</v>
      </c>
      <c r="F56" s="2" t="s">
        <v>1026</v>
      </c>
      <c r="G56" s="148"/>
      <c r="H56" s="148"/>
      <c r="J56" s="10" t="s">
        <v>1027</v>
      </c>
      <c r="K56" s="14"/>
      <c r="L56" s="13"/>
      <c r="M56" s="7"/>
      <c r="N56" s="7"/>
      <c r="O56" s="7"/>
      <c r="P56" s="7"/>
      <c r="Q56" s="7"/>
      <c r="R56" s="7"/>
      <c r="S56" s="141"/>
      <c r="T56" s="7"/>
    </row>
    <row r="57" spans="1:20" ht="15" hidden="1" customHeight="1">
      <c r="A57" s="38">
        <v>250408114800</v>
      </c>
      <c r="B57" s="147" t="s">
        <v>867</v>
      </c>
      <c r="C57" s="3" t="s">
        <v>888</v>
      </c>
      <c r="D57" s="3" t="s">
        <v>1004</v>
      </c>
      <c r="E57" s="2" t="s">
        <v>1028</v>
      </c>
      <c r="F57" s="2" t="s">
        <v>1029</v>
      </c>
      <c r="G57" s="148"/>
      <c r="H57" s="148"/>
      <c r="J57" s="1" t="s">
        <v>1030</v>
      </c>
      <c r="K57" s="14"/>
      <c r="L57" s="13"/>
      <c r="M57" s="7"/>
      <c r="N57" s="7"/>
      <c r="O57" s="7"/>
      <c r="P57" s="7"/>
      <c r="Q57" s="7"/>
      <c r="R57" s="7"/>
      <c r="S57" s="141"/>
      <c r="T57" s="7"/>
    </row>
    <row r="58" spans="1:20" ht="15" hidden="1" customHeight="1">
      <c r="A58" s="38">
        <v>250415114600</v>
      </c>
      <c r="B58" s="147" t="s">
        <v>867</v>
      </c>
      <c r="C58" s="3" t="s">
        <v>888</v>
      </c>
      <c r="D58" s="3" t="s">
        <v>1004</v>
      </c>
      <c r="E58" s="2" t="s">
        <v>1031</v>
      </c>
      <c r="F58" s="2" t="s">
        <v>912</v>
      </c>
      <c r="G58" s="148"/>
      <c r="H58" s="148"/>
      <c r="J58" s="10" t="s">
        <v>1032</v>
      </c>
      <c r="K58" s="14"/>
      <c r="L58" s="13"/>
      <c r="M58" s="7"/>
      <c r="N58" s="7"/>
      <c r="O58" s="7"/>
      <c r="P58" s="7"/>
      <c r="Q58" s="7"/>
      <c r="R58" s="7"/>
      <c r="S58" s="141"/>
      <c r="T58" s="7"/>
    </row>
    <row r="59" spans="1:20" ht="15" hidden="1" customHeight="1">
      <c r="A59" s="38">
        <v>250408115000</v>
      </c>
      <c r="B59" s="147" t="s">
        <v>867</v>
      </c>
      <c r="C59" s="3" t="s">
        <v>888</v>
      </c>
      <c r="D59" s="3" t="s">
        <v>1004</v>
      </c>
      <c r="E59" s="2" t="s">
        <v>1033</v>
      </c>
      <c r="F59" s="2" t="s">
        <v>1034</v>
      </c>
      <c r="G59" s="148"/>
      <c r="H59" s="148"/>
      <c r="J59" s="1" t="s">
        <v>1035</v>
      </c>
      <c r="K59" s="14"/>
      <c r="L59" s="13"/>
      <c r="M59" s="7"/>
      <c r="N59" s="7"/>
      <c r="O59" s="7"/>
      <c r="P59" s="7"/>
      <c r="Q59" s="7"/>
      <c r="R59" s="7"/>
      <c r="S59" s="141"/>
      <c r="T59" s="7"/>
    </row>
    <row r="60" spans="1:20" ht="15" hidden="1" customHeight="1">
      <c r="A60" s="38">
        <v>250428083250</v>
      </c>
      <c r="B60" s="149"/>
      <c r="C60" s="3" t="s">
        <v>888</v>
      </c>
      <c r="D60" s="3" t="s">
        <v>1004</v>
      </c>
      <c r="E60" s="2" t="s">
        <v>1036</v>
      </c>
      <c r="F60" s="2" t="s">
        <v>912</v>
      </c>
      <c r="G60" s="48"/>
      <c r="H60" s="150"/>
      <c r="J60" s="10" t="s">
        <v>1037</v>
      </c>
      <c r="K60" s="14"/>
      <c r="L60" s="13"/>
      <c r="M60" s="7"/>
      <c r="N60" s="7"/>
      <c r="O60" s="7"/>
      <c r="P60" s="7"/>
      <c r="Q60" s="7"/>
      <c r="R60" s="7"/>
      <c r="S60" s="141"/>
      <c r="T60" s="7"/>
    </row>
    <row r="61" spans="1:20" ht="15" hidden="1" customHeight="1">
      <c r="A61" s="38">
        <v>250408114500</v>
      </c>
      <c r="B61" s="147" t="s">
        <v>867</v>
      </c>
      <c r="C61" s="3" t="s">
        <v>888</v>
      </c>
      <c r="D61" s="3" t="s">
        <v>1004</v>
      </c>
      <c r="E61" s="2" t="s">
        <v>1038</v>
      </c>
      <c r="F61" s="2" t="s">
        <v>1039</v>
      </c>
      <c r="G61" s="148"/>
      <c r="H61" s="148"/>
      <c r="J61" s="1" t="s">
        <v>1040</v>
      </c>
      <c r="K61" s="14"/>
      <c r="L61" s="13"/>
      <c r="M61" s="7"/>
      <c r="N61" s="7"/>
      <c r="O61" s="7"/>
      <c r="P61" s="7"/>
      <c r="Q61" s="7"/>
      <c r="R61" s="7"/>
      <c r="S61" s="141"/>
      <c r="T61" s="7"/>
    </row>
    <row r="62" spans="1:20" ht="15" hidden="1" customHeight="1">
      <c r="A62" s="38">
        <v>250408115100</v>
      </c>
      <c r="B62" s="147" t="s">
        <v>867</v>
      </c>
      <c r="C62" s="3" t="s">
        <v>888</v>
      </c>
      <c r="D62" s="3" t="s">
        <v>1004</v>
      </c>
      <c r="E62" s="2" t="s">
        <v>1041</v>
      </c>
      <c r="F62" s="2" t="s">
        <v>1042</v>
      </c>
      <c r="G62" s="148"/>
      <c r="H62" s="148"/>
      <c r="J62" s="1" t="s">
        <v>1043</v>
      </c>
      <c r="K62" s="14"/>
      <c r="L62" s="13"/>
      <c r="M62" s="7"/>
      <c r="N62" s="7"/>
      <c r="O62" s="7"/>
      <c r="P62" s="7"/>
      <c r="Q62" s="7"/>
      <c r="R62" s="7"/>
      <c r="S62" s="141"/>
      <c r="T62" s="7"/>
    </row>
    <row r="63" spans="1:20" ht="14.85" hidden="1" customHeight="1">
      <c r="A63" s="38">
        <v>250401140100</v>
      </c>
      <c r="B63" s="147" t="s">
        <v>867</v>
      </c>
      <c r="C63" s="3" t="s">
        <v>888</v>
      </c>
      <c r="D63" s="3" t="s">
        <v>1004</v>
      </c>
      <c r="E63" s="2" t="s">
        <v>1044</v>
      </c>
      <c r="F63" s="2" t="s">
        <v>912</v>
      </c>
      <c r="G63" s="148"/>
      <c r="H63" s="148"/>
      <c r="I63" s="10"/>
      <c r="J63" s="10" t="s">
        <v>1045</v>
      </c>
      <c r="K63" s="14"/>
      <c r="L63" s="13"/>
      <c r="M63" s="7"/>
      <c r="N63" s="7"/>
      <c r="O63" s="7"/>
      <c r="P63" s="7"/>
      <c r="Q63" s="7"/>
      <c r="R63" s="7"/>
      <c r="S63" s="141"/>
      <c r="T63" s="7"/>
    </row>
    <row r="64" spans="1:20" ht="14.85" hidden="1" customHeight="1">
      <c r="A64" s="38">
        <v>250415115300</v>
      </c>
      <c r="B64" s="147" t="s">
        <v>867</v>
      </c>
      <c r="C64" s="3" t="s">
        <v>888</v>
      </c>
      <c r="D64" s="3" t="s">
        <v>1004</v>
      </c>
      <c r="E64" s="2" t="s">
        <v>1046</v>
      </c>
      <c r="F64" s="2" t="s">
        <v>912</v>
      </c>
      <c r="G64" s="148"/>
      <c r="H64" s="148"/>
      <c r="J64" s="10" t="s">
        <v>1047</v>
      </c>
      <c r="K64" s="14"/>
      <c r="L64" s="13"/>
      <c r="M64" s="7"/>
      <c r="N64" s="7"/>
      <c r="O64" s="7"/>
      <c r="P64" s="7"/>
      <c r="Q64" s="7"/>
      <c r="R64" s="7"/>
      <c r="S64" s="141"/>
      <c r="T64" s="7"/>
    </row>
    <row r="65" spans="1:20" ht="14.85" hidden="1" customHeight="1">
      <c r="A65" s="38">
        <v>250428082700</v>
      </c>
      <c r="B65" s="149"/>
      <c r="C65" s="3" t="s">
        <v>888</v>
      </c>
      <c r="D65" s="3" t="s">
        <v>1004</v>
      </c>
      <c r="E65" s="2" t="s">
        <v>1048</v>
      </c>
      <c r="F65" s="2" t="s">
        <v>912</v>
      </c>
      <c r="G65" s="48"/>
      <c r="H65" s="150"/>
      <c r="J65" s="10" t="s">
        <v>1049</v>
      </c>
      <c r="K65" s="14"/>
      <c r="L65" s="13"/>
      <c r="M65" s="7"/>
      <c r="N65" s="7"/>
      <c r="O65" s="7"/>
      <c r="P65" s="7"/>
      <c r="Q65" s="7"/>
      <c r="R65" s="7"/>
      <c r="S65" s="141"/>
      <c r="T65" s="7"/>
    </row>
    <row r="66" spans="1:20" ht="14.85" hidden="1" customHeight="1">
      <c r="A66" s="38">
        <v>250401135700</v>
      </c>
      <c r="B66" s="147" t="s">
        <v>867</v>
      </c>
      <c r="C66" s="3" t="s">
        <v>888</v>
      </c>
      <c r="D66" s="3" t="s">
        <v>1004</v>
      </c>
      <c r="E66" s="2" t="s">
        <v>1050</v>
      </c>
      <c r="F66" s="2" t="s">
        <v>912</v>
      </c>
      <c r="G66" s="148"/>
      <c r="H66" s="148"/>
      <c r="I66" s="10"/>
      <c r="J66" s="10" t="s">
        <v>1051</v>
      </c>
      <c r="K66" s="14"/>
      <c r="L66" s="13"/>
      <c r="M66" s="7"/>
      <c r="N66" s="7"/>
      <c r="O66" s="7"/>
      <c r="P66" s="7"/>
      <c r="Q66" s="7"/>
      <c r="R66" s="7"/>
      <c r="S66" s="141"/>
      <c r="T66" s="7"/>
    </row>
    <row r="67" spans="1:20" ht="14.85" hidden="1" customHeight="1">
      <c r="A67" s="38">
        <v>250415114900</v>
      </c>
      <c r="B67" s="147" t="s">
        <v>867</v>
      </c>
      <c r="C67" s="3" t="s">
        <v>888</v>
      </c>
      <c r="D67" s="3" t="s">
        <v>1004</v>
      </c>
      <c r="E67" s="2" t="s">
        <v>1052</v>
      </c>
      <c r="F67" s="2" t="s">
        <v>912</v>
      </c>
      <c r="G67" s="148"/>
      <c r="H67" s="148"/>
      <c r="J67" s="10" t="s">
        <v>1053</v>
      </c>
      <c r="K67" s="14"/>
      <c r="L67" s="13"/>
      <c r="M67" s="7"/>
      <c r="N67" s="7"/>
      <c r="O67" s="7"/>
      <c r="P67" s="7"/>
      <c r="Q67" s="7"/>
      <c r="R67" s="7"/>
      <c r="S67" s="141"/>
      <c r="T67" s="7"/>
    </row>
    <row r="68" spans="1:20" ht="15" hidden="1" customHeight="1">
      <c r="A68" s="38">
        <v>250415120000</v>
      </c>
      <c r="B68" s="147" t="s">
        <v>867</v>
      </c>
      <c r="C68" s="3" t="s">
        <v>888</v>
      </c>
      <c r="D68" s="3" t="s">
        <v>1004</v>
      </c>
      <c r="E68" s="2" t="s">
        <v>1054</v>
      </c>
      <c r="F68" s="2" t="s">
        <v>1055</v>
      </c>
      <c r="G68" s="148"/>
      <c r="H68" s="148"/>
      <c r="J68" s="10" t="s">
        <v>1056</v>
      </c>
      <c r="K68" s="14"/>
      <c r="L68" s="13"/>
      <c r="M68" s="7"/>
      <c r="N68" s="7"/>
      <c r="O68" s="7"/>
      <c r="P68" s="7"/>
      <c r="Q68" s="7"/>
      <c r="R68" s="7"/>
      <c r="S68" s="141"/>
      <c r="T68" s="7"/>
    </row>
    <row r="69" spans="1:20" ht="15" hidden="1" customHeight="1">
      <c r="A69" s="38">
        <v>250415115900</v>
      </c>
      <c r="B69" s="147" t="s">
        <v>867</v>
      </c>
      <c r="C69" s="3" t="s">
        <v>888</v>
      </c>
      <c r="D69" s="3" t="s">
        <v>1004</v>
      </c>
      <c r="E69" s="2" t="s">
        <v>1057</v>
      </c>
      <c r="F69" s="2" t="s">
        <v>1058</v>
      </c>
      <c r="G69" s="148"/>
      <c r="H69" s="148"/>
      <c r="J69" s="10" t="s">
        <v>1059</v>
      </c>
      <c r="K69" s="14"/>
      <c r="L69" s="13"/>
      <c r="M69" s="7"/>
      <c r="N69" s="7"/>
      <c r="O69" s="7"/>
      <c r="P69" s="7"/>
      <c r="Q69" s="7"/>
      <c r="R69" s="7"/>
      <c r="S69" s="141"/>
      <c r="T69" s="7"/>
    </row>
    <row r="70" spans="1:20" ht="15" hidden="1" customHeight="1">
      <c r="A70" s="38">
        <v>250408115300</v>
      </c>
      <c r="B70" s="147" t="s">
        <v>867</v>
      </c>
      <c r="C70" s="3" t="s">
        <v>888</v>
      </c>
      <c r="D70" s="3" t="s">
        <v>1004</v>
      </c>
      <c r="E70" s="2" t="s">
        <v>1060</v>
      </c>
      <c r="F70" s="2" t="s">
        <v>912</v>
      </c>
      <c r="G70" s="148"/>
      <c r="H70" s="148"/>
      <c r="J70" s="1" t="s">
        <v>1061</v>
      </c>
      <c r="K70" s="14"/>
      <c r="L70" s="13"/>
      <c r="M70" s="7"/>
      <c r="N70" s="7"/>
      <c r="O70" s="7"/>
      <c r="P70" s="7"/>
      <c r="Q70" s="7"/>
      <c r="R70" s="7"/>
      <c r="S70" s="141"/>
      <c r="T70" s="7"/>
    </row>
    <row r="71" spans="1:20" ht="15" hidden="1" customHeight="1">
      <c r="A71" s="38">
        <v>250415115400</v>
      </c>
      <c r="B71" s="147" t="s">
        <v>867</v>
      </c>
      <c r="C71" s="3" t="s">
        <v>888</v>
      </c>
      <c r="D71" s="3" t="s">
        <v>1004</v>
      </c>
      <c r="E71" s="2" t="s">
        <v>1062</v>
      </c>
      <c r="F71" s="2" t="s">
        <v>1063</v>
      </c>
      <c r="G71" s="148"/>
      <c r="H71" s="148"/>
      <c r="J71" s="10" t="s">
        <v>1064</v>
      </c>
      <c r="K71" s="14"/>
      <c r="L71" s="13"/>
      <c r="M71" s="7"/>
      <c r="N71" s="7"/>
      <c r="O71" s="7"/>
      <c r="P71" s="7"/>
      <c r="Q71" s="7"/>
      <c r="R71" s="7"/>
      <c r="S71" s="141"/>
      <c r="T71" s="7"/>
    </row>
    <row r="72" spans="1:20" ht="15" hidden="1" customHeight="1">
      <c r="A72" s="38">
        <v>250401140800</v>
      </c>
      <c r="B72" s="147" t="s">
        <v>867</v>
      </c>
      <c r="C72" s="3" t="s">
        <v>888</v>
      </c>
      <c r="D72" s="3" t="s">
        <v>1004</v>
      </c>
      <c r="E72" s="6" t="s">
        <v>1065</v>
      </c>
      <c r="F72" s="2" t="s">
        <v>912</v>
      </c>
      <c r="G72" s="148"/>
      <c r="H72" s="148"/>
      <c r="I72" s="10"/>
      <c r="J72" s="10" t="s">
        <v>1066</v>
      </c>
      <c r="K72" s="109"/>
      <c r="L72" s="65"/>
      <c r="M72" s="110"/>
      <c r="N72" s="110"/>
      <c r="O72" s="110"/>
      <c r="P72" s="110"/>
      <c r="Q72" s="110"/>
      <c r="R72" s="7"/>
      <c r="S72" s="141"/>
      <c r="T72" s="7"/>
    </row>
    <row r="73" spans="1:20" hidden="1">
      <c r="A73" s="38">
        <v>250415115200</v>
      </c>
      <c r="B73" s="147" t="s">
        <v>867</v>
      </c>
      <c r="C73" s="3" t="s">
        <v>888</v>
      </c>
      <c r="D73" s="3" t="s">
        <v>1004</v>
      </c>
      <c r="E73" s="2" t="s">
        <v>1067</v>
      </c>
      <c r="F73" s="2" t="s">
        <v>1068</v>
      </c>
      <c r="G73" s="148"/>
      <c r="H73" s="148"/>
      <c r="J73" s="10" t="s">
        <v>1069</v>
      </c>
      <c r="K73" s="14"/>
      <c r="L73" s="13"/>
      <c r="M73" s="7"/>
      <c r="N73" s="7"/>
      <c r="O73" s="7"/>
      <c r="P73" s="7"/>
      <c r="Q73" s="7"/>
      <c r="R73" s="7"/>
      <c r="S73" s="141"/>
      <c r="T73" s="7"/>
    </row>
    <row r="74" spans="1:20" ht="19.5" hidden="1" customHeight="1">
      <c r="A74" s="38">
        <v>250401140700</v>
      </c>
      <c r="B74" s="147" t="s">
        <v>867</v>
      </c>
      <c r="C74" s="3" t="s">
        <v>888</v>
      </c>
      <c r="D74" s="3" t="s">
        <v>1004</v>
      </c>
      <c r="E74" s="6" t="s">
        <v>1070</v>
      </c>
      <c r="F74" s="2" t="s">
        <v>1071</v>
      </c>
      <c r="G74" s="148"/>
      <c r="H74" s="148"/>
      <c r="I74" s="10"/>
      <c r="J74" s="10" t="s">
        <v>1072</v>
      </c>
      <c r="K74" s="14"/>
      <c r="L74" s="13"/>
      <c r="M74" s="7"/>
      <c r="N74" s="7"/>
      <c r="O74" s="7"/>
      <c r="P74" s="7"/>
      <c r="Q74" s="7"/>
      <c r="R74" s="7"/>
      <c r="S74" s="141"/>
      <c r="T74" s="7"/>
    </row>
    <row r="75" spans="1:20" ht="15" hidden="1" customHeight="1">
      <c r="A75" s="38">
        <v>250401140600</v>
      </c>
      <c r="B75" s="147" t="s">
        <v>867</v>
      </c>
      <c r="C75" s="3" t="s">
        <v>888</v>
      </c>
      <c r="D75" s="3" t="s">
        <v>1004</v>
      </c>
      <c r="E75" s="2" t="s">
        <v>1073</v>
      </c>
      <c r="F75" s="2" t="s">
        <v>912</v>
      </c>
      <c r="G75" s="148"/>
      <c r="H75" s="148"/>
      <c r="I75" s="10"/>
      <c r="J75" s="10" t="s">
        <v>1074</v>
      </c>
      <c r="K75" s="14"/>
      <c r="L75" s="13"/>
      <c r="M75" s="7"/>
      <c r="N75" s="7"/>
      <c r="O75" s="7"/>
      <c r="P75" s="7"/>
      <c r="Q75" s="7"/>
      <c r="R75" s="7"/>
      <c r="S75" s="141"/>
      <c r="T75" s="7"/>
    </row>
    <row r="76" spans="1:20" ht="14.85" hidden="1" customHeight="1">
      <c r="A76" s="38">
        <v>250408115200</v>
      </c>
      <c r="B76" s="147" t="s">
        <v>867</v>
      </c>
      <c r="C76" s="3" t="s">
        <v>888</v>
      </c>
      <c r="D76" s="3" t="s">
        <v>1004</v>
      </c>
      <c r="E76" s="2" t="s">
        <v>1075</v>
      </c>
      <c r="F76" s="2" t="s">
        <v>912</v>
      </c>
      <c r="G76" s="148"/>
      <c r="H76" s="148"/>
      <c r="J76" s="1" t="s">
        <v>1076</v>
      </c>
      <c r="K76" s="14"/>
      <c r="L76" s="13"/>
      <c r="M76" s="7"/>
      <c r="N76" s="7"/>
      <c r="O76" s="7"/>
      <c r="P76" s="7"/>
      <c r="Q76" s="7"/>
      <c r="R76" s="7"/>
      <c r="S76" s="141"/>
      <c r="T76" s="7"/>
    </row>
    <row r="77" spans="1:20" ht="15" hidden="1" customHeight="1">
      <c r="A77" s="38">
        <v>250415114800</v>
      </c>
      <c r="B77" s="147" t="s">
        <v>867</v>
      </c>
      <c r="C77" s="3" t="s">
        <v>888</v>
      </c>
      <c r="D77" s="3" t="s">
        <v>1004</v>
      </c>
      <c r="E77" s="2" t="s">
        <v>1077</v>
      </c>
      <c r="F77" s="2" t="s">
        <v>1078</v>
      </c>
      <c r="G77" s="148"/>
      <c r="H77" s="148"/>
      <c r="J77" s="10" t="s">
        <v>1079</v>
      </c>
      <c r="K77" s="14"/>
      <c r="L77" s="13"/>
      <c r="M77" s="7"/>
      <c r="N77" s="7"/>
      <c r="O77" s="7"/>
      <c r="P77" s="7"/>
      <c r="Q77" s="7"/>
      <c r="R77" s="7"/>
      <c r="S77" s="141"/>
      <c r="T77" s="7"/>
    </row>
    <row r="78" spans="1:20" ht="14.85" hidden="1" customHeight="1">
      <c r="A78" s="38">
        <v>250428083100</v>
      </c>
      <c r="B78" s="149"/>
      <c r="C78" s="3" t="s">
        <v>888</v>
      </c>
      <c r="D78" s="3" t="s">
        <v>1004</v>
      </c>
      <c r="E78" s="2" t="s">
        <v>1080</v>
      </c>
      <c r="F78" s="2" t="s">
        <v>912</v>
      </c>
      <c r="G78" s="48"/>
      <c r="H78" s="150"/>
      <c r="J78" s="10" t="s">
        <v>1081</v>
      </c>
      <c r="K78" s="14"/>
      <c r="L78" s="13"/>
      <c r="M78" s="7"/>
      <c r="N78" s="7"/>
      <c r="O78" s="7"/>
      <c r="P78" s="7"/>
      <c r="Q78" s="7"/>
      <c r="R78" s="7"/>
      <c r="S78" s="141"/>
      <c r="T78" s="7"/>
    </row>
    <row r="79" spans="1:20" ht="15.6" hidden="1" customHeight="1">
      <c r="A79" s="38">
        <v>250408114600</v>
      </c>
      <c r="B79" s="147" t="s">
        <v>867</v>
      </c>
      <c r="C79" s="3" t="s">
        <v>888</v>
      </c>
      <c r="D79" s="3" t="s">
        <v>1004</v>
      </c>
      <c r="E79" s="2" t="s">
        <v>1082</v>
      </c>
      <c r="F79" s="2" t="s">
        <v>1029</v>
      </c>
      <c r="G79" s="148"/>
      <c r="H79" s="148"/>
      <c r="J79" s="1" t="s">
        <v>1083</v>
      </c>
      <c r="K79" s="14"/>
      <c r="L79" s="13"/>
      <c r="M79" s="7"/>
      <c r="N79" s="7"/>
      <c r="O79" s="7"/>
      <c r="P79" s="7"/>
      <c r="Q79" s="7"/>
      <c r="R79" s="7"/>
      <c r="S79" s="141"/>
      <c r="T79" s="7"/>
    </row>
    <row r="80" spans="1:20" ht="15" hidden="1" customHeight="1">
      <c r="A80" s="38">
        <v>250428083500</v>
      </c>
      <c r="B80" s="149"/>
      <c r="C80" s="3" t="s">
        <v>888</v>
      </c>
      <c r="D80" s="3" t="s">
        <v>1004</v>
      </c>
      <c r="E80" s="2" t="s">
        <v>1084</v>
      </c>
      <c r="F80" s="2" t="s">
        <v>1014</v>
      </c>
      <c r="G80" s="48"/>
      <c r="H80" s="150"/>
      <c r="J80" s="10" t="s">
        <v>1085</v>
      </c>
      <c r="K80" s="14"/>
      <c r="L80" s="13"/>
      <c r="M80" s="7"/>
      <c r="N80" s="7"/>
      <c r="O80" s="7"/>
      <c r="P80" s="7"/>
      <c r="Q80" s="7"/>
      <c r="R80" s="7"/>
      <c r="S80" s="141"/>
      <c r="T80" s="7"/>
    </row>
    <row r="81" spans="1:20" ht="15" hidden="1" customHeight="1">
      <c r="A81" s="38">
        <v>250401140000</v>
      </c>
      <c r="B81" s="147" t="s">
        <v>867</v>
      </c>
      <c r="C81" s="3" t="s">
        <v>888</v>
      </c>
      <c r="D81" s="3" t="s">
        <v>1004</v>
      </c>
      <c r="E81" s="2" t="s">
        <v>1086</v>
      </c>
      <c r="F81" s="2" t="s">
        <v>1014</v>
      </c>
      <c r="G81" s="148"/>
      <c r="H81" s="148"/>
      <c r="I81" s="10"/>
      <c r="J81" s="10" t="s">
        <v>1087</v>
      </c>
      <c r="K81" s="14"/>
      <c r="L81" s="13"/>
      <c r="M81" s="7"/>
      <c r="N81" s="7"/>
      <c r="O81" s="7"/>
      <c r="P81" s="7"/>
      <c r="Q81" s="7"/>
      <c r="R81" s="7"/>
      <c r="S81" s="141"/>
      <c r="T81" s="7"/>
    </row>
    <row r="82" spans="1:20" ht="14.85" hidden="1" customHeight="1">
      <c r="A82" s="38">
        <v>250401135900</v>
      </c>
      <c r="B82" s="147" t="s">
        <v>867</v>
      </c>
      <c r="C82" s="3" t="s">
        <v>888</v>
      </c>
      <c r="D82" s="3" t="s">
        <v>1004</v>
      </c>
      <c r="E82" s="2" t="s">
        <v>1088</v>
      </c>
      <c r="F82" s="2" t="s">
        <v>1014</v>
      </c>
      <c r="G82" s="148"/>
      <c r="H82" s="148"/>
      <c r="I82" s="10"/>
      <c r="J82" s="10" t="s">
        <v>1089</v>
      </c>
      <c r="K82" s="14"/>
      <c r="L82" s="13"/>
      <c r="M82" s="7"/>
      <c r="N82" s="7"/>
      <c r="O82" s="7"/>
      <c r="P82" s="7"/>
      <c r="Q82" s="7"/>
      <c r="R82" s="7"/>
      <c r="S82" s="141"/>
      <c r="T82" s="7"/>
    </row>
    <row r="83" spans="1:20" ht="15" hidden="1" customHeight="1">
      <c r="A83" s="38">
        <v>250415120200</v>
      </c>
      <c r="B83" s="147" t="s">
        <v>867</v>
      </c>
      <c r="C83" s="3" t="s">
        <v>888</v>
      </c>
      <c r="D83" s="3" t="s">
        <v>1004</v>
      </c>
      <c r="E83" s="2" t="s">
        <v>1090</v>
      </c>
      <c r="F83" s="2" t="s">
        <v>1091</v>
      </c>
      <c r="G83" s="148"/>
      <c r="H83" s="148"/>
      <c r="J83" s="10" t="s">
        <v>1092</v>
      </c>
      <c r="K83" s="14"/>
      <c r="L83" s="13"/>
      <c r="M83" s="7"/>
      <c r="N83" s="7"/>
      <c r="O83" s="7"/>
      <c r="P83" s="7"/>
      <c r="Q83" s="7"/>
      <c r="R83" s="7"/>
      <c r="S83" s="141"/>
      <c r="T83" s="7"/>
    </row>
    <row r="84" spans="1:20" ht="14.1" hidden="1" customHeight="1">
      <c r="A84" s="38">
        <v>250415115100</v>
      </c>
      <c r="B84" s="147" t="s">
        <v>867</v>
      </c>
      <c r="C84" s="3" t="s">
        <v>888</v>
      </c>
      <c r="D84" s="3" t="s">
        <v>1004</v>
      </c>
      <c r="E84" s="2" t="s">
        <v>1093</v>
      </c>
      <c r="F84" s="2" t="s">
        <v>1094</v>
      </c>
      <c r="G84" s="148"/>
      <c r="H84" s="148"/>
      <c r="J84" s="10" t="s">
        <v>1095</v>
      </c>
      <c r="K84" s="14"/>
      <c r="L84" s="13"/>
      <c r="M84" s="7"/>
      <c r="N84" s="7"/>
      <c r="O84" s="7"/>
      <c r="P84" s="7"/>
      <c r="Q84" s="7"/>
      <c r="R84" s="7"/>
      <c r="S84" s="141"/>
      <c r="T84" s="7"/>
    </row>
    <row r="85" spans="1:20" ht="14.85" hidden="1" customHeight="1">
      <c r="A85" s="38">
        <v>250415115700</v>
      </c>
      <c r="B85" s="147" t="s">
        <v>867</v>
      </c>
      <c r="C85" s="3" t="s">
        <v>888</v>
      </c>
      <c r="D85" s="3" t="s">
        <v>1004</v>
      </c>
      <c r="E85" s="2" t="s">
        <v>1096</v>
      </c>
      <c r="F85" s="2" t="s">
        <v>1097</v>
      </c>
      <c r="G85" s="148"/>
      <c r="H85" s="148"/>
      <c r="J85" s="10" t="s">
        <v>1098</v>
      </c>
      <c r="K85" s="14"/>
      <c r="L85" s="13"/>
      <c r="M85" s="7"/>
      <c r="N85" s="7"/>
      <c r="O85" s="7"/>
      <c r="P85" s="7"/>
      <c r="Q85" s="7"/>
      <c r="R85" s="7"/>
      <c r="S85" s="141"/>
      <c r="T85" s="7"/>
    </row>
    <row r="86" spans="1:20" ht="14.85" hidden="1" customHeight="1">
      <c r="A86" s="38">
        <v>250401135500</v>
      </c>
      <c r="B86" s="147" t="s">
        <v>867</v>
      </c>
      <c r="C86" s="3" t="s">
        <v>888</v>
      </c>
      <c r="D86" s="3" t="s">
        <v>1004</v>
      </c>
      <c r="E86" s="2" t="s">
        <v>1099</v>
      </c>
      <c r="F86" s="2" t="s">
        <v>912</v>
      </c>
      <c r="G86" s="148"/>
      <c r="H86" s="148"/>
      <c r="I86" s="10"/>
      <c r="J86" s="10" t="s">
        <v>1100</v>
      </c>
      <c r="K86" s="14"/>
      <c r="L86" s="13"/>
      <c r="M86" s="7"/>
      <c r="N86" s="7"/>
      <c r="O86" s="7"/>
      <c r="P86" s="7"/>
      <c r="Q86" s="7"/>
      <c r="R86" s="7"/>
      <c r="S86" s="141"/>
      <c r="T86" s="7"/>
    </row>
    <row r="87" spans="1:20" ht="15" hidden="1" customHeight="1">
      <c r="A87" s="38">
        <v>250428082800</v>
      </c>
      <c r="B87" s="149"/>
      <c r="C87" s="3" t="s">
        <v>888</v>
      </c>
      <c r="D87" s="3" t="s">
        <v>1004</v>
      </c>
      <c r="E87" s="2" t="s">
        <v>1101</v>
      </c>
      <c r="F87" s="2" t="s">
        <v>912</v>
      </c>
      <c r="G87" s="48"/>
      <c r="H87" s="150"/>
      <c r="J87" s="10" t="s">
        <v>1102</v>
      </c>
      <c r="K87" s="14"/>
      <c r="L87" s="13"/>
      <c r="M87" s="7"/>
      <c r="N87" s="7"/>
      <c r="O87" s="7"/>
      <c r="P87" s="7"/>
      <c r="Q87" s="7"/>
      <c r="R87" s="7"/>
      <c r="S87" s="141"/>
      <c r="T87" s="7"/>
    </row>
    <row r="88" spans="1:20" ht="15" hidden="1" customHeight="1">
      <c r="A88" s="38">
        <v>250428082900</v>
      </c>
      <c r="B88" s="149"/>
      <c r="C88" s="3" t="s">
        <v>888</v>
      </c>
      <c r="D88" s="3" t="s">
        <v>1004</v>
      </c>
      <c r="E88" s="2" t="s">
        <v>1103</v>
      </c>
      <c r="F88" s="2" t="s">
        <v>912</v>
      </c>
      <c r="G88" s="48"/>
      <c r="H88" s="150"/>
      <c r="J88" s="10" t="s">
        <v>1104</v>
      </c>
      <c r="K88" s="14"/>
      <c r="L88" s="13"/>
      <c r="M88" s="7"/>
      <c r="N88" s="7"/>
      <c r="O88" s="7"/>
      <c r="P88" s="7"/>
      <c r="Q88" s="7"/>
      <c r="R88" s="7"/>
      <c r="S88" s="141"/>
      <c r="T88" s="7"/>
    </row>
    <row r="89" spans="1:20" ht="15" hidden="1" customHeight="1">
      <c r="A89" s="38">
        <v>250401135000</v>
      </c>
      <c r="B89" s="147" t="s">
        <v>867</v>
      </c>
      <c r="C89" s="3" t="s">
        <v>888</v>
      </c>
      <c r="D89" s="3" t="s">
        <v>1004</v>
      </c>
      <c r="E89" s="2" t="s">
        <v>1105</v>
      </c>
      <c r="F89" s="2" t="s">
        <v>912</v>
      </c>
      <c r="G89" s="148"/>
      <c r="H89" s="148"/>
      <c r="I89" s="10"/>
      <c r="J89" s="10" t="s">
        <v>1106</v>
      </c>
      <c r="K89" s="109"/>
      <c r="L89" s="65"/>
      <c r="M89" s="110"/>
      <c r="N89" s="110"/>
      <c r="O89" s="110"/>
      <c r="P89" s="110"/>
      <c r="Q89" s="110"/>
      <c r="R89" s="7"/>
      <c r="S89" s="141"/>
      <c r="T89" s="7"/>
    </row>
    <row r="90" spans="1:20" ht="15" hidden="1" customHeight="1">
      <c r="A90" s="38">
        <v>250415131001</v>
      </c>
      <c r="B90" s="147" t="s">
        <v>867</v>
      </c>
      <c r="C90" s="3" t="s">
        <v>888</v>
      </c>
      <c r="D90" s="3" t="s">
        <v>1004</v>
      </c>
      <c r="E90" s="2" t="s">
        <v>1107</v>
      </c>
      <c r="F90" s="2" t="s">
        <v>1108</v>
      </c>
      <c r="G90" s="148"/>
      <c r="H90" s="148"/>
      <c r="J90" s="10" t="s">
        <v>1109</v>
      </c>
      <c r="K90" s="14"/>
      <c r="L90" s="13"/>
      <c r="M90" s="7"/>
      <c r="N90" s="7"/>
      <c r="O90" s="7" t="s">
        <v>1110</v>
      </c>
      <c r="P90" s="7"/>
      <c r="Q90" s="7"/>
      <c r="R90" s="7"/>
      <c r="S90" s="141"/>
      <c r="T90" s="7"/>
    </row>
    <row r="91" spans="1:20" ht="14.85" hidden="1" customHeight="1">
      <c r="A91" s="38">
        <v>250401135200</v>
      </c>
      <c r="B91" s="147" t="s">
        <v>867</v>
      </c>
      <c r="C91" s="3" t="s">
        <v>888</v>
      </c>
      <c r="D91" s="3" t="s">
        <v>1004</v>
      </c>
      <c r="E91" s="2" t="s">
        <v>1111</v>
      </c>
      <c r="F91" s="2" t="s">
        <v>1112</v>
      </c>
      <c r="G91" s="148"/>
      <c r="H91" s="148"/>
      <c r="I91" s="10"/>
      <c r="J91" s="10" t="s">
        <v>1113</v>
      </c>
      <c r="K91" s="14"/>
      <c r="L91" s="13"/>
      <c r="M91" s="7"/>
      <c r="N91" s="7"/>
      <c r="O91" s="7"/>
      <c r="P91" s="7"/>
      <c r="Q91" s="7"/>
      <c r="R91" s="7"/>
      <c r="S91" s="141"/>
      <c r="T91" s="7"/>
    </row>
    <row r="92" spans="1:20" ht="14.85" hidden="1" customHeight="1">
      <c r="A92" s="38">
        <v>250401135400</v>
      </c>
      <c r="B92" s="147" t="s">
        <v>867</v>
      </c>
      <c r="C92" s="3" t="s">
        <v>888</v>
      </c>
      <c r="D92" s="3" t="s">
        <v>1004</v>
      </c>
      <c r="E92" s="2" t="s">
        <v>1114</v>
      </c>
      <c r="F92" s="2" t="s">
        <v>1115</v>
      </c>
      <c r="G92" s="148"/>
      <c r="H92" s="148"/>
      <c r="I92" s="10"/>
      <c r="J92" s="10" t="s">
        <v>1116</v>
      </c>
      <c r="K92" s="14"/>
      <c r="L92" s="13"/>
      <c r="M92" s="7"/>
      <c r="N92" s="7"/>
      <c r="O92" s="7"/>
      <c r="P92" s="7"/>
      <c r="Q92" s="7"/>
      <c r="R92" s="7"/>
      <c r="S92" s="141"/>
      <c r="T92" s="7"/>
    </row>
    <row r="93" spans="1:20" ht="15" hidden="1" customHeight="1">
      <c r="A93" s="38">
        <v>250415115500</v>
      </c>
      <c r="B93" s="147" t="s">
        <v>867</v>
      </c>
      <c r="C93" s="3" t="s">
        <v>888</v>
      </c>
      <c r="D93" s="3" t="s">
        <v>1004</v>
      </c>
      <c r="E93" s="2" t="s">
        <v>1117</v>
      </c>
      <c r="F93" s="2" t="s">
        <v>1118</v>
      </c>
      <c r="G93" s="148"/>
      <c r="H93" s="148"/>
      <c r="J93" s="10" t="s">
        <v>1119</v>
      </c>
      <c r="K93" s="14"/>
      <c r="L93" s="13"/>
      <c r="M93" s="7"/>
      <c r="N93" s="7"/>
      <c r="O93" s="7"/>
      <c r="P93" s="7"/>
      <c r="Q93" s="7"/>
      <c r="R93" s="7"/>
      <c r="S93" s="141"/>
      <c r="T93" s="7"/>
    </row>
    <row r="94" spans="1:20" ht="14.25" hidden="1" customHeight="1">
      <c r="A94" s="38">
        <v>250415120300</v>
      </c>
      <c r="B94" s="147" t="s">
        <v>867</v>
      </c>
      <c r="C94" s="3" t="s">
        <v>888</v>
      </c>
      <c r="D94" s="3" t="s">
        <v>1004</v>
      </c>
      <c r="E94" s="2" t="s">
        <v>1120</v>
      </c>
      <c r="F94" s="2" t="s">
        <v>1121</v>
      </c>
      <c r="G94" s="148"/>
      <c r="H94" s="148"/>
      <c r="J94" s="10" t="s">
        <v>1122</v>
      </c>
      <c r="K94" s="14"/>
      <c r="L94" s="13"/>
      <c r="M94" s="7"/>
      <c r="N94" s="7"/>
      <c r="O94" s="7"/>
      <c r="P94" s="7"/>
      <c r="Q94" s="7"/>
      <c r="R94" s="7"/>
      <c r="S94" s="141"/>
      <c r="T94" s="7"/>
    </row>
    <row r="95" spans="1:20" ht="16.5" hidden="1" customHeight="1">
      <c r="A95" s="38">
        <v>250415115800</v>
      </c>
      <c r="B95" s="147" t="s">
        <v>867</v>
      </c>
      <c r="C95" s="3" t="s">
        <v>888</v>
      </c>
      <c r="D95" s="3" t="s">
        <v>1004</v>
      </c>
      <c r="E95" s="2" t="s">
        <v>1123</v>
      </c>
      <c r="F95" s="2" t="s">
        <v>912</v>
      </c>
      <c r="G95" s="148"/>
      <c r="H95" s="148"/>
      <c r="J95" s="10" t="s">
        <v>1124</v>
      </c>
      <c r="K95" s="14"/>
      <c r="L95" s="13"/>
      <c r="M95" s="7"/>
      <c r="N95" s="7"/>
      <c r="O95" s="7"/>
      <c r="P95" s="7"/>
      <c r="Q95" s="7"/>
      <c r="R95" s="7"/>
      <c r="S95" s="141"/>
      <c r="T95" s="7"/>
    </row>
    <row r="96" spans="1:20" ht="14.85" hidden="1" customHeight="1">
      <c r="A96" s="38">
        <v>250415120400</v>
      </c>
      <c r="B96" s="147" t="s">
        <v>867</v>
      </c>
      <c r="C96" s="3" t="s">
        <v>888</v>
      </c>
      <c r="D96" s="3" t="s">
        <v>1004</v>
      </c>
      <c r="E96" s="2" t="s">
        <v>1125</v>
      </c>
      <c r="F96" s="2" t="s">
        <v>1126</v>
      </c>
      <c r="G96" s="148"/>
      <c r="H96" s="148"/>
      <c r="J96" s="10" t="s">
        <v>1127</v>
      </c>
      <c r="K96" s="14"/>
      <c r="L96" s="13"/>
      <c r="M96" s="7"/>
      <c r="N96" s="7"/>
      <c r="O96" s="7"/>
      <c r="P96" s="7"/>
      <c r="Q96" s="7"/>
      <c r="R96" s="7"/>
      <c r="S96" s="141"/>
      <c r="T96" s="7"/>
    </row>
    <row r="97" spans="1:20" ht="15" hidden="1" customHeight="1">
      <c r="A97" s="38">
        <v>250408114700</v>
      </c>
      <c r="B97" s="147" t="s">
        <v>867</v>
      </c>
      <c r="C97" s="3" t="s">
        <v>888</v>
      </c>
      <c r="D97" s="3" t="s">
        <v>1004</v>
      </c>
      <c r="E97" s="2" t="s">
        <v>1128</v>
      </c>
      <c r="F97" s="2" t="s">
        <v>1029</v>
      </c>
      <c r="G97" s="148"/>
      <c r="H97" s="148"/>
      <c r="J97" s="1" t="s">
        <v>1129</v>
      </c>
      <c r="K97" s="14"/>
      <c r="L97" s="13"/>
      <c r="M97" s="7"/>
      <c r="N97" s="7"/>
      <c r="O97" s="7"/>
      <c r="P97" s="7"/>
      <c r="Q97" s="7"/>
      <c r="R97" s="7"/>
      <c r="S97" s="141"/>
      <c r="T97" s="7"/>
    </row>
    <row r="98" spans="1:20" ht="14.85" hidden="1" customHeight="1">
      <c r="A98" s="38">
        <v>250428083300</v>
      </c>
      <c r="B98" s="149"/>
      <c r="C98" s="3" t="s">
        <v>888</v>
      </c>
      <c r="D98" s="3" t="s">
        <v>1004</v>
      </c>
      <c r="E98" s="2" t="s">
        <v>1130</v>
      </c>
      <c r="F98" s="2" t="s">
        <v>912</v>
      </c>
      <c r="G98" s="48"/>
      <c r="H98" s="150"/>
      <c r="J98" s="10" t="s">
        <v>1131</v>
      </c>
      <c r="K98" s="14"/>
      <c r="L98" s="13"/>
      <c r="M98" s="7"/>
      <c r="N98" s="7"/>
      <c r="O98" s="7"/>
      <c r="P98" s="7"/>
      <c r="Q98" s="7"/>
      <c r="R98" s="7"/>
      <c r="S98" s="141"/>
      <c r="T98" s="7"/>
    </row>
    <row r="99" spans="1:20" ht="14.85" hidden="1" customHeight="1">
      <c r="A99" s="38">
        <v>250408115400</v>
      </c>
      <c r="B99" s="147" t="s">
        <v>867</v>
      </c>
      <c r="C99" s="3" t="s">
        <v>888</v>
      </c>
      <c r="D99" s="3" t="s">
        <v>1004</v>
      </c>
      <c r="E99" s="2" t="s">
        <v>1132</v>
      </c>
      <c r="F99" s="2" t="s">
        <v>912</v>
      </c>
      <c r="G99" s="148"/>
      <c r="H99" s="148"/>
      <c r="J99" s="1" t="s">
        <v>1133</v>
      </c>
      <c r="K99" s="14"/>
      <c r="L99" s="13"/>
      <c r="M99" s="7"/>
      <c r="N99" s="7"/>
      <c r="O99" s="7"/>
      <c r="P99" s="7"/>
      <c r="Q99" s="7"/>
      <c r="R99" s="7"/>
      <c r="S99" s="141"/>
      <c r="T99" s="7"/>
    </row>
    <row r="100" spans="1:20" ht="15" hidden="1" customHeight="1">
      <c r="A100" s="38">
        <v>250415114700</v>
      </c>
      <c r="B100" s="147" t="s">
        <v>867</v>
      </c>
      <c r="C100" s="3" t="s">
        <v>888</v>
      </c>
      <c r="D100" s="3" t="s">
        <v>1004</v>
      </c>
      <c r="E100" s="2" t="s">
        <v>1134</v>
      </c>
      <c r="F100" s="2" t="s">
        <v>1135</v>
      </c>
      <c r="G100" s="148"/>
      <c r="H100" s="148"/>
      <c r="J100" s="10" t="s">
        <v>1136</v>
      </c>
      <c r="K100" s="14"/>
      <c r="L100" s="13"/>
      <c r="M100" s="7"/>
      <c r="N100" s="7"/>
      <c r="O100" s="7"/>
      <c r="P100" s="7"/>
      <c r="Q100" s="7"/>
      <c r="R100" s="7"/>
      <c r="S100" s="141"/>
      <c r="T100" s="7"/>
    </row>
    <row r="101" spans="1:20" ht="14.85" hidden="1" customHeight="1">
      <c r="A101" s="38">
        <v>250425200700</v>
      </c>
      <c r="B101" s="149"/>
      <c r="C101" s="3" t="s">
        <v>888</v>
      </c>
      <c r="D101" s="3" t="s">
        <v>1004</v>
      </c>
      <c r="E101" s="2" t="s">
        <v>1137</v>
      </c>
      <c r="F101" s="2" t="s">
        <v>1138</v>
      </c>
      <c r="G101" s="48"/>
      <c r="H101" s="150"/>
      <c r="J101" s="10" t="s">
        <v>1139</v>
      </c>
      <c r="K101" s="14"/>
      <c r="L101" s="13"/>
      <c r="M101" s="7"/>
      <c r="N101" s="7" t="s">
        <v>1140</v>
      </c>
      <c r="O101" s="7"/>
      <c r="P101" s="7"/>
      <c r="Q101" s="7"/>
      <c r="R101" s="7"/>
      <c r="S101" s="141" t="s">
        <v>949</v>
      </c>
      <c r="T101" s="7"/>
    </row>
    <row r="102" spans="1:20" ht="15" hidden="1" customHeight="1">
      <c r="A102" s="38">
        <v>250418220100</v>
      </c>
      <c r="B102" s="147" t="s">
        <v>867</v>
      </c>
      <c r="C102" s="3" t="s">
        <v>888</v>
      </c>
      <c r="D102" s="3" t="s">
        <v>1004</v>
      </c>
      <c r="E102" s="2" t="s">
        <v>1141</v>
      </c>
      <c r="F102" s="2" t="s">
        <v>1142</v>
      </c>
      <c r="G102" s="148"/>
      <c r="H102" s="148"/>
      <c r="J102" s="10" t="s">
        <v>1143</v>
      </c>
      <c r="K102" s="14"/>
      <c r="L102" s="13"/>
      <c r="M102" s="7"/>
      <c r="N102" s="7"/>
      <c r="O102" s="7"/>
      <c r="P102" s="7"/>
      <c r="Q102" s="7"/>
      <c r="R102" s="7" t="s">
        <v>1144</v>
      </c>
      <c r="S102" s="141" t="s">
        <v>949</v>
      </c>
      <c r="T102" s="7" t="s">
        <v>1145</v>
      </c>
    </row>
    <row r="103" spans="1:20" ht="15" hidden="1" customHeight="1">
      <c r="A103" s="38">
        <v>250425200701</v>
      </c>
      <c r="B103" s="149"/>
      <c r="C103" s="3" t="s">
        <v>888</v>
      </c>
      <c r="D103" s="3" t="s">
        <v>1004</v>
      </c>
      <c r="E103" s="2" t="s">
        <v>1146</v>
      </c>
      <c r="F103" s="2" t="s">
        <v>1147</v>
      </c>
      <c r="G103" s="48"/>
      <c r="H103" s="150"/>
      <c r="J103" s="10" t="s">
        <v>1148</v>
      </c>
      <c r="K103" s="14"/>
      <c r="L103" s="13"/>
      <c r="M103" s="7"/>
      <c r="N103" s="7" t="s">
        <v>1149</v>
      </c>
      <c r="O103" s="7"/>
      <c r="P103" s="7"/>
      <c r="Q103" s="7"/>
      <c r="R103" s="7"/>
      <c r="S103" s="141" t="s">
        <v>949</v>
      </c>
      <c r="T103" s="7"/>
    </row>
    <row r="104" spans="1:20" ht="15" hidden="1" customHeight="1">
      <c r="A104" s="38">
        <v>250418220101</v>
      </c>
      <c r="B104" s="147" t="s">
        <v>867</v>
      </c>
      <c r="C104" s="3" t="s">
        <v>888</v>
      </c>
      <c r="D104" s="3" t="s">
        <v>1004</v>
      </c>
      <c r="E104" s="2" t="s">
        <v>1150</v>
      </c>
      <c r="F104" s="2" t="s">
        <v>1151</v>
      </c>
      <c r="G104" s="148"/>
      <c r="H104" s="148"/>
      <c r="J104" s="10" t="s">
        <v>1152</v>
      </c>
      <c r="K104" s="14"/>
      <c r="L104" s="13"/>
      <c r="M104" s="7"/>
      <c r="N104" s="7"/>
      <c r="O104" s="7"/>
      <c r="P104" s="7"/>
      <c r="Q104" s="7"/>
      <c r="R104" s="7" t="s">
        <v>1153</v>
      </c>
      <c r="S104" s="141" t="s">
        <v>949</v>
      </c>
      <c r="T104" s="7" t="s">
        <v>1145</v>
      </c>
    </row>
    <row r="105" spans="1:20" ht="14.85" hidden="1" customHeight="1">
      <c r="A105" s="38">
        <v>250425200702</v>
      </c>
      <c r="B105" s="149"/>
      <c r="C105" s="3" t="s">
        <v>888</v>
      </c>
      <c r="D105" s="3" t="s">
        <v>1004</v>
      </c>
      <c r="E105" s="2" t="s">
        <v>1154</v>
      </c>
      <c r="F105" s="2" t="s">
        <v>1155</v>
      </c>
      <c r="G105" s="48"/>
      <c r="H105" s="150"/>
      <c r="J105" s="10" t="s">
        <v>1156</v>
      </c>
      <c r="K105" s="14"/>
      <c r="L105" s="13"/>
      <c r="M105" s="7"/>
      <c r="N105" s="7" t="s">
        <v>1157</v>
      </c>
      <c r="O105" s="7"/>
      <c r="P105" s="7"/>
      <c r="Q105" s="7"/>
      <c r="R105" s="7"/>
      <c r="S105" s="141" t="s">
        <v>949</v>
      </c>
      <c r="T105" s="7"/>
    </row>
    <row r="106" spans="1:20" ht="15" hidden="1" customHeight="1">
      <c r="A106" s="38">
        <v>250425201707</v>
      </c>
      <c r="B106" s="149"/>
      <c r="C106" s="3" t="s">
        <v>888</v>
      </c>
      <c r="D106" s="3" t="s">
        <v>1004</v>
      </c>
      <c r="E106" s="2" t="s">
        <v>1158</v>
      </c>
      <c r="F106" s="2" t="s">
        <v>912</v>
      </c>
      <c r="G106" s="48"/>
      <c r="H106" s="150"/>
      <c r="J106" s="10" t="s">
        <v>1159</v>
      </c>
      <c r="K106" s="14"/>
      <c r="L106" s="13"/>
      <c r="M106" s="7"/>
      <c r="N106" s="7" t="s">
        <v>1160</v>
      </c>
      <c r="O106" s="7"/>
      <c r="P106" s="7"/>
      <c r="Q106" s="7"/>
      <c r="R106" s="7"/>
      <c r="S106" s="141" t="s">
        <v>949</v>
      </c>
      <c r="T106" s="7"/>
    </row>
    <row r="107" spans="1:20" ht="15" hidden="1" customHeight="1">
      <c r="A107" s="38">
        <v>250425200707</v>
      </c>
      <c r="B107" s="149"/>
      <c r="C107" s="3" t="s">
        <v>888</v>
      </c>
      <c r="D107" s="3" t="s">
        <v>1004</v>
      </c>
      <c r="E107" s="2" t="s">
        <v>1161</v>
      </c>
      <c r="F107" s="4" t="s">
        <v>1162</v>
      </c>
      <c r="G107" s="48"/>
      <c r="H107" s="150"/>
      <c r="J107" s="10" t="s">
        <v>1163</v>
      </c>
      <c r="K107" s="14"/>
      <c r="L107" s="13"/>
      <c r="M107" s="7"/>
      <c r="N107" s="7" t="s">
        <v>1164</v>
      </c>
      <c r="O107" s="7"/>
      <c r="P107" s="7"/>
      <c r="Q107" s="7"/>
      <c r="R107" s="7"/>
      <c r="S107" s="141" t="s">
        <v>949</v>
      </c>
      <c r="T107" s="7"/>
    </row>
    <row r="108" spans="1:20" ht="15" hidden="1" customHeight="1">
      <c r="A108" s="38">
        <v>250425200703</v>
      </c>
      <c r="B108" s="149"/>
      <c r="C108" s="3" t="s">
        <v>888</v>
      </c>
      <c r="D108" s="3" t="s">
        <v>1004</v>
      </c>
      <c r="E108" s="2" t="s">
        <v>1165</v>
      </c>
      <c r="F108" s="2" t="s">
        <v>932</v>
      </c>
      <c r="G108" s="48"/>
      <c r="H108" s="150"/>
      <c r="J108" s="10" t="s">
        <v>1166</v>
      </c>
      <c r="K108" s="14"/>
      <c r="L108" s="13"/>
      <c r="M108" s="7"/>
      <c r="N108" s="7" t="s">
        <v>1167</v>
      </c>
      <c r="O108" s="7"/>
      <c r="P108" s="7"/>
      <c r="Q108" s="7"/>
      <c r="R108" s="7"/>
      <c r="S108" s="141" t="s">
        <v>949</v>
      </c>
      <c r="T108" s="7"/>
    </row>
    <row r="109" spans="1:20" ht="15" hidden="1" customHeight="1">
      <c r="A109" s="38">
        <v>250428083550</v>
      </c>
      <c r="B109" s="149"/>
      <c r="C109" s="3" t="s">
        <v>888</v>
      </c>
      <c r="D109" s="3" t="s">
        <v>1004</v>
      </c>
      <c r="E109" s="2" t="s">
        <v>1168</v>
      </c>
      <c r="F109" s="2" t="s">
        <v>879</v>
      </c>
      <c r="G109" s="48"/>
      <c r="H109" s="150"/>
      <c r="J109" s="10" t="s">
        <v>1169</v>
      </c>
      <c r="K109" s="14"/>
      <c r="L109" s="13"/>
      <c r="M109" s="7"/>
      <c r="N109" s="7"/>
      <c r="O109" s="7"/>
      <c r="P109" s="7"/>
      <c r="Q109" s="7"/>
      <c r="R109" s="7"/>
      <c r="S109" s="141"/>
      <c r="T109" s="7"/>
    </row>
    <row r="110" spans="1:20" ht="15" hidden="1" customHeight="1">
      <c r="A110" s="38">
        <v>250415115600</v>
      </c>
      <c r="B110" s="147" t="s">
        <v>867</v>
      </c>
      <c r="C110" s="3" t="s">
        <v>888</v>
      </c>
      <c r="D110" s="3" t="s">
        <v>1004</v>
      </c>
      <c r="E110" s="2" t="s">
        <v>1170</v>
      </c>
      <c r="F110" s="2" t="s">
        <v>912</v>
      </c>
      <c r="G110" s="148"/>
      <c r="H110" s="148"/>
      <c r="J110" s="10" t="s">
        <v>1171</v>
      </c>
      <c r="K110" s="14"/>
      <c r="L110" s="13"/>
      <c r="M110" s="7"/>
      <c r="N110" s="7"/>
      <c r="O110" s="7"/>
      <c r="P110" s="7"/>
      <c r="Q110" s="7"/>
      <c r="R110" s="7"/>
      <c r="S110" s="141"/>
      <c r="T110" s="7"/>
    </row>
    <row r="111" spans="1:20" ht="15" hidden="1" customHeight="1">
      <c r="A111" s="38">
        <v>250401140500</v>
      </c>
      <c r="B111" s="147" t="s">
        <v>867</v>
      </c>
      <c r="C111" s="3" t="s">
        <v>888</v>
      </c>
      <c r="D111" s="3" t="s">
        <v>1004</v>
      </c>
      <c r="E111" s="2" t="s">
        <v>1172</v>
      </c>
      <c r="F111" s="2" t="s">
        <v>912</v>
      </c>
      <c r="G111" s="148"/>
      <c r="H111" s="148"/>
      <c r="I111" s="10"/>
      <c r="J111" s="10" t="s">
        <v>1173</v>
      </c>
      <c r="K111" s="14"/>
      <c r="L111" s="13"/>
      <c r="M111" s="7"/>
      <c r="N111" s="7"/>
      <c r="O111" s="7"/>
      <c r="P111" s="7"/>
      <c r="Q111" s="7"/>
      <c r="R111" s="7"/>
      <c r="S111" s="141"/>
      <c r="T111" s="7"/>
    </row>
    <row r="112" spans="1:20" ht="15" hidden="1" customHeight="1">
      <c r="A112" s="38">
        <v>250401140400</v>
      </c>
      <c r="B112" s="147" t="s">
        <v>867</v>
      </c>
      <c r="C112" s="3" t="s">
        <v>888</v>
      </c>
      <c r="D112" s="3" t="s">
        <v>1004</v>
      </c>
      <c r="E112" s="2" t="s">
        <v>1174</v>
      </c>
      <c r="F112" s="2" t="s">
        <v>912</v>
      </c>
      <c r="G112" s="148"/>
      <c r="H112" s="148"/>
      <c r="I112" s="10"/>
      <c r="J112" s="10" t="s">
        <v>1175</v>
      </c>
      <c r="K112" s="14"/>
      <c r="L112" s="13"/>
      <c r="M112" s="7"/>
      <c r="N112" s="7"/>
      <c r="O112" s="7"/>
      <c r="P112" s="7"/>
      <c r="Q112" s="7"/>
      <c r="R112" s="7"/>
      <c r="S112" s="141"/>
      <c r="T112" s="7"/>
    </row>
    <row r="113" spans="1:20" ht="15" hidden="1" customHeight="1">
      <c r="A113" s="38">
        <v>250415115000</v>
      </c>
      <c r="B113" s="147" t="s">
        <v>867</v>
      </c>
      <c r="C113" s="3" t="s">
        <v>888</v>
      </c>
      <c r="D113" s="3" t="s">
        <v>1004</v>
      </c>
      <c r="E113" s="2" t="s">
        <v>1176</v>
      </c>
      <c r="F113" s="2" t="s">
        <v>912</v>
      </c>
      <c r="G113" s="148"/>
      <c r="H113" s="148"/>
      <c r="J113" s="10" t="s">
        <v>1177</v>
      </c>
      <c r="K113" s="14"/>
      <c r="L113" s="13"/>
      <c r="M113" s="7"/>
      <c r="N113" s="7"/>
      <c r="O113" s="7"/>
      <c r="P113" s="7"/>
      <c r="Q113" s="7"/>
      <c r="R113" s="7"/>
      <c r="S113" s="141"/>
      <c r="T113" s="7"/>
    </row>
    <row r="114" spans="1:20" ht="15" hidden="1" customHeight="1">
      <c r="A114" s="38">
        <v>250428083200</v>
      </c>
      <c r="B114" s="149"/>
      <c r="C114" s="3" t="s">
        <v>888</v>
      </c>
      <c r="D114" s="3" t="s">
        <v>1004</v>
      </c>
      <c r="E114" s="2" t="s">
        <v>1178</v>
      </c>
      <c r="F114" s="2" t="s">
        <v>912</v>
      </c>
      <c r="G114" s="48"/>
      <c r="H114" s="150"/>
      <c r="J114" s="10" t="s">
        <v>1179</v>
      </c>
      <c r="K114" s="14"/>
      <c r="L114" s="13"/>
      <c r="M114" s="7"/>
      <c r="N114" s="7"/>
      <c r="O114" s="7"/>
      <c r="P114" s="7"/>
      <c r="Q114" s="7"/>
      <c r="R114" s="7"/>
      <c r="S114" s="141"/>
      <c r="T114" s="7"/>
    </row>
    <row r="115" spans="1:20" ht="20.100000000000001" hidden="1" customHeight="1">
      <c r="A115" s="38">
        <v>250425153910</v>
      </c>
      <c r="B115" s="149"/>
      <c r="C115" s="3" t="s">
        <v>888</v>
      </c>
      <c r="D115" s="3" t="s">
        <v>1180</v>
      </c>
      <c r="E115" s="2" t="s">
        <v>1181</v>
      </c>
      <c r="F115" s="2" t="s">
        <v>1182</v>
      </c>
      <c r="G115" s="48"/>
      <c r="H115" s="150"/>
      <c r="J115" s="10" t="s">
        <v>1183</v>
      </c>
      <c r="K115" s="14"/>
      <c r="L115" s="13"/>
      <c r="M115" s="7"/>
      <c r="N115" s="7" t="s">
        <v>1184</v>
      </c>
      <c r="O115" s="7"/>
      <c r="P115" s="7"/>
      <c r="Q115" s="7"/>
      <c r="R115" s="7"/>
      <c r="S115" s="141"/>
      <c r="T115" s="7"/>
    </row>
    <row r="116" spans="1:20" ht="15" hidden="1" customHeight="1">
      <c r="A116" s="38">
        <v>250331102100</v>
      </c>
      <c r="B116" s="147" t="s">
        <v>867</v>
      </c>
      <c r="C116" s="3" t="s">
        <v>888</v>
      </c>
      <c r="D116" s="3" t="s">
        <v>1180</v>
      </c>
      <c r="E116" s="2" t="s">
        <v>1185</v>
      </c>
      <c r="F116" s="2" t="s">
        <v>912</v>
      </c>
      <c r="G116" s="148"/>
      <c r="H116" s="148"/>
      <c r="J116" s="10" t="s">
        <v>1186</v>
      </c>
      <c r="K116" s="14"/>
      <c r="L116" s="13"/>
      <c r="M116" s="7" t="s">
        <v>1187</v>
      </c>
      <c r="N116" s="7" t="s">
        <v>1188</v>
      </c>
      <c r="O116" s="7" t="s">
        <v>1187</v>
      </c>
      <c r="P116" s="7"/>
      <c r="Q116" s="7"/>
      <c r="R116" s="7"/>
      <c r="S116" s="141"/>
      <c r="T116" s="7"/>
    </row>
    <row r="117" spans="1:20" ht="14.1" hidden="1" customHeight="1">
      <c r="A117" s="38">
        <v>250220102901</v>
      </c>
      <c r="B117" s="147" t="s">
        <v>867</v>
      </c>
      <c r="C117" s="3" t="s">
        <v>888</v>
      </c>
      <c r="D117" s="3" t="s">
        <v>1180</v>
      </c>
      <c r="E117" s="2" t="s">
        <v>1189</v>
      </c>
      <c r="F117" s="2" t="s">
        <v>1190</v>
      </c>
      <c r="G117" s="148"/>
      <c r="H117" s="148"/>
      <c r="J117" s="1" t="s">
        <v>1191</v>
      </c>
      <c r="K117" s="14"/>
      <c r="L117" s="13"/>
      <c r="M117" s="7" t="s">
        <v>1192</v>
      </c>
      <c r="N117" s="7"/>
      <c r="O117" s="7"/>
      <c r="P117" s="7"/>
      <c r="Q117" s="7" t="s">
        <v>1193</v>
      </c>
      <c r="R117" s="7"/>
      <c r="S117" s="141"/>
      <c r="T117" s="7"/>
    </row>
    <row r="118" spans="1:20" ht="14.1" hidden="1" customHeight="1">
      <c r="A118" s="38">
        <v>250220102902</v>
      </c>
      <c r="B118" s="147" t="s">
        <v>867</v>
      </c>
      <c r="C118" s="3" t="s">
        <v>888</v>
      </c>
      <c r="D118" s="3" t="s">
        <v>1180</v>
      </c>
      <c r="E118" s="2" t="s">
        <v>1194</v>
      </c>
      <c r="F118" s="2" t="s">
        <v>879</v>
      </c>
      <c r="G118" s="148"/>
      <c r="H118" s="148"/>
      <c r="J118" s="1" t="s">
        <v>1195</v>
      </c>
      <c r="K118" s="14"/>
      <c r="L118" s="13"/>
      <c r="M118" s="7" t="s">
        <v>1196</v>
      </c>
      <c r="N118" s="7"/>
      <c r="O118" s="7"/>
      <c r="P118" s="7"/>
      <c r="Q118" s="7" t="s">
        <v>1197</v>
      </c>
      <c r="R118" s="7"/>
      <c r="S118" s="141"/>
      <c r="T118" s="7"/>
    </row>
    <row r="119" spans="1:20" ht="17.100000000000001" hidden="1" customHeight="1">
      <c r="A119" s="38">
        <v>250220100701</v>
      </c>
      <c r="B119" s="147" t="s">
        <v>867</v>
      </c>
      <c r="C119" s="3" t="s">
        <v>888</v>
      </c>
      <c r="D119" s="3" t="s">
        <v>1180</v>
      </c>
      <c r="E119" s="2" t="s">
        <v>1198</v>
      </c>
      <c r="F119" s="2" t="s">
        <v>1199</v>
      </c>
      <c r="G119" s="148"/>
      <c r="H119" s="148"/>
      <c r="J119" s="1" t="s">
        <v>1200</v>
      </c>
      <c r="K119" s="11" t="s">
        <v>1201</v>
      </c>
      <c r="L119" s="13"/>
      <c r="M119" s="7" t="s">
        <v>1202</v>
      </c>
      <c r="N119" s="7"/>
      <c r="O119" s="7"/>
      <c r="P119" s="7"/>
      <c r="Q119" s="7" t="s">
        <v>1203</v>
      </c>
      <c r="R119" s="7"/>
      <c r="S119" s="141"/>
      <c r="T119" s="7"/>
    </row>
    <row r="120" spans="1:20" ht="17.100000000000001" hidden="1" customHeight="1">
      <c r="A120" s="38">
        <v>250220102900</v>
      </c>
      <c r="B120" s="147" t="s">
        <v>867</v>
      </c>
      <c r="C120" s="3" t="s">
        <v>888</v>
      </c>
      <c r="D120" s="3" t="s">
        <v>1180</v>
      </c>
      <c r="E120" s="2" t="s">
        <v>1204</v>
      </c>
      <c r="F120" s="2" t="s">
        <v>1205</v>
      </c>
      <c r="G120" s="148"/>
      <c r="H120" s="148"/>
      <c r="J120" s="1" t="s">
        <v>1206</v>
      </c>
      <c r="K120" s="14"/>
      <c r="L120" s="13"/>
      <c r="M120" s="7" t="s">
        <v>1202</v>
      </c>
      <c r="N120" s="7"/>
      <c r="O120" s="7"/>
      <c r="P120" s="7"/>
      <c r="Q120" s="7" t="s">
        <v>1207</v>
      </c>
      <c r="R120" s="7"/>
      <c r="S120" s="141"/>
      <c r="T120" s="7"/>
    </row>
    <row r="121" spans="1:20" ht="15" hidden="1" customHeight="1">
      <c r="A121" s="38">
        <v>250325134509</v>
      </c>
      <c r="B121" s="147" t="s">
        <v>867</v>
      </c>
      <c r="C121" s="3" t="s">
        <v>888</v>
      </c>
      <c r="D121" s="3" t="s">
        <v>1180</v>
      </c>
      <c r="E121" s="2" t="s">
        <v>1208</v>
      </c>
      <c r="F121" s="2" t="s">
        <v>1209</v>
      </c>
      <c r="G121" s="148"/>
      <c r="H121" s="148"/>
      <c r="J121" s="10" t="s">
        <v>1210</v>
      </c>
      <c r="K121" s="14"/>
      <c r="L121" s="13"/>
      <c r="M121" s="7"/>
      <c r="N121" s="7"/>
      <c r="O121" s="7" t="s">
        <v>1211</v>
      </c>
      <c r="P121" s="7"/>
      <c r="Q121" s="7"/>
      <c r="R121" s="7"/>
      <c r="S121" s="141"/>
      <c r="T121" s="7"/>
    </row>
    <row r="122" spans="1:20" ht="13.5" hidden="1" customHeight="1">
      <c r="A122" s="38">
        <v>241112000009</v>
      </c>
      <c r="B122" s="147" t="s">
        <v>867</v>
      </c>
      <c r="C122" s="3" t="s">
        <v>888</v>
      </c>
      <c r="D122" s="3" t="s">
        <v>1180</v>
      </c>
      <c r="E122" s="2" t="s">
        <v>1212</v>
      </c>
      <c r="F122" s="2" t="s">
        <v>1213</v>
      </c>
      <c r="G122" s="148"/>
      <c r="H122" s="148"/>
      <c r="J122" s="1" t="s">
        <v>1214</v>
      </c>
      <c r="K122" s="10"/>
      <c r="L122" s="13" t="s">
        <v>1215</v>
      </c>
      <c r="M122" s="7"/>
      <c r="N122" s="7"/>
      <c r="O122" s="7" t="s">
        <v>1216</v>
      </c>
      <c r="P122" s="7"/>
      <c r="Q122" s="7"/>
      <c r="R122" s="7"/>
      <c r="S122" s="141"/>
      <c r="T122" s="7"/>
    </row>
    <row r="123" spans="1:20" ht="15" hidden="1" customHeight="1">
      <c r="A123" s="38">
        <v>250331162604</v>
      </c>
      <c r="B123" s="147" t="s">
        <v>867</v>
      </c>
      <c r="C123" s="3" t="s">
        <v>888</v>
      </c>
      <c r="D123" s="3" t="s">
        <v>1180</v>
      </c>
      <c r="E123" s="2" t="s">
        <v>1217</v>
      </c>
      <c r="F123" s="2" t="s">
        <v>1218</v>
      </c>
      <c r="G123" s="148"/>
      <c r="H123" s="148"/>
      <c r="J123" s="10" t="s">
        <v>1219</v>
      </c>
      <c r="K123" s="14"/>
      <c r="L123" s="13"/>
      <c r="M123" s="7"/>
      <c r="N123" s="7" t="s">
        <v>1220</v>
      </c>
      <c r="O123" s="7"/>
      <c r="P123" s="7"/>
      <c r="Q123" s="7"/>
      <c r="R123" s="7"/>
      <c r="S123" s="141"/>
      <c r="T123" s="7"/>
    </row>
    <row r="124" spans="1:20" ht="15" hidden="1" customHeight="1">
      <c r="A124" s="38">
        <v>250331162603</v>
      </c>
      <c r="B124" s="147" t="s">
        <v>867</v>
      </c>
      <c r="C124" s="3" t="s">
        <v>888</v>
      </c>
      <c r="D124" s="3" t="s">
        <v>1180</v>
      </c>
      <c r="E124" s="2" t="s">
        <v>1221</v>
      </c>
      <c r="F124" s="2" t="s">
        <v>1222</v>
      </c>
      <c r="G124" s="148"/>
      <c r="H124" s="148"/>
      <c r="J124" s="10" t="s">
        <v>1223</v>
      </c>
      <c r="K124" s="14"/>
      <c r="L124" s="13"/>
      <c r="M124" s="7"/>
      <c r="N124" s="7" t="s">
        <v>1224</v>
      </c>
      <c r="O124" s="7"/>
      <c r="P124" s="7"/>
      <c r="Q124" s="7"/>
      <c r="R124" s="7"/>
      <c r="S124" s="141"/>
      <c r="T124" s="7"/>
    </row>
    <row r="125" spans="1:20" ht="15" hidden="1" customHeight="1">
      <c r="A125" s="38">
        <v>241112000010</v>
      </c>
      <c r="B125" s="147" t="s">
        <v>867</v>
      </c>
      <c r="C125" s="3" t="s">
        <v>888</v>
      </c>
      <c r="D125" s="3" t="s">
        <v>1180</v>
      </c>
      <c r="E125" s="2" t="s">
        <v>1225</v>
      </c>
      <c r="F125" s="2" t="s">
        <v>1226</v>
      </c>
      <c r="G125" s="148"/>
      <c r="H125" s="148"/>
      <c r="J125" s="1" t="s">
        <v>1227</v>
      </c>
      <c r="K125" s="10"/>
      <c r="L125" s="13" t="s">
        <v>1228</v>
      </c>
      <c r="M125" s="7" t="s">
        <v>1229</v>
      </c>
      <c r="N125" s="7"/>
      <c r="O125" s="7"/>
      <c r="P125" s="7"/>
      <c r="Q125" s="7"/>
      <c r="R125" s="7"/>
      <c r="S125" s="141"/>
      <c r="T125" s="7"/>
    </row>
    <row r="126" spans="1:20" ht="15" hidden="1" customHeight="1">
      <c r="A126" s="38">
        <v>250325134510</v>
      </c>
      <c r="B126" s="147" t="s">
        <v>867</v>
      </c>
      <c r="C126" s="3" t="s">
        <v>888</v>
      </c>
      <c r="D126" s="3" t="s">
        <v>1180</v>
      </c>
      <c r="E126" s="2" t="s">
        <v>1230</v>
      </c>
      <c r="F126" s="2" t="s">
        <v>1231</v>
      </c>
      <c r="G126" s="148"/>
      <c r="H126" s="148"/>
      <c r="J126" s="10" t="s">
        <v>1232</v>
      </c>
      <c r="K126" s="14"/>
      <c r="L126" s="13"/>
      <c r="M126" s="7"/>
      <c r="N126" s="7"/>
      <c r="O126" s="7" t="s">
        <v>1233</v>
      </c>
      <c r="P126" s="7"/>
      <c r="Q126" s="7"/>
      <c r="R126" s="7"/>
      <c r="S126" s="141"/>
      <c r="T126" s="7"/>
    </row>
    <row r="127" spans="1:20" ht="15" hidden="1" customHeight="1">
      <c r="A127" s="38">
        <v>250425201003</v>
      </c>
      <c r="B127" s="149"/>
      <c r="C127" s="3" t="s">
        <v>888</v>
      </c>
      <c r="D127" s="3" t="s">
        <v>1180</v>
      </c>
      <c r="E127" s="2" t="s">
        <v>1234</v>
      </c>
      <c r="F127" s="2" t="s">
        <v>1235</v>
      </c>
      <c r="G127" s="48"/>
      <c r="H127" s="150"/>
      <c r="J127" s="10" t="s">
        <v>1236</v>
      </c>
      <c r="K127" s="14"/>
      <c r="L127" s="13"/>
      <c r="M127" s="7"/>
      <c r="N127" s="7" t="s">
        <v>1237</v>
      </c>
      <c r="O127" s="7"/>
      <c r="P127" s="7"/>
      <c r="Q127" s="7"/>
      <c r="R127" s="7"/>
      <c r="S127" s="141" t="s">
        <v>949</v>
      </c>
      <c r="T127" s="7"/>
    </row>
    <row r="128" spans="1:20" ht="15" hidden="1" customHeight="1">
      <c r="A128" s="38">
        <v>250425201512</v>
      </c>
      <c r="B128" s="149"/>
      <c r="C128" s="3" t="s">
        <v>888</v>
      </c>
      <c r="D128" s="3" t="s">
        <v>1180</v>
      </c>
      <c r="E128" s="2" t="s">
        <v>1238</v>
      </c>
      <c r="F128" s="2" t="s">
        <v>1239</v>
      </c>
      <c r="G128" s="48"/>
      <c r="H128" s="150"/>
      <c r="J128" s="10" t="s">
        <v>1240</v>
      </c>
      <c r="K128" s="14"/>
      <c r="L128" s="13"/>
      <c r="M128" s="7"/>
      <c r="N128" s="7" t="s">
        <v>1241</v>
      </c>
      <c r="O128" s="7"/>
      <c r="P128" s="7"/>
      <c r="Q128" s="7"/>
      <c r="R128" s="7"/>
      <c r="S128" s="141" t="s">
        <v>949</v>
      </c>
      <c r="T128" s="7"/>
    </row>
    <row r="129" spans="1:20" ht="15" hidden="1" customHeight="1">
      <c r="A129" s="38">
        <v>250425201619</v>
      </c>
      <c r="B129" s="149"/>
      <c r="C129" s="3" t="s">
        <v>888</v>
      </c>
      <c r="D129" s="3" t="s">
        <v>1180</v>
      </c>
      <c r="E129" s="2" t="s">
        <v>1242</v>
      </c>
      <c r="F129" s="2" t="s">
        <v>1118</v>
      </c>
      <c r="G129" s="48"/>
      <c r="H129" s="150"/>
      <c r="J129" s="10" t="s">
        <v>1243</v>
      </c>
      <c r="K129" s="14"/>
      <c r="L129" s="13"/>
      <c r="M129" s="7"/>
      <c r="N129" s="7" t="s">
        <v>1244</v>
      </c>
      <c r="O129" s="7"/>
      <c r="P129" s="7"/>
      <c r="Q129" s="7"/>
      <c r="R129" s="7"/>
      <c r="S129" s="141" t="s">
        <v>949</v>
      </c>
      <c r="T129" s="7"/>
    </row>
    <row r="130" spans="1:20" ht="15" hidden="1" customHeight="1">
      <c r="A130" s="38">
        <v>250425201618</v>
      </c>
      <c r="B130" s="149"/>
      <c r="C130" s="3" t="s">
        <v>888</v>
      </c>
      <c r="D130" s="3" t="s">
        <v>1180</v>
      </c>
      <c r="E130" s="2" t="s">
        <v>1245</v>
      </c>
      <c r="F130" s="2" t="s">
        <v>1209</v>
      </c>
      <c r="G130" s="48"/>
      <c r="H130" s="150"/>
      <c r="J130" s="10" t="s">
        <v>1246</v>
      </c>
      <c r="K130" s="14"/>
      <c r="L130" s="13"/>
      <c r="M130" s="7"/>
      <c r="N130" s="7" t="s">
        <v>1247</v>
      </c>
      <c r="O130" s="7"/>
      <c r="P130" s="7"/>
      <c r="Q130" s="7"/>
      <c r="R130" s="7"/>
      <c r="S130" s="141" t="s">
        <v>949</v>
      </c>
      <c r="T130" s="7"/>
    </row>
    <row r="131" spans="1:20" ht="15" hidden="1" customHeight="1">
      <c r="A131" s="38">
        <v>250425201617</v>
      </c>
      <c r="B131" s="149"/>
      <c r="C131" s="3" t="s">
        <v>888</v>
      </c>
      <c r="D131" s="3" t="s">
        <v>1180</v>
      </c>
      <c r="E131" s="2" t="s">
        <v>1248</v>
      </c>
      <c r="F131" s="2" t="s">
        <v>1118</v>
      </c>
      <c r="G131" s="48"/>
      <c r="H131" s="150"/>
      <c r="J131" s="10" t="s">
        <v>1249</v>
      </c>
      <c r="K131" s="14"/>
      <c r="L131" s="13"/>
      <c r="M131" s="7"/>
      <c r="N131" s="7" t="s">
        <v>1250</v>
      </c>
      <c r="O131" s="7"/>
      <c r="P131" s="7"/>
      <c r="Q131" s="7"/>
      <c r="R131" s="7"/>
      <c r="S131" s="141" t="s">
        <v>949</v>
      </c>
      <c r="T131" s="7"/>
    </row>
    <row r="132" spans="1:20" ht="15" hidden="1" customHeight="1">
      <c r="A132" s="38">
        <v>250425201614</v>
      </c>
      <c r="B132" s="149"/>
      <c r="C132" s="3" t="s">
        <v>888</v>
      </c>
      <c r="D132" s="3" t="s">
        <v>1180</v>
      </c>
      <c r="E132" s="2" t="s">
        <v>1251</v>
      </c>
      <c r="F132" s="2" t="s">
        <v>1252</v>
      </c>
      <c r="G132" s="48"/>
      <c r="H132" s="150"/>
      <c r="J132" s="10" t="s">
        <v>1253</v>
      </c>
      <c r="K132" s="14"/>
      <c r="L132" s="13"/>
      <c r="M132" s="7"/>
      <c r="N132" s="7" t="s">
        <v>1254</v>
      </c>
      <c r="O132" s="7"/>
      <c r="P132" s="7"/>
      <c r="Q132" s="7"/>
      <c r="R132" s="7"/>
      <c r="S132" s="141" t="s">
        <v>949</v>
      </c>
      <c r="T132" s="7"/>
    </row>
    <row r="133" spans="1:20" ht="15" hidden="1" customHeight="1">
      <c r="A133" s="38">
        <v>250425201034</v>
      </c>
      <c r="B133" s="149"/>
      <c r="C133" s="3" t="s">
        <v>888</v>
      </c>
      <c r="D133" s="3" t="s">
        <v>1180</v>
      </c>
      <c r="E133" s="2" t="s">
        <v>1255</v>
      </c>
      <c r="F133" s="2" t="s">
        <v>1256</v>
      </c>
      <c r="G133" s="48"/>
      <c r="H133" s="150"/>
      <c r="J133" s="10" t="s">
        <v>1257</v>
      </c>
      <c r="K133" s="14"/>
      <c r="L133" s="13"/>
      <c r="M133" s="7"/>
      <c r="N133" s="7" t="s">
        <v>1258</v>
      </c>
      <c r="O133" s="7"/>
      <c r="P133" s="7"/>
      <c r="Q133" s="7"/>
      <c r="R133" s="7"/>
      <c r="S133" s="141" t="s">
        <v>949</v>
      </c>
      <c r="T133" s="7"/>
    </row>
    <row r="134" spans="1:20" ht="15" hidden="1" customHeight="1">
      <c r="A134" s="38">
        <v>250425201615</v>
      </c>
      <c r="B134" s="149"/>
      <c r="C134" s="3" t="s">
        <v>888</v>
      </c>
      <c r="D134" s="3" t="s">
        <v>1180</v>
      </c>
      <c r="E134" s="2" t="s">
        <v>1259</v>
      </c>
      <c r="F134" s="2" t="s">
        <v>1260</v>
      </c>
      <c r="G134" s="48"/>
      <c r="H134" s="150"/>
      <c r="J134" s="10" t="s">
        <v>1261</v>
      </c>
      <c r="K134" s="14"/>
      <c r="L134" s="13"/>
      <c r="M134" s="7"/>
      <c r="N134" s="7" t="s">
        <v>1262</v>
      </c>
      <c r="O134" s="7"/>
      <c r="P134" s="7"/>
      <c r="Q134" s="7"/>
      <c r="R134" s="7"/>
      <c r="S134" s="141" t="s">
        <v>949</v>
      </c>
      <c r="T134" s="7"/>
    </row>
    <row r="135" spans="1:20" ht="15" hidden="1" customHeight="1">
      <c r="A135" s="38">
        <v>250425201616</v>
      </c>
      <c r="B135" s="149"/>
      <c r="C135" s="3" t="s">
        <v>888</v>
      </c>
      <c r="D135" s="3" t="s">
        <v>1180</v>
      </c>
      <c r="E135" s="2" t="s">
        <v>1263</v>
      </c>
      <c r="F135" s="2" t="s">
        <v>1264</v>
      </c>
      <c r="G135" s="48"/>
      <c r="H135" s="150"/>
      <c r="J135" s="10" t="s">
        <v>1265</v>
      </c>
      <c r="K135" s="14"/>
      <c r="L135" s="13"/>
      <c r="M135" s="7"/>
      <c r="N135" s="7" t="s">
        <v>1266</v>
      </c>
      <c r="O135" s="7"/>
      <c r="P135" s="7"/>
      <c r="Q135" s="7"/>
      <c r="R135" s="7"/>
      <c r="S135" s="141" t="s">
        <v>949</v>
      </c>
      <c r="T135" s="7"/>
    </row>
    <row r="136" spans="1:20" ht="15" hidden="1" customHeight="1">
      <c r="A136" s="38">
        <v>250425201613</v>
      </c>
      <c r="B136" s="149"/>
      <c r="C136" s="3" t="s">
        <v>888</v>
      </c>
      <c r="D136" s="3" t="s">
        <v>1180</v>
      </c>
      <c r="E136" s="2" t="s">
        <v>1267</v>
      </c>
      <c r="F136" s="2" t="s">
        <v>1268</v>
      </c>
      <c r="G136" s="48"/>
      <c r="H136" s="150"/>
      <c r="J136" s="10" t="s">
        <v>1269</v>
      </c>
      <c r="K136" s="14"/>
      <c r="L136" s="13"/>
      <c r="M136" s="7"/>
      <c r="N136" s="7" t="s">
        <v>1270</v>
      </c>
      <c r="O136" s="7"/>
      <c r="P136" s="7"/>
      <c r="Q136" s="7"/>
      <c r="R136" s="7"/>
      <c r="S136" s="141" t="s">
        <v>949</v>
      </c>
      <c r="T136" s="7"/>
    </row>
    <row r="137" spans="1:20" ht="15" hidden="1" customHeight="1">
      <c r="A137" s="38">
        <v>250425201000</v>
      </c>
      <c r="B137" s="149"/>
      <c r="C137" s="3" t="s">
        <v>888</v>
      </c>
      <c r="D137" s="3" t="s">
        <v>1180</v>
      </c>
      <c r="E137" s="2" t="s">
        <v>1271</v>
      </c>
      <c r="F137" s="2" t="s">
        <v>1272</v>
      </c>
      <c r="G137" s="48"/>
      <c r="H137" s="150"/>
      <c r="J137" s="10" t="s">
        <v>1273</v>
      </c>
      <c r="K137" s="14"/>
      <c r="L137" s="13"/>
      <c r="M137" s="7"/>
      <c r="N137" s="7" t="s">
        <v>1274</v>
      </c>
      <c r="O137" s="7"/>
      <c r="P137" s="7"/>
      <c r="Q137" s="7"/>
      <c r="R137" s="7"/>
      <c r="S137" s="141" t="s">
        <v>949</v>
      </c>
      <c r="T137" s="7"/>
    </row>
    <row r="138" spans="1:20" ht="15" hidden="1" customHeight="1">
      <c r="A138" s="38">
        <v>250425200815</v>
      </c>
      <c r="B138" s="149"/>
      <c r="C138" s="3" t="s">
        <v>888</v>
      </c>
      <c r="D138" s="3" t="s">
        <v>1180</v>
      </c>
      <c r="E138" s="2" t="s">
        <v>1275</v>
      </c>
      <c r="F138" s="2" t="s">
        <v>912</v>
      </c>
      <c r="G138" s="48"/>
      <c r="H138" s="150"/>
      <c r="J138" s="10" t="s">
        <v>1276</v>
      </c>
      <c r="K138" s="14"/>
      <c r="L138" s="13"/>
      <c r="M138" s="7"/>
      <c r="N138" s="7" t="s">
        <v>1277</v>
      </c>
      <c r="O138" s="7"/>
      <c r="P138" s="7"/>
      <c r="Q138" s="7"/>
      <c r="R138" s="7"/>
      <c r="S138" s="141" t="s">
        <v>949</v>
      </c>
      <c r="T138" s="7"/>
    </row>
    <row r="139" spans="1:20" ht="15" hidden="1" customHeight="1">
      <c r="A139" s="38">
        <v>250425201023</v>
      </c>
      <c r="B139" s="149"/>
      <c r="C139" s="3" t="s">
        <v>888</v>
      </c>
      <c r="D139" s="3" t="s">
        <v>1180</v>
      </c>
      <c r="E139" s="2" t="s">
        <v>1278</v>
      </c>
      <c r="F139" s="2" t="s">
        <v>1279</v>
      </c>
      <c r="G139" s="48"/>
      <c r="H139" s="150"/>
      <c r="J139" s="10" t="s">
        <v>1280</v>
      </c>
      <c r="K139" s="14"/>
      <c r="L139" s="13"/>
      <c r="M139" s="7"/>
      <c r="N139" s="7" t="s">
        <v>1281</v>
      </c>
      <c r="O139" s="7"/>
      <c r="P139" s="7"/>
      <c r="Q139" s="7"/>
      <c r="R139" s="7"/>
      <c r="S139" s="141" t="s">
        <v>949</v>
      </c>
      <c r="T139" s="7"/>
    </row>
    <row r="140" spans="1:20" ht="15" hidden="1" customHeight="1">
      <c r="A140" s="38">
        <v>250425201001</v>
      </c>
      <c r="B140" s="149"/>
      <c r="C140" s="3" t="s">
        <v>888</v>
      </c>
      <c r="D140" s="3" t="s">
        <v>1180</v>
      </c>
      <c r="E140" s="2" t="s">
        <v>1282</v>
      </c>
      <c r="F140" s="2" t="s">
        <v>1283</v>
      </c>
      <c r="G140" s="48"/>
      <c r="H140" s="150"/>
      <c r="J140" s="10" t="s">
        <v>1284</v>
      </c>
      <c r="K140" s="14"/>
      <c r="L140" s="13"/>
      <c r="M140" s="7"/>
      <c r="N140" s="7" t="s">
        <v>1285</v>
      </c>
      <c r="O140" s="7"/>
      <c r="P140" s="7"/>
      <c r="Q140" s="7"/>
      <c r="R140" s="7"/>
      <c r="S140" s="141" t="s">
        <v>949</v>
      </c>
      <c r="T140" s="7"/>
    </row>
    <row r="141" spans="1:20" ht="15" hidden="1" customHeight="1">
      <c r="A141" s="38">
        <v>250425201701</v>
      </c>
      <c r="B141" s="149"/>
      <c r="C141" s="3" t="s">
        <v>888</v>
      </c>
      <c r="D141" s="3" t="s">
        <v>1180</v>
      </c>
      <c r="E141" s="2" t="s">
        <v>1286</v>
      </c>
      <c r="F141" s="2" t="s">
        <v>1287</v>
      </c>
      <c r="G141" s="48"/>
      <c r="H141" s="150"/>
      <c r="J141" s="10" t="s">
        <v>1288</v>
      </c>
      <c r="K141" s="14"/>
      <c r="L141" s="13"/>
      <c r="M141" s="7"/>
      <c r="N141" s="7" t="s">
        <v>1289</v>
      </c>
      <c r="O141" s="7"/>
      <c r="P141" s="7"/>
      <c r="Q141" s="7"/>
      <c r="R141" s="7"/>
      <c r="S141" s="141" t="s">
        <v>949</v>
      </c>
      <c r="T141" s="7"/>
    </row>
    <row r="142" spans="1:20" ht="15" hidden="1" customHeight="1">
      <c r="A142" s="38">
        <v>250425201700</v>
      </c>
      <c r="B142" s="149"/>
      <c r="C142" s="3" t="s">
        <v>888</v>
      </c>
      <c r="D142" s="3" t="s">
        <v>1180</v>
      </c>
      <c r="E142" s="2" t="s">
        <v>1290</v>
      </c>
      <c r="F142" s="2" t="s">
        <v>1287</v>
      </c>
      <c r="G142" s="48"/>
      <c r="H142" s="150"/>
      <c r="J142" s="10" t="s">
        <v>1291</v>
      </c>
      <c r="K142" s="14"/>
      <c r="L142" s="13"/>
      <c r="M142" s="7"/>
      <c r="N142" s="7" t="s">
        <v>1292</v>
      </c>
      <c r="O142" s="7"/>
      <c r="P142" s="7"/>
      <c r="Q142" s="7"/>
      <c r="R142" s="7"/>
      <c r="S142" s="141" t="s">
        <v>949</v>
      </c>
      <c r="T142" s="7"/>
    </row>
    <row r="143" spans="1:20" ht="15" hidden="1" customHeight="1">
      <c r="A143" s="38">
        <v>250425201702</v>
      </c>
      <c r="B143" s="149"/>
      <c r="C143" s="3" t="s">
        <v>888</v>
      </c>
      <c r="D143" s="3" t="s">
        <v>1180</v>
      </c>
      <c r="E143" s="2" t="s">
        <v>1293</v>
      </c>
      <c r="F143" s="2" t="s">
        <v>1287</v>
      </c>
      <c r="G143" s="48"/>
      <c r="H143" s="150"/>
      <c r="J143" s="10" t="s">
        <v>1294</v>
      </c>
      <c r="K143" s="14"/>
      <c r="L143" s="13"/>
      <c r="M143" s="7"/>
      <c r="N143" s="7" t="s">
        <v>1295</v>
      </c>
      <c r="O143" s="7"/>
      <c r="P143" s="7"/>
      <c r="Q143" s="7"/>
      <c r="R143" s="7"/>
      <c r="S143" s="141" t="s">
        <v>949</v>
      </c>
      <c r="T143" s="7"/>
    </row>
    <row r="144" spans="1:20" ht="15" hidden="1" customHeight="1">
      <c r="A144" s="38">
        <v>250425201706</v>
      </c>
      <c r="B144" s="149"/>
      <c r="C144" s="3" t="s">
        <v>888</v>
      </c>
      <c r="D144" s="3" t="s">
        <v>1180</v>
      </c>
      <c r="E144" s="2" t="s">
        <v>1296</v>
      </c>
      <c r="F144" s="2" t="s">
        <v>1283</v>
      </c>
      <c r="G144" s="48"/>
      <c r="H144" s="150"/>
      <c r="J144" s="10" t="s">
        <v>1297</v>
      </c>
      <c r="K144" s="14"/>
      <c r="L144" s="13"/>
      <c r="M144" s="7"/>
      <c r="N144" s="7" t="s">
        <v>1298</v>
      </c>
      <c r="O144" s="7"/>
      <c r="P144" s="7"/>
      <c r="Q144" s="7"/>
      <c r="R144" s="7"/>
      <c r="S144" s="141" t="s">
        <v>949</v>
      </c>
      <c r="T144" s="7"/>
    </row>
    <row r="145" spans="1:20" ht="15" hidden="1" customHeight="1">
      <c r="A145" s="38">
        <v>250425201611</v>
      </c>
      <c r="B145" s="149"/>
      <c r="C145" s="3" t="s">
        <v>888</v>
      </c>
      <c r="D145" s="3" t="s">
        <v>1180</v>
      </c>
      <c r="E145" s="2" t="s">
        <v>1299</v>
      </c>
      <c r="F145" s="2" t="s">
        <v>1300</v>
      </c>
      <c r="G145" s="48"/>
      <c r="H145" s="150"/>
      <c r="J145" s="10" t="s">
        <v>1301</v>
      </c>
      <c r="K145" s="14"/>
      <c r="L145" s="13"/>
      <c r="M145" s="7"/>
      <c r="N145" s="7" t="s">
        <v>1302</v>
      </c>
      <c r="O145" s="7"/>
      <c r="P145" s="7"/>
      <c r="Q145" s="7"/>
      <c r="R145" s="7"/>
      <c r="S145" s="141" t="s">
        <v>949</v>
      </c>
      <c r="T145" s="7"/>
    </row>
    <row r="146" spans="1:20" ht="15" hidden="1" customHeight="1">
      <c r="A146" s="38">
        <v>250425201514</v>
      </c>
      <c r="B146" s="149"/>
      <c r="C146" s="3" t="s">
        <v>888</v>
      </c>
      <c r="D146" s="3" t="s">
        <v>1180</v>
      </c>
      <c r="E146" s="2" t="s">
        <v>1303</v>
      </c>
      <c r="F146" s="2" t="s">
        <v>1304</v>
      </c>
      <c r="G146" s="48"/>
      <c r="H146" s="150"/>
      <c r="J146" s="10" t="s">
        <v>1305</v>
      </c>
      <c r="K146" s="14"/>
      <c r="L146" s="13"/>
      <c r="M146" s="7"/>
      <c r="N146" s="7" t="s">
        <v>1306</v>
      </c>
      <c r="O146" s="7"/>
      <c r="P146" s="7"/>
      <c r="Q146" s="7"/>
      <c r="R146" s="7"/>
      <c r="S146" s="141" t="s">
        <v>949</v>
      </c>
      <c r="T146" s="7"/>
    </row>
    <row r="147" spans="1:20" ht="15" hidden="1" customHeight="1">
      <c r="A147" s="38">
        <v>250425201704</v>
      </c>
      <c r="B147" s="149"/>
      <c r="C147" s="3" t="s">
        <v>888</v>
      </c>
      <c r="D147" s="3" t="s">
        <v>1180</v>
      </c>
      <c r="E147" s="2" t="s">
        <v>1307</v>
      </c>
      <c r="F147" s="2" t="s">
        <v>1283</v>
      </c>
      <c r="G147" s="48"/>
      <c r="H147" s="150"/>
      <c r="J147" s="10" t="s">
        <v>1308</v>
      </c>
      <c r="K147" s="14"/>
      <c r="L147" s="13"/>
      <c r="M147" s="7"/>
      <c r="N147" s="7" t="s">
        <v>1309</v>
      </c>
      <c r="O147" s="7"/>
      <c r="P147" s="7"/>
      <c r="Q147" s="7"/>
      <c r="R147" s="7"/>
      <c r="S147" s="141" t="s">
        <v>949</v>
      </c>
      <c r="T147" s="7"/>
    </row>
    <row r="148" spans="1:20" ht="15" hidden="1" customHeight="1">
      <c r="A148" s="38">
        <v>250425201521</v>
      </c>
      <c r="B148" s="149"/>
      <c r="C148" s="3" t="s">
        <v>888</v>
      </c>
      <c r="D148" s="3" t="s">
        <v>1180</v>
      </c>
      <c r="E148" s="2" t="s">
        <v>1310</v>
      </c>
      <c r="F148" s="2" t="s">
        <v>1311</v>
      </c>
      <c r="G148" s="48"/>
      <c r="H148" s="150"/>
      <c r="J148" s="10" t="s">
        <v>1312</v>
      </c>
      <c r="K148" s="14"/>
      <c r="L148" s="13"/>
      <c r="M148" s="7"/>
      <c r="N148" s="7" t="s">
        <v>1313</v>
      </c>
      <c r="O148" s="7"/>
      <c r="P148" s="7"/>
      <c r="Q148" s="7"/>
      <c r="R148" s="7"/>
      <c r="S148" s="141" t="s">
        <v>949</v>
      </c>
      <c r="T148" s="7"/>
    </row>
    <row r="149" spans="1:20" ht="15" hidden="1" customHeight="1">
      <c r="A149" s="38">
        <v>250425201520</v>
      </c>
      <c r="B149" s="149"/>
      <c r="C149" s="3" t="s">
        <v>888</v>
      </c>
      <c r="D149" s="3" t="s">
        <v>1180</v>
      </c>
      <c r="E149" s="2" t="s">
        <v>1314</v>
      </c>
      <c r="F149" s="2" t="s">
        <v>946</v>
      </c>
      <c r="G149" s="48"/>
      <c r="H149" s="150"/>
      <c r="J149" s="10" t="s">
        <v>1315</v>
      </c>
      <c r="K149" s="14"/>
      <c r="L149" s="13"/>
      <c r="M149" s="7"/>
      <c r="N149" s="7" t="s">
        <v>1316</v>
      </c>
      <c r="O149" s="7"/>
      <c r="P149" s="7"/>
      <c r="Q149" s="7"/>
      <c r="R149" s="7"/>
      <c r="S149" s="141" t="s">
        <v>949</v>
      </c>
      <c r="T149" s="7"/>
    </row>
    <row r="150" spans="1:20" ht="15" hidden="1" customHeight="1">
      <c r="A150" s="38">
        <v>250425201703</v>
      </c>
      <c r="B150" s="149"/>
      <c r="C150" s="3" t="s">
        <v>888</v>
      </c>
      <c r="D150" s="3" t="s">
        <v>1180</v>
      </c>
      <c r="E150" s="2" t="s">
        <v>1317</v>
      </c>
      <c r="F150" s="2" t="s">
        <v>1118</v>
      </c>
      <c r="G150" s="48"/>
      <c r="H150" s="150"/>
      <c r="J150" s="10" t="s">
        <v>1318</v>
      </c>
      <c r="K150" s="14"/>
      <c r="L150" s="13"/>
      <c r="M150" s="7"/>
      <c r="N150" s="7" t="s">
        <v>1319</v>
      </c>
      <c r="O150" s="7"/>
      <c r="P150" s="7"/>
      <c r="Q150" s="7"/>
      <c r="R150" s="7"/>
      <c r="S150" s="141" t="s">
        <v>949</v>
      </c>
      <c r="T150" s="7"/>
    </row>
    <row r="151" spans="1:20" ht="15" hidden="1" customHeight="1">
      <c r="A151" s="38">
        <v>250425201620</v>
      </c>
      <c r="B151" s="149"/>
      <c r="C151" s="3" t="s">
        <v>888</v>
      </c>
      <c r="D151" s="3" t="s">
        <v>1180</v>
      </c>
      <c r="E151" s="2" t="s">
        <v>1320</v>
      </c>
      <c r="F151" s="2" t="s">
        <v>1209</v>
      </c>
      <c r="G151" s="48"/>
      <c r="H151" s="150"/>
      <c r="J151" s="10" t="s">
        <v>1321</v>
      </c>
      <c r="K151" s="14"/>
      <c r="L151" s="13"/>
      <c r="M151" s="7"/>
      <c r="N151" s="7" t="s">
        <v>1322</v>
      </c>
      <c r="O151" s="7"/>
      <c r="P151" s="7"/>
      <c r="Q151" s="7"/>
      <c r="R151" s="7"/>
      <c r="S151" s="141" t="s">
        <v>949</v>
      </c>
      <c r="T151" s="7"/>
    </row>
    <row r="152" spans="1:20" ht="15" hidden="1" customHeight="1">
      <c r="A152" s="38">
        <v>250425201612</v>
      </c>
      <c r="B152" s="149"/>
      <c r="C152" s="3" t="s">
        <v>888</v>
      </c>
      <c r="D152" s="3" t="s">
        <v>1180</v>
      </c>
      <c r="E152" s="2" t="s">
        <v>1323</v>
      </c>
      <c r="F152" s="2" t="s">
        <v>1324</v>
      </c>
      <c r="G152" s="48"/>
      <c r="H152" s="150"/>
      <c r="J152" s="10" t="s">
        <v>1325</v>
      </c>
      <c r="K152" s="14"/>
      <c r="L152" s="13"/>
      <c r="M152" s="7"/>
      <c r="N152" s="7" t="s">
        <v>1326</v>
      </c>
      <c r="O152" s="7"/>
      <c r="P152" s="7"/>
      <c r="Q152" s="7"/>
      <c r="R152" s="7"/>
      <c r="S152" s="141" t="s">
        <v>949</v>
      </c>
      <c r="T152" s="7"/>
    </row>
    <row r="153" spans="1:20" ht="15" hidden="1" customHeight="1">
      <c r="A153" s="38">
        <v>250425201025</v>
      </c>
      <c r="B153" s="149"/>
      <c r="C153" s="3" t="s">
        <v>888</v>
      </c>
      <c r="D153" s="3" t="s">
        <v>1180</v>
      </c>
      <c r="E153" s="2" t="s">
        <v>1327</v>
      </c>
      <c r="F153" s="2" t="s">
        <v>1328</v>
      </c>
      <c r="G153" s="48"/>
      <c r="H153" s="150"/>
      <c r="J153" s="10" t="s">
        <v>1329</v>
      </c>
      <c r="K153" s="14"/>
      <c r="L153" s="13"/>
      <c r="M153" s="7"/>
      <c r="N153" s="7" t="s">
        <v>1330</v>
      </c>
      <c r="O153" s="7"/>
      <c r="P153" s="7"/>
      <c r="Q153" s="7"/>
      <c r="R153" s="7"/>
      <c r="S153" s="141" t="s">
        <v>949</v>
      </c>
      <c r="T153" s="7"/>
    </row>
    <row r="154" spans="1:20" ht="15" hidden="1" customHeight="1">
      <c r="A154" s="38">
        <v>250425201024</v>
      </c>
      <c r="B154" s="149"/>
      <c r="C154" s="3" t="s">
        <v>888</v>
      </c>
      <c r="D154" s="3" t="s">
        <v>1180</v>
      </c>
      <c r="E154" s="2" t="s">
        <v>1331</v>
      </c>
      <c r="F154" s="2" t="s">
        <v>1279</v>
      </c>
      <c r="G154" s="48"/>
      <c r="H154" s="150"/>
      <c r="J154" s="10" t="s">
        <v>1332</v>
      </c>
      <c r="K154" s="14"/>
      <c r="L154" s="13"/>
      <c r="M154" s="7"/>
      <c r="N154" s="7" t="s">
        <v>1333</v>
      </c>
      <c r="O154" s="7"/>
      <c r="P154" s="7"/>
      <c r="Q154" s="7"/>
      <c r="R154" s="7"/>
      <c r="S154" s="141" t="s">
        <v>949</v>
      </c>
      <c r="T154" s="7"/>
    </row>
    <row r="155" spans="1:20" ht="15" hidden="1" customHeight="1">
      <c r="A155" s="38">
        <v>250425201002</v>
      </c>
      <c r="B155" s="149"/>
      <c r="C155" s="3" t="s">
        <v>888</v>
      </c>
      <c r="D155" s="3" t="s">
        <v>1180</v>
      </c>
      <c r="E155" s="2" t="s">
        <v>1334</v>
      </c>
      <c r="F155" s="2" t="s">
        <v>1283</v>
      </c>
      <c r="G155" s="48"/>
      <c r="H155" s="150"/>
      <c r="J155" s="10" t="s">
        <v>1335</v>
      </c>
      <c r="K155" s="14"/>
      <c r="L155" s="13"/>
      <c r="M155" s="7"/>
      <c r="N155" s="7" t="s">
        <v>1336</v>
      </c>
      <c r="O155" s="7"/>
      <c r="P155" s="7"/>
      <c r="Q155" s="7"/>
      <c r="R155" s="7"/>
      <c r="S155" s="141" t="s">
        <v>949</v>
      </c>
      <c r="T155" s="7"/>
    </row>
    <row r="156" spans="1:20" ht="15" hidden="1" customHeight="1">
      <c r="A156" s="38">
        <v>250425201624</v>
      </c>
      <c r="B156" s="149"/>
      <c r="C156" s="3" t="s">
        <v>888</v>
      </c>
      <c r="D156" s="3" t="s">
        <v>1180</v>
      </c>
      <c r="E156" s="2" t="s">
        <v>1337</v>
      </c>
      <c r="F156" s="2" t="s">
        <v>1338</v>
      </c>
      <c r="G156" s="48"/>
      <c r="H156" s="150"/>
      <c r="J156" s="10" t="s">
        <v>1339</v>
      </c>
      <c r="K156" s="14"/>
      <c r="L156" s="13"/>
      <c r="M156" s="7"/>
      <c r="N156" s="7" t="s">
        <v>1340</v>
      </c>
      <c r="O156" s="7"/>
      <c r="P156" s="7"/>
      <c r="Q156" s="7"/>
      <c r="R156" s="7"/>
      <c r="S156" s="141" t="s">
        <v>949</v>
      </c>
      <c r="T156" s="7"/>
    </row>
    <row r="157" spans="1:20" ht="15" hidden="1" customHeight="1">
      <c r="A157" s="38">
        <v>250425201513</v>
      </c>
      <c r="B157" s="149"/>
      <c r="C157" s="3" t="s">
        <v>888</v>
      </c>
      <c r="D157" s="3" t="s">
        <v>1180</v>
      </c>
      <c r="E157" s="2" t="s">
        <v>1341</v>
      </c>
      <c r="F157" s="2" t="s">
        <v>932</v>
      </c>
      <c r="G157" s="48"/>
      <c r="H157" s="150"/>
      <c r="J157" s="10" t="s">
        <v>1342</v>
      </c>
      <c r="K157" s="14"/>
      <c r="L157" s="13"/>
      <c r="M157" s="7"/>
      <c r="N157" s="7" t="s">
        <v>1343</v>
      </c>
      <c r="O157" s="7"/>
      <c r="P157" s="7"/>
      <c r="Q157" s="7"/>
      <c r="R157" s="7"/>
      <c r="S157" s="141" t="s">
        <v>949</v>
      </c>
      <c r="T157" s="7"/>
    </row>
    <row r="158" spans="1:20" ht="15" hidden="1" customHeight="1">
      <c r="A158" s="38">
        <v>250425201021</v>
      </c>
      <c r="B158" s="149"/>
      <c r="C158" s="3" t="s">
        <v>888</v>
      </c>
      <c r="D158" s="3" t="s">
        <v>1180</v>
      </c>
      <c r="E158" s="2" t="s">
        <v>1344</v>
      </c>
      <c r="F158" s="2" t="s">
        <v>946</v>
      </c>
      <c r="G158" s="48"/>
      <c r="H158" s="150"/>
      <c r="J158" s="10" t="s">
        <v>1345</v>
      </c>
      <c r="K158" s="14"/>
      <c r="L158" s="13"/>
      <c r="M158" s="7"/>
      <c r="N158" s="7" t="s">
        <v>1346</v>
      </c>
      <c r="O158" s="7"/>
      <c r="P158" s="7"/>
      <c r="Q158" s="7"/>
      <c r="R158" s="7"/>
      <c r="S158" s="141" t="s">
        <v>949</v>
      </c>
      <c r="T158" s="7"/>
    </row>
    <row r="159" spans="1:20" ht="15" hidden="1" customHeight="1">
      <c r="A159" s="38">
        <v>250425201020</v>
      </c>
      <c r="B159" s="149"/>
      <c r="C159" s="3" t="s">
        <v>888</v>
      </c>
      <c r="D159" s="3" t="s">
        <v>1180</v>
      </c>
      <c r="E159" s="2" t="s">
        <v>1347</v>
      </c>
      <c r="F159" s="2" t="s">
        <v>1279</v>
      </c>
      <c r="G159" s="48"/>
      <c r="H159" s="150"/>
      <c r="J159" s="10" t="s">
        <v>1348</v>
      </c>
      <c r="K159" s="14"/>
      <c r="L159" s="13"/>
      <c r="M159" s="7"/>
      <c r="N159" s="7" t="s">
        <v>1349</v>
      </c>
      <c r="O159" s="7"/>
      <c r="P159" s="7"/>
      <c r="Q159" s="7"/>
      <c r="R159" s="7"/>
      <c r="S159" s="141" t="s">
        <v>949</v>
      </c>
      <c r="T159" s="7"/>
    </row>
    <row r="160" spans="1:20" ht="15" hidden="1" customHeight="1">
      <c r="A160" s="38">
        <v>250425201026</v>
      </c>
      <c r="B160" s="149"/>
      <c r="C160" s="3" t="s">
        <v>888</v>
      </c>
      <c r="D160" s="3" t="s">
        <v>1180</v>
      </c>
      <c r="E160" s="2" t="s">
        <v>1350</v>
      </c>
      <c r="F160" s="2" t="s">
        <v>946</v>
      </c>
      <c r="G160" s="48"/>
      <c r="H160" s="150"/>
      <c r="J160" s="10" t="s">
        <v>1351</v>
      </c>
      <c r="K160" s="14"/>
      <c r="L160" s="13"/>
      <c r="M160" s="7"/>
      <c r="N160" s="7" t="s">
        <v>1352</v>
      </c>
      <c r="O160" s="7"/>
      <c r="P160" s="7"/>
      <c r="Q160" s="7"/>
      <c r="R160" s="7"/>
      <c r="S160" s="141" t="s">
        <v>949</v>
      </c>
      <c r="T160" s="7"/>
    </row>
    <row r="161" spans="1:20" hidden="1">
      <c r="A161" s="38">
        <v>250425201623</v>
      </c>
      <c r="B161" s="149"/>
      <c r="C161" s="3" t="s">
        <v>888</v>
      </c>
      <c r="D161" s="3" t="s">
        <v>1180</v>
      </c>
      <c r="E161" s="2" t="s">
        <v>1353</v>
      </c>
      <c r="F161" s="2" t="s">
        <v>1338</v>
      </c>
      <c r="G161" s="48"/>
      <c r="H161" s="150"/>
      <c r="J161" s="10" t="s">
        <v>1354</v>
      </c>
      <c r="K161" s="14"/>
      <c r="L161" s="13"/>
      <c r="M161" s="7"/>
      <c r="N161" s="7" t="s">
        <v>1355</v>
      </c>
      <c r="O161" s="7"/>
      <c r="P161" s="7"/>
      <c r="Q161" s="7"/>
      <c r="R161" s="7"/>
      <c r="S161" s="141" t="s">
        <v>949</v>
      </c>
      <c r="T161" s="7"/>
    </row>
    <row r="162" spans="1:20" hidden="1">
      <c r="A162" s="38">
        <v>250425201019</v>
      </c>
      <c r="B162" s="149"/>
      <c r="C162" s="3" t="s">
        <v>888</v>
      </c>
      <c r="D162" s="3" t="s">
        <v>1180</v>
      </c>
      <c r="E162" s="2" t="s">
        <v>1356</v>
      </c>
      <c r="F162" s="2" t="s">
        <v>1279</v>
      </c>
      <c r="G162" s="48"/>
      <c r="H162" s="150"/>
      <c r="J162" s="10" t="s">
        <v>1357</v>
      </c>
      <c r="K162" s="14"/>
      <c r="L162" s="13"/>
      <c r="M162" s="7"/>
      <c r="N162" s="7" t="s">
        <v>1358</v>
      </c>
      <c r="O162" s="7"/>
      <c r="P162" s="7"/>
      <c r="Q162" s="7"/>
      <c r="R162" s="7"/>
      <c r="S162" s="141" t="s">
        <v>949</v>
      </c>
      <c r="T162" s="7"/>
    </row>
    <row r="163" spans="1:20" ht="19.5" hidden="1" customHeight="1">
      <c r="A163" s="38">
        <v>250425200800</v>
      </c>
      <c r="B163" s="149"/>
      <c r="C163" s="3" t="s">
        <v>888</v>
      </c>
      <c r="D163" s="3" t="s">
        <v>1180</v>
      </c>
      <c r="E163" s="2" t="s">
        <v>1359</v>
      </c>
      <c r="F163" s="2" t="s">
        <v>883</v>
      </c>
      <c r="G163" s="48"/>
      <c r="H163" s="150"/>
      <c r="J163" s="10" t="s">
        <v>1360</v>
      </c>
      <c r="K163" s="14"/>
      <c r="L163" s="13"/>
      <c r="M163" s="7"/>
      <c r="N163" s="7" t="s">
        <v>1361</v>
      </c>
      <c r="O163" s="7"/>
      <c r="P163" s="7"/>
      <c r="Q163" s="7"/>
      <c r="R163" s="7"/>
      <c r="S163" s="141" t="s">
        <v>949</v>
      </c>
      <c r="T163" s="7"/>
    </row>
    <row r="164" spans="1:20" ht="15" hidden="1" customHeight="1">
      <c r="A164" s="38">
        <v>250425201523</v>
      </c>
      <c r="B164" s="149"/>
      <c r="C164" s="3" t="s">
        <v>888</v>
      </c>
      <c r="D164" s="3" t="s">
        <v>1180</v>
      </c>
      <c r="E164" s="2" t="s">
        <v>1362</v>
      </c>
      <c r="F164" s="2" t="s">
        <v>1363</v>
      </c>
      <c r="G164" s="48"/>
      <c r="H164" s="150"/>
      <c r="J164" s="10" t="s">
        <v>1364</v>
      </c>
      <c r="K164" s="14"/>
      <c r="L164" s="13"/>
      <c r="M164" s="7"/>
      <c r="N164" s="7" t="s">
        <v>1365</v>
      </c>
      <c r="O164" s="7"/>
      <c r="P164" s="7"/>
      <c r="Q164" s="7"/>
      <c r="R164" s="7"/>
      <c r="S164" s="141" t="s">
        <v>949</v>
      </c>
      <c r="T164" s="7"/>
    </row>
    <row r="165" spans="1:20" ht="15" hidden="1" customHeight="1">
      <c r="A165" s="38">
        <v>250425201012</v>
      </c>
      <c r="B165" s="149"/>
      <c r="C165" s="3" t="s">
        <v>888</v>
      </c>
      <c r="D165" s="3" t="s">
        <v>1180</v>
      </c>
      <c r="E165" s="2" t="s">
        <v>1366</v>
      </c>
      <c r="F165" s="2" t="s">
        <v>1367</v>
      </c>
      <c r="G165" s="48"/>
      <c r="H165" s="150"/>
      <c r="J165" s="10" t="s">
        <v>1368</v>
      </c>
      <c r="K165" s="14"/>
      <c r="L165" s="13"/>
      <c r="M165" s="7"/>
      <c r="N165" s="7" t="s">
        <v>1369</v>
      </c>
      <c r="O165" s="7"/>
      <c r="P165" s="7"/>
      <c r="Q165" s="7"/>
      <c r="R165" s="7"/>
      <c r="S165" s="141" t="s">
        <v>949</v>
      </c>
      <c r="T165" s="7"/>
    </row>
    <row r="166" spans="1:20" ht="15" hidden="1" customHeight="1">
      <c r="A166" s="38">
        <v>250425201625</v>
      </c>
      <c r="B166" s="149"/>
      <c r="C166" s="3" t="s">
        <v>888</v>
      </c>
      <c r="D166" s="3" t="s">
        <v>1180</v>
      </c>
      <c r="E166" s="2" t="s">
        <v>1370</v>
      </c>
      <c r="F166" s="2" t="s">
        <v>1287</v>
      </c>
      <c r="G166" s="48"/>
      <c r="H166" s="150"/>
      <c r="J166" s="10" t="s">
        <v>1371</v>
      </c>
      <c r="K166" s="14"/>
      <c r="L166" s="13"/>
      <c r="M166" s="7"/>
      <c r="N166" s="7" t="s">
        <v>1372</v>
      </c>
      <c r="O166" s="7"/>
      <c r="P166" s="7"/>
      <c r="Q166" s="7"/>
      <c r="R166" s="7"/>
      <c r="S166" s="141" t="s">
        <v>949</v>
      </c>
      <c r="T166" s="7"/>
    </row>
    <row r="167" spans="1:20" ht="15" hidden="1" customHeight="1">
      <c r="A167" s="38">
        <v>250425201622</v>
      </c>
      <c r="B167" s="149"/>
      <c r="C167" s="3" t="s">
        <v>888</v>
      </c>
      <c r="D167" s="3" t="s">
        <v>1180</v>
      </c>
      <c r="E167" s="2" t="s">
        <v>1373</v>
      </c>
      <c r="F167" s="2" t="s">
        <v>1374</v>
      </c>
      <c r="G167" s="48"/>
      <c r="H167" s="150"/>
      <c r="J167" s="10" t="s">
        <v>1375</v>
      </c>
      <c r="K167" s="14"/>
      <c r="L167" s="13"/>
      <c r="M167" s="7"/>
      <c r="N167" s="7" t="s">
        <v>1376</v>
      </c>
      <c r="O167" s="7"/>
      <c r="P167" s="7"/>
      <c r="Q167" s="7"/>
      <c r="R167" s="7"/>
      <c r="S167" s="141" t="s">
        <v>949</v>
      </c>
      <c r="T167" s="7"/>
    </row>
    <row r="168" spans="1:20" ht="15" hidden="1" customHeight="1">
      <c r="A168" s="38">
        <v>250425201017</v>
      </c>
      <c r="B168" s="149"/>
      <c r="C168" s="3" t="s">
        <v>888</v>
      </c>
      <c r="D168" s="3" t="s">
        <v>1180</v>
      </c>
      <c r="E168" s="2" t="s">
        <v>1377</v>
      </c>
      <c r="F168" s="2" t="s">
        <v>1378</v>
      </c>
      <c r="G168" s="48"/>
      <c r="H168" s="150"/>
      <c r="J168" s="10" t="s">
        <v>1379</v>
      </c>
      <c r="K168" s="14"/>
      <c r="L168" s="13"/>
      <c r="M168" s="7"/>
      <c r="N168" s="7" t="s">
        <v>1380</v>
      </c>
      <c r="O168" s="7"/>
      <c r="P168" s="7"/>
      <c r="Q168" s="7"/>
      <c r="R168" s="7"/>
      <c r="S168" s="141" t="s">
        <v>949</v>
      </c>
      <c r="T168" s="7"/>
    </row>
    <row r="169" spans="1:20" ht="15" hidden="1" customHeight="1">
      <c r="A169" s="38">
        <v>250425201511</v>
      </c>
      <c r="B169" s="149"/>
      <c r="C169" s="3" t="s">
        <v>888</v>
      </c>
      <c r="D169" s="3" t="s">
        <v>1180</v>
      </c>
      <c r="E169" s="2" t="s">
        <v>1381</v>
      </c>
      <c r="F169" s="2" t="s">
        <v>1382</v>
      </c>
      <c r="G169" s="48"/>
      <c r="H169" s="150"/>
      <c r="J169" s="10" t="s">
        <v>1383</v>
      </c>
      <c r="K169" s="14"/>
      <c r="L169" s="13"/>
      <c r="M169" s="7"/>
      <c r="N169" s="7" t="s">
        <v>1384</v>
      </c>
      <c r="O169" s="7"/>
      <c r="P169" s="7"/>
      <c r="Q169" s="7"/>
      <c r="R169" s="7"/>
      <c r="S169" s="141" t="s">
        <v>949</v>
      </c>
      <c r="T169" s="7"/>
    </row>
    <row r="170" spans="1:20" ht="15" hidden="1" customHeight="1">
      <c r="A170" s="38">
        <v>250425201608</v>
      </c>
      <c r="B170" s="149"/>
      <c r="C170" s="3" t="s">
        <v>888</v>
      </c>
      <c r="D170" s="3" t="s">
        <v>1180</v>
      </c>
      <c r="E170" s="2" t="s">
        <v>1385</v>
      </c>
      <c r="F170" s="2" t="s">
        <v>1386</v>
      </c>
      <c r="G170" s="48"/>
      <c r="H170" s="150"/>
      <c r="J170" s="10" t="s">
        <v>1387</v>
      </c>
      <c r="K170" s="14"/>
      <c r="L170" s="13"/>
      <c r="M170" s="7"/>
      <c r="N170" s="7" t="s">
        <v>1388</v>
      </c>
      <c r="O170" s="7"/>
      <c r="P170" s="7"/>
      <c r="Q170" s="7"/>
      <c r="R170" s="7"/>
      <c r="S170" s="141" t="s">
        <v>949</v>
      </c>
      <c r="T170" s="7"/>
    </row>
    <row r="171" spans="1:20" ht="15" hidden="1" customHeight="1">
      <c r="A171" s="38">
        <v>250425201609</v>
      </c>
      <c r="B171" s="149"/>
      <c r="C171" s="3" t="s">
        <v>888</v>
      </c>
      <c r="D171" s="3" t="s">
        <v>1180</v>
      </c>
      <c r="E171" s="2" t="s">
        <v>1389</v>
      </c>
      <c r="F171" s="2" t="s">
        <v>1390</v>
      </c>
      <c r="G171" s="48"/>
      <c r="H171" s="150"/>
      <c r="J171" s="10" t="s">
        <v>1391</v>
      </c>
      <c r="K171" s="14"/>
      <c r="L171" s="13"/>
      <c r="M171" s="7"/>
      <c r="N171" s="7" t="s">
        <v>1392</v>
      </c>
      <c r="O171" s="7"/>
      <c r="P171" s="7"/>
      <c r="Q171" s="7"/>
      <c r="R171" s="7"/>
      <c r="S171" s="141" t="s">
        <v>949</v>
      </c>
      <c r="T171" s="7"/>
    </row>
    <row r="172" spans="1:20" ht="15" hidden="1" customHeight="1">
      <c r="A172" s="38">
        <v>250425201029</v>
      </c>
      <c r="B172" s="149"/>
      <c r="C172" s="3" t="s">
        <v>888</v>
      </c>
      <c r="D172" s="3" t="s">
        <v>1180</v>
      </c>
      <c r="E172" s="2" t="s">
        <v>1393</v>
      </c>
      <c r="F172" s="2" t="s">
        <v>1394</v>
      </c>
      <c r="G172" s="48"/>
      <c r="H172" s="150"/>
      <c r="J172" s="10" t="s">
        <v>1395</v>
      </c>
      <c r="K172" s="14"/>
      <c r="L172" s="13"/>
      <c r="M172" s="7"/>
      <c r="N172" s="7" t="s">
        <v>1396</v>
      </c>
      <c r="O172" s="7"/>
      <c r="P172" s="7"/>
      <c r="Q172" s="7"/>
      <c r="R172" s="7"/>
      <c r="S172" s="141" t="s">
        <v>949</v>
      </c>
      <c r="T172" s="7"/>
    </row>
    <row r="173" spans="1:20" ht="15" hidden="1" customHeight="1">
      <c r="A173" s="38">
        <v>250425201027</v>
      </c>
      <c r="B173" s="149"/>
      <c r="C173" s="3" t="s">
        <v>888</v>
      </c>
      <c r="D173" s="3" t="s">
        <v>1180</v>
      </c>
      <c r="E173" s="2" t="s">
        <v>1397</v>
      </c>
      <c r="F173" s="2" t="s">
        <v>912</v>
      </c>
      <c r="G173" s="48"/>
      <c r="H173" s="150"/>
      <c r="J173" s="10" t="s">
        <v>1398</v>
      </c>
      <c r="K173" s="14"/>
      <c r="L173" s="13"/>
      <c r="M173" s="7"/>
      <c r="N173" s="7" t="s">
        <v>1399</v>
      </c>
      <c r="O173" s="7"/>
      <c r="P173" s="7"/>
      <c r="Q173" s="7"/>
      <c r="R173" s="7"/>
      <c r="S173" s="141" t="s">
        <v>949</v>
      </c>
      <c r="T173" s="7"/>
    </row>
    <row r="174" spans="1:20" ht="15" hidden="1" customHeight="1">
      <c r="A174" s="38">
        <v>250425201607</v>
      </c>
      <c r="B174" s="149"/>
      <c r="C174" s="3" t="s">
        <v>888</v>
      </c>
      <c r="D174" s="3" t="s">
        <v>1180</v>
      </c>
      <c r="E174" s="2" t="s">
        <v>1400</v>
      </c>
      <c r="F174" s="2" t="s">
        <v>1135</v>
      </c>
      <c r="G174" s="48"/>
      <c r="H174" s="150"/>
      <c r="J174" s="10" t="s">
        <v>1401</v>
      </c>
      <c r="K174" s="14"/>
      <c r="L174" s="13"/>
      <c r="M174" s="7"/>
      <c r="N174" s="7" t="s">
        <v>1402</v>
      </c>
      <c r="O174" s="7"/>
      <c r="P174" s="7"/>
      <c r="Q174" s="7"/>
      <c r="R174" s="7"/>
      <c r="S174" s="141" t="s">
        <v>949</v>
      </c>
      <c r="T174" s="7"/>
    </row>
    <row r="175" spans="1:20" ht="15" hidden="1" customHeight="1">
      <c r="A175" s="38">
        <v>250425201033</v>
      </c>
      <c r="B175" s="149"/>
      <c r="C175" s="3" t="s">
        <v>888</v>
      </c>
      <c r="D175" s="3" t="s">
        <v>1180</v>
      </c>
      <c r="E175" s="2" t="s">
        <v>1403</v>
      </c>
      <c r="F175" s="2" t="s">
        <v>1404</v>
      </c>
      <c r="G175" s="48"/>
      <c r="H175" s="150"/>
      <c r="J175" s="10" t="s">
        <v>1405</v>
      </c>
      <c r="K175" s="14"/>
      <c r="L175" s="13"/>
      <c r="M175" s="7"/>
      <c r="N175" s="7" t="s">
        <v>1406</v>
      </c>
      <c r="O175" s="7"/>
      <c r="P175" s="7"/>
      <c r="Q175" s="7"/>
      <c r="R175" s="7"/>
      <c r="S175" s="141" t="s">
        <v>949</v>
      </c>
      <c r="T175" s="7"/>
    </row>
    <row r="176" spans="1:20" ht="15" hidden="1" customHeight="1">
      <c r="A176" s="38">
        <v>250425201705</v>
      </c>
      <c r="B176" s="149"/>
      <c r="C176" s="3" t="s">
        <v>888</v>
      </c>
      <c r="D176" s="3" t="s">
        <v>1180</v>
      </c>
      <c r="E176" s="2" t="s">
        <v>1407</v>
      </c>
      <c r="F176" s="2" t="s">
        <v>1283</v>
      </c>
      <c r="G176" s="48"/>
      <c r="H176" s="150"/>
      <c r="J176" s="10" t="s">
        <v>1408</v>
      </c>
      <c r="K176" s="14"/>
      <c r="L176" s="13"/>
      <c r="M176" s="7"/>
      <c r="N176" s="7" t="s">
        <v>1409</v>
      </c>
      <c r="O176" s="7"/>
      <c r="P176" s="7"/>
      <c r="Q176" s="7"/>
      <c r="R176" s="7"/>
      <c r="S176" s="141" t="s">
        <v>949</v>
      </c>
      <c r="T176" s="7"/>
    </row>
    <row r="177" spans="1:20" ht="15" hidden="1" customHeight="1">
      <c r="A177" s="38">
        <v>250425201621</v>
      </c>
      <c r="B177" s="149"/>
      <c r="C177" s="3" t="s">
        <v>888</v>
      </c>
      <c r="D177" s="3" t="s">
        <v>1180</v>
      </c>
      <c r="E177" s="2" t="s">
        <v>1410</v>
      </c>
      <c r="F177" s="2" t="s">
        <v>1374</v>
      </c>
      <c r="G177" s="48"/>
      <c r="H177" s="150"/>
      <c r="J177" s="10" t="s">
        <v>1411</v>
      </c>
      <c r="K177" s="14"/>
      <c r="L177" s="13"/>
      <c r="M177" s="7"/>
      <c r="N177" s="7" t="s">
        <v>1412</v>
      </c>
      <c r="O177" s="7"/>
      <c r="P177" s="7"/>
      <c r="Q177" s="7"/>
      <c r="R177" s="7"/>
      <c r="S177" s="141" t="s">
        <v>949</v>
      </c>
      <c r="T177" s="7"/>
    </row>
    <row r="178" spans="1:20" ht="15" hidden="1" customHeight="1">
      <c r="A178" s="38">
        <v>250425201708</v>
      </c>
      <c r="B178" s="149"/>
      <c r="C178" s="3" t="s">
        <v>888</v>
      </c>
      <c r="D178" s="3" t="s">
        <v>1180</v>
      </c>
      <c r="E178" s="2" t="s">
        <v>1413</v>
      </c>
      <c r="F178" s="2" t="s">
        <v>1414</v>
      </c>
      <c r="G178" s="48"/>
      <c r="H178" s="150"/>
      <c r="J178" s="10" t="s">
        <v>1415</v>
      </c>
      <c r="K178" s="14"/>
      <c r="L178" s="13"/>
      <c r="M178" s="7"/>
      <c r="N178" s="7" t="s">
        <v>1416</v>
      </c>
      <c r="O178" s="7"/>
      <c r="P178" s="7"/>
      <c r="Q178" s="7"/>
      <c r="R178" s="7"/>
      <c r="S178" s="141" t="s">
        <v>949</v>
      </c>
      <c r="T178" s="7"/>
    </row>
    <row r="179" spans="1:20" ht="15" hidden="1" customHeight="1">
      <c r="A179" s="38">
        <v>250425201018</v>
      </c>
      <c r="B179" s="149"/>
      <c r="C179" s="3" t="s">
        <v>888</v>
      </c>
      <c r="D179" s="3" t="s">
        <v>1180</v>
      </c>
      <c r="E179" s="2" t="s">
        <v>1417</v>
      </c>
      <c r="F179" s="2" t="s">
        <v>1363</v>
      </c>
      <c r="G179" s="48"/>
      <c r="H179" s="150"/>
      <c r="J179" s="10" t="s">
        <v>1418</v>
      </c>
      <c r="K179" s="14"/>
      <c r="L179" s="13"/>
      <c r="M179" s="7"/>
      <c r="N179" s="7" t="s">
        <v>1419</v>
      </c>
      <c r="O179" s="7"/>
      <c r="P179" s="7"/>
      <c r="Q179" s="7"/>
      <c r="R179" s="7"/>
      <c r="S179" s="141" t="s">
        <v>949</v>
      </c>
      <c r="T179" s="7"/>
    </row>
    <row r="180" spans="1:20" ht="15" hidden="1" customHeight="1">
      <c r="A180" s="38">
        <v>250425201709</v>
      </c>
      <c r="B180" s="149"/>
      <c r="C180" s="3" t="s">
        <v>888</v>
      </c>
      <c r="D180" s="3" t="s">
        <v>1180</v>
      </c>
      <c r="E180" s="2" t="s">
        <v>1420</v>
      </c>
      <c r="F180" s="2" t="s">
        <v>1421</v>
      </c>
      <c r="G180" s="48"/>
      <c r="H180" s="150"/>
      <c r="J180" s="10" t="s">
        <v>1422</v>
      </c>
      <c r="K180" s="14"/>
      <c r="L180" s="13"/>
      <c r="M180" s="7"/>
      <c r="N180" s="7" t="s">
        <v>1423</v>
      </c>
      <c r="O180" s="7"/>
      <c r="P180" s="7"/>
      <c r="Q180" s="7"/>
      <c r="R180" s="7"/>
      <c r="S180" s="141" t="s">
        <v>949</v>
      </c>
      <c r="T180" s="7"/>
    </row>
    <row r="181" spans="1:20" ht="15" hidden="1" customHeight="1">
      <c r="A181" s="38">
        <v>250425201711</v>
      </c>
      <c r="B181" s="149"/>
      <c r="C181" s="3" t="s">
        <v>888</v>
      </c>
      <c r="D181" s="3" t="s">
        <v>1180</v>
      </c>
      <c r="E181" s="2" t="s">
        <v>1424</v>
      </c>
      <c r="F181" s="2" t="s">
        <v>1425</v>
      </c>
      <c r="G181" s="48"/>
      <c r="H181" s="150"/>
      <c r="J181" s="10" t="s">
        <v>1426</v>
      </c>
      <c r="K181" s="14"/>
      <c r="L181" s="13"/>
      <c r="M181" s="7"/>
      <c r="N181" s="7" t="s">
        <v>1427</v>
      </c>
      <c r="O181" s="7"/>
      <c r="P181" s="7"/>
      <c r="Q181" s="7"/>
      <c r="R181" s="7"/>
      <c r="S181" s="141" t="s">
        <v>949</v>
      </c>
      <c r="T181" s="7"/>
    </row>
    <row r="182" spans="1:20" ht="15" hidden="1" customHeight="1">
      <c r="A182" s="38">
        <v>250425201710</v>
      </c>
      <c r="B182" s="149"/>
      <c r="C182" s="3" t="s">
        <v>888</v>
      </c>
      <c r="D182" s="3" t="s">
        <v>1180</v>
      </c>
      <c r="E182" s="2" t="s">
        <v>1428</v>
      </c>
      <c r="F182" s="2" t="s">
        <v>1209</v>
      </c>
      <c r="G182" s="48"/>
      <c r="H182" s="150"/>
      <c r="J182" s="10" t="s">
        <v>1429</v>
      </c>
      <c r="K182" s="14"/>
      <c r="L182" s="13"/>
      <c r="M182" s="7"/>
      <c r="N182" s="7" t="s">
        <v>1430</v>
      </c>
      <c r="O182" s="7"/>
      <c r="P182" s="7"/>
      <c r="Q182" s="7"/>
      <c r="R182" s="7"/>
      <c r="S182" s="141" t="s">
        <v>949</v>
      </c>
      <c r="T182" s="7"/>
    </row>
    <row r="183" spans="1:20" ht="15" hidden="1" customHeight="1">
      <c r="A183" s="38">
        <v>250425201030</v>
      </c>
      <c r="B183" s="149"/>
      <c r="C183" s="3" t="s">
        <v>888</v>
      </c>
      <c r="D183" s="3" t="s">
        <v>1180</v>
      </c>
      <c r="E183" s="2" t="s">
        <v>1431</v>
      </c>
      <c r="F183" s="2" t="s">
        <v>912</v>
      </c>
      <c r="G183" s="48"/>
      <c r="H183" s="150"/>
      <c r="J183" s="10" t="s">
        <v>1432</v>
      </c>
      <c r="K183" s="14"/>
      <c r="L183" s="13"/>
      <c r="M183" s="7"/>
      <c r="N183" s="7" t="s">
        <v>1433</v>
      </c>
      <c r="O183" s="7"/>
      <c r="P183" s="7"/>
      <c r="Q183" s="7"/>
      <c r="R183" s="7"/>
      <c r="S183" s="141" t="s">
        <v>949</v>
      </c>
      <c r="T183" s="7"/>
    </row>
    <row r="184" spans="1:20" ht="15" hidden="1" customHeight="1">
      <c r="A184" s="38">
        <v>250425200814</v>
      </c>
      <c r="B184" s="149"/>
      <c r="C184" s="3" t="s">
        <v>888</v>
      </c>
      <c r="D184" s="3" t="s">
        <v>1180</v>
      </c>
      <c r="E184" s="2" t="s">
        <v>1434</v>
      </c>
      <c r="F184" s="2" t="s">
        <v>1435</v>
      </c>
      <c r="G184" s="48"/>
      <c r="H184" s="150"/>
      <c r="J184" s="10" t="s">
        <v>1436</v>
      </c>
      <c r="K184" s="14"/>
      <c r="L184" s="13"/>
      <c r="M184" s="7"/>
      <c r="N184" s="7" t="s">
        <v>1437</v>
      </c>
      <c r="O184" s="7"/>
      <c r="P184" s="7"/>
      <c r="Q184" s="7"/>
      <c r="R184" s="7"/>
      <c r="S184" s="141" t="s">
        <v>949</v>
      </c>
      <c r="T184" s="7"/>
    </row>
    <row r="185" spans="1:20" ht="15" hidden="1" customHeight="1">
      <c r="A185" s="38">
        <v>250425201522</v>
      </c>
      <c r="B185" s="149"/>
      <c r="C185" s="3" t="s">
        <v>888</v>
      </c>
      <c r="D185" s="3" t="s">
        <v>1180</v>
      </c>
      <c r="E185" s="2" t="s">
        <v>1438</v>
      </c>
      <c r="F185" s="2" t="s">
        <v>1394</v>
      </c>
      <c r="G185" s="48"/>
      <c r="H185" s="150"/>
      <c r="J185" s="10" t="s">
        <v>1</v>
      </c>
      <c r="K185" s="14"/>
      <c r="L185" s="13"/>
      <c r="M185" s="7"/>
      <c r="N185" s="7" t="s">
        <v>1439</v>
      </c>
      <c r="O185" s="7"/>
      <c r="P185" s="7"/>
      <c r="Q185" s="7"/>
      <c r="R185" s="7"/>
      <c r="S185" s="141" t="s">
        <v>949</v>
      </c>
      <c r="T185" s="7"/>
    </row>
    <row r="186" spans="1:20" ht="15" hidden="1" customHeight="1">
      <c r="A186" s="38">
        <v>250425201715</v>
      </c>
      <c r="B186" s="149"/>
      <c r="C186" s="3" t="s">
        <v>888</v>
      </c>
      <c r="D186" s="3" t="s">
        <v>1180</v>
      </c>
      <c r="E186" s="2" t="s">
        <v>1440</v>
      </c>
      <c r="F186" s="2" t="s">
        <v>932</v>
      </c>
      <c r="G186" s="48"/>
      <c r="H186" s="150"/>
      <c r="J186" s="10" t="s">
        <v>1441</v>
      </c>
      <c r="K186" s="14"/>
      <c r="L186" s="13"/>
      <c r="M186" s="7"/>
      <c r="N186" s="7" t="s">
        <v>1442</v>
      </c>
      <c r="O186" s="7"/>
      <c r="P186" s="7"/>
      <c r="Q186" s="7"/>
      <c r="R186" s="7"/>
      <c r="S186" s="141" t="s">
        <v>949</v>
      </c>
      <c r="T186" s="7"/>
    </row>
    <row r="187" spans="1:20" s="16" customFormat="1" ht="15" hidden="1" customHeight="1">
      <c r="A187" s="38">
        <v>250425201022</v>
      </c>
      <c r="B187" s="149"/>
      <c r="C187" s="3" t="s">
        <v>888</v>
      </c>
      <c r="D187" s="3" t="s">
        <v>1180</v>
      </c>
      <c r="E187" s="2" t="s">
        <v>1443</v>
      </c>
      <c r="F187" s="2" t="s">
        <v>1279</v>
      </c>
      <c r="G187" s="48"/>
      <c r="H187" s="150"/>
      <c r="I187" s="48"/>
      <c r="J187" s="10" t="s">
        <v>1444</v>
      </c>
      <c r="K187" s="14"/>
      <c r="L187" s="13"/>
      <c r="M187" s="7"/>
      <c r="N187" s="7" t="s">
        <v>1445</v>
      </c>
      <c r="O187" s="7"/>
      <c r="P187" s="7"/>
      <c r="Q187" s="7"/>
      <c r="R187" s="7"/>
      <c r="S187" s="141" t="s">
        <v>949</v>
      </c>
      <c r="T187" s="7"/>
    </row>
    <row r="188" spans="1:20" ht="15" hidden="1" customHeight="1">
      <c r="A188" s="38">
        <v>250425201028</v>
      </c>
      <c r="B188" s="149"/>
      <c r="C188" s="3" t="s">
        <v>888</v>
      </c>
      <c r="D188" s="3" t="s">
        <v>1180</v>
      </c>
      <c r="E188" s="2" t="s">
        <v>1446</v>
      </c>
      <c r="F188" s="2" t="s">
        <v>1118</v>
      </c>
      <c r="G188" s="48"/>
      <c r="H188" s="150"/>
      <c r="J188" s="10" t="s">
        <v>1447</v>
      </c>
      <c r="K188" s="14"/>
      <c r="L188" s="13"/>
      <c r="M188" s="7"/>
      <c r="N188" s="7" t="s">
        <v>1448</v>
      </c>
      <c r="O188" s="7"/>
      <c r="P188" s="7"/>
      <c r="Q188" s="7"/>
      <c r="R188" s="7"/>
      <c r="S188" s="141" t="s">
        <v>949</v>
      </c>
      <c r="T188" s="7"/>
    </row>
    <row r="189" spans="1:20" ht="15" hidden="1" customHeight="1">
      <c r="A189" s="38">
        <v>250331162608</v>
      </c>
      <c r="B189" s="147" t="s">
        <v>867</v>
      </c>
      <c r="C189" s="3" t="s">
        <v>888</v>
      </c>
      <c r="D189" s="3" t="s">
        <v>1180</v>
      </c>
      <c r="E189" s="2" t="s">
        <v>1449</v>
      </c>
      <c r="F189" s="2" t="s">
        <v>1450</v>
      </c>
      <c r="G189" s="148"/>
      <c r="H189" s="148"/>
      <c r="J189" s="10" t="s">
        <v>1451</v>
      </c>
      <c r="K189" s="14"/>
      <c r="L189" s="13"/>
      <c r="M189" s="7"/>
      <c r="N189" s="7" t="s">
        <v>1452</v>
      </c>
      <c r="O189" s="7"/>
      <c r="P189" s="7"/>
      <c r="Q189" s="7"/>
      <c r="R189" s="7"/>
      <c r="S189" s="141"/>
      <c r="T189" s="7"/>
    </row>
    <row r="190" spans="1:20" ht="15" hidden="1" customHeight="1">
      <c r="A190" s="38">
        <v>250331162607</v>
      </c>
      <c r="B190" s="147" t="s">
        <v>867</v>
      </c>
      <c r="C190" s="3" t="s">
        <v>888</v>
      </c>
      <c r="D190" s="3" t="s">
        <v>1180</v>
      </c>
      <c r="E190" s="2" t="s">
        <v>1453</v>
      </c>
      <c r="F190" s="2" t="s">
        <v>1450</v>
      </c>
      <c r="G190" s="148"/>
      <c r="H190" s="148"/>
      <c r="J190" s="10" t="s">
        <v>1454</v>
      </c>
      <c r="K190" s="14"/>
      <c r="L190" s="13"/>
      <c r="M190" s="7"/>
      <c r="N190" s="7" t="s">
        <v>1455</v>
      </c>
      <c r="O190" s="7"/>
      <c r="P190" s="7"/>
      <c r="Q190" s="7"/>
      <c r="R190" s="7"/>
      <c r="S190" s="141"/>
      <c r="T190" s="7"/>
    </row>
    <row r="191" spans="1:20" s="16" customFormat="1" ht="15" hidden="1" customHeight="1">
      <c r="A191" s="38">
        <v>241112000011</v>
      </c>
      <c r="B191" s="147" t="s">
        <v>867</v>
      </c>
      <c r="C191" s="3" t="s">
        <v>888</v>
      </c>
      <c r="D191" s="3" t="s">
        <v>1456</v>
      </c>
      <c r="E191" s="2" t="s">
        <v>1457</v>
      </c>
      <c r="F191" s="2" t="s">
        <v>899</v>
      </c>
      <c r="G191" s="148"/>
      <c r="H191" s="148"/>
      <c r="I191" s="48"/>
      <c r="J191" s="1" t="s">
        <v>1458</v>
      </c>
      <c r="K191" s="10"/>
      <c r="L191" s="13" t="s">
        <v>1459</v>
      </c>
      <c r="M191" s="7" t="s">
        <v>1460</v>
      </c>
      <c r="N191" s="7"/>
      <c r="O191" s="7"/>
      <c r="P191" s="7"/>
      <c r="Q191" s="7"/>
      <c r="R191" s="7"/>
      <c r="S191" s="141"/>
      <c r="T191" s="7"/>
    </row>
    <row r="192" spans="1:20" ht="15" hidden="1" customHeight="1">
      <c r="A192" s="38">
        <v>241112000012</v>
      </c>
      <c r="B192" s="147" t="s">
        <v>867</v>
      </c>
      <c r="C192" s="3" t="s">
        <v>888</v>
      </c>
      <c r="D192" s="3" t="s">
        <v>1456</v>
      </c>
      <c r="E192" s="2" t="s">
        <v>1461</v>
      </c>
      <c r="F192" s="2" t="s">
        <v>1462</v>
      </c>
      <c r="G192" s="148"/>
      <c r="H192" s="148"/>
      <c r="J192" s="1" t="s">
        <v>1463</v>
      </c>
      <c r="K192" s="10"/>
      <c r="L192" s="13" t="s">
        <v>1464</v>
      </c>
      <c r="M192" s="7" t="s">
        <v>1465</v>
      </c>
      <c r="N192" s="7"/>
      <c r="O192" s="7"/>
      <c r="P192" s="7"/>
      <c r="Q192" s="7"/>
      <c r="R192" s="7"/>
      <c r="S192" s="141"/>
      <c r="T192" s="7"/>
    </row>
    <row r="193" spans="1:20" ht="15" hidden="1" customHeight="1">
      <c r="A193" s="38">
        <v>241112000013</v>
      </c>
      <c r="B193" s="147" t="s">
        <v>867</v>
      </c>
      <c r="C193" s="3" t="s">
        <v>888</v>
      </c>
      <c r="D193" s="3" t="s">
        <v>1456</v>
      </c>
      <c r="E193" s="2" t="s">
        <v>1466</v>
      </c>
      <c r="F193" s="2" t="s">
        <v>1324</v>
      </c>
      <c r="G193" s="148"/>
      <c r="H193" s="148"/>
      <c r="J193" s="1" t="s">
        <v>1467</v>
      </c>
      <c r="K193" s="10" t="s">
        <v>1468</v>
      </c>
      <c r="L193" s="13" t="s">
        <v>1469</v>
      </c>
      <c r="M193" s="7" t="s">
        <v>1470</v>
      </c>
      <c r="N193" s="7"/>
      <c r="O193" s="7"/>
      <c r="P193" s="7"/>
      <c r="Q193" s="7"/>
      <c r="R193" s="7"/>
      <c r="S193" s="141"/>
      <c r="T193" s="7"/>
    </row>
    <row r="194" spans="1:20" ht="15" hidden="1" customHeight="1">
      <c r="A194" s="38">
        <v>241112000014</v>
      </c>
      <c r="B194" s="147" t="s">
        <v>867</v>
      </c>
      <c r="C194" s="3" t="s">
        <v>888</v>
      </c>
      <c r="D194" s="3" t="s">
        <v>1456</v>
      </c>
      <c r="E194" s="2" t="s">
        <v>1471</v>
      </c>
      <c r="F194" s="2" t="s">
        <v>1324</v>
      </c>
      <c r="G194" s="148"/>
      <c r="H194" s="148"/>
      <c r="J194" s="1" t="s">
        <v>1472</v>
      </c>
      <c r="K194" s="10" t="s">
        <v>1468</v>
      </c>
      <c r="L194" s="13" t="s">
        <v>1473</v>
      </c>
      <c r="M194" s="7" t="s">
        <v>1474</v>
      </c>
      <c r="N194" s="7"/>
      <c r="O194" s="7"/>
      <c r="P194" s="7"/>
      <c r="Q194" s="7"/>
      <c r="R194" s="7"/>
      <c r="S194" s="141"/>
      <c r="T194" s="7"/>
    </row>
    <row r="195" spans="1:20" ht="15" hidden="1" customHeight="1">
      <c r="A195" s="38">
        <v>241112000016</v>
      </c>
      <c r="B195" s="147" t="s">
        <v>867</v>
      </c>
      <c r="C195" s="3" t="s">
        <v>888</v>
      </c>
      <c r="D195" s="3" t="s">
        <v>1456</v>
      </c>
      <c r="E195" s="2" t="s">
        <v>1475</v>
      </c>
      <c r="F195" s="2" t="s">
        <v>1363</v>
      </c>
      <c r="G195" s="148"/>
      <c r="H195" s="148"/>
      <c r="J195" s="1" t="s">
        <v>1476</v>
      </c>
      <c r="K195" s="10"/>
      <c r="L195" s="13" t="s">
        <v>1477</v>
      </c>
      <c r="M195" s="7"/>
      <c r="N195" s="7"/>
      <c r="O195" s="7"/>
      <c r="P195" s="7"/>
      <c r="Q195" s="7"/>
      <c r="R195" s="7"/>
      <c r="S195" s="141"/>
      <c r="T195" s="7"/>
    </row>
    <row r="196" spans="1:20" ht="15" hidden="1" customHeight="1">
      <c r="A196" s="38">
        <v>241112000017</v>
      </c>
      <c r="B196" s="147" t="s">
        <v>867</v>
      </c>
      <c r="C196" s="3" t="s">
        <v>888</v>
      </c>
      <c r="D196" s="3" t="s">
        <v>1456</v>
      </c>
      <c r="E196" s="2" t="s">
        <v>1478</v>
      </c>
      <c r="F196" s="2" t="s">
        <v>899</v>
      </c>
      <c r="G196" s="148"/>
      <c r="H196" s="148"/>
      <c r="J196" s="1" t="s">
        <v>1479</v>
      </c>
      <c r="K196" s="10"/>
      <c r="L196" s="13" t="s">
        <v>1480</v>
      </c>
      <c r="M196" s="7"/>
      <c r="N196" s="7"/>
      <c r="O196" s="7"/>
      <c r="P196" s="7"/>
      <c r="Q196" s="7"/>
      <c r="R196" s="7"/>
      <c r="S196" s="141"/>
      <c r="T196" s="7"/>
    </row>
    <row r="197" spans="1:20" ht="13.5" hidden="1" customHeight="1">
      <c r="A197" s="38">
        <v>241112000018</v>
      </c>
      <c r="B197" s="147" t="s">
        <v>867</v>
      </c>
      <c r="C197" s="3" t="s">
        <v>888</v>
      </c>
      <c r="D197" s="3" t="s">
        <v>1456</v>
      </c>
      <c r="E197" s="2" t="s">
        <v>1481</v>
      </c>
      <c r="F197" s="2" t="s">
        <v>1279</v>
      </c>
      <c r="G197" s="148"/>
      <c r="H197" s="148"/>
      <c r="J197" s="1" t="s">
        <v>1482</v>
      </c>
      <c r="K197" s="10"/>
      <c r="L197" s="13" t="s">
        <v>1483</v>
      </c>
      <c r="M197" s="7"/>
      <c r="N197" s="7"/>
      <c r="O197" s="7"/>
      <c r="P197" s="7"/>
      <c r="Q197" s="7"/>
      <c r="R197" s="7"/>
      <c r="S197" s="141"/>
      <c r="T197" s="7"/>
    </row>
    <row r="198" spans="1:20" s="16" customFormat="1" ht="13.5" hidden="1" customHeight="1">
      <c r="A198" s="38">
        <v>241112000019</v>
      </c>
      <c r="B198" s="147" t="s">
        <v>867</v>
      </c>
      <c r="C198" s="3" t="s">
        <v>888</v>
      </c>
      <c r="D198" s="3" t="s">
        <v>1456</v>
      </c>
      <c r="E198" s="2" t="s">
        <v>1484</v>
      </c>
      <c r="F198" s="2" t="s">
        <v>1485</v>
      </c>
      <c r="G198" s="148"/>
      <c r="H198" s="148"/>
      <c r="I198" s="48"/>
      <c r="J198" s="1" t="s">
        <v>1486</v>
      </c>
      <c r="K198" s="10"/>
      <c r="L198" s="13" t="s">
        <v>1487</v>
      </c>
      <c r="M198" s="7" t="s">
        <v>1488</v>
      </c>
      <c r="N198" s="7"/>
      <c r="O198" s="7"/>
      <c r="P198" s="7"/>
      <c r="Q198" s="7"/>
      <c r="R198" s="7"/>
      <c r="S198" s="141"/>
      <c r="T198" s="7"/>
    </row>
    <row r="199" spans="1:20" ht="15" hidden="1" customHeight="1">
      <c r="A199" s="38">
        <v>241112000020</v>
      </c>
      <c r="B199" s="147" t="s">
        <v>867</v>
      </c>
      <c r="C199" s="3" t="s">
        <v>888</v>
      </c>
      <c r="D199" s="3" t="s">
        <v>1456</v>
      </c>
      <c r="E199" s="2" t="s">
        <v>1489</v>
      </c>
      <c r="F199" s="2" t="s">
        <v>951</v>
      </c>
      <c r="G199" s="148"/>
      <c r="H199" s="148"/>
      <c r="J199" s="1" t="s">
        <v>1490</v>
      </c>
      <c r="K199" s="10"/>
      <c r="L199" s="13" t="s">
        <v>1491</v>
      </c>
      <c r="M199" s="7" t="s">
        <v>1492</v>
      </c>
      <c r="N199" s="7"/>
      <c r="O199" s="7"/>
      <c r="P199" s="7"/>
      <c r="Q199" s="7"/>
      <c r="R199" s="7"/>
      <c r="S199" s="141"/>
      <c r="T199" s="7"/>
    </row>
    <row r="200" spans="1:20" ht="15" hidden="1" customHeight="1">
      <c r="A200" s="38">
        <v>241112000021</v>
      </c>
      <c r="B200" s="147" t="s">
        <v>867</v>
      </c>
      <c r="C200" s="3" t="s">
        <v>888</v>
      </c>
      <c r="D200" s="3" t="s">
        <v>1456</v>
      </c>
      <c r="E200" s="2" t="s">
        <v>1493</v>
      </c>
      <c r="F200" s="2" t="s">
        <v>899</v>
      </c>
      <c r="G200" s="148"/>
      <c r="H200" s="148"/>
      <c r="J200" s="1" t="s">
        <v>1494</v>
      </c>
      <c r="K200" s="10"/>
      <c r="L200" s="13" t="s">
        <v>1495</v>
      </c>
      <c r="M200" s="7"/>
      <c r="N200" s="7"/>
      <c r="O200" s="7"/>
      <c r="P200" s="7"/>
      <c r="Q200" s="7"/>
      <c r="R200" s="7"/>
      <c r="S200" s="141"/>
      <c r="T200" s="7"/>
    </row>
    <row r="201" spans="1:20" ht="15" hidden="1" customHeight="1">
      <c r="A201" s="38">
        <v>241112000022</v>
      </c>
      <c r="B201" s="147" t="s">
        <v>867</v>
      </c>
      <c r="C201" s="3" t="s">
        <v>888</v>
      </c>
      <c r="D201" s="3" t="s">
        <v>1456</v>
      </c>
      <c r="E201" s="2" t="s">
        <v>1496</v>
      </c>
      <c r="F201" s="2" t="s">
        <v>899</v>
      </c>
      <c r="G201" s="148"/>
      <c r="H201" s="148"/>
      <c r="J201" s="1" t="s">
        <v>1497</v>
      </c>
      <c r="K201" s="10"/>
      <c r="L201" s="13" t="s">
        <v>1498</v>
      </c>
      <c r="M201" s="7" t="s">
        <v>1499</v>
      </c>
      <c r="N201" s="7"/>
      <c r="O201" s="7"/>
      <c r="P201" s="7"/>
      <c r="Q201" s="7"/>
      <c r="R201" s="7"/>
      <c r="S201" s="141"/>
      <c r="T201" s="7"/>
    </row>
    <row r="202" spans="1:20" ht="15" hidden="1" customHeight="1">
      <c r="A202" s="38">
        <v>250211103000</v>
      </c>
      <c r="B202" s="147" t="s">
        <v>867</v>
      </c>
      <c r="C202" s="3" t="s">
        <v>888</v>
      </c>
      <c r="D202" s="3" t="s">
        <v>1456</v>
      </c>
      <c r="E202" s="2" t="s">
        <v>1500</v>
      </c>
      <c r="F202" s="2" t="s">
        <v>932</v>
      </c>
      <c r="G202" s="148"/>
      <c r="H202" s="148"/>
      <c r="J202" s="10" t="s">
        <v>1497</v>
      </c>
      <c r="K202" s="14" t="s">
        <v>1501</v>
      </c>
      <c r="L202" s="13" t="s">
        <v>1502</v>
      </c>
      <c r="M202" s="7" t="s">
        <v>1503</v>
      </c>
      <c r="N202" s="7"/>
      <c r="O202" s="7"/>
      <c r="P202" s="7" t="s">
        <v>1504</v>
      </c>
      <c r="Q202" s="7"/>
      <c r="R202" s="7"/>
      <c r="S202" s="141"/>
      <c r="T202" s="7"/>
    </row>
    <row r="203" spans="1:20" ht="15" hidden="1" customHeight="1">
      <c r="A203" s="38">
        <v>250423093004</v>
      </c>
      <c r="B203" s="147" t="s">
        <v>867</v>
      </c>
      <c r="C203" s="3" t="s">
        <v>888</v>
      </c>
      <c r="D203" s="3" t="s">
        <v>1505</v>
      </c>
      <c r="E203" s="2" t="s">
        <v>1506</v>
      </c>
      <c r="F203" s="2" t="s">
        <v>1507</v>
      </c>
      <c r="G203" s="148"/>
      <c r="H203" s="148"/>
      <c r="J203" s="10" t="s">
        <v>1508</v>
      </c>
      <c r="K203" s="14"/>
      <c r="L203" s="13"/>
      <c r="M203" s="7"/>
      <c r="N203" s="7" t="s">
        <v>1509</v>
      </c>
      <c r="O203" s="7"/>
      <c r="P203" s="7"/>
      <c r="Q203" s="7"/>
      <c r="R203" s="7"/>
      <c r="S203" s="141" t="s">
        <v>949</v>
      </c>
      <c r="T203" s="7"/>
    </row>
    <row r="204" spans="1:20" ht="15" hidden="1" customHeight="1">
      <c r="A204" s="38">
        <v>250425200708</v>
      </c>
      <c r="B204" s="149"/>
      <c r="C204" s="3" t="s">
        <v>888</v>
      </c>
      <c r="D204" s="3" t="s">
        <v>1505</v>
      </c>
      <c r="E204" s="2" t="s">
        <v>1510</v>
      </c>
      <c r="F204" s="2" t="s">
        <v>1511</v>
      </c>
      <c r="G204" s="48"/>
      <c r="H204" s="150"/>
      <c r="J204" s="10" t="s">
        <v>1512</v>
      </c>
      <c r="K204" s="14"/>
      <c r="L204" s="13"/>
      <c r="M204" s="7"/>
      <c r="N204" s="7" t="s">
        <v>1513</v>
      </c>
      <c r="O204" s="7"/>
      <c r="P204" s="7"/>
      <c r="Q204" s="7"/>
      <c r="R204" s="7"/>
      <c r="S204" s="141" t="s">
        <v>949</v>
      </c>
      <c r="T204" s="7"/>
    </row>
    <row r="205" spans="1:20" ht="15" hidden="1" customHeight="1">
      <c r="A205" s="38">
        <v>241112000025</v>
      </c>
      <c r="B205" s="147" t="s">
        <v>867</v>
      </c>
      <c r="C205" s="3" t="s">
        <v>888</v>
      </c>
      <c r="D205" s="3" t="s">
        <v>1514</v>
      </c>
      <c r="E205" s="2" t="s">
        <v>1515</v>
      </c>
      <c r="F205" s="2" t="s">
        <v>1516</v>
      </c>
      <c r="G205" s="148"/>
      <c r="H205" s="148"/>
      <c r="J205" s="1" t="s">
        <v>1517</v>
      </c>
      <c r="K205" s="10"/>
      <c r="L205" s="13" t="s">
        <v>1518</v>
      </c>
      <c r="M205" s="7" t="s">
        <v>1519</v>
      </c>
      <c r="N205" s="7"/>
      <c r="O205" s="7"/>
      <c r="P205" s="7"/>
      <c r="Q205" s="7"/>
      <c r="R205" s="7"/>
      <c r="S205" s="141"/>
      <c r="T205" s="7"/>
    </row>
    <row r="206" spans="1:20" ht="15" hidden="1" customHeight="1">
      <c r="A206" s="38">
        <v>250425200600</v>
      </c>
      <c r="B206" s="149"/>
      <c r="C206" s="3" t="s">
        <v>888</v>
      </c>
      <c r="D206" s="3" t="s">
        <v>1514</v>
      </c>
      <c r="E206" s="2" t="s">
        <v>1520</v>
      </c>
      <c r="F206" s="2" t="s">
        <v>1521</v>
      </c>
      <c r="G206" s="48"/>
      <c r="H206" s="150"/>
      <c r="J206" s="10" t="s">
        <v>1522</v>
      </c>
      <c r="K206" s="14" t="s">
        <v>1523</v>
      </c>
      <c r="L206" s="13"/>
      <c r="M206" s="7"/>
      <c r="N206" s="7" t="s">
        <v>1524</v>
      </c>
      <c r="O206" s="7"/>
      <c r="P206" s="7"/>
      <c r="Q206" s="7"/>
      <c r="R206" s="7"/>
      <c r="S206" s="141"/>
      <c r="T206" s="7"/>
    </row>
    <row r="207" spans="1:20" ht="15" hidden="1" customHeight="1">
      <c r="A207" s="38">
        <v>250425153914</v>
      </c>
      <c r="B207" s="149"/>
      <c r="C207" s="3" t="s">
        <v>888</v>
      </c>
      <c r="D207" s="3" t="s">
        <v>1514</v>
      </c>
      <c r="E207" s="2" t="s">
        <v>1525</v>
      </c>
      <c r="F207" s="2" t="s">
        <v>1526</v>
      </c>
      <c r="G207" s="48"/>
      <c r="H207" s="150"/>
      <c r="J207" s="10" t="s">
        <v>1527</v>
      </c>
      <c r="K207" s="14"/>
      <c r="L207" s="13"/>
      <c r="M207" s="7"/>
      <c r="N207" s="7" t="s">
        <v>1528</v>
      </c>
      <c r="O207" s="7"/>
      <c r="P207" s="7"/>
      <c r="Q207" s="7"/>
      <c r="R207" s="7"/>
      <c r="S207" s="141"/>
      <c r="T207" s="7"/>
    </row>
    <row r="208" spans="1:20" ht="15" hidden="1" customHeight="1">
      <c r="A208" s="38">
        <v>250212174210</v>
      </c>
      <c r="B208" s="147" t="s">
        <v>867</v>
      </c>
      <c r="C208" s="3" t="s">
        <v>888</v>
      </c>
      <c r="D208" s="3" t="s">
        <v>1514</v>
      </c>
      <c r="E208" s="2" t="s">
        <v>1529</v>
      </c>
      <c r="F208" s="2" t="s">
        <v>1530</v>
      </c>
      <c r="G208" s="148"/>
      <c r="H208" s="148"/>
      <c r="J208" s="10" t="s">
        <v>1531</v>
      </c>
      <c r="K208" s="14"/>
      <c r="L208" s="13" t="s">
        <v>1532</v>
      </c>
      <c r="M208" s="7" t="s">
        <v>1533</v>
      </c>
      <c r="N208" s="7"/>
      <c r="O208" s="7"/>
      <c r="P208" s="7"/>
      <c r="Q208" s="7"/>
      <c r="R208" s="7"/>
      <c r="S208" s="141"/>
      <c r="T208" s="7"/>
    </row>
    <row r="209" spans="1:20" ht="15" hidden="1" customHeight="1">
      <c r="A209" s="38">
        <v>250422122400</v>
      </c>
      <c r="B209" s="147" t="s">
        <v>867</v>
      </c>
      <c r="C209" s="3" t="s">
        <v>888</v>
      </c>
      <c r="D209" s="3" t="s">
        <v>1514</v>
      </c>
      <c r="E209" s="2" t="s">
        <v>1534</v>
      </c>
      <c r="F209" s="2" t="s">
        <v>1535</v>
      </c>
      <c r="G209" s="148"/>
      <c r="H209" s="148"/>
      <c r="J209" s="1" t="s">
        <v>1536</v>
      </c>
      <c r="K209" s="14"/>
      <c r="L209" s="13"/>
      <c r="M209" s="7"/>
      <c r="N209" s="7" t="s">
        <v>1537</v>
      </c>
      <c r="O209" s="7"/>
      <c r="P209" s="7"/>
      <c r="Q209" s="7"/>
      <c r="R209" s="7"/>
      <c r="S209" s="141"/>
      <c r="T209" s="7"/>
    </row>
    <row r="210" spans="1:20" ht="15" hidden="1" customHeight="1">
      <c r="A210" s="38">
        <v>250414121303</v>
      </c>
      <c r="B210" s="147" t="s">
        <v>867</v>
      </c>
      <c r="C210" s="3" t="s">
        <v>888</v>
      </c>
      <c r="D210" s="3" t="s">
        <v>1514</v>
      </c>
      <c r="E210" s="2" t="s">
        <v>1538</v>
      </c>
      <c r="F210" s="2" t="s">
        <v>1324</v>
      </c>
      <c r="G210" s="148"/>
      <c r="H210" s="148"/>
      <c r="J210" s="10" t="s">
        <v>1539</v>
      </c>
      <c r="K210" s="14"/>
      <c r="L210" s="13"/>
      <c r="M210" s="7"/>
      <c r="N210" s="7" t="s">
        <v>1540</v>
      </c>
      <c r="O210" s="7"/>
      <c r="P210" s="7"/>
      <c r="Q210" s="7"/>
      <c r="R210" s="7"/>
      <c r="S210" s="141"/>
      <c r="T210" s="7"/>
    </row>
    <row r="211" spans="1:20" ht="15" hidden="1" customHeight="1">
      <c r="A211" s="38">
        <v>250414121304</v>
      </c>
      <c r="B211" s="147" t="s">
        <v>867</v>
      </c>
      <c r="C211" s="3" t="s">
        <v>888</v>
      </c>
      <c r="D211" s="3" t="s">
        <v>1514</v>
      </c>
      <c r="E211" s="2" t="s">
        <v>1541</v>
      </c>
      <c r="F211" s="2" t="s">
        <v>1542</v>
      </c>
      <c r="G211" s="148"/>
      <c r="H211" s="148"/>
      <c r="J211" s="10" t="s">
        <v>1543</v>
      </c>
      <c r="K211" s="14"/>
      <c r="L211" s="13"/>
      <c r="M211" s="7"/>
      <c r="N211" s="7" t="s">
        <v>1544</v>
      </c>
      <c r="O211" s="7"/>
      <c r="P211" s="7"/>
      <c r="Q211" s="7"/>
      <c r="R211" s="7"/>
      <c r="S211" s="141"/>
      <c r="T211" s="7"/>
    </row>
    <row r="212" spans="1:20" ht="14.85" hidden="1" customHeight="1">
      <c r="A212" s="38">
        <v>241112000026</v>
      </c>
      <c r="B212" s="147" t="s">
        <v>867</v>
      </c>
      <c r="C212" s="3" t="s">
        <v>888</v>
      </c>
      <c r="D212" s="3" t="s">
        <v>1514</v>
      </c>
      <c r="E212" s="2" t="s">
        <v>1545</v>
      </c>
      <c r="F212" s="2" t="s">
        <v>1546</v>
      </c>
      <c r="G212" s="148"/>
      <c r="H212" s="148"/>
      <c r="J212" s="1" t="s">
        <v>1547</v>
      </c>
      <c r="K212" s="10"/>
      <c r="L212" s="13" t="s">
        <v>1548</v>
      </c>
      <c r="M212" s="7" t="s">
        <v>1549</v>
      </c>
      <c r="N212" s="7"/>
      <c r="O212" s="7"/>
      <c r="P212" s="7"/>
      <c r="Q212" s="7"/>
      <c r="R212" s="7"/>
      <c r="S212" s="141"/>
      <c r="T212" s="7"/>
    </row>
    <row r="213" spans="1:20" ht="14.85" hidden="1" customHeight="1">
      <c r="A213" s="38">
        <v>241112000027</v>
      </c>
      <c r="B213" s="147" t="s">
        <v>867</v>
      </c>
      <c r="C213" s="3" t="s">
        <v>888</v>
      </c>
      <c r="D213" s="3" t="s">
        <v>1514</v>
      </c>
      <c r="E213" s="2" t="s">
        <v>1550</v>
      </c>
      <c r="F213" s="2" t="s">
        <v>1551</v>
      </c>
      <c r="G213" s="148"/>
      <c r="H213" s="148"/>
      <c r="J213" s="1" t="s">
        <v>1552</v>
      </c>
      <c r="K213" s="10"/>
      <c r="L213" s="13" t="s">
        <v>1553</v>
      </c>
      <c r="M213" s="7" t="s">
        <v>1554</v>
      </c>
      <c r="N213" s="7"/>
      <c r="O213" s="7"/>
      <c r="P213" s="7"/>
      <c r="Q213" s="7"/>
      <c r="R213" s="7"/>
      <c r="S213" s="141"/>
      <c r="T213" s="7"/>
    </row>
    <row r="214" spans="1:20" ht="14.85" hidden="1" customHeight="1">
      <c r="A214" s="38">
        <v>241112000028</v>
      </c>
      <c r="B214" s="147" t="s">
        <v>867</v>
      </c>
      <c r="C214" s="3" t="s">
        <v>888</v>
      </c>
      <c r="D214" s="3" t="s">
        <v>1514</v>
      </c>
      <c r="E214" s="2" t="s">
        <v>1555</v>
      </c>
      <c r="F214" s="2" t="s">
        <v>1014</v>
      </c>
      <c r="G214" s="148"/>
      <c r="H214" s="148"/>
      <c r="J214" s="1" t="s">
        <v>1556</v>
      </c>
      <c r="K214" s="10"/>
      <c r="L214" s="13" t="s">
        <v>1557</v>
      </c>
      <c r="M214" s="7" t="s">
        <v>1558</v>
      </c>
      <c r="N214" s="7"/>
      <c r="O214" s="7"/>
      <c r="P214" s="7"/>
      <c r="Q214" s="7"/>
      <c r="R214" s="7"/>
      <c r="S214" s="141"/>
      <c r="T214" s="7"/>
    </row>
    <row r="215" spans="1:20" ht="15" hidden="1" customHeight="1">
      <c r="A215" s="38">
        <v>241112000029</v>
      </c>
      <c r="B215" s="147" t="s">
        <v>867</v>
      </c>
      <c r="C215" s="3" t="s">
        <v>888</v>
      </c>
      <c r="D215" s="3" t="s">
        <v>1514</v>
      </c>
      <c r="E215" s="2" t="s">
        <v>1559</v>
      </c>
      <c r="F215" s="2" t="s">
        <v>1394</v>
      </c>
      <c r="G215" s="148"/>
      <c r="H215" s="148"/>
      <c r="J215" s="1" t="s">
        <v>1560</v>
      </c>
      <c r="K215" s="10"/>
      <c r="L215" s="13" t="s">
        <v>1561</v>
      </c>
      <c r="M215" s="7" t="s">
        <v>1562</v>
      </c>
      <c r="N215" s="7"/>
      <c r="O215" s="7"/>
      <c r="P215" s="7"/>
      <c r="Q215" s="7"/>
      <c r="R215" s="7"/>
      <c r="S215" s="141"/>
      <c r="T215" s="7"/>
    </row>
    <row r="216" spans="1:20" ht="15" hidden="1" customHeight="1">
      <c r="A216" s="38">
        <v>241112000030</v>
      </c>
      <c r="B216" s="147" t="s">
        <v>867</v>
      </c>
      <c r="C216" s="3" t="s">
        <v>888</v>
      </c>
      <c r="D216" s="3" t="s">
        <v>1514</v>
      </c>
      <c r="E216" s="2" t="s">
        <v>1563</v>
      </c>
      <c r="F216" s="2" t="s">
        <v>932</v>
      </c>
      <c r="G216" s="148"/>
      <c r="H216" s="148"/>
      <c r="J216" s="1" t="s">
        <v>1564</v>
      </c>
      <c r="K216" s="10"/>
      <c r="L216" s="13" t="s">
        <v>1565</v>
      </c>
      <c r="M216" s="7" t="s">
        <v>1566</v>
      </c>
      <c r="N216" s="7"/>
      <c r="O216" s="7"/>
      <c r="P216" s="7"/>
      <c r="Q216" s="7"/>
      <c r="R216" s="7"/>
      <c r="S216" s="141"/>
      <c r="T216" s="7"/>
    </row>
    <row r="217" spans="1:20" ht="15" hidden="1" customHeight="1">
      <c r="A217" s="38">
        <v>241227113100</v>
      </c>
      <c r="B217" s="147" t="s">
        <v>867</v>
      </c>
      <c r="C217" s="3" t="s">
        <v>888</v>
      </c>
      <c r="D217" s="3" t="s">
        <v>1514</v>
      </c>
      <c r="E217" s="2" t="s">
        <v>1567</v>
      </c>
      <c r="F217" s="2" t="s">
        <v>912</v>
      </c>
      <c r="G217" s="148"/>
      <c r="H217" s="148"/>
      <c r="J217" s="10" t="s">
        <v>1568</v>
      </c>
      <c r="K217" s="10"/>
      <c r="L217" s="13" t="s">
        <v>1569</v>
      </c>
      <c r="M217" s="7"/>
      <c r="N217" s="7"/>
      <c r="O217" s="7"/>
      <c r="P217" s="7"/>
      <c r="Q217" s="7"/>
      <c r="R217" s="7"/>
      <c r="S217" s="141"/>
      <c r="T217" s="7"/>
    </row>
    <row r="218" spans="1:20" s="16" customFormat="1" ht="15" hidden="1" customHeight="1">
      <c r="A218" s="38">
        <v>241112000031</v>
      </c>
      <c r="B218" s="147" t="s">
        <v>867</v>
      </c>
      <c r="C218" s="3" t="s">
        <v>888</v>
      </c>
      <c r="D218" s="3" t="s">
        <v>1514</v>
      </c>
      <c r="E218" s="2" t="s">
        <v>1570</v>
      </c>
      <c r="F218" s="2" t="s">
        <v>912</v>
      </c>
      <c r="G218" s="148"/>
      <c r="H218" s="148"/>
      <c r="I218" s="48"/>
      <c r="J218" s="1" t="s">
        <v>1571</v>
      </c>
      <c r="K218" s="10"/>
      <c r="L218" s="13" t="s">
        <v>1572</v>
      </c>
      <c r="M218" s="7"/>
      <c r="N218" s="7"/>
      <c r="O218" s="7"/>
      <c r="P218" s="7"/>
      <c r="Q218" s="7"/>
      <c r="R218" s="7"/>
      <c r="S218" s="141"/>
      <c r="T218" s="7"/>
    </row>
    <row r="219" spans="1:20" ht="15" hidden="1" customHeight="1">
      <c r="A219" s="38">
        <v>241112000032</v>
      </c>
      <c r="B219" s="147" t="s">
        <v>867</v>
      </c>
      <c r="C219" s="3" t="s">
        <v>888</v>
      </c>
      <c r="D219" s="3" t="s">
        <v>1514</v>
      </c>
      <c r="E219" s="2" t="s">
        <v>1573</v>
      </c>
      <c r="F219" s="2" t="s">
        <v>1574</v>
      </c>
      <c r="G219" s="148"/>
      <c r="H219" s="148"/>
      <c r="J219" s="1" t="s">
        <v>1575</v>
      </c>
      <c r="K219" s="10"/>
      <c r="L219" s="13" t="s">
        <v>1576</v>
      </c>
      <c r="M219" s="7" t="s">
        <v>1577</v>
      </c>
      <c r="N219" s="7"/>
      <c r="O219" s="7"/>
      <c r="P219" s="7"/>
      <c r="Q219" s="7"/>
      <c r="R219" s="7"/>
      <c r="S219" s="141"/>
      <c r="T219" s="7"/>
    </row>
    <row r="220" spans="1:20" ht="15" hidden="1" customHeight="1">
      <c r="A220" s="38">
        <v>250414135001</v>
      </c>
      <c r="B220" s="147" t="s">
        <v>867</v>
      </c>
      <c r="C220" s="3" t="s">
        <v>888</v>
      </c>
      <c r="D220" s="3" t="s">
        <v>1514</v>
      </c>
      <c r="E220" s="2" t="s">
        <v>1578</v>
      </c>
      <c r="F220" s="2" t="s">
        <v>1579</v>
      </c>
      <c r="G220" s="148"/>
      <c r="H220" s="148"/>
      <c r="J220" s="10" t="s">
        <v>1580</v>
      </c>
      <c r="K220" s="14"/>
      <c r="L220" s="13"/>
      <c r="M220" s="7"/>
      <c r="N220" s="7" t="s">
        <v>1581</v>
      </c>
      <c r="O220" s="7"/>
      <c r="P220" s="7"/>
      <c r="Q220" s="7"/>
      <c r="R220" s="7"/>
      <c r="S220" s="141"/>
      <c r="T220" s="7"/>
    </row>
    <row r="221" spans="1:20" ht="15" hidden="1" customHeight="1">
      <c r="A221" s="38">
        <v>250414091403</v>
      </c>
      <c r="B221" s="147" t="s">
        <v>867</v>
      </c>
      <c r="C221" s="3" t="s">
        <v>888</v>
      </c>
      <c r="D221" s="3" t="s">
        <v>1514</v>
      </c>
      <c r="E221" s="2" t="s">
        <v>1582</v>
      </c>
      <c r="F221" s="2" t="s">
        <v>1583</v>
      </c>
      <c r="G221" s="148"/>
      <c r="H221" s="148"/>
      <c r="J221" s="10" t="s">
        <v>1584</v>
      </c>
      <c r="K221" s="14"/>
      <c r="L221" s="13"/>
      <c r="M221" s="7"/>
      <c r="N221" s="7" t="s">
        <v>1585</v>
      </c>
      <c r="O221" s="7"/>
      <c r="P221" s="7"/>
      <c r="Q221" s="7"/>
      <c r="R221" s="7"/>
      <c r="S221" s="141"/>
      <c r="T221" s="7"/>
    </row>
    <row r="222" spans="1:20" ht="15" hidden="1" customHeight="1">
      <c r="A222" s="38">
        <v>250414135000</v>
      </c>
      <c r="B222" s="147" t="s">
        <v>867</v>
      </c>
      <c r="C222" s="3" t="s">
        <v>888</v>
      </c>
      <c r="D222" s="3" t="s">
        <v>1514</v>
      </c>
      <c r="E222" s="2" t="s">
        <v>1586</v>
      </c>
      <c r="F222" s="2" t="s">
        <v>1587</v>
      </c>
      <c r="G222" s="148"/>
      <c r="H222" s="148"/>
      <c r="J222" s="10" t="s">
        <v>1588</v>
      </c>
      <c r="K222" s="14"/>
      <c r="L222" s="13"/>
      <c r="M222" s="7"/>
      <c r="N222" s="7" t="s">
        <v>1589</v>
      </c>
      <c r="O222" s="7"/>
      <c r="P222" s="7"/>
      <c r="Q222" s="7"/>
      <c r="R222" s="7"/>
      <c r="S222" s="141"/>
      <c r="T222" s="7"/>
    </row>
    <row r="223" spans="1:20" ht="15" hidden="1" customHeight="1">
      <c r="A223" s="38">
        <v>241112000033</v>
      </c>
      <c r="B223" s="147" t="s">
        <v>867</v>
      </c>
      <c r="C223" s="3" t="s">
        <v>888</v>
      </c>
      <c r="D223" s="3" t="s">
        <v>1514</v>
      </c>
      <c r="E223" s="2" t="s">
        <v>1590</v>
      </c>
      <c r="F223" s="2" t="s">
        <v>912</v>
      </c>
      <c r="G223" s="148"/>
      <c r="H223" s="148"/>
      <c r="J223" s="1" t="s">
        <v>1591</v>
      </c>
      <c r="K223" s="10"/>
      <c r="L223" s="13" t="s">
        <v>1553</v>
      </c>
      <c r="M223" s="7" t="s">
        <v>1554</v>
      </c>
      <c r="N223" s="7"/>
      <c r="O223" s="7"/>
      <c r="P223" s="7"/>
      <c r="Q223" s="7"/>
      <c r="R223" s="7"/>
      <c r="S223" s="141"/>
      <c r="T223" s="7"/>
    </row>
    <row r="224" spans="1:20" ht="15" hidden="1" customHeight="1">
      <c r="A224" s="38">
        <v>250325134511</v>
      </c>
      <c r="B224" s="147" t="s">
        <v>867</v>
      </c>
      <c r="C224" s="76" t="s">
        <v>888</v>
      </c>
      <c r="D224" s="3" t="s">
        <v>1514</v>
      </c>
      <c r="E224" s="2" t="s">
        <v>1592</v>
      </c>
      <c r="F224" s="2" t="s">
        <v>1593</v>
      </c>
      <c r="G224" s="148"/>
      <c r="H224" s="148"/>
      <c r="J224" s="10" t="s">
        <v>1594</v>
      </c>
      <c r="K224" s="14"/>
      <c r="L224" s="13"/>
      <c r="M224" s="7"/>
      <c r="N224" s="7"/>
      <c r="O224" s="7" t="s">
        <v>1595</v>
      </c>
      <c r="P224" s="7"/>
      <c r="Q224" s="7"/>
      <c r="R224" s="7"/>
      <c r="S224" s="141"/>
      <c r="T224" s="7"/>
    </row>
    <row r="225" spans="1:20" ht="13.5" hidden="1" customHeight="1">
      <c r="A225" s="38">
        <v>241112000034</v>
      </c>
      <c r="B225" s="147" t="s">
        <v>867</v>
      </c>
      <c r="C225" s="3" t="s">
        <v>888</v>
      </c>
      <c r="D225" s="3" t="s">
        <v>1514</v>
      </c>
      <c r="E225" s="2" t="s">
        <v>1596</v>
      </c>
      <c r="F225" s="2" t="s">
        <v>1597</v>
      </c>
      <c r="G225" s="148"/>
      <c r="H225" s="148"/>
      <c r="J225" s="1" t="s">
        <v>1598</v>
      </c>
      <c r="K225" s="10"/>
      <c r="L225" s="13" t="s">
        <v>1599</v>
      </c>
      <c r="M225" s="7" t="s">
        <v>1600</v>
      </c>
      <c r="N225" s="7"/>
      <c r="O225" s="7"/>
      <c r="P225" s="7"/>
      <c r="Q225" s="7"/>
      <c r="R225" s="7"/>
      <c r="S225" s="141"/>
      <c r="T225" s="7"/>
    </row>
    <row r="226" spans="1:20" ht="14.1" hidden="1" customHeight="1">
      <c r="A226" s="38">
        <v>241112000035</v>
      </c>
      <c r="B226" s="147" t="s">
        <v>867</v>
      </c>
      <c r="C226" s="3" t="s">
        <v>888</v>
      </c>
      <c r="D226" s="3" t="s">
        <v>1514</v>
      </c>
      <c r="E226" s="2" t="s">
        <v>1601</v>
      </c>
      <c r="F226" s="2" t="s">
        <v>912</v>
      </c>
      <c r="G226" s="148"/>
      <c r="H226" s="148"/>
      <c r="J226" s="1" t="s">
        <v>1602</v>
      </c>
      <c r="K226" s="10"/>
      <c r="L226" s="13" t="s">
        <v>1553</v>
      </c>
      <c r="M226" s="7"/>
      <c r="N226" s="7"/>
      <c r="O226" s="7"/>
      <c r="P226" s="7"/>
      <c r="Q226" s="7"/>
      <c r="R226" s="7"/>
      <c r="S226" s="141"/>
      <c r="T226" s="7"/>
    </row>
    <row r="227" spans="1:20" ht="14.1" hidden="1" customHeight="1">
      <c r="A227" s="38">
        <v>241112000036</v>
      </c>
      <c r="B227" s="147" t="s">
        <v>867</v>
      </c>
      <c r="C227" s="3" t="s">
        <v>888</v>
      </c>
      <c r="D227" s="3" t="s">
        <v>1514</v>
      </c>
      <c r="E227" s="2" t="s">
        <v>1603</v>
      </c>
      <c r="F227" s="2" t="s">
        <v>1604</v>
      </c>
      <c r="G227" s="148"/>
      <c r="H227" s="148"/>
      <c r="J227" s="1" t="s">
        <v>1605</v>
      </c>
      <c r="K227" s="10"/>
      <c r="L227" s="13" t="s">
        <v>1606</v>
      </c>
      <c r="M227" s="7"/>
      <c r="N227" s="7"/>
      <c r="O227" s="7"/>
      <c r="P227" s="7"/>
      <c r="Q227" s="7"/>
      <c r="R227" s="7"/>
      <c r="S227" s="141"/>
      <c r="T227" s="7"/>
    </row>
    <row r="228" spans="1:20" ht="15" hidden="1" customHeight="1">
      <c r="A228" s="38">
        <v>241112000037</v>
      </c>
      <c r="B228" s="147" t="s">
        <v>867</v>
      </c>
      <c r="C228" s="3" t="s">
        <v>888</v>
      </c>
      <c r="D228" s="3" t="s">
        <v>1514</v>
      </c>
      <c r="E228" s="2" t="s">
        <v>1607</v>
      </c>
      <c r="F228" s="2" t="s">
        <v>883</v>
      </c>
      <c r="G228" s="148"/>
      <c r="H228" s="148"/>
      <c r="J228" s="1" t="s">
        <v>1608</v>
      </c>
      <c r="K228" s="14"/>
      <c r="L228" s="13" t="s">
        <v>1609</v>
      </c>
      <c r="M228" s="7"/>
      <c r="N228" s="7"/>
      <c r="O228" s="7"/>
      <c r="P228" s="7"/>
      <c r="Q228" s="7"/>
      <c r="R228" s="7"/>
      <c r="S228" s="141"/>
      <c r="T228" s="7"/>
    </row>
    <row r="229" spans="1:20" ht="15" hidden="1" customHeight="1">
      <c r="A229" s="38">
        <v>241112000038</v>
      </c>
      <c r="B229" s="147" t="s">
        <v>867</v>
      </c>
      <c r="C229" s="3" t="s">
        <v>888</v>
      </c>
      <c r="D229" s="3" t="s">
        <v>1514</v>
      </c>
      <c r="E229" s="2" t="s">
        <v>1610</v>
      </c>
      <c r="F229" s="2" t="s">
        <v>1611</v>
      </c>
      <c r="G229" s="148"/>
      <c r="H229" s="148"/>
      <c r="J229" s="1" t="s">
        <v>1612</v>
      </c>
      <c r="K229" s="14"/>
      <c r="L229" s="13" t="s">
        <v>1613</v>
      </c>
      <c r="M229" s="7"/>
      <c r="N229" s="7"/>
      <c r="O229" s="7"/>
      <c r="P229" s="7"/>
      <c r="Q229" s="7"/>
      <c r="R229" s="7"/>
      <c r="S229" s="141"/>
      <c r="T229" s="7"/>
    </row>
    <row r="230" spans="1:20" ht="15" hidden="1" customHeight="1">
      <c r="A230" s="38">
        <v>241112000039</v>
      </c>
      <c r="B230" s="147" t="s">
        <v>867</v>
      </c>
      <c r="C230" s="3" t="s">
        <v>888</v>
      </c>
      <c r="D230" s="3" t="s">
        <v>1514</v>
      </c>
      <c r="E230" s="2" t="s">
        <v>1614</v>
      </c>
      <c r="F230" s="2" t="s">
        <v>1222</v>
      </c>
      <c r="G230" s="148"/>
      <c r="H230" s="148"/>
      <c r="J230" s="1" t="s">
        <v>1615</v>
      </c>
      <c r="K230" s="14"/>
      <c r="L230" s="13" t="s">
        <v>1616</v>
      </c>
      <c r="M230" s="7"/>
      <c r="N230" s="7"/>
      <c r="O230" s="7"/>
      <c r="P230" s="7"/>
      <c r="Q230" s="7"/>
      <c r="R230" s="7"/>
      <c r="S230" s="141"/>
      <c r="T230" s="7"/>
    </row>
    <row r="231" spans="1:20" ht="15" hidden="1" customHeight="1">
      <c r="A231" s="38">
        <v>250117181600</v>
      </c>
      <c r="B231" s="147" t="s">
        <v>867</v>
      </c>
      <c r="C231" s="3" t="s">
        <v>888</v>
      </c>
      <c r="D231" s="3" t="s">
        <v>1514</v>
      </c>
      <c r="E231" s="2" t="s">
        <v>1617</v>
      </c>
      <c r="F231" s="2" t="s">
        <v>1618</v>
      </c>
      <c r="G231" s="148"/>
      <c r="H231" s="148"/>
      <c r="J231" s="1" t="s">
        <v>1619</v>
      </c>
      <c r="K231" s="14"/>
      <c r="L231" s="13" t="s">
        <v>1620</v>
      </c>
      <c r="M231" s="7"/>
      <c r="N231" s="7"/>
      <c r="O231" s="7"/>
      <c r="P231" s="7"/>
      <c r="Q231" s="7"/>
      <c r="R231" s="7"/>
      <c r="S231" s="141"/>
      <c r="T231" s="7"/>
    </row>
    <row r="232" spans="1:20" ht="15" hidden="1" customHeight="1">
      <c r="A232" s="38">
        <v>241112000040</v>
      </c>
      <c r="B232" s="147" t="s">
        <v>867</v>
      </c>
      <c r="C232" s="3" t="s">
        <v>888</v>
      </c>
      <c r="D232" s="3" t="s">
        <v>1514</v>
      </c>
      <c r="E232" s="2" t="s">
        <v>1621</v>
      </c>
      <c r="F232" s="2" t="s">
        <v>1622</v>
      </c>
      <c r="G232" s="148"/>
      <c r="H232" s="148"/>
      <c r="J232" s="1" t="s">
        <v>1623</v>
      </c>
      <c r="K232" s="14"/>
      <c r="L232" s="13" t="s">
        <v>1624</v>
      </c>
      <c r="M232" s="7" t="s">
        <v>1625</v>
      </c>
      <c r="N232" s="7"/>
      <c r="O232" s="7"/>
      <c r="P232" s="7"/>
      <c r="Q232" s="7"/>
      <c r="R232" s="7"/>
      <c r="S232" s="141"/>
      <c r="T232" s="7"/>
    </row>
    <row r="233" spans="1:20" ht="15" hidden="1" customHeight="1">
      <c r="A233" s="38">
        <v>241112000042</v>
      </c>
      <c r="B233" s="147" t="s">
        <v>867</v>
      </c>
      <c r="C233" s="3" t="s">
        <v>888</v>
      </c>
      <c r="D233" s="3" t="s">
        <v>1514</v>
      </c>
      <c r="E233" s="2" t="s">
        <v>1626</v>
      </c>
      <c r="F233" s="2" t="s">
        <v>1231</v>
      </c>
      <c r="G233" s="148"/>
      <c r="H233" s="148"/>
      <c r="J233" s="1" t="s">
        <v>1627</v>
      </c>
      <c r="K233" s="14"/>
      <c r="L233" s="13" t="s">
        <v>1628</v>
      </c>
      <c r="M233" s="7"/>
      <c r="N233" s="7"/>
      <c r="O233" s="7"/>
      <c r="P233" s="7"/>
      <c r="Q233" s="7"/>
      <c r="R233" s="7"/>
      <c r="S233" s="141"/>
      <c r="T233" s="7"/>
    </row>
    <row r="234" spans="1:20" ht="15" hidden="1" customHeight="1">
      <c r="A234" s="38">
        <v>241112000204</v>
      </c>
      <c r="B234" s="147" t="s">
        <v>867</v>
      </c>
      <c r="C234" s="3" t="s">
        <v>888</v>
      </c>
      <c r="D234" s="3" t="s">
        <v>1514</v>
      </c>
      <c r="E234" s="2" t="s">
        <v>1629</v>
      </c>
      <c r="F234" s="2" t="s">
        <v>932</v>
      </c>
      <c r="G234" s="148"/>
      <c r="H234" s="148"/>
      <c r="J234" s="1" t="s">
        <v>1630</v>
      </c>
      <c r="K234" s="10"/>
      <c r="L234" s="13" t="s">
        <v>1631</v>
      </c>
      <c r="M234" s="7" t="s">
        <v>1632</v>
      </c>
      <c r="N234" s="7" t="s">
        <v>1633</v>
      </c>
      <c r="O234" s="7" t="s">
        <v>1632</v>
      </c>
      <c r="P234" s="7" t="s">
        <v>1634</v>
      </c>
      <c r="Q234" s="7"/>
      <c r="R234" s="7"/>
      <c r="S234" s="141"/>
      <c r="T234" s="7"/>
    </row>
    <row r="235" spans="1:20" ht="15" hidden="1" customHeight="1">
      <c r="A235" s="38">
        <v>241112000041</v>
      </c>
      <c r="B235" s="147" t="s">
        <v>867</v>
      </c>
      <c r="C235" s="3" t="s">
        <v>888</v>
      </c>
      <c r="D235" s="3" t="s">
        <v>1514</v>
      </c>
      <c r="E235" s="2" t="s">
        <v>1635</v>
      </c>
      <c r="F235" s="2" t="s">
        <v>1636</v>
      </c>
      <c r="G235" s="148"/>
      <c r="H235" s="148"/>
      <c r="J235" s="1" t="s">
        <v>1637</v>
      </c>
      <c r="K235" s="14"/>
      <c r="L235" s="13" t="s">
        <v>1638</v>
      </c>
      <c r="M235" s="7" t="s">
        <v>1639</v>
      </c>
      <c r="N235" s="7"/>
      <c r="O235" s="7"/>
      <c r="P235" s="7"/>
      <c r="Q235" s="7"/>
      <c r="R235" s="7"/>
      <c r="S235" s="141"/>
      <c r="T235" s="7"/>
    </row>
    <row r="236" spans="1:20" ht="15" hidden="1" customHeight="1">
      <c r="A236" s="38">
        <v>250425100311</v>
      </c>
      <c r="B236" s="149"/>
      <c r="C236" s="3" t="s">
        <v>888</v>
      </c>
      <c r="D236" s="3" t="s">
        <v>1514</v>
      </c>
      <c r="E236" s="2" t="s">
        <v>1640</v>
      </c>
      <c r="F236" s="2" t="s">
        <v>1641</v>
      </c>
      <c r="G236" s="48"/>
      <c r="H236" s="150"/>
      <c r="J236" s="10" t="s">
        <v>1642</v>
      </c>
      <c r="K236" s="14"/>
      <c r="L236" s="13"/>
      <c r="M236" s="7"/>
      <c r="N236" s="7" t="s">
        <v>1643</v>
      </c>
      <c r="O236" s="7"/>
      <c r="P236" s="7"/>
      <c r="Q236" s="7"/>
      <c r="R236" s="7"/>
      <c r="S236" s="141"/>
      <c r="T236" s="7"/>
    </row>
    <row r="237" spans="1:20" ht="15" hidden="1" customHeight="1">
      <c r="A237" s="38">
        <v>250108150301</v>
      </c>
      <c r="B237" s="147" t="s">
        <v>867</v>
      </c>
      <c r="C237" s="3" t="s">
        <v>888</v>
      </c>
      <c r="D237" s="3" t="s">
        <v>1514</v>
      </c>
      <c r="E237" s="2" t="s">
        <v>1644</v>
      </c>
      <c r="F237" s="2" t="s">
        <v>1645</v>
      </c>
      <c r="G237" s="148"/>
      <c r="H237" s="148"/>
      <c r="J237" s="1" t="s">
        <v>1646</v>
      </c>
      <c r="K237" s="14"/>
      <c r="L237" s="13" t="s">
        <v>1647</v>
      </c>
      <c r="M237" s="7" t="s">
        <v>1648</v>
      </c>
      <c r="N237" s="7" t="s">
        <v>1649</v>
      </c>
      <c r="O237" s="7" t="s">
        <v>1650</v>
      </c>
      <c r="P237" s="7" t="s">
        <v>1651</v>
      </c>
      <c r="Q237" s="7" t="s">
        <v>1652</v>
      </c>
      <c r="R237" s="7" t="s">
        <v>1653</v>
      </c>
      <c r="S237" s="141"/>
      <c r="T237" s="7"/>
    </row>
    <row r="238" spans="1:20" ht="15" hidden="1" customHeight="1">
      <c r="A238" s="38">
        <v>250414090901</v>
      </c>
      <c r="B238" s="147" t="s">
        <v>867</v>
      </c>
      <c r="C238" s="3" t="s">
        <v>888</v>
      </c>
      <c r="D238" s="3" t="s">
        <v>1514</v>
      </c>
      <c r="E238" s="2" t="s">
        <v>1654</v>
      </c>
      <c r="F238" s="2" t="s">
        <v>1655</v>
      </c>
      <c r="G238" s="148"/>
      <c r="H238" s="148"/>
      <c r="J238" s="10" t="s">
        <v>1656</v>
      </c>
      <c r="K238" s="14"/>
      <c r="L238" s="13"/>
      <c r="M238" s="7"/>
      <c r="N238" s="7" t="s">
        <v>1657</v>
      </c>
      <c r="O238" s="7"/>
      <c r="P238" s="7"/>
      <c r="Q238" s="7"/>
      <c r="R238" s="7"/>
      <c r="S238" s="141"/>
      <c r="T238" s="7"/>
    </row>
    <row r="239" spans="1:20" ht="15" hidden="1" customHeight="1">
      <c r="A239" s="38">
        <v>241112000008</v>
      </c>
      <c r="B239" s="147" t="s">
        <v>867</v>
      </c>
      <c r="C239" s="3" t="s">
        <v>888</v>
      </c>
      <c r="D239" s="3" t="s">
        <v>1514</v>
      </c>
      <c r="E239" s="2" t="s">
        <v>1658</v>
      </c>
      <c r="F239" s="2" t="s">
        <v>883</v>
      </c>
      <c r="G239" s="148"/>
      <c r="H239" s="148"/>
      <c r="J239" s="1" t="s">
        <v>1659</v>
      </c>
      <c r="K239" s="10"/>
      <c r="L239" s="13" t="s">
        <v>1660</v>
      </c>
      <c r="M239" s="7" t="s">
        <v>1661</v>
      </c>
      <c r="N239" s="7" t="s">
        <v>1662</v>
      </c>
      <c r="O239" s="7" t="s">
        <v>1663</v>
      </c>
      <c r="P239" s="7"/>
      <c r="Q239" s="7" t="s">
        <v>1664</v>
      </c>
      <c r="R239" s="7"/>
      <c r="S239" s="141"/>
      <c r="T239" s="7"/>
    </row>
    <row r="240" spans="1:20" ht="15" hidden="1" customHeight="1">
      <c r="A240" s="38">
        <v>241112000045</v>
      </c>
      <c r="B240" s="147" t="s">
        <v>867</v>
      </c>
      <c r="C240" s="3" t="s">
        <v>888</v>
      </c>
      <c r="D240" s="3" t="s">
        <v>1514</v>
      </c>
      <c r="E240" s="2" t="s">
        <v>1665</v>
      </c>
      <c r="F240" s="2" t="s">
        <v>1622</v>
      </c>
      <c r="G240" s="148"/>
      <c r="H240" s="148"/>
      <c r="J240" s="1" t="s">
        <v>1666</v>
      </c>
      <c r="K240" s="14"/>
      <c r="L240" s="13" t="s">
        <v>1667</v>
      </c>
      <c r="M240" s="7"/>
      <c r="N240" s="7"/>
      <c r="O240" s="7"/>
      <c r="P240" s="7"/>
      <c r="Q240" s="7"/>
      <c r="R240" s="7"/>
      <c r="S240" s="141"/>
      <c r="T240" s="7"/>
    </row>
    <row r="241" spans="1:20" ht="14.85" hidden="1" customHeight="1">
      <c r="A241" s="38">
        <v>241112000047</v>
      </c>
      <c r="B241" s="147" t="s">
        <v>867</v>
      </c>
      <c r="C241" s="3" t="s">
        <v>888</v>
      </c>
      <c r="D241" s="3" t="s">
        <v>1514</v>
      </c>
      <c r="E241" s="2" t="s">
        <v>1668</v>
      </c>
      <c r="F241" s="2" t="s">
        <v>883</v>
      </c>
      <c r="G241" s="148"/>
      <c r="H241" s="148"/>
      <c r="J241" s="1" t="s">
        <v>1669</v>
      </c>
      <c r="K241" s="14" t="s">
        <v>1670</v>
      </c>
      <c r="L241" s="13" t="s">
        <v>1671</v>
      </c>
      <c r="M241" s="7" t="s">
        <v>1672</v>
      </c>
      <c r="N241" s="7"/>
      <c r="O241" s="7"/>
      <c r="P241" s="7"/>
      <c r="Q241" s="7"/>
      <c r="R241" s="7"/>
      <c r="S241" s="141"/>
      <c r="T241" s="7"/>
    </row>
    <row r="242" spans="1:20" ht="15" hidden="1" customHeight="1">
      <c r="A242" s="38">
        <v>250401150600</v>
      </c>
      <c r="B242" s="147" t="s">
        <v>867</v>
      </c>
      <c r="C242" s="3" t="s">
        <v>888</v>
      </c>
      <c r="D242" s="3" t="s">
        <v>1514</v>
      </c>
      <c r="E242" s="2" t="s">
        <v>1673</v>
      </c>
      <c r="F242" s="2" t="s">
        <v>1516</v>
      </c>
      <c r="G242" s="148"/>
      <c r="H242" s="148"/>
      <c r="I242" s="10"/>
      <c r="J242" s="10" t="s">
        <v>1674</v>
      </c>
      <c r="K242" s="109"/>
      <c r="L242" s="65"/>
      <c r="M242" s="13" t="s">
        <v>1675</v>
      </c>
      <c r="N242" s="110"/>
      <c r="O242" s="13" t="s">
        <v>1676</v>
      </c>
      <c r="P242" s="110"/>
      <c r="Q242" s="110"/>
      <c r="R242" s="7"/>
      <c r="S242" s="141"/>
      <c r="T242" s="7"/>
    </row>
    <row r="243" spans="1:20" ht="15" hidden="1" customHeight="1">
      <c r="A243" s="38">
        <v>250414112101</v>
      </c>
      <c r="B243" s="147" t="s">
        <v>867</v>
      </c>
      <c r="C243" s="3" t="s">
        <v>888</v>
      </c>
      <c r="D243" s="3" t="s">
        <v>1514</v>
      </c>
      <c r="E243" s="2" t="s">
        <v>1677</v>
      </c>
      <c r="F243" s="2" t="s">
        <v>1678</v>
      </c>
      <c r="G243" s="148"/>
      <c r="H243" s="148"/>
      <c r="J243" s="10" t="s">
        <v>1679</v>
      </c>
      <c r="K243" s="14"/>
      <c r="L243" s="13"/>
      <c r="M243" s="7"/>
      <c r="N243" s="7" t="s">
        <v>1680</v>
      </c>
      <c r="O243" s="7"/>
      <c r="P243" s="7"/>
      <c r="Q243" s="7"/>
      <c r="R243" s="7"/>
      <c r="S243" s="141"/>
      <c r="T243" s="7"/>
    </row>
    <row r="244" spans="1:20" ht="15" hidden="1" customHeight="1">
      <c r="A244" s="38">
        <v>250414112100</v>
      </c>
      <c r="B244" s="147" t="s">
        <v>867</v>
      </c>
      <c r="C244" s="3" t="s">
        <v>888</v>
      </c>
      <c r="D244" s="3" t="s">
        <v>1514</v>
      </c>
      <c r="E244" s="2" t="s">
        <v>1681</v>
      </c>
      <c r="F244" s="2" t="s">
        <v>1682</v>
      </c>
      <c r="G244" s="148"/>
      <c r="H244" s="148"/>
      <c r="J244" s="10" t="s">
        <v>1683</v>
      </c>
      <c r="K244" s="14"/>
      <c r="L244" s="13"/>
      <c r="M244" s="7"/>
      <c r="N244" s="7" t="s">
        <v>1684</v>
      </c>
      <c r="O244" s="7"/>
      <c r="P244" s="7"/>
      <c r="Q244" s="7"/>
      <c r="R244" s="7"/>
      <c r="S244" s="141"/>
      <c r="T244" s="7"/>
    </row>
    <row r="245" spans="1:20" ht="15" hidden="1" customHeight="1">
      <c r="A245" s="38">
        <v>250325134505</v>
      </c>
      <c r="B245" s="147" t="s">
        <v>867</v>
      </c>
      <c r="C245" s="3" t="s">
        <v>888</v>
      </c>
      <c r="D245" s="3" t="s">
        <v>1514</v>
      </c>
      <c r="E245" s="2" t="s">
        <v>1685</v>
      </c>
      <c r="F245" s="2" t="s">
        <v>879</v>
      </c>
      <c r="G245" s="148"/>
      <c r="H245" s="148"/>
      <c r="J245" s="10" t="s">
        <v>1686</v>
      </c>
      <c r="K245" s="14"/>
      <c r="L245" s="13"/>
      <c r="M245" s="7" t="s">
        <v>1687</v>
      </c>
      <c r="N245" s="7"/>
      <c r="O245" s="7" t="s">
        <v>1688</v>
      </c>
      <c r="P245" s="7"/>
      <c r="Q245" s="7"/>
      <c r="R245" s="7"/>
      <c r="S245" s="141"/>
      <c r="T245" s="7"/>
    </row>
    <row r="246" spans="1:20" ht="15" hidden="1" customHeight="1">
      <c r="A246" s="38">
        <v>241112000048</v>
      </c>
      <c r="B246" s="147" t="s">
        <v>867</v>
      </c>
      <c r="C246" s="3" t="s">
        <v>888</v>
      </c>
      <c r="D246" s="3" t="s">
        <v>1514</v>
      </c>
      <c r="E246" s="2" t="s">
        <v>1689</v>
      </c>
      <c r="F246" s="2" t="s">
        <v>951</v>
      </c>
      <c r="G246" s="148"/>
      <c r="H246" s="148"/>
      <c r="J246" s="1" t="s">
        <v>1690</v>
      </c>
      <c r="K246" s="14"/>
      <c r="L246" s="13" t="s">
        <v>1691</v>
      </c>
      <c r="M246" s="7" t="s">
        <v>1692</v>
      </c>
      <c r="N246" s="7"/>
      <c r="O246" s="7"/>
      <c r="P246" s="7"/>
      <c r="Q246" s="7"/>
      <c r="R246" s="7"/>
      <c r="S246" s="141"/>
      <c r="T246" s="7"/>
    </row>
    <row r="247" spans="1:20" ht="15" hidden="1" customHeight="1">
      <c r="A247" s="38">
        <v>241112000264</v>
      </c>
      <c r="B247" s="147" t="s">
        <v>867</v>
      </c>
      <c r="C247" s="3" t="s">
        <v>888</v>
      </c>
      <c r="D247" s="3" t="s">
        <v>1514</v>
      </c>
      <c r="E247" s="2" t="s">
        <v>1693</v>
      </c>
      <c r="F247" s="2" t="s">
        <v>1694</v>
      </c>
      <c r="G247" s="148"/>
      <c r="H247" s="148"/>
      <c r="J247" s="1" t="s">
        <v>1695</v>
      </c>
      <c r="K247" s="14"/>
      <c r="L247" s="13" t="s">
        <v>1696</v>
      </c>
      <c r="M247" s="7" t="s">
        <v>1697</v>
      </c>
      <c r="N247" s="7"/>
      <c r="O247" s="7"/>
      <c r="P247" s="7"/>
      <c r="Q247" s="7"/>
      <c r="R247" s="7"/>
      <c r="S247" s="141"/>
      <c r="T247" s="7"/>
    </row>
    <row r="248" spans="1:20" ht="15" hidden="1" customHeight="1">
      <c r="A248" s="38">
        <v>250317120000</v>
      </c>
      <c r="B248" s="147" t="s">
        <v>867</v>
      </c>
      <c r="C248" s="3" t="s">
        <v>888</v>
      </c>
      <c r="D248" s="3" t="s">
        <v>1514</v>
      </c>
      <c r="E248" s="2" t="s">
        <v>1698</v>
      </c>
      <c r="F248" s="2" t="s">
        <v>1699</v>
      </c>
      <c r="G248" s="148"/>
      <c r="H248" s="148"/>
      <c r="J248" s="11" t="s">
        <v>1700</v>
      </c>
      <c r="K248" s="100" t="s">
        <v>1701</v>
      </c>
      <c r="L248" s="13"/>
      <c r="M248" s="7"/>
      <c r="N248" s="7"/>
      <c r="O248" s="7"/>
      <c r="P248" s="7"/>
      <c r="Q248" s="7"/>
      <c r="R248" s="7"/>
      <c r="S248" s="141"/>
      <c r="T248" s="7"/>
    </row>
    <row r="249" spans="1:20" ht="15" hidden="1" customHeight="1">
      <c r="A249" s="38">
        <v>250108150300</v>
      </c>
      <c r="B249" s="147" t="s">
        <v>867</v>
      </c>
      <c r="C249" s="3" t="s">
        <v>888</v>
      </c>
      <c r="D249" s="3" t="s">
        <v>1514</v>
      </c>
      <c r="E249" s="2" t="s">
        <v>1702</v>
      </c>
      <c r="F249" s="2" t="s">
        <v>1703</v>
      </c>
      <c r="G249" s="148"/>
      <c r="H249" s="148"/>
      <c r="J249" s="1" t="s">
        <v>1704</v>
      </c>
      <c r="K249" s="14"/>
      <c r="L249" s="13"/>
      <c r="M249" s="7"/>
      <c r="N249" s="7"/>
      <c r="O249" s="7"/>
      <c r="P249" s="7"/>
      <c r="Q249" s="7"/>
      <c r="R249" s="7"/>
      <c r="S249" s="141"/>
      <c r="T249" s="7"/>
    </row>
    <row r="250" spans="1:20" ht="15" hidden="1" customHeight="1">
      <c r="A250" s="38">
        <v>250317176900</v>
      </c>
      <c r="B250" s="147" t="s">
        <v>867</v>
      </c>
      <c r="C250" s="3" t="s">
        <v>888</v>
      </c>
      <c r="D250" s="3" t="s">
        <v>1514</v>
      </c>
      <c r="E250" s="2" t="s">
        <v>1705</v>
      </c>
      <c r="F250" s="2" t="s">
        <v>912</v>
      </c>
      <c r="G250" s="148"/>
      <c r="H250" s="148"/>
      <c r="J250" s="10" t="s">
        <v>1706</v>
      </c>
      <c r="K250" s="14"/>
      <c r="L250" s="13"/>
      <c r="M250" s="7"/>
      <c r="N250" s="7"/>
      <c r="O250" s="7"/>
      <c r="P250" s="7"/>
      <c r="Q250" s="7"/>
      <c r="R250" s="7"/>
      <c r="S250" s="141"/>
      <c r="T250" s="7"/>
    </row>
    <row r="251" spans="1:20" ht="15" hidden="1" customHeight="1">
      <c r="A251" s="38">
        <v>241112000245</v>
      </c>
      <c r="B251" s="147" t="s">
        <v>867</v>
      </c>
      <c r="C251" s="3" t="s">
        <v>888</v>
      </c>
      <c r="D251" s="3" t="s">
        <v>1514</v>
      </c>
      <c r="E251" s="2" t="s">
        <v>1707</v>
      </c>
      <c r="F251" s="2" t="s">
        <v>1279</v>
      </c>
      <c r="G251" s="148"/>
      <c r="H251" s="148"/>
      <c r="J251" s="1" t="s">
        <v>1708</v>
      </c>
      <c r="K251" s="10" t="s">
        <v>1468</v>
      </c>
      <c r="L251" s="13" t="s">
        <v>1709</v>
      </c>
      <c r="M251" s="7" t="s">
        <v>1710</v>
      </c>
      <c r="N251" s="7" t="s">
        <v>1711</v>
      </c>
      <c r="O251" s="7"/>
      <c r="P251" s="7"/>
      <c r="Q251" s="7"/>
      <c r="R251" s="7"/>
      <c r="S251" s="141"/>
      <c r="T251" s="7"/>
    </row>
    <row r="252" spans="1:20" ht="15" hidden="1" customHeight="1">
      <c r="A252" s="38">
        <v>241227114401</v>
      </c>
      <c r="B252" s="147" t="s">
        <v>867</v>
      </c>
      <c r="C252" s="3" t="s">
        <v>888</v>
      </c>
      <c r="D252" s="3" t="s">
        <v>1514</v>
      </c>
      <c r="E252" s="2" t="s">
        <v>1712</v>
      </c>
      <c r="F252" s="2" t="s">
        <v>1713</v>
      </c>
      <c r="G252" s="148"/>
      <c r="H252" s="148"/>
      <c r="J252" s="10" t="s">
        <v>1714</v>
      </c>
      <c r="K252" s="14"/>
      <c r="L252" s="13" t="s">
        <v>1715</v>
      </c>
      <c r="M252" s="7"/>
      <c r="N252" s="7"/>
      <c r="O252" s="7"/>
      <c r="P252" s="7"/>
      <c r="Q252" s="7"/>
      <c r="R252" s="7"/>
      <c r="S252" s="141"/>
      <c r="T252" s="7"/>
    </row>
    <row r="253" spans="1:20" ht="15" hidden="1" customHeight="1">
      <c r="A253" s="38">
        <v>241227114400</v>
      </c>
      <c r="B253" s="147" t="s">
        <v>867</v>
      </c>
      <c r="C253" s="3" t="s">
        <v>888</v>
      </c>
      <c r="D253" s="3" t="s">
        <v>1514</v>
      </c>
      <c r="E253" s="2" t="s">
        <v>1716</v>
      </c>
      <c r="F253" s="2" t="s">
        <v>1713</v>
      </c>
      <c r="G253" s="148"/>
      <c r="H253" s="148"/>
      <c r="J253" s="10" t="s">
        <v>1717</v>
      </c>
      <c r="K253" s="14"/>
      <c r="L253" s="13" t="s">
        <v>1718</v>
      </c>
      <c r="M253" s="7"/>
      <c r="N253" s="7"/>
      <c r="O253" s="7"/>
      <c r="P253" s="7"/>
      <c r="Q253" s="7"/>
      <c r="R253" s="7"/>
      <c r="S253" s="141"/>
      <c r="T253" s="7"/>
    </row>
    <row r="254" spans="1:20" ht="15" hidden="1" customHeight="1">
      <c r="A254" s="38">
        <v>250212174208</v>
      </c>
      <c r="B254" s="147" t="s">
        <v>867</v>
      </c>
      <c r="C254" s="3" t="s">
        <v>888</v>
      </c>
      <c r="D254" s="3" t="s">
        <v>1514</v>
      </c>
      <c r="E254" s="2" t="s">
        <v>1719</v>
      </c>
      <c r="F254" s="2" t="s">
        <v>1720</v>
      </c>
      <c r="G254" s="148"/>
      <c r="H254" s="148"/>
      <c r="J254" s="10" t="s">
        <v>1721</v>
      </c>
      <c r="K254" s="14"/>
      <c r="L254" s="13" t="s">
        <v>1722</v>
      </c>
      <c r="M254" s="7" t="s">
        <v>1663</v>
      </c>
      <c r="N254" s="7"/>
      <c r="O254" s="7"/>
      <c r="P254" s="7"/>
      <c r="Q254" s="7"/>
      <c r="R254" s="7"/>
      <c r="S254" s="141"/>
      <c r="T254" s="7"/>
    </row>
    <row r="255" spans="1:20" ht="15" hidden="1" customHeight="1">
      <c r="A255" s="38">
        <v>250212174209</v>
      </c>
      <c r="B255" s="147" t="s">
        <v>867</v>
      </c>
      <c r="C255" s="3" t="s">
        <v>888</v>
      </c>
      <c r="D255" s="3" t="s">
        <v>1514</v>
      </c>
      <c r="E255" s="2" t="s">
        <v>1723</v>
      </c>
      <c r="F255" s="2" t="s">
        <v>1724</v>
      </c>
      <c r="G255" s="148"/>
      <c r="H255" s="148"/>
      <c r="J255" s="10" t="s">
        <v>1725</v>
      </c>
      <c r="K255" s="14"/>
      <c r="L255" s="13" t="s">
        <v>1722</v>
      </c>
      <c r="M255" s="7" t="s">
        <v>1663</v>
      </c>
      <c r="N255" s="7"/>
      <c r="O255" s="7"/>
      <c r="P255" s="7"/>
      <c r="Q255" s="7"/>
      <c r="R255" s="7"/>
      <c r="S255" s="141"/>
      <c r="T255" s="7"/>
    </row>
    <row r="256" spans="1:20" ht="15" hidden="1" customHeight="1">
      <c r="A256" s="38">
        <v>241112000052</v>
      </c>
      <c r="B256" s="147" t="s">
        <v>867</v>
      </c>
      <c r="C256" s="3" t="s">
        <v>888</v>
      </c>
      <c r="D256" s="3" t="s">
        <v>1514</v>
      </c>
      <c r="E256" s="2" t="s">
        <v>1726</v>
      </c>
      <c r="F256" s="2" t="s">
        <v>1622</v>
      </c>
      <c r="G256" s="148"/>
      <c r="H256" s="148"/>
      <c r="J256" s="1" t="s">
        <v>1727</v>
      </c>
      <c r="K256" s="14"/>
      <c r="L256" s="13" t="s">
        <v>1728</v>
      </c>
      <c r="M256" s="7" t="s">
        <v>1729</v>
      </c>
      <c r="N256" s="7"/>
      <c r="O256" s="7"/>
      <c r="P256" s="7"/>
      <c r="Q256" s="7"/>
      <c r="R256" s="7"/>
      <c r="S256" s="141"/>
      <c r="T256" s="7"/>
    </row>
    <row r="257" spans="1:20" ht="15" hidden="1" customHeight="1">
      <c r="A257" s="38">
        <v>241112000043</v>
      </c>
      <c r="B257" s="147" t="s">
        <v>867</v>
      </c>
      <c r="C257" s="3" t="s">
        <v>888</v>
      </c>
      <c r="D257" s="3" t="s">
        <v>1514</v>
      </c>
      <c r="E257" s="2" t="s">
        <v>1730</v>
      </c>
      <c r="F257" s="2" t="s">
        <v>1231</v>
      </c>
      <c r="G257" s="148"/>
      <c r="H257" s="148"/>
      <c r="J257" s="1" t="s">
        <v>1731</v>
      </c>
      <c r="K257" s="14"/>
      <c r="L257" s="13" t="s">
        <v>1732</v>
      </c>
      <c r="M257" s="7"/>
      <c r="N257" s="7"/>
      <c r="O257" s="7"/>
      <c r="P257" s="7"/>
      <c r="Q257" s="7"/>
      <c r="R257" s="7"/>
      <c r="S257" s="141"/>
      <c r="T257" s="7"/>
    </row>
    <row r="258" spans="1:20" ht="15" hidden="1" customHeight="1">
      <c r="A258" s="38">
        <v>241112000006</v>
      </c>
      <c r="B258" s="147" t="s">
        <v>867</v>
      </c>
      <c r="C258" s="3" t="s">
        <v>888</v>
      </c>
      <c r="D258" s="3" t="s">
        <v>1514</v>
      </c>
      <c r="E258" s="2" t="s">
        <v>1733</v>
      </c>
      <c r="F258" s="2" t="s">
        <v>1734</v>
      </c>
      <c r="G258" s="148"/>
      <c r="H258" s="148"/>
      <c r="J258" s="1" t="s">
        <v>1735</v>
      </c>
      <c r="K258" s="10"/>
      <c r="L258" s="13" t="s">
        <v>1736</v>
      </c>
      <c r="M258" s="7" t="s">
        <v>1737</v>
      </c>
      <c r="N258" s="7"/>
      <c r="O258" s="7"/>
      <c r="P258" s="7"/>
      <c r="Q258" s="7"/>
      <c r="R258" s="7"/>
      <c r="S258" s="141"/>
      <c r="T258" s="7"/>
    </row>
    <row r="259" spans="1:20" ht="15" hidden="1" customHeight="1">
      <c r="A259" s="38">
        <v>241112000053</v>
      </c>
      <c r="B259" s="147" t="s">
        <v>867</v>
      </c>
      <c r="C259" s="3" t="s">
        <v>888</v>
      </c>
      <c r="D259" s="3" t="s">
        <v>1514</v>
      </c>
      <c r="E259" s="2" t="s">
        <v>1738</v>
      </c>
      <c r="F259" s="2" t="s">
        <v>1739</v>
      </c>
      <c r="G259" s="148"/>
      <c r="H259" s="148"/>
      <c r="J259" s="1" t="s">
        <v>1740</v>
      </c>
      <c r="K259" s="14"/>
      <c r="L259" s="13" t="s">
        <v>1741</v>
      </c>
      <c r="M259" s="7" t="s">
        <v>1742</v>
      </c>
      <c r="N259" s="7"/>
      <c r="O259" s="7"/>
      <c r="P259" s="7"/>
      <c r="Q259" s="7"/>
      <c r="R259" s="7"/>
      <c r="S259" s="141"/>
      <c r="T259" s="7"/>
    </row>
    <row r="260" spans="1:20" ht="15" hidden="1" customHeight="1">
      <c r="A260" s="38">
        <v>241112000054</v>
      </c>
      <c r="B260" s="147" t="s">
        <v>867</v>
      </c>
      <c r="C260" s="3" t="s">
        <v>888</v>
      </c>
      <c r="D260" s="3" t="s">
        <v>1514</v>
      </c>
      <c r="E260" s="2" t="s">
        <v>1743</v>
      </c>
      <c r="F260" s="2" t="s">
        <v>1744</v>
      </c>
      <c r="G260" s="148"/>
      <c r="H260" s="148"/>
      <c r="J260" s="1" t="s">
        <v>1745</v>
      </c>
      <c r="K260" s="14"/>
      <c r="L260" s="13" t="s">
        <v>1746</v>
      </c>
      <c r="M260" s="7" t="s">
        <v>1554</v>
      </c>
      <c r="N260" s="7"/>
      <c r="O260" s="7"/>
      <c r="P260" s="7"/>
      <c r="Q260" s="7"/>
      <c r="R260" s="7"/>
      <c r="S260" s="141"/>
      <c r="T260" s="7"/>
    </row>
    <row r="261" spans="1:20" hidden="1">
      <c r="A261" s="38">
        <v>250422133705</v>
      </c>
      <c r="B261" s="147" t="s">
        <v>867</v>
      </c>
      <c r="C261" s="3" t="s">
        <v>888</v>
      </c>
      <c r="D261" s="3" t="s">
        <v>1514</v>
      </c>
      <c r="E261" s="2" t="s">
        <v>1747</v>
      </c>
      <c r="F261" s="2" t="s">
        <v>946</v>
      </c>
      <c r="G261" s="148"/>
      <c r="H261" s="148"/>
      <c r="J261" s="10" t="s">
        <v>1748</v>
      </c>
      <c r="K261" s="14"/>
      <c r="L261" s="13"/>
      <c r="M261" s="7"/>
      <c r="N261" s="7" t="s">
        <v>1749</v>
      </c>
      <c r="O261" s="7"/>
      <c r="P261" s="7"/>
      <c r="Q261" s="7"/>
      <c r="R261" s="7"/>
      <c r="S261" s="141"/>
      <c r="T261" s="7"/>
    </row>
    <row r="262" spans="1:20" hidden="1">
      <c r="A262" s="38">
        <v>250422133701</v>
      </c>
      <c r="B262" s="147" t="s">
        <v>867</v>
      </c>
      <c r="C262" s="3" t="s">
        <v>888</v>
      </c>
      <c r="D262" s="3" t="s">
        <v>1514</v>
      </c>
      <c r="E262" s="2" t="s">
        <v>1750</v>
      </c>
      <c r="F262" s="2" t="s">
        <v>1751</v>
      </c>
      <c r="G262" s="148"/>
      <c r="H262" s="148"/>
      <c r="J262" s="10" t="s">
        <v>1752</v>
      </c>
      <c r="K262" s="14"/>
      <c r="L262" s="13"/>
      <c r="M262" s="7"/>
      <c r="N262" s="7" t="s">
        <v>1753</v>
      </c>
      <c r="O262" s="7"/>
      <c r="P262" s="7"/>
      <c r="Q262" s="7"/>
      <c r="R262" s="7"/>
      <c r="S262" s="141"/>
      <c r="T262" s="7"/>
    </row>
    <row r="263" spans="1:20" hidden="1">
      <c r="A263" s="38">
        <v>250422133702</v>
      </c>
      <c r="B263" s="147" t="s">
        <v>867</v>
      </c>
      <c r="C263" s="3" t="s">
        <v>888</v>
      </c>
      <c r="D263" s="3" t="s">
        <v>1514</v>
      </c>
      <c r="E263" s="2" t="s">
        <v>1754</v>
      </c>
      <c r="F263" s="2" t="s">
        <v>1751</v>
      </c>
      <c r="G263" s="148"/>
      <c r="H263" s="148"/>
      <c r="J263" s="10" t="s">
        <v>1755</v>
      </c>
      <c r="K263" s="14"/>
      <c r="L263" s="13"/>
      <c r="M263" s="7"/>
      <c r="N263" s="7" t="s">
        <v>1756</v>
      </c>
      <c r="O263" s="7"/>
      <c r="P263" s="7"/>
      <c r="Q263" s="7"/>
      <c r="R263" s="7"/>
      <c r="S263" s="141"/>
      <c r="T263" s="7"/>
    </row>
    <row r="264" spans="1:20" hidden="1">
      <c r="A264" s="38">
        <v>241112000055</v>
      </c>
      <c r="B264" s="147" t="s">
        <v>867</v>
      </c>
      <c r="C264" s="3" t="s">
        <v>888</v>
      </c>
      <c r="D264" s="3" t="s">
        <v>1514</v>
      </c>
      <c r="E264" s="2" t="s">
        <v>1757</v>
      </c>
      <c r="F264" s="2" t="s">
        <v>1283</v>
      </c>
      <c r="G264" s="148"/>
      <c r="H264" s="148"/>
      <c r="J264" s="1" t="s">
        <v>1758</v>
      </c>
      <c r="K264" s="14" t="s">
        <v>1759</v>
      </c>
      <c r="L264" s="13" t="s">
        <v>1760</v>
      </c>
      <c r="M264" s="7" t="s">
        <v>1761</v>
      </c>
      <c r="N264" s="7"/>
      <c r="O264" s="7"/>
      <c r="P264" s="7"/>
      <c r="Q264" s="7"/>
      <c r="R264" s="7"/>
      <c r="S264" s="141"/>
      <c r="T264" s="7"/>
    </row>
    <row r="265" spans="1:20" hidden="1">
      <c r="A265" s="38">
        <v>241112000056</v>
      </c>
      <c r="B265" s="147" t="s">
        <v>867</v>
      </c>
      <c r="C265" s="3" t="s">
        <v>888</v>
      </c>
      <c r="D265" s="3" t="s">
        <v>1514</v>
      </c>
      <c r="E265" s="2" t="s">
        <v>1762</v>
      </c>
      <c r="F265" s="2" t="s">
        <v>932</v>
      </c>
      <c r="G265" s="148"/>
      <c r="H265" s="148"/>
      <c r="J265" s="1" t="s">
        <v>1763</v>
      </c>
      <c r="K265" s="14" t="s">
        <v>1764</v>
      </c>
      <c r="L265" s="13" t="s">
        <v>1765</v>
      </c>
      <c r="M265" s="7" t="s">
        <v>1766</v>
      </c>
      <c r="N265" s="7"/>
      <c r="O265" s="7"/>
      <c r="P265" s="7"/>
      <c r="Q265" s="7"/>
      <c r="R265" s="7"/>
      <c r="S265" s="141"/>
      <c r="T265" s="7"/>
    </row>
    <row r="266" spans="1:20" hidden="1">
      <c r="A266" s="38">
        <v>241112000057</v>
      </c>
      <c r="B266" s="147" t="s">
        <v>867</v>
      </c>
      <c r="C266" s="3" t="s">
        <v>888</v>
      </c>
      <c r="D266" s="3" t="s">
        <v>1514</v>
      </c>
      <c r="E266" s="2" t="s">
        <v>1767</v>
      </c>
      <c r="F266" s="2" t="s">
        <v>1363</v>
      </c>
      <c r="G266" s="148"/>
      <c r="H266" s="148"/>
      <c r="J266" s="1" t="s">
        <v>1768</v>
      </c>
      <c r="K266" s="92" t="s">
        <v>1769</v>
      </c>
      <c r="L266" s="13" t="s">
        <v>1770</v>
      </c>
      <c r="M266" s="7" t="s">
        <v>1771</v>
      </c>
      <c r="N266" s="7"/>
      <c r="O266" s="7"/>
      <c r="P266" s="7"/>
      <c r="Q266" s="7"/>
      <c r="R266" s="7"/>
      <c r="S266" s="141"/>
      <c r="T266" s="7"/>
    </row>
    <row r="267" spans="1:20" hidden="1">
      <c r="A267" s="38">
        <v>250317176901</v>
      </c>
      <c r="B267" s="147" t="s">
        <v>867</v>
      </c>
      <c r="C267" s="3" t="s">
        <v>888</v>
      </c>
      <c r="D267" s="3" t="s">
        <v>1514</v>
      </c>
      <c r="E267" s="2" t="s">
        <v>1772</v>
      </c>
      <c r="F267" s="2" t="s">
        <v>1713</v>
      </c>
      <c r="G267" s="148"/>
      <c r="H267" s="148"/>
      <c r="J267" s="10" t="s">
        <v>1773</v>
      </c>
      <c r="K267" s="14"/>
      <c r="L267" s="13"/>
      <c r="M267" s="7"/>
      <c r="N267" s="7" t="s">
        <v>1774</v>
      </c>
      <c r="O267" s="7"/>
      <c r="P267" s="7"/>
      <c r="Q267" s="7"/>
      <c r="R267" s="7"/>
      <c r="S267" s="141"/>
      <c r="T267" s="7"/>
    </row>
    <row r="268" spans="1:20" hidden="1">
      <c r="A268" s="38">
        <v>250317176902</v>
      </c>
      <c r="B268" s="147" t="s">
        <v>867</v>
      </c>
      <c r="C268" s="3" t="s">
        <v>888</v>
      </c>
      <c r="D268" s="3" t="s">
        <v>1514</v>
      </c>
      <c r="E268" s="2" t="s">
        <v>1775</v>
      </c>
      <c r="F268" s="2" t="s">
        <v>946</v>
      </c>
      <c r="G268" s="148"/>
      <c r="H268" s="148"/>
      <c r="J268" s="10" t="s">
        <v>1776</v>
      </c>
      <c r="K268" s="14"/>
      <c r="L268" s="13"/>
      <c r="M268" s="7"/>
      <c r="N268" s="7"/>
      <c r="O268" s="7"/>
      <c r="P268" s="7"/>
      <c r="Q268" s="7"/>
      <c r="R268" s="7"/>
      <c r="S268" s="141"/>
      <c r="T268" s="7"/>
    </row>
    <row r="269" spans="1:20" ht="16.350000000000001" hidden="1" customHeight="1">
      <c r="A269" s="38">
        <v>241112000058</v>
      </c>
      <c r="B269" s="147" t="s">
        <v>867</v>
      </c>
      <c r="C269" s="3" t="s">
        <v>888</v>
      </c>
      <c r="D269" s="3" t="s">
        <v>1514</v>
      </c>
      <c r="E269" s="2" t="s">
        <v>1777</v>
      </c>
      <c r="F269" s="2" t="s">
        <v>1778</v>
      </c>
      <c r="G269" s="148"/>
      <c r="H269" s="148"/>
      <c r="J269" s="1" t="s">
        <v>1779</v>
      </c>
      <c r="K269" s="10"/>
      <c r="L269" s="13" t="s">
        <v>1780</v>
      </c>
      <c r="M269" s="7" t="s">
        <v>1781</v>
      </c>
      <c r="N269" s="7" t="s">
        <v>1782</v>
      </c>
      <c r="O269" s="7"/>
      <c r="P269" s="7"/>
      <c r="Q269" s="7"/>
      <c r="R269" s="7"/>
      <c r="S269" s="141"/>
      <c r="T269" s="7"/>
    </row>
    <row r="270" spans="1:20" hidden="1">
      <c r="A270" s="38">
        <v>250212174204</v>
      </c>
      <c r="B270" s="147" t="s">
        <v>867</v>
      </c>
      <c r="C270" s="3" t="s">
        <v>888</v>
      </c>
      <c r="D270" s="3" t="s">
        <v>1514</v>
      </c>
      <c r="E270" s="2" t="s">
        <v>1783</v>
      </c>
      <c r="F270" s="2" t="s">
        <v>912</v>
      </c>
      <c r="G270" s="148"/>
      <c r="H270" s="148"/>
      <c r="J270" s="10" t="s">
        <v>1784</v>
      </c>
      <c r="K270" s="14" t="s">
        <v>1501</v>
      </c>
      <c r="L270" s="13" t="s">
        <v>1785</v>
      </c>
      <c r="M270" s="7" t="s">
        <v>1786</v>
      </c>
      <c r="N270" s="7"/>
      <c r="O270" s="7"/>
      <c r="P270" s="7" t="s">
        <v>1787</v>
      </c>
      <c r="Q270" s="7"/>
      <c r="R270" s="7"/>
      <c r="S270" s="141"/>
      <c r="T270" s="7"/>
    </row>
    <row r="271" spans="1:20" ht="14.1" hidden="1" customHeight="1">
      <c r="A271" s="38">
        <v>250425200601</v>
      </c>
      <c r="B271" s="149"/>
      <c r="C271" s="3" t="s">
        <v>888</v>
      </c>
      <c r="D271" s="3" t="s">
        <v>1514</v>
      </c>
      <c r="E271" s="2" t="s">
        <v>1788</v>
      </c>
      <c r="F271" s="2" t="s">
        <v>1789</v>
      </c>
      <c r="G271" s="48"/>
      <c r="H271" s="150"/>
      <c r="J271" s="10" t="s">
        <v>1790</v>
      </c>
      <c r="K271" s="14"/>
      <c r="L271" s="13"/>
      <c r="M271" s="7"/>
      <c r="N271" s="7" t="s">
        <v>1791</v>
      </c>
      <c r="O271" s="7"/>
      <c r="P271" s="7"/>
      <c r="Q271" s="7"/>
      <c r="R271" s="7"/>
      <c r="S271" s="141"/>
      <c r="T271" s="7"/>
    </row>
    <row r="272" spans="1:20" ht="16.5" hidden="1" customHeight="1">
      <c r="A272" s="38">
        <v>250331132305</v>
      </c>
      <c r="B272" s="147" t="s">
        <v>867</v>
      </c>
      <c r="C272" s="3" t="s">
        <v>888</v>
      </c>
      <c r="D272" s="3" t="s">
        <v>1514</v>
      </c>
      <c r="E272" s="2" t="s">
        <v>1792</v>
      </c>
      <c r="F272" s="2" t="s">
        <v>1793</v>
      </c>
      <c r="G272" s="148"/>
      <c r="H272" s="148"/>
      <c r="J272" s="10" t="s">
        <v>1794</v>
      </c>
      <c r="K272" s="14"/>
      <c r="L272" s="13"/>
      <c r="M272" s="7"/>
      <c r="N272" s="7" t="s">
        <v>1795</v>
      </c>
      <c r="O272" s="7"/>
      <c r="P272" s="7"/>
      <c r="Q272" s="7"/>
      <c r="R272" s="7"/>
      <c r="S272" s="141"/>
      <c r="T272" s="7"/>
    </row>
    <row r="273" spans="1:20" hidden="1">
      <c r="A273" s="38">
        <v>250317124400</v>
      </c>
      <c r="B273" s="147" t="s">
        <v>867</v>
      </c>
      <c r="C273" s="3" t="s">
        <v>888</v>
      </c>
      <c r="D273" s="3" t="s">
        <v>1514</v>
      </c>
      <c r="E273" s="2" t="s">
        <v>1796</v>
      </c>
      <c r="F273" s="2" t="s">
        <v>1797</v>
      </c>
      <c r="G273" s="148"/>
      <c r="H273" s="148"/>
      <c r="J273" s="10" t="s">
        <v>1798</v>
      </c>
      <c r="K273" s="14"/>
      <c r="L273" s="13"/>
      <c r="M273" s="7"/>
      <c r="N273" s="7"/>
      <c r="O273" s="7"/>
      <c r="P273" s="7"/>
      <c r="Q273" s="7"/>
      <c r="R273" s="7"/>
      <c r="S273" s="141"/>
      <c r="T273" s="7"/>
    </row>
    <row r="274" spans="1:20" hidden="1">
      <c r="A274" s="38">
        <v>250331132304</v>
      </c>
      <c r="B274" s="147" t="s">
        <v>867</v>
      </c>
      <c r="C274" s="3" t="s">
        <v>888</v>
      </c>
      <c r="D274" s="3" t="s">
        <v>1514</v>
      </c>
      <c r="E274" s="2" t="s">
        <v>1799</v>
      </c>
      <c r="F274" s="2" t="s">
        <v>1800</v>
      </c>
      <c r="G274" s="148"/>
      <c r="H274" s="148"/>
      <c r="J274" s="10" t="s">
        <v>1801</v>
      </c>
      <c r="K274" s="14"/>
      <c r="L274" s="13"/>
      <c r="M274" s="7"/>
      <c r="N274" s="7" t="s">
        <v>1802</v>
      </c>
      <c r="O274" s="7"/>
      <c r="P274" s="7"/>
      <c r="Q274" s="7"/>
      <c r="R274" s="7"/>
      <c r="S274" s="141"/>
      <c r="T274" s="7"/>
    </row>
    <row r="275" spans="1:20" hidden="1">
      <c r="A275" s="38">
        <v>250418220103</v>
      </c>
      <c r="B275" s="147" t="s">
        <v>867</v>
      </c>
      <c r="C275" s="3" t="s">
        <v>888</v>
      </c>
      <c r="D275" s="3" t="s">
        <v>1514</v>
      </c>
      <c r="E275" s="2" t="s">
        <v>1803</v>
      </c>
      <c r="F275" s="2" t="s">
        <v>1804</v>
      </c>
      <c r="G275" s="148"/>
      <c r="H275" s="148"/>
      <c r="J275" s="10" t="s">
        <v>1805</v>
      </c>
      <c r="K275" s="14"/>
      <c r="L275" s="13"/>
      <c r="M275" s="7"/>
      <c r="N275" s="7"/>
      <c r="O275" s="7"/>
      <c r="P275" s="7"/>
      <c r="Q275" s="7"/>
      <c r="R275" s="7" t="s">
        <v>1806</v>
      </c>
      <c r="S275" s="141" t="s">
        <v>949</v>
      </c>
      <c r="T275" s="7" t="s">
        <v>1145</v>
      </c>
    </row>
    <row r="276" spans="1:20" hidden="1">
      <c r="A276" s="38">
        <v>250430062400</v>
      </c>
      <c r="B276" s="149"/>
      <c r="C276" s="3" t="s">
        <v>888</v>
      </c>
      <c r="D276" s="3" t="s">
        <v>1514</v>
      </c>
      <c r="E276" s="2" t="s">
        <v>1807</v>
      </c>
      <c r="F276" s="2" t="s">
        <v>1808</v>
      </c>
      <c r="G276" s="48"/>
      <c r="H276" s="150"/>
      <c r="J276" s="10" t="s">
        <v>1809</v>
      </c>
      <c r="K276" s="14"/>
      <c r="L276" s="13"/>
      <c r="M276" s="7"/>
      <c r="N276" s="7"/>
      <c r="O276" s="7"/>
      <c r="P276" s="7"/>
      <c r="Q276" s="7"/>
      <c r="R276" s="7"/>
      <c r="S276" s="141"/>
      <c r="T276" s="7"/>
    </row>
    <row r="277" spans="1:20" hidden="1">
      <c r="A277" s="38">
        <v>250425200704</v>
      </c>
      <c r="B277" s="149"/>
      <c r="C277" s="3" t="s">
        <v>888</v>
      </c>
      <c r="D277" s="3" t="s">
        <v>1514</v>
      </c>
      <c r="E277" s="2" t="s">
        <v>1810</v>
      </c>
      <c r="F277" s="2" t="s">
        <v>1394</v>
      </c>
      <c r="G277" s="48"/>
      <c r="H277" s="150"/>
      <c r="J277" s="10" t="s">
        <v>1811</v>
      </c>
      <c r="K277" s="14"/>
      <c r="L277" s="13"/>
      <c r="M277" s="7"/>
      <c r="N277" s="7" t="s">
        <v>1812</v>
      </c>
      <c r="O277" s="7"/>
      <c r="P277" s="7"/>
      <c r="Q277" s="7"/>
      <c r="R277" s="7"/>
      <c r="S277" s="141" t="s">
        <v>949</v>
      </c>
      <c r="T277" s="7"/>
    </row>
    <row r="278" spans="1:20" hidden="1">
      <c r="A278" s="38">
        <v>250425201517</v>
      </c>
      <c r="B278" s="149"/>
      <c r="C278" s="3" t="s">
        <v>888</v>
      </c>
      <c r="D278" s="3" t="s">
        <v>1514</v>
      </c>
      <c r="E278" s="2" t="s">
        <v>1813</v>
      </c>
      <c r="F278" s="2" t="s">
        <v>912</v>
      </c>
      <c r="G278" s="48"/>
      <c r="H278" s="150"/>
      <c r="J278" s="10" t="s">
        <v>1814</v>
      </c>
      <c r="K278" s="14"/>
      <c r="L278" s="13"/>
      <c r="M278" s="7"/>
      <c r="N278" s="7" t="s">
        <v>1815</v>
      </c>
      <c r="O278" s="7"/>
      <c r="P278" s="7"/>
      <c r="Q278" s="7"/>
      <c r="R278" s="7"/>
      <c r="S278" s="141" t="s">
        <v>949</v>
      </c>
      <c r="T278" s="7"/>
    </row>
    <row r="279" spans="1:20" hidden="1">
      <c r="A279" s="38">
        <v>250425200706</v>
      </c>
      <c r="B279" s="149"/>
      <c r="C279" s="3" t="s">
        <v>888</v>
      </c>
      <c r="D279" s="3" t="s">
        <v>1514</v>
      </c>
      <c r="E279" s="2" t="s">
        <v>1816</v>
      </c>
      <c r="F279" s="2" t="s">
        <v>1394</v>
      </c>
      <c r="G279" s="48"/>
      <c r="H279" s="150"/>
      <c r="J279" s="10" t="s">
        <v>1817</v>
      </c>
      <c r="K279" s="14"/>
      <c r="L279" s="13"/>
      <c r="M279" s="7"/>
      <c r="N279" s="7" t="s">
        <v>1818</v>
      </c>
      <c r="O279" s="7"/>
      <c r="P279" s="7"/>
      <c r="Q279" s="7"/>
      <c r="R279" s="7"/>
      <c r="S279" s="141" t="s">
        <v>949</v>
      </c>
      <c r="T279" s="7"/>
    </row>
    <row r="280" spans="1:20" hidden="1">
      <c r="A280" s="38">
        <v>250425200705</v>
      </c>
      <c r="B280" s="149"/>
      <c r="C280" s="3" t="s">
        <v>888</v>
      </c>
      <c r="D280" s="3" t="s">
        <v>1514</v>
      </c>
      <c r="E280" s="2" t="s">
        <v>1819</v>
      </c>
      <c r="F280" s="2" t="s">
        <v>1394</v>
      </c>
      <c r="G280" s="48"/>
      <c r="H280" s="150"/>
      <c r="J280" s="10" t="s">
        <v>1820</v>
      </c>
      <c r="K280" s="14"/>
      <c r="L280" s="13"/>
      <c r="M280" s="7"/>
      <c r="N280" s="7" t="s">
        <v>1821</v>
      </c>
      <c r="O280" s="7"/>
      <c r="P280" s="7"/>
      <c r="Q280" s="7"/>
      <c r="R280" s="7"/>
      <c r="S280" s="141" t="s">
        <v>949</v>
      </c>
      <c r="T280" s="7"/>
    </row>
    <row r="281" spans="1:20" hidden="1">
      <c r="A281" s="38">
        <v>250418220104</v>
      </c>
      <c r="B281" s="147" t="s">
        <v>867</v>
      </c>
      <c r="C281" s="3" t="s">
        <v>888</v>
      </c>
      <c r="D281" s="3" t="s">
        <v>1514</v>
      </c>
      <c r="E281" s="2" t="s">
        <v>1822</v>
      </c>
      <c r="F281" s="2" t="s">
        <v>1135</v>
      </c>
      <c r="G281" s="148"/>
      <c r="H281" s="148"/>
      <c r="J281" s="10" t="s">
        <v>1823</v>
      </c>
      <c r="K281" s="14"/>
      <c r="L281" s="13"/>
      <c r="M281" s="7"/>
      <c r="N281" s="7"/>
      <c r="O281" s="7"/>
      <c r="P281" s="7"/>
      <c r="Q281" s="7"/>
      <c r="R281" s="7" t="s">
        <v>1824</v>
      </c>
      <c r="S281" s="141" t="s">
        <v>949</v>
      </c>
      <c r="T281" s="7" t="s">
        <v>1145</v>
      </c>
    </row>
    <row r="282" spans="1:20" hidden="1">
      <c r="A282" s="38">
        <v>250418220105</v>
      </c>
      <c r="B282" s="147" t="s">
        <v>867</v>
      </c>
      <c r="C282" s="3" t="s">
        <v>888</v>
      </c>
      <c r="D282" s="3" t="s">
        <v>1514</v>
      </c>
      <c r="E282" s="2" t="s">
        <v>1825</v>
      </c>
      <c r="F282" s="2" t="s">
        <v>1135</v>
      </c>
      <c r="G282" s="148"/>
      <c r="H282" s="148"/>
      <c r="J282" s="10" t="s">
        <v>1826</v>
      </c>
      <c r="K282" s="14"/>
      <c r="L282" s="13"/>
      <c r="M282" s="7"/>
      <c r="N282" s="7"/>
      <c r="O282" s="7"/>
      <c r="P282" s="7"/>
      <c r="Q282" s="7"/>
      <c r="R282" s="7" t="s">
        <v>1827</v>
      </c>
      <c r="S282" s="141" t="s">
        <v>949</v>
      </c>
      <c r="T282" s="7" t="s">
        <v>1145</v>
      </c>
    </row>
    <row r="283" spans="1:20" ht="13.35" hidden="1" customHeight="1">
      <c r="A283" s="38">
        <v>250418220106</v>
      </c>
      <c r="B283" s="147" t="s">
        <v>867</v>
      </c>
      <c r="C283" s="3" t="s">
        <v>888</v>
      </c>
      <c r="D283" s="3" t="s">
        <v>1514</v>
      </c>
      <c r="E283" s="2" t="s">
        <v>1828</v>
      </c>
      <c r="F283" s="2" t="s">
        <v>1135</v>
      </c>
      <c r="G283" s="148"/>
      <c r="H283" s="148"/>
      <c r="J283" s="10" t="s">
        <v>1829</v>
      </c>
      <c r="K283" s="14"/>
      <c r="L283" s="13"/>
      <c r="M283" s="7"/>
      <c r="N283" s="7"/>
      <c r="O283" s="7"/>
      <c r="P283" s="7"/>
      <c r="Q283" s="7"/>
      <c r="R283" s="7" t="s">
        <v>1830</v>
      </c>
      <c r="S283" s="141" t="s">
        <v>949</v>
      </c>
      <c r="T283" s="7" t="s">
        <v>1145</v>
      </c>
    </row>
    <row r="284" spans="1:20" hidden="1">
      <c r="A284" s="38">
        <v>250418220102</v>
      </c>
      <c r="B284" s="147" t="s">
        <v>867</v>
      </c>
      <c r="C284" s="3" t="s">
        <v>888</v>
      </c>
      <c r="D284" s="3" t="s">
        <v>1514</v>
      </c>
      <c r="E284" s="2" t="s">
        <v>1831</v>
      </c>
      <c r="F284" s="2" t="s">
        <v>1832</v>
      </c>
      <c r="G284" s="148"/>
      <c r="H284" s="148"/>
      <c r="J284" s="10" t="s">
        <v>1833</v>
      </c>
      <c r="K284" s="14"/>
      <c r="L284" s="13"/>
      <c r="M284" s="7"/>
      <c r="N284" s="7"/>
      <c r="O284" s="7"/>
      <c r="P284" s="7"/>
      <c r="Q284" s="7"/>
      <c r="R284" s="7"/>
      <c r="S284" s="141" t="s">
        <v>949</v>
      </c>
      <c r="T284" s="7" t="s">
        <v>1834</v>
      </c>
    </row>
    <row r="285" spans="1:20" ht="13.5" hidden="1" customHeight="1">
      <c r="A285" s="38">
        <v>250422120100</v>
      </c>
      <c r="B285" s="147" t="s">
        <v>867</v>
      </c>
      <c r="C285" s="3" t="s">
        <v>888</v>
      </c>
      <c r="D285" s="3" t="s">
        <v>1514</v>
      </c>
      <c r="E285" s="2" t="s">
        <v>1835</v>
      </c>
      <c r="F285" s="2" t="s">
        <v>1836</v>
      </c>
      <c r="G285" s="148"/>
      <c r="H285" s="148"/>
      <c r="J285" s="1" t="s">
        <v>1837</v>
      </c>
      <c r="K285" s="14"/>
      <c r="L285" s="13"/>
      <c r="M285" s="7"/>
      <c r="N285" s="7" t="s">
        <v>1838</v>
      </c>
      <c r="O285" s="7"/>
      <c r="P285" s="7"/>
      <c r="Q285" s="7"/>
      <c r="R285" s="7"/>
      <c r="S285" s="141"/>
      <c r="T285" s="7"/>
    </row>
    <row r="286" spans="1:20" ht="15.6" hidden="1" customHeight="1">
      <c r="A286" s="38">
        <v>250422120101</v>
      </c>
      <c r="B286" s="147" t="s">
        <v>867</v>
      </c>
      <c r="C286" s="3" t="s">
        <v>888</v>
      </c>
      <c r="D286" s="3" t="s">
        <v>1514</v>
      </c>
      <c r="E286" s="2" t="s">
        <v>1839</v>
      </c>
      <c r="F286" s="2" t="s">
        <v>1836</v>
      </c>
      <c r="G286" s="148"/>
      <c r="H286" s="148"/>
      <c r="J286" s="1" t="s">
        <v>1840</v>
      </c>
      <c r="K286" s="14"/>
      <c r="L286" s="13"/>
      <c r="M286" s="7"/>
      <c r="N286" s="7" t="s">
        <v>1841</v>
      </c>
      <c r="O286" s="7"/>
      <c r="P286" s="7"/>
      <c r="Q286" s="7"/>
      <c r="R286" s="7"/>
      <c r="S286" s="141"/>
      <c r="T286" s="7"/>
    </row>
    <row r="287" spans="1:20" ht="15.6" hidden="1" customHeight="1">
      <c r="A287" s="38">
        <v>250422120102</v>
      </c>
      <c r="B287" s="147" t="s">
        <v>867</v>
      </c>
      <c r="C287" s="3" t="s">
        <v>888</v>
      </c>
      <c r="D287" s="3" t="s">
        <v>1514</v>
      </c>
      <c r="E287" s="2" t="s">
        <v>1842</v>
      </c>
      <c r="F287" s="2" t="s">
        <v>1836</v>
      </c>
      <c r="G287" s="148"/>
      <c r="H287" s="148"/>
      <c r="J287" s="1" t="s">
        <v>1843</v>
      </c>
      <c r="K287" s="14"/>
      <c r="L287" s="13"/>
      <c r="M287" s="7"/>
      <c r="N287" s="7" t="s">
        <v>1844</v>
      </c>
      <c r="O287" s="7"/>
      <c r="P287" s="7"/>
      <c r="Q287" s="7"/>
      <c r="R287" s="7"/>
      <c r="S287" s="141"/>
      <c r="T287" s="7"/>
    </row>
    <row r="288" spans="1:20" ht="15" hidden="1" customHeight="1">
      <c r="A288" s="38">
        <v>250317120001</v>
      </c>
      <c r="B288" s="147" t="s">
        <v>867</v>
      </c>
      <c r="C288" s="3" t="s">
        <v>888</v>
      </c>
      <c r="D288" s="3" t="s">
        <v>1514</v>
      </c>
      <c r="E288" s="2" t="s">
        <v>1845</v>
      </c>
      <c r="F288" s="2" t="s">
        <v>1846</v>
      </c>
      <c r="G288" s="148"/>
      <c r="H288" s="148"/>
      <c r="J288" s="11" t="s">
        <v>1847</v>
      </c>
      <c r="K288" s="100" t="s">
        <v>1848</v>
      </c>
      <c r="L288" s="13"/>
      <c r="M288" s="7"/>
      <c r="N288" s="7"/>
      <c r="O288" s="7"/>
      <c r="P288" s="7"/>
      <c r="Q288" s="7"/>
      <c r="R288" s="7"/>
      <c r="S288" s="141"/>
      <c r="T288" s="7"/>
    </row>
    <row r="289" spans="1:20" ht="124.15" hidden="1">
      <c r="A289" s="38">
        <v>250317120002</v>
      </c>
      <c r="B289" s="147" t="s">
        <v>867</v>
      </c>
      <c r="C289" s="3" t="s">
        <v>888</v>
      </c>
      <c r="D289" s="3" t="s">
        <v>1514</v>
      </c>
      <c r="E289" s="2" t="s">
        <v>1849</v>
      </c>
      <c r="F289" s="2" t="s">
        <v>1850</v>
      </c>
      <c r="G289" s="148"/>
      <c r="H289" s="148"/>
      <c r="J289" s="11" t="s">
        <v>1851</v>
      </c>
      <c r="K289" s="100" t="s">
        <v>1852</v>
      </c>
      <c r="L289" s="13"/>
      <c r="M289" s="7"/>
      <c r="N289" s="7"/>
      <c r="O289" s="7"/>
      <c r="P289" s="7"/>
      <c r="Q289" s="7"/>
      <c r="R289" s="7"/>
      <c r="S289" s="141"/>
      <c r="T289" s="7"/>
    </row>
    <row r="290" spans="1:20" hidden="1">
      <c r="A290" s="38">
        <v>241112000059</v>
      </c>
      <c r="B290" s="147" t="s">
        <v>867</v>
      </c>
      <c r="C290" s="3" t="s">
        <v>888</v>
      </c>
      <c r="D290" s="3" t="s">
        <v>1514</v>
      </c>
      <c r="E290" s="2" t="s">
        <v>1853</v>
      </c>
      <c r="F290" s="2" t="s">
        <v>1854</v>
      </c>
      <c r="G290" s="148"/>
      <c r="H290" s="148"/>
      <c r="J290" s="1" t="s">
        <v>1855</v>
      </c>
      <c r="K290" s="10" t="s">
        <v>1856</v>
      </c>
      <c r="L290" s="13" t="s">
        <v>1857</v>
      </c>
      <c r="M290" s="7" t="s">
        <v>1858</v>
      </c>
      <c r="N290" s="7"/>
      <c r="O290" s="7" t="s">
        <v>1859</v>
      </c>
      <c r="P290" s="7"/>
      <c r="Q290" s="7"/>
      <c r="R290" s="7"/>
      <c r="S290" s="141"/>
      <c r="T290" s="7"/>
    </row>
    <row r="291" spans="1:20" hidden="1">
      <c r="A291" s="38">
        <v>250422122401</v>
      </c>
      <c r="B291" s="147" t="s">
        <v>867</v>
      </c>
      <c r="C291" s="3" t="s">
        <v>888</v>
      </c>
      <c r="D291" s="3" t="s">
        <v>1514</v>
      </c>
      <c r="E291" s="2" t="s">
        <v>1860</v>
      </c>
      <c r="F291" s="2" t="s">
        <v>1861</v>
      </c>
      <c r="G291" s="148"/>
      <c r="H291" s="148"/>
      <c r="J291" s="1" t="s">
        <v>1862</v>
      </c>
      <c r="K291" s="14"/>
      <c r="L291" s="13"/>
      <c r="M291" s="7"/>
      <c r="N291" s="7" t="s">
        <v>1863</v>
      </c>
      <c r="O291" s="7"/>
      <c r="P291" s="7"/>
      <c r="Q291" s="7"/>
      <c r="R291" s="7"/>
      <c r="S291" s="141"/>
      <c r="T291" s="7"/>
    </row>
    <row r="292" spans="1:20" hidden="1">
      <c r="A292" s="38">
        <v>241112000007</v>
      </c>
      <c r="B292" s="147" t="s">
        <v>867</v>
      </c>
      <c r="C292" s="3" t="s">
        <v>888</v>
      </c>
      <c r="D292" s="3" t="s">
        <v>1514</v>
      </c>
      <c r="E292" s="2" t="s">
        <v>1864</v>
      </c>
      <c r="F292" s="2" t="s">
        <v>1751</v>
      </c>
      <c r="G292" s="148"/>
      <c r="H292" s="148"/>
      <c r="J292" s="1" t="s">
        <v>1865</v>
      </c>
      <c r="K292" s="14"/>
      <c r="L292" s="13" t="s">
        <v>1866</v>
      </c>
      <c r="M292" s="7" t="s">
        <v>1867</v>
      </c>
      <c r="N292" s="7" t="s">
        <v>1868</v>
      </c>
      <c r="O292" s="7"/>
      <c r="P292" s="7"/>
      <c r="Q292" s="7"/>
      <c r="R292" s="7"/>
      <c r="S292" s="141"/>
      <c r="T292" s="7"/>
    </row>
    <row r="293" spans="1:20" hidden="1">
      <c r="A293" s="38">
        <v>241112000060</v>
      </c>
      <c r="B293" s="147" t="s">
        <v>867</v>
      </c>
      <c r="C293" s="3" t="s">
        <v>888</v>
      </c>
      <c r="D293" s="3" t="s">
        <v>1514</v>
      </c>
      <c r="E293" s="2" t="s">
        <v>1869</v>
      </c>
      <c r="F293" s="2" t="s">
        <v>1870</v>
      </c>
      <c r="G293" s="148"/>
      <c r="H293" s="148"/>
      <c r="J293" s="1" t="s">
        <v>1871</v>
      </c>
      <c r="K293" s="10"/>
      <c r="L293" s="13" t="s">
        <v>1872</v>
      </c>
      <c r="M293" s="7" t="s">
        <v>1873</v>
      </c>
      <c r="N293" s="7"/>
      <c r="O293" s="7"/>
      <c r="P293" s="7"/>
      <c r="Q293" s="7"/>
      <c r="R293" s="7"/>
      <c r="S293" s="141"/>
      <c r="T293" s="7"/>
    </row>
    <row r="294" spans="1:20" hidden="1">
      <c r="A294" s="38">
        <v>241112000061</v>
      </c>
      <c r="B294" s="147" t="s">
        <v>867</v>
      </c>
      <c r="C294" s="3" t="s">
        <v>888</v>
      </c>
      <c r="D294" s="3" t="s">
        <v>1514</v>
      </c>
      <c r="E294" s="2" t="s">
        <v>1874</v>
      </c>
      <c r="F294" s="2" t="s">
        <v>1875</v>
      </c>
      <c r="G294" s="148"/>
      <c r="H294" s="148"/>
      <c r="J294" s="1" t="s">
        <v>1876</v>
      </c>
      <c r="K294" s="10"/>
      <c r="L294" s="13" t="s">
        <v>1877</v>
      </c>
      <c r="M294" s="7" t="s">
        <v>1878</v>
      </c>
      <c r="N294" s="7"/>
      <c r="O294" s="7"/>
      <c r="P294" s="7"/>
      <c r="Q294" s="7"/>
      <c r="R294" s="7"/>
      <c r="S294" s="141"/>
      <c r="T294" s="7"/>
    </row>
    <row r="295" spans="1:20" hidden="1">
      <c r="A295" s="38">
        <v>250214094420</v>
      </c>
      <c r="B295" s="147" t="s">
        <v>867</v>
      </c>
      <c r="C295" s="76" t="s">
        <v>888</v>
      </c>
      <c r="D295" s="3" t="s">
        <v>1514</v>
      </c>
      <c r="E295" t="s">
        <v>1879</v>
      </c>
      <c r="F295" s="2" t="s">
        <v>1880</v>
      </c>
      <c r="G295" s="148"/>
      <c r="H295" s="148"/>
      <c r="J295" s="1" t="s">
        <v>1881</v>
      </c>
      <c r="K295" s="10"/>
      <c r="L295" s="13" t="s">
        <v>1882</v>
      </c>
      <c r="M295" s="7"/>
      <c r="N295" s="7"/>
      <c r="O295" s="7"/>
      <c r="P295" s="7"/>
      <c r="Q295" s="7"/>
      <c r="R295" s="7"/>
      <c r="S295" s="141"/>
      <c r="T295" s="7"/>
    </row>
    <row r="296" spans="1:20" ht="15" hidden="1" customHeight="1">
      <c r="A296" s="38">
        <v>241112000062</v>
      </c>
      <c r="B296" s="147" t="s">
        <v>867</v>
      </c>
      <c r="C296" s="3" t="s">
        <v>888</v>
      </c>
      <c r="D296" s="3" t="s">
        <v>1883</v>
      </c>
      <c r="E296" s="2" t="s">
        <v>1884</v>
      </c>
      <c r="F296" s="2" t="s">
        <v>932</v>
      </c>
      <c r="G296" s="148"/>
      <c r="H296" s="148"/>
      <c r="J296" s="1" t="s">
        <v>1885</v>
      </c>
      <c r="K296" s="10"/>
      <c r="L296" s="13" t="s">
        <v>1886</v>
      </c>
      <c r="M296" s="7" t="s">
        <v>1887</v>
      </c>
      <c r="N296" s="7"/>
      <c r="O296" s="7"/>
      <c r="P296" s="7"/>
      <c r="Q296" s="7"/>
      <c r="R296" s="7"/>
      <c r="S296" s="141"/>
      <c r="T296" s="7"/>
    </row>
    <row r="297" spans="1:20" hidden="1">
      <c r="A297" s="38">
        <v>250331150900</v>
      </c>
      <c r="B297" s="147" t="s">
        <v>867</v>
      </c>
      <c r="C297" s="3" t="s">
        <v>888</v>
      </c>
      <c r="D297" s="3" t="s">
        <v>1883</v>
      </c>
      <c r="E297" s="2" t="s">
        <v>1888</v>
      </c>
      <c r="F297" s="2" t="s">
        <v>1889</v>
      </c>
      <c r="G297" s="148"/>
      <c r="H297" s="148"/>
      <c r="J297" s="10" t="s">
        <v>1890</v>
      </c>
      <c r="K297" s="14"/>
      <c r="L297" s="13"/>
      <c r="M297" s="7"/>
      <c r="N297" s="7" t="s">
        <v>1891</v>
      </c>
      <c r="O297" s="7"/>
      <c r="P297" s="7"/>
      <c r="Q297" s="7"/>
      <c r="R297" s="7"/>
      <c r="S297" s="141"/>
      <c r="T297" s="7"/>
    </row>
    <row r="298" spans="1:20" ht="17.850000000000001" hidden="1" customHeight="1">
      <c r="A298" s="38">
        <v>241112000063</v>
      </c>
      <c r="B298" s="147" t="s">
        <v>867</v>
      </c>
      <c r="C298" s="3" t="s">
        <v>888</v>
      </c>
      <c r="D298" s="3" t="s">
        <v>1883</v>
      </c>
      <c r="E298" s="2" t="s">
        <v>1582</v>
      </c>
      <c r="F298" s="2" t="s">
        <v>1135</v>
      </c>
      <c r="G298" s="148"/>
      <c r="H298" s="148"/>
      <c r="J298" s="1" t="s">
        <v>1584</v>
      </c>
      <c r="K298" s="10" t="s">
        <v>1892</v>
      </c>
      <c r="L298" s="13" t="s">
        <v>1893</v>
      </c>
      <c r="M298" s="7" t="s">
        <v>1894</v>
      </c>
      <c r="N298" s="7"/>
      <c r="O298" s="7"/>
      <c r="P298" s="7"/>
      <c r="Q298" s="7"/>
      <c r="R298" s="7"/>
      <c r="S298" s="141"/>
      <c r="T298" s="7"/>
    </row>
    <row r="299" spans="1:20" hidden="1">
      <c r="A299" s="38">
        <v>241112000064</v>
      </c>
      <c r="B299" s="147" t="s">
        <v>867</v>
      </c>
      <c r="C299" s="3" t="s">
        <v>888</v>
      </c>
      <c r="D299" s="3" t="s">
        <v>1883</v>
      </c>
      <c r="E299" s="2" t="s">
        <v>1895</v>
      </c>
      <c r="F299" s="2" t="s">
        <v>1338</v>
      </c>
      <c r="G299" s="148"/>
      <c r="H299" s="148"/>
      <c r="J299" s="1" t="s">
        <v>1896</v>
      </c>
      <c r="K299" s="10" t="s">
        <v>1892</v>
      </c>
      <c r="L299" s="13" t="s">
        <v>1897</v>
      </c>
      <c r="M299" s="7" t="s">
        <v>1898</v>
      </c>
      <c r="N299" s="7"/>
      <c r="O299" s="7"/>
      <c r="P299" s="7"/>
      <c r="Q299" s="7"/>
      <c r="R299" s="7"/>
      <c r="S299" s="141"/>
      <c r="T299" s="7"/>
    </row>
    <row r="300" spans="1:20" ht="16.350000000000001" hidden="1" customHeight="1">
      <c r="A300" s="38">
        <v>241112000065</v>
      </c>
      <c r="B300" s="147" t="s">
        <v>867</v>
      </c>
      <c r="C300" s="3" t="s">
        <v>888</v>
      </c>
      <c r="D300" s="3" t="s">
        <v>1883</v>
      </c>
      <c r="E300" s="2" t="s">
        <v>1899</v>
      </c>
      <c r="F300" s="2" t="s">
        <v>1900</v>
      </c>
      <c r="G300" s="148"/>
      <c r="H300" s="148"/>
      <c r="J300" s="1" t="s">
        <v>1901</v>
      </c>
      <c r="K300" s="10"/>
      <c r="L300" s="13" t="s">
        <v>1902</v>
      </c>
      <c r="M300" s="7"/>
      <c r="N300" s="7"/>
      <c r="O300" s="7"/>
      <c r="P300" s="7"/>
      <c r="Q300" s="7"/>
      <c r="R300" s="7"/>
      <c r="S300" s="141"/>
      <c r="T300" s="7"/>
    </row>
    <row r="301" spans="1:20" ht="15.6" hidden="1" customHeight="1">
      <c r="A301" s="38">
        <v>241112000067</v>
      </c>
      <c r="B301" s="147" t="s">
        <v>867</v>
      </c>
      <c r="C301" s="3" t="s">
        <v>888</v>
      </c>
      <c r="D301" s="3" t="s">
        <v>1883</v>
      </c>
      <c r="E301" s="2" t="s">
        <v>1903</v>
      </c>
      <c r="F301" s="2" t="s">
        <v>899</v>
      </c>
      <c r="G301" s="148"/>
      <c r="H301" s="148"/>
      <c r="J301" s="1" t="s">
        <v>1904</v>
      </c>
      <c r="K301" s="10"/>
      <c r="L301" s="13" t="s">
        <v>1905</v>
      </c>
      <c r="M301" s="7" t="s">
        <v>1906</v>
      </c>
      <c r="N301" s="7"/>
      <c r="O301" s="7"/>
      <c r="P301" s="7"/>
      <c r="Q301" s="7"/>
      <c r="R301" s="7"/>
      <c r="S301" s="141"/>
      <c r="T301" s="7"/>
    </row>
    <row r="302" spans="1:20" hidden="1">
      <c r="A302" s="38">
        <v>241112000068</v>
      </c>
      <c r="B302" s="147" t="s">
        <v>867</v>
      </c>
      <c r="C302" s="3" t="s">
        <v>888</v>
      </c>
      <c r="D302" s="3" t="s">
        <v>1907</v>
      </c>
      <c r="E302" s="2" t="s">
        <v>1908</v>
      </c>
      <c r="F302" s="2" t="s">
        <v>899</v>
      </c>
      <c r="G302" s="148"/>
      <c r="H302" s="148"/>
      <c r="J302" s="1" t="s">
        <v>1909</v>
      </c>
      <c r="K302" s="10" t="s">
        <v>1892</v>
      </c>
      <c r="L302" s="13" t="s">
        <v>1910</v>
      </c>
      <c r="M302" s="7" t="s">
        <v>1911</v>
      </c>
      <c r="N302" s="7"/>
      <c r="O302" s="7"/>
      <c r="P302" s="7"/>
      <c r="Q302" s="7"/>
      <c r="R302" s="7"/>
      <c r="S302" s="141"/>
      <c r="T302" s="7"/>
    </row>
    <row r="303" spans="1:20" hidden="1">
      <c r="A303" s="38">
        <v>241112000069</v>
      </c>
      <c r="B303" s="147" t="s">
        <v>867</v>
      </c>
      <c r="C303" s="3" t="s">
        <v>888</v>
      </c>
      <c r="D303" s="3" t="s">
        <v>1907</v>
      </c>
      <c r="E303" s="2" t="s">
        <v>1912</v>
      </c>
      <c r="F303" s="2" t="s">
        <v>1913</v>
      </c>
      <c r="G303" s="148"/>
      <c r="H303" s="148"/>
      <c r="J303" s="1" t="s">
        <v>1914</v>
      </c>
      <c r="K303" s="10"/>
      <c r="L303" s="13" t="s">
        <v>1915</v>
      </c>
      <c r="M303" s="7" t="s">
        <v>1916</v>
      </c>
      <c r="N303" s="7"/>
      <c r="O303" s="7"/>
      <c r="P303" s="7"/>
      <c r="Q303" s="7"/>
      <c r="R303" s="7"/>
      <c r="S303" s="141"/>
      <c r="T303" s="7"/>
    </row>
    <row r="304" spans="1:20" hidden="1">
      <c r="A304" s="38">
        <v>250415120500</v>
      </c>
      <c r="B304" s="147" t="s">
        <v>867</v>
      </c>
      <c r="C304" s="3" t="s">
        <v>1917</v>
      </c>
      <c r="D304" s="3" t="s">
        <v>1918</v>
      </c>
      <c r="E304" s="2" t="s">
        <v>1919</v>
      </c>
      <c r="F304" s="2" t="s">
        <v>1920</v>
      </c>
      <c r="G304" s="148"/>
      <c r="H304" s="148"/>
      <c r="J304" s="10" t="s">
        <v>1921</v>
      </c>
      <c r="K304" s="14"/>
      <c r="L304" s="13"/>
      <c r="M304" s="7"/>
      <c r="N304" s="7"/>
      <c r="O304" s="7"/>
      <c r="P304" s="7"/>
      <c r="Q304" s="7"/>
      <c r="R304" s="7"/>
      <c r="S304" s="141"/>
      <c r="T304" s="7"/>
    </row>
    <row r="305" spans="1:20" hidden="1">
      <c r="A305" s="38">
        <v>241112000071</v>
      </c>
      <c r="B305" s="147" t="s">
        <v>867</v>
      </c>
      <c r="C305" s="3" t="s">
        <v>1917</v>
      </c>
      <c r="D305" s="3" t="s">
        <v>1918</v>
      </c>
      <c r="E305" s="2" t="s">
        <v>1922</v>
      </c>
      <c r="F305" s="2" t="s">
        <v>1923</v>
      </c>
      <c r="G305" s="148"/>
      <c r="H305" s="148"/>
      <c r="J305" s="1" t="s">
        <v>1924</v>
      </c>
      <c r="K305" s="10"/>
      <c r="L305" s="13" t="s">
        <v>1925</v>
      </c>
      <c r="M305" s="7" t="s">
        <v>1926</v>
      </c>
      <c r="N305" s="7"/>
      <c r="O305" s="7"/>
      <c r="P305" s="7"/>
      <c r="Q305" s="7"/>
      <c r="R305" s="7"/>
      <c r="S305" s="141"/>
      <c r="T305" s="7"/>
    </row>
    <row r="306" spans="1:20" hidden="1">
      <c r="A306" s="38">
        <v>241112000072</v>
      </c>
      <c r="B306" s="147" t="s">
        <v>867</v>
      </c>
      <c r="C306" s="3" t="s">
        <v>1917</v>
      </c>
      <c r="D306" s="3" t="s">
        <v>1918</v>
      </c>
      <c r="E306" s="2" t="s">
        <v>1927</v>
      </c>
      <c r="F306" s="2" t="s">
        <v>1622</v>
      </c>
      <c r="G306" s="148"/>
      <c r="H306" s="148"/>
      <c r="J306" s="1" t="s">
        <v>1928</v>
      </c>
      <c r="K306" s="10"/>
      <c r="L306" s="13" t="s">
        <v>1929</v>
      </c>
      <c r="M306" s="7"/>
      <c r="N306" s="7"/>
      <c r="O306" s="7"/>
      <c r="P306" s="7"/>
      <c r="Q306" s="7"/>
      <c r="R306" s="7"/>
      <c r="S306" s="141"/>
      <c r="T306" s="7"/>
    </row>
    <row r="307" spans="1:20" hidden="1">
      <c r="A307" s="38">
        <v>250408142403</v>
      </c>
      <c r="B307" s="147" t="s">
        <v>867</v>
      </c>
      <c r="C307" s="3" t="s">
        <v>1917</v>
      </c>
      <c r="D307" s="3" t="s">
        <v>1918</v>
      </c>
      <c r="E307" s="2" t="s">
        <v>1930</v>
      </c>
      <c r="F307" s="2" t="s">
        <v>1029</v>
      </c>
      <c r="G307" s="148"/>
      <c r="H307" s="148"/>
      <c r="J307" s="10" t="s">
        <v>1931</v>
      </c>
      <c r="K307" s="14"/>
      <c r="L307" s="13" t="s">
        <v>1932</v>
      </c>
      <c r="M307" s="7"/>
      <c r="N307" s="7"/>
      <c r="O307" s="7" t="s">
        <v>1933</v>
      </c>
      <c r="P307" s="7"/>
      <c r="Q307" s="7"/>
      <c r="R307" s="7"/>
      <c r="S307" s="141"/>
      <c r="T307" s="7"/>
    </row>
    <row r="308" spans="1:20" hidden="1">
      <c r="A308" s="38">
        <v>250317120003</v>
      </c>
      <c r="B308" s="147" t="s">
        <v>867</v>
      </c>
      <c r="C308" s="3" t="s">
        <v>1917</v>
      </c>
      <c r="D308" s="3" t="s">
        <v>1918</v>
      </c>
      <c r="E308" s="2" t="s">
        <v>1934</v>
      </c>
      <c r="F308" s="2" t="s">
        <v>1622</v>
      </c>
      <c r="G308" s="148"/>
      <c r="H308" s="148"/>
      <c r="J308" s="11" t="s">
        <v>1935</v>
      </c>
      <c r="K308" s="100"/>
      <c r="L308" s="13"/>
      <c r="M308" s="7"/>
      <c r="N308" s="7"/>
      <c r="O308" s="7"/>
      <c r="P308" s="7"/>
      <c r="Q308" s="7"/>
      <c r="R308" s="7"/>
      <c r="S308" s="141"/>
      <c r="T308" s="7"/>
    </row>
    <row r="309" spans="1:20" hidden="1">
      <c r="A309" s="38">
        <v>250401135100</v>
      </c>
      <c r="B309" s="147" t="s">
        <v>867</v>
      </c>
      <c r="C309" s="3" t="s">
        <v>1917</v>
      </c>
      <c r="D309" s="3" t="s">
        <v>1918</v>
      </c>
      <c r="E309" s="2" t="s">
        <v>1936</v>
      </c>
      <c r="F309" s="2" t="s">
        <v>879</v>
      </c>
      <c r="G309" s="148"/>
      <c r="H309" s="148"/>
      <c r="I309" s="10"/>
      <c r="J309" s="10" t="s">
        <v>1937</v>
      </c>
      <c r="K309" s="14"/>
      <c r="L309" s="13"/>
      <c r="M309" s="7"/>
      <c r="N309" s="7"/>
      <c r="O309" s="7"/>
      <c r="P309" s="7"/>
      <c r="Q309" s="7"/>
      <c r="R309" s="7"/>
      <c r="S309" s="141"/>
      <c r="T309" s="7"/>
    </row>
    <row r="310" spans="1:20" hidden="1">
      <c r="A310" s="38">
        <v>250418220108</v>
      </c>
      <c r="B310" s="147" t="s">
        <v>867</v>
      </c>
      <c r="C310" s="3" t="s">
        <v>1917</v>
      </c>
      <c r="D310" s="3" t="s">
        <v>1918</v>
      </c>
      <c r="E310" s="2" t="s">
        <v>1938</v>
      </c>
      <c r="F310" s="2" t="s">
        <v>1939</v>
      </c>
      <c r="G310" s="148"/>
      <c r="H310" s="148"/>
      <c r="J310" s="10" t="s">
        <v>1940</v>
      </c>
      <c r="K310" s="14"/>
      <c r="L310" s="13"/>
      <c r="M310" s="7"/>
      <c r="N310" s="7"/>
      <c r="O310" s="7"/>
      <c r="P310" s="7"/>
      <c r="Q310" s="7"/>
      <c r="R310" s="7" t="s">
        <v>1941</v>
      </c>
      <c r="S310" s="141" t="s">
        <v>949</v>
      </c>
      <c r="T310" s="7" t="s">
        <v>1145</v>
      </c>
    </row>
    <row r="311" spans="1:20" hidden="1">
      <c r="A311" s="38">
        <v>250418220112</v>
      </c>
      <c r="B311" s="147" t="s">
        <v>867</v>
      </c>
      <c r="C311" s="3" t="s">
        <v>1917</v>
      </c>
      <c r="D311" s="3" t="s">
        <v>1918</v>
      </c>
      <c r="E311" s="2" t="s">
        <v>1942</v>
      </c>
      <c r="F311" s="2" t="s">
        <v>1789</v>
      </c>
      <c r="G311" s="148"/>
      <c r="H311" s="148"/>
      <c r="J311" s="10" t="s">
        <v>1943</v>
      </c>
      <c r="K311" s="14"/>
      <c r="L311" s="13"/>
      <c r="M311" s="7"/>
      <c r="N311" s="7"/>
      <c r="O311" s="7"/>
      <c r="P311" s="7"/>
      <c r="Q311" s="7"/>
      <c r="R311" s="7" t="s">
        <v>1944</v>
      </c>
      <c r="S311" s="141" t="s">
        <v>949</v>
      </c>
      <c r="T311" s="7" t="s">
        <v>1945</v>
      </c>
    </row>
    <row r="312" spans="1:20" ht="17.850000000000001" hidden="1" customHeight="1">
      <c r="A312" s="38">
        <v>250418220110</v>
      </c>
      <c r="B312" s="147" t="s">
        <v>867</v>
      </c>
      <c r="C312" s="3" t="s">
        <v>1917</v>
      </c>
      <c r="D312" s="3" t="s">
        <v>1918</v>
      </c>
      <c r="E312" s="2" t="s">
        <v>1946</v>
      </c>
      <c r="F312" s="2" t="s">
        <v>1947</v>
      </c>
      <c r="G312" s="148"/>
      <c r="H312" s="148"/>
      <c r="J312" s="10" t="s">
        <v>1948</v>
      </c>
      <c r="K312" s="14"/>
      <c r="L312" s="13"/>
      <c r="M312" s="7"/>
      <c r="N312" s="7"/>
      <c r="O312" s="7"/>
      <c r="P312" s="7"/>
      <c r="Q312" s="7"/>
      <c r="R312" s="7" t="s">
        <v>1949</v>
      </c>
      <c r="S312" s="141" t="s">
        <v>949</v>
      </c>
      <c r="T312" s="7" t="s">
        <v>1945</v>
      </c>
    </row>
    <row r="313" spans="1:20" hidden="1">
      <c r="A313" s="38">
        <v>250418220111</v>
      </c>
      <c r="B313" s="147" t="s">
        <v>867</v>
      </c>
      <c r="C313" s="3" t="s">
        <v>1917</v>
      </c>
      <c r="D313" s="3" t="s">
        <v>1918</v>
      </c>
      <c r="E313" s="2" t="s">
        <v>1950</v>
      </c>
      <c r="F313" s="2" t="s">
        <v>1947</v>
      </c>
      <c r="G313" s="148"/>
      <c r="H313" s="148"/>
      <c r="J313" s="10" t="s">
        <v>1951</v>
      </c>
      <c r="K313" s="14"/>
      <c r="L313" s="13"/>
      <c r="M313" s="7"/>
      <c r="N313" s="7"/>
      <c r="O313" s="7"/>
      <c r="P313" s="7"/>
      <c r="Q313" s="7"/>
      <c r="R313" s="7" t="s">
        <v>1952</v>
      </c>
      <c r="S313" s="141" t="s">
        <v>949</v>
      </c>
      <c r="T313" s="7" t="s">
        <v>1945</v>
      </c>
    </row>
    <row r="314" spans="1:20" ht="16.350000000000001" hidden="1" customHeight="1">
      <c r="A314" s="38">
        <v>250418220109</v>
      </c>
      <c r="B314" s="147" t="s">
        <v>867</v>
      </c>
      <c r="C314" s="3" t="s">
        <v>1917</v>
      </c>
      <c r="D314" s="3" t="s">
        <v>1918</v>
      </c>
      <c r="E314" s="2" t="s">
        <v>1953</v>
      </c>
      <c r="F314" s="2" t="s">
        <v>1954</v>
      </c>
      <c r="G314" s="148"/>
      <c r="H314" s="148"/>
      <c r="J314" s="10" t="s">
        <v>1955</v>
      </c>
      <c r="K314" s="14"/>
      <c r="L314" s="13"/>
      <c r="M314" s="7"/>
      <c r="N314" s="7"/>
      <c r="O314" s="7"/>
      <c r="P314" s="7"/>
      <c r="Q314" s="7"/>
      <c r="R314" s="7" t="s">
        <v>1956</v>
      </c>
      <c r="S314" s="141" t="s">
        <v>949</v>
      </c>
      <c r="T314" s="7" t="s">
        <v>1945</v>
      </c>
    </row>
    <row r="315" spans="1:20" ht="17.100000000000001" hidden="1" customHeight="1">
      <c r="A315" s="38">
        <v>250410114304</v>
      </c>
      <c r="B315" s="147" t="s">
        <v>867</v>
      </c>
      <c r="C315" s="3" t="s">
        <v>1917</v>
      </c>
      <c r="D315" s="3" t="s">
        <v>1957</v>
      </c>
      <c r="E315" s="2" t="s">
        <v>1958</v>
      </c>
      <c r="F315" s="2" t="s">
        <v>876</v>
      </c>
      <c r="G315" s="148"/>
      <c r="H315" s="148"/>
      <c r="J315" s="10" t="s">
        <v>1959</v>
      </c>
      <c r="K315" s="14"/>
      <c r="L315" s="13"/>
      <c r="M315" s="7"/>
      <c r="N315" s="7"/>
      <c r="O315" s="7"/>
      <c r="P315" s="7"/>
      <c r="Q315" s="7"/>
      <c r="R315" s="7"/>
      <c r="S315" s="141"/>
      <c r="T315" s="7"/>
    </row>
    <row r="316" spans="1:20" hidden="1">
      <c r="A316" s="38">
        <v>241112000074</v>
      </c>
      <c r="B316" s="147" t="s">
        <v>867</v>
      </c>
      <c r="C316" s="3" t="s">
        <v>1917</v>
      </c>
      <c r="D316" s="3" t="s">
        <v>1957</v>
      </c>
      <c r="E316" s="2" t="s">
        <v>1960</v>
      </c>
      <c r="F316" s="2" t="s">
        <v>1239</v>
      </c>
      <c r="G316" s="148"/>
      <c r="H316" s="148"/>
      <c r="J316" s="1" t="s">
        <v>1961</v>
      </c>
      <c r="K316" s="10"/>
      <c r="L316" s="13" t="s">
        <v>1962</v>
      </c>
      <c r="M316" s="7" t="s">
        <v>1963</v>
      </c>
      <c r="N316" s="7"/>
      <c r="O316" s="7"/>
      <c r="P316" s="7"/>
      <c r="Q316" s="7"/>
      <c r="R316" s="7"/>
      <c r="S316" s="141"/>
      <c r="T316" s="7"/>
    </row>
    <row r="317" spans="1:20" hidden="1">
      <c r="A317" s="38">
        <v>241112000075</v>
      </c>
      <c r="B317" s="147" t="s">
        <v>867</v>
      </c>
      <c r="C317" s="3" t="s">
        <v>1917</v>
      </c>
      <c r="D317" s="3" t="s">
        <v>1957</v>
      </c>
      <c r="E317" s="2" t="s">
        <v>1964</v>
      </c>
      <c r="F317" s="2" t="s">
        <v>1511</v>
      </c>
      <c r="G317" s="148"/>
      <c r="H317" s="148"/>
      <c r="J317" s="1" t="s">
        <v>1965</v>
      </c>
      <c r="K317" s="14"/>
      <c r="L317" s="13" t="s">
        <v>1966</v>
      </c>
      <c r="M317" s="7" t="s">
        <v>1967</v>
      </c>
      <c r="N317" s="7"/>
      <c r="O317" s="7"/>
      <c r="P317" s="7"/>
      <c r="Q317" s="7"/>
      <c r="R317" s="7"/>
      <c r="S317" s="141"/>
      <c r="T317" s="7"/>
    </row>
    <row r="318" spans="1:20" hidden="1">
      <c r="A318" s="38">
        <v>250414120600</v>
      </c>
      <c r="B318" s="147" t="s">
        <v>867</v>
      </c>
      <c r="C318" s="3" t="s">
        <v>1917</v>
      </c>
      <c r="D318" s="3" t="s">
        <v>1957</v>
      </c>
      <c r="E318" s="2" t="s">
        <v>1968</v>
      </c>
      <c r="F318" s="2" t="s">
        <v>951</v>
      </c>
      <c r="G318" s="148"/>
      <c r="H318" s="148"/>
      <c r="J318" s="10" t="s">
        <v>1969</v>
      </c>
      <c r="K318" s="14"/>
      <c r="L318" s="13"/>
      <c r="M318" s="7"/>
      <c r="N318" s="7" t="s">
        <v>1970</v>
      </c>
      <c r="O318" s="7"/>
      <c r="P318" s="7"/>
      <c r="Q318" s="7"/>
      <c r="R318" s="7"/>
      <c r="S318" s="141"/>
      <c r="T318" s="7"/>
    </row>
    <row r="319" spans="1:20" hidden="1">
      <c r="A319" s="38">
        <v>241112000077</v>
      </c>
      <c r="B319" s="147" t="s">
        <v>867</v>
      </c>
      <c r="C319" s="3" t="s">
        <v>1917</v>
      </c>
      <c r="D319" s="3" t="s">
        <v>1957</v>
      </c>
      <c r="E319" s="2" t="s">
        <v>1971</v>
      </c>
      <c r="F319" s="2" t="s">
        <v>1789</v>
      </c>
      <c r="G319" s="148"/>
      <c r="H319" s="148"/>
      <c r="J319" s="1" t="s">
        <v>1972</v>
      </c>
      <c r="K319" s="10"/>
      <c r="L319" s="13"/>
      <c r="M319" s="7"/>
      <c r="N319" s="7"/>
      <c r="O319" s="7"/>
      <c r="P319" s="7"/>
      <c r="Q319" s="7"/>
      <c r="R319" s="7"/>
      <c r="S319" s="141"/>
      <c r="T319" s="7"/>
    </row>
    <row r="320" spans="1:20" hidden="1">
      <c r="A320" s="38">
        <v>241112000078</v>
      </c>
      <c r="B320" s="147" t="s">
        <v>867</v>
      </c>
      <c r="C320" s="3" t="s">
        <v>1917</v>
      </c>
      <c r="D320" s="3" t="s">
        <v>1957</v>
      </c>
      <c r="E320" s="2" t="s">
        <v>1973</v>
      </c>
      <c r="F320" s="2" t="s">
        <v>1974</v>
      </c>
      <c r="G320" s="148"/>
      <c r="H320" s="148"/>
      <c r="J320" s="1" t="s">
        <v>1975</v>
      </c>
      <c r="K320" s="10"/>
      <c r="L320" s="13" t="s">
        <v>1976</v>
      </c>
      <c r="M320" s="7" t="s">
        <v>1977</v>
      </c>
      <c r="N320" s="7"/>
      <c r="O320" s="7"/>
      <c r="P320" s="7"/>
      <c r="Q320" s="7"/>
      <c r="R320" s="7"/>
      <c r="S320" s="141"/>
      <c r="T320" s="7"/>
    </row>
    <row r="321" spans="1:20" ht="15" hidden="1" customHeight="1">
      <c r="A321" s="38">
        <v>241112000079</v>
      </c>
      <c r="B321" s="147" t="s">
        <v>867</v>
      </c>
      <c r="C321" s="3" t="s">
        <v>1917</v>
      </c>
      <c r="D321" s="3" t="s">
        <v>1957</v>
      </c>
      <c r="E321" s="2" t="s">
        <v>1978</v>
      </c>
      <c r="F321" s="2" t="s">
        <v>1097</v>
      </c>
      <c r="G321" s="148"/>
      <c r="H321" s="148"/>
      <c r="J321" s="1" t="s">
        <v>1979</v>
      </c>
      <c r="K321" s="10"/>
      <c r="L321" s="12" t="s">
        <v>1980</v>
      </c>
      <c r="M321" s="7" t="s">
        <v>1981</v>
      </c>
      <c r="N321" s="7"/>
      <c r="O321" s="7" t="s">
        <v>1982</v>
      </c>
      <c r="P321" s="7"/>
      <c r="Q321" s="7"/>
      <c r="R321" s="7"/>
      <c r="S321" s="141"/>
      <c r="T321" s="7"/>
    </row>
    <row r="322" spans="1:20" ht="15" hidden="1" customHeight="1">
      <c r="A322" s="38">
        <v>241112000080</v>
      </c>
      <c r="B322" s="147" t="s">
        <v>867</v>
      </c>
      <c r="C322" s="3" t="s">
        <v>1917</v>
      </c>
      <c r="D322" s="3" t="s">
        <v>1957</v>
      </c>
      <c r="E322" s="135" t="s">
        <v>1983</v>
      </c>
      <c r="F322" s="2" t="s">
        <v>1984</v>
      </c>
      <c r="G322" s="148"/>
      <c r="H322" s="148"/>
      <c r="J322" s="1" t="s">
        <v>1985</v>
      </c>
      <c r="K322" s="10"/>
      <c r="L322" s="13" t="s">
        <v>1986</v>
      </c>
      <c r="M322" s="7" t="s">
        <v>1987</v>
      </c>
      <c r="N322" s="7" t="s">
        <v>1988</v>
      </c>
      <c r="O322" s="7"/>
      <c r="P322" s="7"/>
      <c r="Q322" s="7"/>
      <c r="R322" s="7"/>
      <c r="S322" s="141"/>
      <c r="T322" s="7"/>
    </row>
    <row r="323" spans="1:20" ht="15" hidden="1" customHeight="1">
      <c r="A323" s="38">
        <v>250410114309</v>
      </c>
      <c r="B323" s="147" t="s">
        <v>867</v>
      </c>
      <c r="C323" s="3" t="s">
        <v>1917</v>
      </c>
      <c r="D323" s="3" t="s">
        <v>1957</v>
      </c>
      <c r="E323" s="2" t="s">
        <v>1989</v>
      </c>
      <c r="F323" s="2" t="s">
        <v>1990</v>
      </c>
      <c r="G323" s="148"/>
      <c r="H323" s="148"/>
      <c r="J323" s="10" t="s">
        <v>1991</v>
      </c>
      <c r="K323" s="14"/>
      <c r="L323" s="13"/>
      <c r="M323" s="7"/>
      <c r="N323" s="7"/>
      <c r="O323" s="7"/>
      <c r="P323" s="7"/>
      <c r="Q323" s="7"/>
      <c r="R323" s="7"/>
      <c r="S323" s="141"/>
      <c r="T323" s="7"/>
    </row>
    <row r="324" spans="1:20" hidden="1">
      <c r="A324" s="38">
        <v>250410114310</v>
      </c>
      <c r="B324" s="147" t="s">
        <v>867</v>
      </c>
      <c r="C324" s="3" t="s">
        <v>1917</v>
      </c>
      <c r="D324" s="3" t="s">
        <v>1957</v>
      </c>
      <c r="E324" s="2" t="s">
        <v>1992</v>
      </c>
      <c r="F324" s="2" t="s">
        <v>1231</v>
      </c>
      <c r="G324" s="148"/>
      <c r="H324" s="148"/>
      <c r="J324" s="10" t="s">
        <v>1993</v>
      </c>
      <c r="K324" s="14"/>
      <c r="L324" s="13"/>
      <c r="M324" s="7"/>
      <c r="N324" s="7"/>
      <c r="O324" s="7"/>
      <c r="P324" s="7"/>
      <c r="Q324" s="7"/>
      <c r="R324" s="7"/>
      <c r="S324" s="141"/>
      <c r="T324" s="7"/>
    </row>
    <row r="325" spans="1:20" hidden="1">
      <c r="A325" s="38">
        <v>250214094350</v>
      </c>
      <c r="B325" s="147" t="s">
        <v>867</v>
      </c>
      <c r="C325" s="3" t="s">
        <v>1917</v>
      </c>
      <c r="D325" s="3" t="s">
        <v>1957</v>
      </c>
      <c r="E325" s="2" t="s">
        <v>1994</v>
      </c>
      <c r="F325" s="2" t="s">
        <v>1995</v>
      </c>
      <c r="G325" s="148"/>
      <c r="H325" s="148"/>
      <c r="J325" s="10" t="s">
        <v>1996</v>
      </c>
      <c r="K325" s="10"/>
      <c r="L325" s="13" t="s">
        <v>1997</v>
      </c>
      <c r="M325" s="7"/>
      <c r="N325" s="7"/>
      <c r="O325" s="7"/>
      <c r="P325" s="7"/>
      <c r="Q325" s="7"/>
      <c r="R325" s="7"/>
      <c r="S325" s="141"/>
      <c r="T325" s="7"/>
    </row>
    <row r="326" spans="1:20" hidden="1">
      <c r="A326" s="38">
        <v>241112000082</v>
      </c>
      <c r="B326" s="147" t="s">
        <v>867</v>
      </c>
      <c r="C326" s="3" t="s">
        <v>1917</v>
      </c>
      <c r="D326" s="3" t="s">
        <v>1957</v>
      </c>
      <c r="E326" s="2" t="s">
        <v>1998</v>
      </c>
      <c r="F326" s="2" t="s">
        <v>1999</v>
      </c>
      <c r="G326" s="148"/>
      <c r="H326" s="148"/>
      <c r="J326" s="1" t="s">
        <v>2000</v>
      </c>
      <c r="K326" s="10" t="s">
        <v>2001</v>
      </c>
      <c r="L326" s="13" t="s">
        <v>2002</v>
      </c>
      <c r="M326" s="7"/>
      <c r="N326" s="7"/>
      <c r="O326" s="7"/>
      <c r="P326" s="7"/>
      <c r="Q326" s="7"/>
      <c r="R326" s="7"/>
      <c r="S326" s="141"/>
      <c r="T326" s="7"/>
    </row>
    <row r="327" spans="1:20" hidden="1">
      <c r="A327" s="38">
        <v>250410114312</v>
      </c>
      <c r="B327" s="147" t="s">
        <v>867</v>
      </c>
      <c r="C327" s="3" t="s">
        <v>1917</v>
      </c>
      <c r="D327" s="3" t="s">
        <v>1957</v>
      </c>
      <c r="E327" s="2" t="s">
        <v>2003</v>
      </c>
      <c r="F327" s="2" t="s">
        <v>2004</v>
      </c>
      <c r="G327" s="148"/>
      <c r="H327" s="148"/>
      <c r="J327" s="10" t="s">
        <v>2005</v>
      </c>
      <c r="K327" s="14"/>
      <c r="L327" s="13"/>
      <c r="M327" s="7"/>
      <c r="N327" s="7"/>
      <c r="O327" s="7"/>
      <c r="P327" s="7"/>
      <c r="Q327" s="7"/>
      <c r="R327" s="7"/>
      <c r="S327" s="141"/>
      <c r="T327" s="7"/>
    </row>
    <row r="328" spans="1:20" hidden="1">
      <c r="A328" s="38">
        <v>241112000083</v>
      </c>
      <c r="B328" s="147" t="s">
        <v>867</v>
      </c>
      <c r="C328" s="3" t="s">
        <v>1917</v>
      </c>
      <c r="D328" s="3" t="s">
        <v>1957</v>
      </c>
      <c r="E328" s="2" t="s">
        <v>2006</v>
      </c>
      <c r="F328" s="2" t="s">
        <v>2007</v>
      </c>
      <c r="G328" s="148"/>
      <c r="H328" s="148"/>
      <c r="J328" s="1" t="s">
        <v>2008</v>
      </c>
      <c r="K328" s="10" t="s">
        <v>2009</v>
      </c>
      <c r="L328" s="13" t="s">
        <v>2010</v>
      </c>
      <c r="M328" s="7" t="s">
        <v>2011</v>
      </c>
      <c r="N328" s="7"/>
      <c r="O328" s="7"/>
      <c r="P328" s="7"/>
      <c r="Q328" s="7"/>
      <c r="R328" s="7"/>
      <c r="S328" s="141"/>
      <c r="T328" s="7"/>
    </row>
    <row r="329" spans="1:20" hidden="1">
      <c r="A329" s="38">
        <v>241112000084</v>
      </c>
      <c r="B329" s="147" t="s">
        <v>867</v>
      </c>
      <c r="C329" s="3" t="s">
        <v>1917</v>
      </c>
      <c r="D329" s="3" t="s">
        <v>1957</v>
      </c>
      <c r="E329" s="2" t="s">
        <v>2012</v>
      </c>
      <c r="F329" s="2" t="s">
        <v>2013</v>
      </c>
      <c r="G329" s="148"/>
      <c r="H329" s="148"/>
      <c r="J329" s="1" t="s">
        <v>2014</v>
      </c>
      <c r="K329" s="10"/>
      <c r="L329" s="13" t="s">
        <v>2015</v>
      </c>
      <c r="M329" s="7" t="s">
        <v>2016</v>
      </c>
      <c r="N329" s="7"/>
      <c r="O329" s="7"/>
      <c r="P329" s="7"/>
      <c r="Q329" s="7"/>
      <c r="R329" s="7"/>
      <c r="S329" s="141"/>
      <c r="T329" s="7"/>
    </row>
    <row r="330" spans="1:20" ht="14.85" hidden="1" customHeight="1">
      <c r="A330" s="38">
        <v>250410114307</v>
      </c>
      <c r="B330" s="147" t="s">
        <v>867</v>
      </c>
      <c r="C330" s="3" t="s">
        <v>1917</v>
      </c>
      <c r="D330" s="3" t="s">
        <v>1957</v>
      </c>
      <c r="E330" s="2" t="s">
        <v>2017</v>
      </c>
      <c r="F330" s="2" t="s">
        <v>2018</v>
      </c>
      <c r="G330" s="148"/>
      <c r="H330" s="148"/>
      <c r="J330" s="10" t="s">
        <v>2019</v>
      </c>
      <c r="K330" s="14"/>
      <c r="L330" s="13"/>
      <c r="M330" s="7"/>
      <c r="N330" s="7"/>
      <c r="O330" s="7"/>
      <c r="P330" s="7"/>
      <c r="Q330" s="7"/>
      <c r="R330" s="7"/>
      <c r="S330" s="141"/>
      <c r="T330" s="7"/>
    </row>
    <row r="331" spans="1:20" hidden="1">
      <c r="A331" s="38">
        <v>241112000085</v>
      </c>
      <c r="B331" s="147" t="s">
        <v>867</v>
      </c>
      <c r="C331" s="3" t="s">
        <v>1917</v>
      </c>
      <c r="D331" s="3" t="s">
        <v>1957</v>
      </c>
      <c r="E331" s="2" t="s">
        <v>2020</v>
      </c>
      <c r="F331" s="2" t="s">
        <v>2021</v>
      </c>
      <c r="G331" s="148"/>
      <c r="H331" s="148"/>
      <c r="J331" s="1" t="s">
        <v>2022</v>
      </c>
      <c r="K331" s="10"/>
      <c r="L331" s="13" t="s">
        <v>2023</v>
      </c>
      <c r="M331" s="7" t="s">
        <v>2024</v>
      </c>
      <c r="N331" s="7"/>
      <c r="O331" s="7"/>
      <c r="P331" s="7"/>
      <c r="Q331" s="7"/>
      <c r="R331" s="7"/>
      <c r="S331" s="141"/>
      <c r="T331" s="7"/>
    </row>
    <row r="332" spans="1:20" ht="16.350000000000001" hidden="1" customHeight="1">
      <c r="A332" s="38">
        <v>241112000081</v>
      </c>
      <c r="B332" s="147" t="s">
        <v>867</v>
      </c>
      <c r="C332" s="3" t="s">
        <v>1917</v>
      </c>
      <c r="D332" s="3" t="s">
        <v>1957</v>
      </c>
      <c r="E332" s="2" t="s">
        <v>2025</v>
      </c>
      <c r="F332" s="2" t="s">
        <v>1071</v>
      </c>
      <c r="G332" s="148"/>
      <c r="H332" s="148"/>
      <c r="J332" s="1" t="s">
        <v>2026</v>
      </c>
      <c r="K332" s="10"/>
      <c r="L332" s="13" t="s">
        <v>2027</v>
      </c>
      <c r="M332" s="7"/>
      <c r="N332" s="7"/>
      <c r="O332" s="7"/>
      <c r="P332" s="7"/>
      <c r="Q332" s="7"/>
      <c r="R332" s="7"/>
      <c r="S332" s="141"/>
      <c r="T332" s="7"/>
    </row>
    <row r="333" spans="1:20" ht="15" hidden="1" customHeight="1">
      <c r="A333" s="38">
        <v>250331114314</v>
      </c>
      <c r="B333" s="147" t="s">
        <v>867</v>
      </c>
      <c r="C333" s="3" t="s">
        <v>1917</v>
      </c>
      <c r="D333" s="3" t="s">
        <v>1957</v>
      </c>
      <c r="E333" s="2" t="s">
        <v>2028</v>
      </c>
      <c r="F333" s="2" t="s">
        <v>912</v>
      </c>
      <c r="G333" s="148"/>
      <c r="H333" s="148"/>
      <c r="J333" s="10" t="s">
        <v>2029</v>
      </c>
      <c r="K333" s="10"/>
      <c r="L333" s="13"/>
      <c r="M333" s="7"/>
      <c r="N333" s="7"/>
      <c r="O333" s="7"/>
      <c r="P333" s="7"/>
      <c r="Q333" s="7"/>
      <c r="R333" s="7"/>
      <c r="S333" s="141"/>
      <c r="T333" s="7"/>
    </row>
    <row r="334" spans="1:20" hidden="1">
      <c r="A334" s="38">
        <v>250410114302</v>
      </c>
      <c r="B334" s="147" t="s">
        <v>867</v>
      </c>
      <c r="C334" s="3" t="s">
        <v>1917</v>
      </c>
      <c r="D334" s="3" t="s">
        <v>1957</v>
      </c>
      <c r="E334" s="2" t="s">
        <v>2030</v>
      </c>
      <c r="F334" s="2" t="s">
        <v>1029</v>
      </c>
      <c r="G334" s="148"/>
      <c r="H334" s="148"/>
      <c r="J334" s="10" t="s">
        <v>2031</v>
      </c>
      <c r="K334" s="14"/>
      <c r="L334" s="13"/>
      <c r="M334" s="7"/>
      <c r="N334" s="7"/>
      <c r="O334" s="7"/>
      <c r="P334" s="7"/>
      <c r="Q334" s="7"/>
      <c r="R334" s="7"/>
      <c r="S334" s="141"/>
      <c r="T334" s="7"/>
    </row>
    <row r="335" spans="1:20" hidden="1">
      <c r="A335" s="38">
        <v>241112000086</v>
      </c>
      <c r="B335" s="147" t="s">
        <v>867</v>
      </c>
      <c r="C335" s="3" t="s">
        <v>1917</v>
      </c>
      <c r="D335" s="3" t="s">
        <v>1957</v>
      </c>
      <c r="E335" s="2" t="s">
        <v>2032</v>
      </c>
      <c r="F335" s="2" t="s">
        <v>2033</v>
      </c>
      <c r="G335" s="148"/>
      <c r="H335" s="148"/>
      <c r="J335" s="1" t="s">
        <v>2034</v>
      </c>
      <c r="K335" s="10"/>
      <c r="L335" s="12"/>
      <c r="M335" s="7"/>
      <c r="N335" s="7"/>
      <c r="O335" s="7"/>
      <c r="P335" s="7"/>
      <c r="Q335" s="7"/>
      <c r="R335" s="7"/>
      <c r="S335" s="141"/>
      <c r="T335" s="7"/>
    </row>
    <row r="336" spans="1:20" hidden="1">
      <c r="A336" s="38">
        <v>250410114301</v>
      </c>
      <c r="B336" s="147" t="s">
        <v>867</v>
      </c>
      <c r="C336" s="3" t="s">
        <v>1917</v>
      </c>
      <c r="D336" s="3" t="s">
        <v>1957</v>
      </c>
      <c r="E336" s="2" t="s">
        <v>2035</v>
      </c>
      <c r="F336" s="2" t="s">
        <v>1029</v>
      </c>
      <c r="G336" s="148"/>
      <c r="H336" s="148"/>
      <c r="J336" s="10" t="s">
        <v>2036</v>
      </c>
      <c r="K336" s="14"/>
      <c r="L336" s="13"/>
      <c r="M336" s="7"/>
      <c r="N336" s="7"/>
      <c r="O336" s="7"/>
      <c r="P336" s="7"/>
      <c r="Q336" s="7"/>
      <c r="R336" s="7"/>
      <c r="S336" s="141"/>
      <c r="T336" s="7"/>
    </row>
    <row r="337" spans="1:20" hidden="1">
      <c r="A337" s="38">
        <v>241112000087</v>
      </c>
      <c r="B337" s="147" t="s">
        <v>867</v>
      </c>
      <c r="C337" s="3" t="s">
        <v>1917</v>
      </c>
      <c r="D337" s="3" t="s">
        <v>1957</v>
      </c>
      <c r="E337" s="2" t="s">
        <v>2037</v>
      </c>
      <c r="F337" s="2" t="s">
        <v>2038</v>
      </c>
      <c r="G337" s="148"/>
      <c r="H337" s="148"/>
      <c r="J337" s="1" t="s">
        <v>2039</v>
      </c>
      <c r="K337" s="10"/>
      <c r="L337" s="13"/>
      <c r="M337" s="7"/>
      <c r="N337" s="7"/>
      <c r="O337" s="7"/>
      <c r="P337" s="7"/>
      <c r="Q337" s="7"/>
      <c r="R337" s="7"/>
      <c r="S337" s="141"/>
      <c r="T337" s="7"/>
    </row>
    <row r="338" spans="1:20" hidden="1">
      <c r="A338" s="38">
        <v>241112000088</v>
      </c>
      <c r="B338" s="147" t="s">
        <v>867</v>
      </c>
      <c r="C338" s="3" t="s">
        <v>1917</v>
      </c>
      <c r="D338" s="3" t="s">
        <v>1957</v>
      </c>
      <c r="E338" s="2" t="s">
        <v>2040</v>
      </c>
      <c r="F338" s="2" t="s">
        <v>2041</v>
      </c>
      <c r="G338" s="148"/>
      <c r="H338" s="148"/>
      <c r="J338" s="1" t="s">
        <v>2042</v>
      </c>
      <c r="K338" s="10" t="s">
        <v>2043</v>
      </c>
      <c r="L338" s="13" t="s">
        <v>2044</v>
      </c>
      <c r="M338" s="7" t="s">
        <v>2045</v>
      </c>
      <c r="N338" s="7"/>
      <c r="O338" s="7"/>
      <c r="P338" s="7"/>
      <c r="Q338" s="7"/>
      <c r="R338" s="7"/>
      <c r="S338" s="141"/>
      <c r="T338" s="7"/>
    </row>
    <row r="339" spans="1:20" hidden="1">
      <c r="A339" s="38">
        <v>250331114311</v>
      </c>
      <c r="B339" s="147" t="s">
        <v>867</v>
      </c>
      <c r="C339" s="3" t="s">
        <v>1917</v>
      </c>
      <c r="D339" s="3" t="s">
        <v>1957</v>
      </c>
      <c r="E339" s="2" t="s">
        <v>2046</v>
      </c>
      <c r="F339" s="2" t="s">
        <v>886</v>
      </c>
      <c r="G339" s="148"/>
      <c r="H339" s="148"/>
      <c r="J339" s="10" t="s">
        <v>2047</v>
      </c>
      <c r="K339" s="10"/>
      <c r="L339" s="13"/>
      <c r="M339" s="7"/>
      <c r="N339" s="7"/>
      <c r="O339" s="7"/>
      <c r="P339" s="7"/>
      <c r="Q339" s="7"/>
      <c r="R339" s="7"/>
      <c r="S339" s="141"/>
      <c r="T339" s="7"/>
    </row>
    <row r="340" spans="1:20" hidden="1">
      <c r="A340" s="38">
        <v>250328162300</v>
      </c>
      <c r="B340" s="147" t="s">
        <v>867</v>
      </c>
      <c r="C340" s="3" t="s">
        <v>1917</v>
      </c>
      <c r="D340" s="3" t="s">
        <v>1957</v>
      </c>
      <c r="E340" s="2" t="s">
        <v>2048</v>
      </c>
      <c r="F340" s="2" t="s">
        <v>1622</v>
      </c>
      <c r="G340" s="148"/>
      <c r="H340" s="148"/>
      <c r="J340" s="10" t="s">
        <v>2049</v>
      </c>
      <c r="K340" s="14" t="s">
        <v>2050</v>
      </c>
      <c r="L340" s="13" t="s">
        <v>2051</v>
      </c>
      <c r="M340" s="7"/>
      <c r="N340" s="7"/>
      <c r="O340" s="7"/>
      <c r="P340" s="7"/>
      <c r="Q340" s="7"/>
      <c r="R340" s="7"/>
      <c r="S340" s="141"/>
      <c r="T340" s="7"/>
    </row>
    <row r="341" spans="1:20" hidden="1">
      <c r="A341" s="38">
        <v>241112000076</v>
      </c>
      <c r="B341" s="147" t="s">
        <v>867</v>
      </c>
      <c r="C341" s="3" t="s">
        <v>1917</v>
      </c>
      <c r="D341" s="3" t="s">
        <v>1957</v>
      </c>
      <c r="E341" s="2" t="s">
        <v>2052</v>
      </c>
      <c r="F341" s="2" t="s">
        <v>1029</v>
      </c>
      <c r="G341" s="148"/>
      <c r="H341" s="148"/>
      <c r="J341" s="1" t="s">
        <v>2053</v>
      </c>
      <c r="K341" s="10"/>
      <c r="L341" s="13" t="s">
        <v>2054</v>
      </c>
      <c r="M341" s="7"/>
      <c r="N341" s="7"/>
      <c r="O341" s="7"/>
      <c r="P341" s="7"/>
      <c r="Q341" s="7"/>
      <c r="R341" s="7"/>
      <c r="S341" s="141"/>
      <c r="T341" s="7"/>
    </row>
    <row r="342" spans="1:20" hidden="1">
      <c r="A342" s="38">
        <v>250212182200</v>
      </c>
      <c r="B342" s="147" t="s">
        <v>867</v>
      </c>
      <c r="C342" s="3" t="s">
        <v>1917</v>
      </c>
      <c r="D342" s="3" t="s">
        <v>1957</v>
      </c>
      <c r="E342" s="2" t="s">
        <v>2055</v>
      </c>
      <c r="F342" s="2" t="s">
        <v>1029</v>
      </c>
      <c r="G342" s="148"/>
      <c r="H342" s="148"/>
      <c r="J342" s="10" t="s">
        <v>2056</v>
      </c>
      <c r="K342" s="10"/>
      <c r="L342" s="13" t="s">
        <v>2057</v>
      </c>
      <c r="M342" s="7"/>
      <c r="N342" s="7"/>
      <c r="O342" s="7"/>
      <c r="P342" s="7"/>
      <c r="Q342" s="7"/>
      <c r="R342" s="7"/>
      <c r="S342" s="141"/>
      <c r="T342" s="7"/>
    </row>
    <row r="343" spans="1:20" hidden="1">
      <c r="A343" s="38">
        <v>250425100315</v>
      </c>
      <c r="B343" s="149"/>
      <c r="C343" s="3" t="s">
        <v>1917</v>
      </c>
      <c r="D343" s="3" t="s">
        <v>1957</v>
      </c>
      <c r="E343" s="2" t="s">
        <v>2058</v>
      </c>
      <c r="F343" s="2" t="s">
        <v>2059</v>
      </c>
      <c r="G343" s="48"/>
      <c r="H343" s="150"/>
      <c r="J343" s="10" t="s">
        <v>2060</v>
      </c>
      <c r="K343" s="14"/>
      <c r="L343" s="13"/>
      <c r="M343" s="7"/>
      <c r="N343" s="7" t="s">
        <v>2061</v>
      </c>
      <c r="O343" s="7"/>
      <c r="P343" s="7"/>
      <c r="Q343" s="7"/>
      <c r="R343" s="7"/>
      <c r="S343" s="141"/>
      <c r="T343" s="7"/>
    </row>
    <row r="344" spans="1:20" hidden="1">
      <c r="A344" s="38">
        <v>250410114326</v>
      </c>
      <c r="B344" s="147" t="s">
        <v>867</v>
      </c>
      <c r="C344" s="3" t="s">
        <v>1917</v>
      </c>
      <c r="D344" s="3" t="s">
        <v>1957</v>
      </c>
      <c r="E344" s="2" t="s">
        <v>2062</v>
      </c>
      <c r="F344" s="2" t="s">
        <v>1394</v>
      </c>
      <c r="G344" s="148"/>
      <c r="H344" s="148"/>
      <c r="J344" s="10" t="s">
        <v>2063</v>
      </c>
      <c r="K344" s="14"/>
      <c r="L344" s="13"/>
      <c r="M344" s="7"/>
      <c r="N344" s="7"/>
      <c r="O344" s="7"/>
      <c r="P344" s="7"/>
      <c r="Q344" s="7"/>
      <c r="R344" s="7"/>
      <c r="S344" s="141"/>
      <c r="T344" s="7"/>
    </row>
    <row r="345" spans="1:20" hidden="1">
      <c r="A345" s="38">
        <v>250410114317</v>
      </c>
      <c r="B345" s="147" t="s">
        <v>867</v>
      </c>
      <c r="C345" s="3" t="s">
        <v>1917</v>
      </c>
      <c r="D345" s="3" t="s">
        <v>1957</v>
      </c>
      <c r="E345" s="2" t="s">
        <v>2064</v>
      </c>
      <c r="F345" s="2" t="s">
        <v>2065</v>
      </c>
      <c r="G345" s="148"/>
      <c r="H345" s="148"/>
      <c r="J345" s="10" t="s">
        <v>2066</v>
      </c>
      <c r="K345" s="14"/>
      <c r="L345" s="13"/>
      <c r="M345" s="7"/>
      <c r="N345" s="7"/>
      <c r="O345" s="7"/>
      <c r="P345" s="7"/>
      <c r="Q345" s="7"/>
      <c r="R345" s="7"/>
      <c r="S345" s="141"/>
      <c r="T345" s="7"/>
    </row>
    <row r="346" spans="1:20" ht="15.75" hidden="1" customHeight="1">
      <c r="A346" s="38">
        <v>241112000089</v>
      </c>
      <c r="B346" s="147" t="s">
        <v>867</v>
      </c>
      <c r="C346" s="3" t="s">
        <v>1917</v>
      </c>
      <c r="D346" s="3" t="s">
        <v>1957</v>
      </c>
      <c r="E346" s="2" t="s">
        <v>2067</v>
      </c>
      <c r="F346" s="2" t="s">
        <v>1324</v>
      </c>
      <c r="G346" s="148"/>
      <c r="H346" s="148"/>
      <c r="J346" s="1" t="s">
        <v>2068</v>
      </c>
      <c r="K346" s="10"/>
      <c r="L346" s="13" t="s">
        <v>2069</v>
      </c>
      <c r="M346" s="7"/>
      <c r="N346" s="7"/>
      <c r="O346" s="7"/>
      <c r="P346" s="7"/>
      <c r="Q346" s="7"/>
      <c r="R346" s="7"/>
      <c r="S346" s="141"/>
      <c r="T346" s="7"/>
    </row>
    <row r="347" spans="1:20" hidden="1">
      <c r="A347" s="38">
        <v>241112000090</v>
      </c>
      <c r="B347" s="147" t="s">
        <v>867</v>
      </c>
      <c r="C347" s="3" t="s">
        <v>1917</v>
      </c>
      <c r="D347" s="3" t="s">
        <v>1957</v>
      </c>
      <c r="E347" s="2" t="s">
        <v>2070</v>
      </c>
      <c r="F347" s="2" t="s">
        <v>1324</v>
      </c>
      <c r="G347" s="148"/>
      <c r="H347" s="148"/>
      <c r="J347" s="1" t="s">
        <v>2071</v>
      </c>
      <c r="K347" s="10"/>
      <c r="L347" s="13" t="s">
        <v>2072</v>
      </c>
      <c r="M347" s="7"/>
      <c r="N347" s="7"/>
      <c r="O347" s="7"/>
      <c r="P347" s="7"/>
      <c r="Q347" s="7"/>
      <c r="R347" s="7"/>
      <c r="S347" s="141"/>
      <c r="T347" s="7"/>
    </row>
    <row r="348" spans="1:20" hidden="1">
      <c r="A348" s="38">
        <v>250410114300</v>
      </c>
      <c r="B348" s="147" t="s">
        <v>867</v>
      </c>
      <c r="C348" s="3" t="s">
        <v>1917</v>
      </c>
      <c r="D348" s="3" t="s">
        <v>1957</v>
      </c>
      <c r="E348" s="2" t="s">
        <v>2073</v>
      </c>
      <c r="F348" s="2" t="s">
        <v>2018</v>
      </c>
      <c r="G348" s="148"/>
      <c r="H348" s="148"/>
      <c r="J348" s="10" t="s">
        <v>2074</v>
      </c>
      <c r="K348" s="14"/>
      <c r="L348" s="13"/>
      <c r="M348" s="7"/>
      <c r="N348" s="7"/>
      <c r="O348" s="7"/>
      <c r="P348" s="7"/>
      <c r="Q348" s="7"/>
      <c r="R348" s="7"/>
      <c r="S348" s="141"/>
      <c r="T348" s="7"/>
    </row>
    <row r="349" spans="1:20" ht="15" hidden="1" customHeight="1">
      <c r="A349" s="38">
        <v>241112000091</v>
      </c>
      <c r="B349" s="147" t="s">
        <v>867</v>
      </c>
      <c r="C349" s="3" t="s">
        <v>1917</v>
      </c>
      <c r="D349" s="3" t="s">
        <v>1957</v>
      </c>
      <c r="E349" s="2" t="s">
        <v>2075</v>
      </c>
      <c r="F349" s="2" t="s">
        <v>2076</v>
      </c>
      <c r="G349" s="148"/>
      <c r="H349" s="148"/>
      <c r="J349" s="1" t="s">
        <v>2077</v>
      </c>
      <c r="K349" s="10"/>
      <c r="L349" s="13" t="s">
        <v>2078</v>
      </c>
      <c r="M349" s="7" t="s">
        <v>2079</v>
      </c>
      <c r="N349" s="7"/>
      <c r="O349" s="7"/>
      <c r="P349" s="7"/>
      <c r="Q349" s="7"/>
      <c r="R349" s="7"/>
      <c r="S349" s="141"/>
      <c r="T349" s="7"/>
    </row>
    <row r="350" spans="1:20" hidden="1">
      <c r="A350" s="38">
        <v>250410114308</v>
      </c>
      <c r="B350" s="147" t="s">
        <v>867</v>
      </c>
      <c r="C350" s="3" t="s">
        <v>1917</v>
      </c>
      <c r="D350" s="3" t="s">
        <v>1957</v>
      </c>
      <c r="E350" s="2" t="s">
        <v>2080</v>
      </c>
      <c r="F350" s="2" t="s">
        <v>873</v>
      </c>
      <c r="G350" s="148"/>
      <c r="H350" s="148"/>
      <c r="J350" s="10" t="s">
        <v>2081</v>
      </c>
      <c r="K350" s="14"/>
      <c r="L350" s="13"/>
      <c r="M350" s="7"/>
      <c r="N350" s="7"/>
      <c r="O350" s="7"/>
      <c r="P350" s="7"/>
      <c r="Q350" s="7"/>
      <c r="R350" s="7"/>
      <c r="S350" s="141"/>
      <c r="T350" s="7"/>
    </row>
    <row r="351" spans="1:20" hidden="1">
      <c r="A351" s="38">
        <v>241112000092</v>
      </c>
      <c r="B351" s="147" t="s">
        <v>867</v>
      </c>
      <c r="C351" s="3" t="s">
        <v>1917</v>
      </c>
      <c r="D351" s="3" t="s">
        <v>1957</v>
      </c>
      <c r="E351" s="2" t="s">
        <v>2082</v>
      </c>
      <c r="F351" s="2" t="s">
        <v>2083</v>
      </c>
      <c r="G351" s="148"/>
      <c r="H351" s="148"/>
      <c r="J351" s="1" t="s">
        <v>2084</v>
      </c>
      <c r="K351" s="10" t="s">
        <v>2085</v>
      </c>
      <c r="L351" s="13" t="s">
        <v>2086</v>
      </c>
      <c r="M351" s="7" t="s">
        <v>2087</v>
      </c>
      <c r="N351" s="7"/>
      <c r="O351" s="7"/>
      <c r="P351" s="7"/>
      <c r="Q351" s="7"/>
      <c r="R351" s="7"/>
      <c r="S351" s="141"/>
      <c r="T351" s="7"/>
    </row>
    <row r="352" spans="1:20" hidden="1">
      <c r="A352" s="38">
        <v>241112000215</v>
      </c>
      <c r="B352" s="147" t="s">
        <v>867</v>
      </c>
      <c r="C352" s="3" t="s">
        <v>1917</v>
      </c>
      <c r="D352" s="3" t="s">
        <v>1957</v>
      </c>
      <c r="E352" s="2" t="s">
        <v>2088</v>
      </c>
      <c r="F352" s="2" t="s">
        <v>1279</v>
      </c>
      <c r="G352" s="148"/>
      <c r="H352" s="148"/>
      <c r="J352" s="1" t="s">
        <v>2089</v>
      </c>
      <c r="K352" s="10"/>
      <c r="L352" s="13" t="s">
        <v>2090</v>
      </c>
      <c r="M352" s="7" t="s">
        <v>2091</v>
      </c>
      <c r="N352" s="7"/>
      <c r="O352" s="7"/>
      <c r="P352" s="7"/>
      <c r="Q352" s="7"/>
      <c r="R352" s="7"/>
      <c r="S352" s="141"/>
      <c r="T352" s="7"/>
    </row>
    <row r="353" spans="1:20" hidden="1">
      <c r="A353" s="38">
        <v>250410114316</v>
      </c>
      <c r="B353" s="147" t="s">
        <v>867</v>
      </c>
      <c r="C353" s="3" t="s">
        <v>1917</v>
      </c>
      <c r="D353" s="3" t="s">
        <v>1957</v>
      </c>
      <c r="E353" s="2" t="s">
        <v>2092</v>
      </c>
      <c r="F353" s="2" t="s">
        <v>2093</v>
      </c>
      <c r="G353" s="148"/>
      <c r="H353" s="148"/>
      <c r="J353" s="10" t="s">
        <v>2094</v>
      </c>
      <c r="K353" s="14"/>
      <c r="L353" s="13"/>
      <c r="M353" s="7"/>
      <c r="N353" s="7"/>
      <c r="O353" s="7"/>
      <c r="P353" s="7"/>
      <c r="Q353" s="7"/>
      <c r="R353" s="7"/>
      <c r="S353" s="141"/>
      <c r="T353" s="7"/>
    </row>
    <row r="354" spans="1:20" ht="27.6" hidden="1">
      <c r="A354" s="38">
        <v>241112000094</v>
      </c>
      <c r="B354" s="147" t="s">
        <v>867</v>
      </c>
      <c r="C354" s="3" t="s">
        <v>1917</v>
      </c>
      <c r="D354" s="3" t="s">
        <v>1957</v>
      </c>
      <c r="E354" s="2" t="s">
        <v>2095</v>
      </c>
      <c r="F354" s="2" t="s">
        <v>2096</v>
      </c>
      <c r="G354" s="148"/>
      <c r="H354" s="148"/>
      <c r="J354" s="1" t="s">
        <v>2097</v>
      </c>
      <c r="K354" s="11" t="s">
        <v>2098</v>
      </c>
      <c r="L354" s="13" t="s">
        <v>2099</v>
      </c>
      <c r="M354" s="7"/>
      <c r="N354" s="7"/>
      <c r="O354" s="7"/>
      <c r="P354" s="7"/>
      <c r="Q354" s="7"/>
      <c r="R354" s="7"/>
      <c r="S354" s="141"/>
      <c r="T354" s="7"/>
    </row>
    <row r="355" spans="1:20" ht="27.6" hidden="1">
      <c r="A355" s="38">
        <v>241112000095</v>
      </c>
      <c r="B355" s="147" t="s">
        <v>867</v>
      </c>
      <c r="C355" s="3" t="s">
        <v>1917</v>
      </c>
      <c r="D355" s="3" t="s">
        <v>1957</v>
      </c>
      <c r="E355" s="2" t="s">
        <v>2100</v>
      </c>
      <c r="F355" s="2" t="s">
        <v>2101</v>
      </c>
      <c r="G355" s="148"/>
      <c r="H355" s="148"/>
      <c r="J355" s="1" t="s">
        <v>2102</v>
      </c>
      <c r="K355" s="11" t="s">
        <v>2103</v>
      </c>
      <c r="L355" s="13" t="s">
        <v>2104</v>
      </c>
      <c r="M355" s="7"/>
      <c r="N355" s="7"/>
      <c r="O355" s="7"/>
      <c r="P355" s="7"/>
      <c r="Q355" s="7"/>
      <c r="R355" s="7"/>
      <c r="S355" s="141"/>
      <c r="T355" s="7"/>
    </row>
    <row r="356" spans="1:20" hidden="1">
      <c r="A356" s="38">
        <v>250331114310</v>
      </c>
      <c r="B356" s="147" t="s">
        <v>867</v>
      </c>
      <c r="C356" s="3" t="s">
        <v>1917</v>
      </c>
      <c r="D356" s="3" t="s">
        <v>1957</v>
      </c>
      <c r="E356" s="2" t="s">
        <v>2105</v>
      </c>
      <c r="F356" s="2" t="s">
        <v>1699</v>
      </c>
      <c r="G356" s="148"/>
      <c r="H356" s="148"/>
      <c r="J356" s="10" t="s">
        <v>2106</v>
      </c>
      <c r="K356" s="10"/>
      <c r="L356" s="13"/>
      <c r="M356" s="7"/>
      <c r="N356" s="7"/>
      <c r="O356" s="7"/>
      <c r="P356" s="7"/>
      <c r="Q356" s="7"/>
      <c r="R356" s="7"/>
      <c r="S356" s="141"/>
      <c r="T356" s="7"/>
    </row>
    <row r="357" spans="1:20" ht="15" hidden="1" customHeight="1">
      <c r="A357" s="38">
        <v>250410114314</v>
      </c>
      <c r="B357" s="147" t="s">
        <v>867</v>
      </c>
      <c r="C357" s="3" t="s">
        <v>1917</v>
      </c>
      <c r="D357" s="3" t="s">
        <v>1957</v>
      </c>
      <c r="E357" s="2" t="s">
        <v>2107</v>
      </c>
      <c r="F357" s="2" t="s">
        <v>2108</v>
      </c>
      <c r="G357" s="148"/>
      <c r="H357" s="148"/>
      <c r="J357" s="10" t="s">
        <v>2109</v>
      </c>
      <c r="K357" s="14"/>
      <c r="L357" s="13"/>
      <c r="M357" s="7"/>
      <c r="N357" s="7"/>
      <c r="O357" s="7"/>
      <c r="P357" s="7"/>
      <c r="Q357" s="7"/>
      <c r="R357" s="7"/>
      <c r="S357" s="141"/>
      <c r="T357" s="7"/>
    </row>
    <row r="358" spans="1:20" hidden="1">
      <c r="A358" s="38">
        <v>250410114315</v>
      </c>
      <c r="B358" s="147" t="s">
        <v>867</v>
      </c>
      <c r="C358" s="3" t="s">
        <v>1917</v>
      </c>
      <c r="D358" s="3" t="s">
        <v>1957</v>
      </c>
      <c r="E358" s="2" t="s">
        <v>2110</v>
      </c>
      <c r="F358" s="2" t="s">
        <v>1939</v>
      </c>
      <c r="G358" s="148"/>
      <c r="H358" s="148"/>
      <c r="J358" s="10" t="s">
        <v>2111</v>
      </c>
      <c r="K358" s="14"/>
      <c r="L358" s="13"/>
      <c r="M358" s="7"/>
      <c r="N358" s="7"/>
      <c r="O358" s="7"/>
      <c r="P358" s="7"/>
      <c r="Q358" s="7"/>
      <c r="R358" s="7"/>
      <c r="S358" s="141"/>
      <c r="T358" s="7"/>
    </row>
    <row r="359" spans="1:20" hidden="1">
      <c r="A359" s="38">
        <v>250410114313</v>
      </c>
      <c r="B359" s="147" t="s">
        <v>867</v>
      </c>
      <c r="C359" s="3" t="s">
        <v>1917</v>
      </c>
      <c r="D359" s="3" t="s">
        <v>1957</v>
      </c>
      <c r="E359" s="2" t="s">
        <v>2112</v>
      </c>
      <c r="F359" s="2" t="s">
        <v>2113</v>
      </c>
      <c r="G359" s="148"/>
      <c r="H359" s="148"/>
      <c r="J359" s="10" t="s">
        <v>2114</v>
      </c>
      <c r="K359" s="14"/>
      <c r="L359" s="13"/>
      <c r="M359" s="7"/>
      <c r="N359" s="7"/>
      <c r="O359" s="7"/>
      <c r="P359" s="7"/>
      <c r="Q359" s="7"/>
      <c r="R359" s="7"/>
      <c r="S359" s="141"/>
      <c r="T359" s="7"/>
    </row>
    <row r="360" spans="1:20" ht="23.65" hidden="1" customHeight="1">
      <c r="A360" s="38">
        <v>250410114311</v>
      </c>
      <c r="B360" s="147" t="s">
        <v>867</v>
      </c>
      <c r="C360" s="3" t="s">
        <v>1917</v>
      </c>
      <c r="D360" s="3" t="s">
        <v>1957</v>
      </c>
      <c r="E360" s="2" t="s">
        <v>2115</v>
      </c>
      <c r="F360" s="2" t="s">
        <v>2116</v>
      </c>
      <c r="G360" s="148"/>
      <c r="H360" s="148"/>
      <c r="J360" s="10" t="s">
        <v>2117</v>
      </c>
      <c r="K360" s="14"/>
      <c r="L360" s="13"/>
      <c r="M360" s="7"/>
      <c r="N360" s="7"/>
      <c r="O360" s="7"/>
      <c r="P360" s="7"/>
      <c r="Q360" s="7"/>
      <c r="R360" s="7"/>
      <c r="S360" s="141"/>
      <c r="T360" s="7"/>
    </row>
    <row r="361" spans="1:20" hidden="1">
      <c r="A361" s="38">
        <v>250410114305</v>
      </c>
      <c r="B361" s="147" t="s">
        <v>867</v>
      </c>
      <c r="C361" s="3" t="s">
        <v>1917</v>
      </c>
      <c r="D361" s="3" t="s">
        <v>1957</v>
      </c>
      <c r="E361" s="2" t="s">
        <v>2118</v>
      </c>
      <c r="F361" s="2" t="s">
        <v>2119</v>
      </c>
      <c r="G361" s="148"/>
      <c r="H361" s="148"/>
      <c r="J361" s="10" t="s">
        <v>2120</v>
      </c>
      <c r="K361" s="14"/>
      <c r="L361" s="13"/>
      <c r="M361" s="7"/>
      <c r="N361" s="7"/>
      <c r="O361" s="7"/>
      <c r="P361" s="7"/>
      <c r="Q361" s="7"/>
      <c r="R361" s="7"/>
      <c r="S361" s="141"/>
      <c r="T361" s="7"/>
    </row>
    <row r="362" spans="1:20" hidden="1">
      <c r="A362" s="38">
        <v>250410114306</v>
      </c>
      <c r="B362" s="147" t="s">
        <v>867</v>
      </c>
      <c r="C362" s="3" t="s">
        <v>1917</v>
      </c>
      <c r="D362" s="3" t="s">
        <v>1957</v>
      </c>
      <c r="E362" s="2" t="s">
        <v>2121</v>
      </c>
      <c r="F362" s="2" t="s">
        <v>2119</v>
      </c>
      <c r="G362" s="148"/>
      <c r="H362" s="148"/>
      <c r="J362" s="10" t="s">
        <v>2122</v>
      </c>
      <c r="K362" s="14"/>
      <c r="L362" s="13"/>
      <c r="M362" s="7"/>
      <c r="N362" s="7"/>
      <c r="O362" s="7"/>
      <c r="P362" s="7"/>
      <c r="Q362" s="7"/>
      <c r="R362" s="7"/>
      <c r="S362" s="141"/>
      <c r="T362" s="7"/>
    </row>
    <row r="363" spans="1:20" ht="13.5" hidden="1" customHeight="1">
      <c r="A363" s="38">
        <v>250418220113</v>
      </c>
      <c r="B363" s="147" t="s">
        <v>867</v>
      </c>
      <c r="C363" s="3" t="s">
        <v>1917</v>
      </c>
      <c r="D363" s="3" t="s">
        <v>1957</v>
      </c>
      <c r="E363" s="2" t="s">
        <v>2123</v>
      </c>
      <c r="F363" s="2" t="s">
        <v>2124</v>
      </c>
      <c r="G363" s="148"/>
      <c r="H363" s="148"/>
      <c r="J363" s="10" t="s">
        <v>2125</v>
      </c>
      <c r="K363" s="14"/>
      <c r="L363" s="13"/>
      <c r="M363" s="7"/>
      <c r="N363" s="7"/>
      <c r="O363" s="7"/>
      <c r="P363" s="7"/>
      <c r="Q363" s="7"/>
      <c r="R363" s="7" t="s">
        <v>2126</v>
      </c>
      <c r="S363" s="141" t="s">
        <v>949</v>
      </c>
      <c r="T363" s="7" t="s">
        <v>2127</v>
      </c>
    </row>
    <row r="364" spans="1:20" ht="12" hidden="1" customHeight="1">
      <c r="A364" s="38">
        <v>250418220114</v>
      </c>
      <c r="B364" s="147" t="s">
        <v>867</v>
      </c>
      <c r="C364" s="3" t="s">
        <v>1917</v>
      </c>
      <c r="D364" s="3" t="s">
        <v>1957</v>
      </c>
      <c r="E364" s="2" t="s">
        <v>2128</v>
      </c>
      <c r="F364" s="2" t="s">
        <v>2124</v>
      </c>
      <c r="G364" s="148"/>
      <c r="H364" s="148"/>
      <c r="J364" s="10" t="s">
        <v>2129</v>
      </c>
      <c r="K364" s="14"/>
      <c r="L364" s="13"/>
      <c r="M364" s="7"/>
      <c r="N364" s="7"/>
      <c r="O364" s="7"/>
      <c r="P364" s="7"/>
      <c r="Q364" s="7"/>
      <c r="R364" s="7" t="s">
        <v>2130</v>
      </c>
      <c r="S364" s="141" t="s">
        <v>949</v>
      </c>
      <c r="T364" s="7" t="s">
        <v>2127</v>
      </c>
    </row>
    <row r="365" spans="1:20" hidden="1">
      <c r="A365" s="38">
        <v>250418220115</v>
      </c>
      <c r="B365" s="147" t="s">
        <v>867</v>
      </c>
      <c r="C365" s="3" t="s">
        <v>1917</v>
      </c>
      <c r="D365" s="3" t="s">
        <v>1957</v>
      </c>
      <c r="E365" s="2" t="s">
        <v>2131</v>
      </c>
      <c r="F365" s="2" t="s">
        <v>1324</v>
      </c>
      <c r="G365" s="148"/>
      <c r="H365" s="148"/>
      <c r="J365" s="10" t="s">
        <v>2132</v>
      </c>
      <c r="K365" s="14"/>
      <c r="L365" s="13"/>
      <c r="M365" s="7"/>
      <c r="N365" s="7"/>
      <c r="O365" s="7"/>
      <c r="P365" s="7"/>
      <c r="Q365" s="7"/>
      <c r="R365" s="7" t="s">
        <v>2133</v>
      </c>
      <c r="S365" s="141" t="s">
        <v>949</v>
      </c>
      <c r="T365" s="7" t="s">
        <v>1145</v>
      </c>
    </row>
    <row r="366" spans="1:20" hidden="1">
      <c r="A366" s="38">
        <v>250418220116</v>
      </c>
      <c r="B366" s="147" t="s">
        <v>867</v>
      </c>
      <c r="C366" s="3" t="s">
        <v>1917</v>
      </c>
      <c r="D366" s="3" t="s">
        <v>1957</v>
      </c>
      <c r="E366" s="2" t="s">
        <v>2134</v>
      </c>
      <c r="F366" s="2" t="s">
        <v>2124</v>
      </c>
      <c r="G366" s="148"/>
      <c r="H366" s="148"/>
      <c r="J366" s="10" t="s">
        <v>2135</v>
      </c>
      <c r="K366" s="14"/>
      <c r="L366" s="13"/>
      <c r="M366" s="7"/>
      <c r="N366" s="7"/>
      <c r="O366" s="7"/>
      <c r="P366" s="7"/>
      <c r="Q366" s="7"/>
      <c r="R366" s="7" t="s">
        <v>2136</v>
      </c>
      <c r="S366" s="141" t="s">
        <v>949</v>
      </c>
      <c r="T366" s="7" t="s">
        <v>2127</v>
      </c>
    </row>
    <row r="367" spans="1:20" hidden="1">
      <c r="A367" s="38">
        <v>250418220117</v>
      </c>
      <c r="B367" s="147" t="s">
        <v>867</v>
      </c>
      <c r="C367" s="3" t="s">
        <v>1917</v>
      </c>
      <c r="D367" s="3" t="s">
        <v>1957</v>
      </c>
      <c r="E367" s="2" t="s">
        <v>2137</v>
      </c>
      <c r="F367" s="2" t="s">
        <v>2124</v>
      </c>
      <c r="G367" s="148"/>
      <c r="H367" s="148"/>
      <c r="J367" s="10" t="s">
        <v>2138</v>
      </c>
      <c r="K367" s="14"/>
      <c r="L367" s="13"/>
      <c r="M367" s="7"/>
      <c r="N367" s="7"/>
      <c r="O367" s="7"/>
      <c r="P367" s="7"/>
      <c r="Q367" s="7"/>
      <c r="R367" s="7" t="s">
        <v>2139</v>
      </c>
      <c r="S367" s="141" t="s">
        <v>949</v>
      </c>
      <c r="T367" s="7" t="s">
        <v>2127</v>
      </c>
    </row>
    <row r="368" spans="1:20" hidden="1">
      <c r="A368" s="38">
        <v>250418220118</v>
      </c>
      <c r="B368" s="147" t="s">
        <v>867</v>
      </c>
      <c r="C368" s="3" t="s">
        <v>1917</v>
      </c>
      <c r="D368" s="3" t="s">
        <v>1957</v>
      </c>
      <c r="E368" s="2" t="s">
        <v>2140</v>
      </c>
      <c r="F368" s="2" t="s">
        <v>2124</v>
      </c>
      <c r="G368" s="148"/>
      <c r="H368" s="148"/>
      <c r="J368" s="10" t="s">
        <v>2141</v>
      </c>
      <c r="K368" s="14"/>
      <c r="L368" s="13"/>
      <c r="M368" s="7"/>
      <c r="N368" s="7"/>
      <c r="O368" s="7"/>
      <c r="P368" s="7"/>
      <c r="Q368" s="7"/>
      <c r="R368" s="7" t="s">
        <v>2142</v>
      </c>
      <c r="S368" s="141" t="s">
        <v>949</v>
      </c>
      <c r="T368" s="7" t="s">
        <v>2127</v>
      </c>
    </row>
    <row r="369" spans="1:20" hidden="1">
      <c r="A369" s="38">
        <v>250418220119</v>
      </c>
      <c r="B369" s="147" t="s">
        <v>867</v>
      </c>
      <c r="C369" s="3" t="s">
        <v>1917</v>
      </c>
      <c r="D369" s="3" t="s">
        <v>1957</v>
      </c>
      <c r="E369" s="2" t="s">
        <v>2143</v>
      </c>
      <c r="F369" s="2" t="s">
        <v>2124</v>
      </c>
      <c r="G369" s="148"/>
      <c r="H369" s="148"/>
      <c r="J369" s="10" t="s">
        <v>2144</v>
      </c>
      <c r="K369" s="14"/>
      <c r="L369" s="13"/>
      <c r="M369" s="7"/>
      <c r="N369" s="7"/>
      <c r="O369" s="7"/>
      <c r="P369" s="7"/>
      <c r="Q369" s="7"/>
      <c r="R369" s="7" t="s">
        <v>2145</v>
      </c>
      <c r="S369" s="141" t="s">
        <v>949</v>
      </c>
      <c r="T369" s="7" t="s">
        <v>2127</v>
      </c>
    </row>
    <row r="370" spans="1:20" hidden="1">
      <c r="A370" s="38">
        <v>250418220120</v>
      </c>
      <c r="B370" s="147" t="s">
        <v>867</v>
      </c>
      <c r="C370" s="3" t="s">
        <v>1917</v>
      </c>
      <c r="D370" s="3" t="s">
        <v>1957</v>
      </c>
      <c r="E370" s="2" t="s">
        <v>2146</v>
      </c>
      <c r="F370" s="2" t="s">
        <v>2124</v>
      </c>
      <c r="G370" s="148"/>
      <c r="H370" s="148"/>
      <c r="J370" s="10" t="s">
        <v>2147</v>
      </c>
      <c r="K370" s="14"/>
      <c r="L370" s="13"/>
      <c r="M370" s="7"/>
      <c r="N370" s="7"/>
      <c r="O370" s="7"/>
      <c r="P370" s="7"/>
      <c r="Q370" s="7"/>
      <c r="R370" s="7" t="s">
        <v>2148</v>
      </c>
      <c r="S370" s="141" t="s">
        <v>949</v>
      </c>
      <c r="T370" s="7" t="s">
        <v>2127</v>
      </c>
    </row>
    <row r="371" spans="1:20" hidden="1">
      <c r="A371" s="38">
        <v>250418220121</v>
      </c>
      <c r="B371" s="147" t="s">
        <v>867</v>
      </c>
      <c r="C371" s="3" t="s">
        <v>1917</v>
      </c>
      <c r="D371" s="3" t="s">
        <v>1957</v>
      </c>
      <c r="E371" s="2" t="s">
        <v>2149</v>
      </c>
      <c r="F371" s="2" t="s">
        <v>2124</v>
      </c>
      <c r="G371" s="148"/>
      <c r="H371" s="148"/>
      <c r="J371" s="10" t="s">
        <v>2150</v>
      </c>
      <c r="K371" s="14"/>
      <c r="L371" s="13"/>
      <c r="M371" s="7"/>
      <c r="N371" s="7"/>
      <c r="O371" s="7"/>
      <c r="P371" s="7"/>
      <c r="Q371" s="7"/>
      <c r="R371" s="7" t="s">
        <v>2151</v>
      </c>
      <c r="S371" s="141" t="s">
        <v>949</v>
      </c>
      <c r="T371" s="7" t="s">
        <v>2127</v>
      </c>
    </row>
    <row r="372" spans="1:20" hidden="1">
      <c r="A372" s="38">
        <v>250418220122</v>
      </c>
      <c r="B372" s="147" t="s">
        <v>867</v>
      </c>
      <c r="C372" s="3" t="s">
        <v>1917</v>
      </c>
      <c r="D372" s="3" t="s">
        <v>1957</v>
      </c>
      <c r="E372" s="2" t="s">
        <v>2152</v>
      </c>
      <c r="F372" s="2" t="s">
        <v>2124</v>
      </c>
      <c r="G372" s="148"/>
      <c r="H372" s="148"/>
      <c r="J372" s="10" t="s">
        <v>2153</v>
      </c>
      <c r="K372" s="14"/>
      <c r="L372" s="13"/>
      <c r="M372" s="7"/>
      <c r="N372" s="7"/>
      <c r="O372" s="7"/>
      <c r="P372" s="7"/>
      <c r="Q372" s="7"/>
      <c r="R372" s="7" t="s">
        <v>2154</v>
      </c>
      <c r="S372" s="141" t="s">
        <v>949</v>
      </c>
      <c r="T372" s="7" t="s">
        <v>2127</v>
      </c>
    </row>
    <row r="373" spans="1:20" hidden="1">
      <c r="A373" s="38">
        <v>250418220123</v>
      </c>
      <c r="B373" s="147" t="s">
        <v>867</v>
      </c>
      <c r="C373" s="3" t="s">
        <v>1917</v>
      </c>
      <c r="D373" s="3" t="s">
        <v>1957</v>
      </c>
      <c r="E373" s="2" t="s">
        <v>2155</v>
      </c>
      <c r="F373" s="2" t="s">
        <v>2124</v>
      </c>
      <c r="G373" s="148"/>
      <c r="H373" s="148"/>
      <c r="J373" s="10" t="s">
        <v>2156</v>
      </c>
      <c r="K373" s="14"/>
      <c r="L373" s="13"/>
      <c r="M373" s="7"/>
      <c r="N373" s="7"/>
      <c r="O373" s="7"/>
      <c r="P373" s="7"/>
      <c r="Q373" s="7"/>
      <c r="R373" s="7" t="s">
        <v>2157</v>
      </c>
      <c r="S373" s="141" t="s">
        <v>949</v>
      </c>
      <c r="T373" s="7" t="s">
        <v>2127</v>
      </c>
    </row>
    <row r="374" spans="1:20" hidden="1">
      <c r="A374" s="38">
        <v>250418220124</v>
      </c>
      <c r="B374" s="147" t="s">
        <v>867</v>
      </c>
      <c r="C374" s="3" t="s">
        <v>1917</v>
      </c>
      <c r="D374" s="3" t="s">
        <v>1957</v>
      </c>
      <c r="E374" s="2" t="s">
        <v>2158</v>
      </c>
      <c r="F374" s="2" t="s">
        <v>2124</v>
      </c>
      <c r="G374" s="148"/>
      <c r="H374" s="148"/>
      <c r="J374" s="10" t="s">
        <v>2159</v>
      </c>
      <c r="K374" s="14"/>
      <c r="L374" s="13"/>
      <c r="M374" s="7"/>
      <c r="N374" s="7"/>
      <c r="O374" s="7"/>
      <c r="P374" s="7"/>
      <c r="Q374" s="7"/>
      <c r="R374" s="7" t="s">
        <v>2160</v>
      </c>
      <c r="S374" s="141" t="s">
        <v>949</v>
      </c>
      <c r="T374" s="7" t="s">
        <v>2127</v>
      </c>
    </row>
    <row r="375" spans="1:20" hidden="1">
      <c r="A375" s="38">
        <v>250418220125</v>
      </c>
      <c r="B375" s="147" t="s">
        <v>867</v>
      </c>
      <c r="C375" s="3" t="s">
        <v>1917</v>
      </c>
      <c r="D375" s="3" t="s">
        <v>1957</v>
      </c>
      <c r="E375" s="2" t="s">
        <v>2161</v>
      </c>
      <c r="F375" s="2" t="s">
        <v>2124</v>
      </c>
      <c r="G375" s="148"/>
      <c r="H375" s="148"/>
      <c r="J375" s="10" t="s">
        <v>2162</v>
      </c>
      <c r="K375" s="14"/>
      <c r="L375" s="13"/>
      <c r="M375" s="7"/>
      <c r="N375" s="7"/>
      <c r="O375" s="7"/>
      <c r="P375" s="7"/>
      <c r="Q375" s="7"/>
      <c r="R375" s="7" t="s">
        <v>2163</v>
      </c>
      <c r="S375" s="141" t="s">
        <v>949</v>
      </c>
      <c r="T375" s="7" t="s">
        <v>2127</v>
      </c>
    </row>
    <row r="376" spans="1:20" hidden="1">
      <c r="A376" s="38">
        <v>250418220126</v>
      </c>
      <c r="B376" s="147" t="s">
        <v>867</v>
      </c>
      <c r="C376" s="3" t="s">
        <v>1917</v>
      </c>
      <c r="D376" s="3" t="s">
        <v>1957</v>
      </c>
      <c r="E376" s="2" t="s">
        <v>2164</v>
      </c>
      <c r="F376" s="2" t="s">
        <v>2124</v>
      </c>
      <c r="G376" s="148"/>
      <c r="H376" s="148"/>
      <c r="J376" s="10" t="s">
        <v>2165</v>
      </c>
      <c r="K376" s="14"/>
      <c r="L376" s="13"/>
      <c r="M376" s="7"/>
      <c r="N376" s="7"/>
      <c r="O376" s="7"/>
      <c r="P376" s="7"/>
      <c r="Q376" s="7"/>
      <c r="R376" s="7" t="s">
        <v>2166</v>
      </c>
      <c r="S376" s="141" t="s">
        <v>949</v>
      </c>
      <c r="T376" s="7" t="s">
        <v>2127</v>
      </c>
    </row>
    <row r="377" spans="1:20" hidden="1">
      <c r="A377" s="38">
        <v>250418220127</v>
      </c>
      <c r="B377" s="147" t="s">
        <v>867</v>
      </c>
      <c r="C377" s="3" t="s">
        <v>1917</v>
      </c>
      <c r="D377" s="3" t="s">
        <v>1957</v>
      </c>
      <c r="E377" s="2" t="s">
        <v>2167</v>
      </c>
      <c r="F377" s="2" t="s">
        <v>2124</v>
      </c>
      <c r="G377" s="148"/>
      <c r="H377" s="148"/>
      <c r="J377" s="10" t="s">
        <v>2168</v>
      </c>
      <c r="K377" s="14"/>
      <c r="L377" s="13"/>
      <c r="M377" s="7"/>
      <c r="N377" s="7"/>
      <c r="O377" s="7"/>
      <c r="P377" s="7"/>
      <c r="Q377" s="7"/>
      <c r="R377" s="7" t="s">
        <v>2169</v>
      </c>
      <c r="S377" s="141" t="s">
        <v>949</v>
      </c>
      <c r="T377" s="7" t="s">
        <v>2127</v>
      </c>
    </row>
    <row r="378" spans="1:20" ht="15" hidden="1" customHeight="1">
      <c r="A378" s="38">
        <v>250418220128</v>
      </c>
      <c r="B378" s="147" t="s">
        <v>867</v>
      </c>
      <c r="C378" s="3" t="s">
        <v>1917</v>
      </c>
      <c r="D378" s="3" t="s">
        <v>1957</v>
      </c>
      <c r="E378" s="2" t="s">
        <v>2170</v>
      </c>
      <c r="F378" s="2" t="s">
        <v>2124</v>
      </c>
      <c r="G378" s="148"/>
      <c r="H378" s="148"/>
      <c r="J378" s="10" t="s">
        <v>2171</v>
      </c>
      <c r="K378" s="14"/>
      <c r="L378" s="13"/>
      <c r="M378" s="7"/>
      <c r="N378" s="7"/>
      <c r="O378" s="7"/>
      <c r="P378" s="7"/>
      <c r="Q378" s="7"/>
      <c r="R378" s="7" t="s">
        <v>2172</v>
      </c>
      <c r="S378" s="141" t="s">
        <v>949</v>
      </c>
      <c r="T378" s="7" t="s">
        <v>2127</v>
      </c>
    </row>
    <row r="379" spans="1:20" ht="15.75" hidden="1" customHeight="1">
      <c r="A379" s="38">
        <v>250418220129</v>
      </c>
      <c r="B379" s="147" t="s">
        <v>867</v>
      </c>
      <c r="C379" s="3" t="s">
        <v>1917</v>
      </c>
      <c r="D379" s="3" t="s">
        <v>1957</v>
      </c>
      <c r="E379" s="2" t="s">
        <v>2173</v>
      </c>
      <c r="F379" s="2" t="s">
        <v>2174</v>
      </c>
      <c r="G379" s="148"/>
      <c r="H379" s="148"/>
      <c r="J379" s="10" t="s">
        <v>2175</v>
      </c>
      <c r="K379" s="14"/>
      <c r="L379" s="13"/>
      <c r="M379" s="7"/>
      <c r="N379" s="7"/>
      <c r="O379" s="7"/>
      <c r="P379" s="7"/>
      <c r="Q379" s="7"/>
      <c r="R379" s="7" t="s">
        <v>2176</v>
      </c>
      <c r="S379" s="141" t="s">
        <v>949</v>
      </c>
      <c r="T379" s="7" t="s">
        <v>2177</v>
      </c>
    </row>
    <row r="380" spans="1:20" hidden="1">
      <c r="A380" s="38">
        <v>250418220130</v>
      </c>
      <c r="B380" s="147" t="s">
        <v>867</v>
      </c>
      <c r="C380" s="3" t="s">
        <v>1917</v>
      </c>
      <c r="D380" s="3" t="s">
        <v>1957</v>
      </c>
      <c r="E380" s="2" t="s">
        <v>2178</v>
      </c>
      <c r="F380" s="2" t="s">
        <v>2124</v>
      </c>
      <c r="G380" s="148"/>
      <c r="H380" s="148"/>
      <c r="J380" s="10" t="s">
        <v>2179</v>
      </c>
      <c r="K380" s="14"/>
      <c r="L380" s="13"/>
      <c r="M380" s="7"/>
      <c r="N380" s="7"/>
      <c r="O380" s="7"/>
      <c r="P380" s="7"/>
      <c r="Q380" s="7"/>
      <c r="R380" s="7" t="s">
        <v>2180</v>
      </c>
      <c r="S380" s="141" t="s">
        <v>949</v>
      </c>
      <c r="T380" s="7" t="s">
        <v>2127</v>
      </c>
    </row>
    <row r="381" spans="1:20" hidden="1">
      <c r="A381" s="38">
        <v>250418220131</v>
      </c>
      <c r="B381" s="147" t="s">
        <v>867</v>
      </c>
      <c r="C381" s="3" t="s">
        <v>1917</v>
      </c>
      <c r="D381" s="3" t="s">
        <v>1957</v>
      </c>
      <c r="E381" s="2" t="s">
        <v>2181</v>
      </c>
      <c r="F381" s="2" t="s">
        <v>2124</v>
      </c>
      <c r="G381" s="148"/>
      <c r="H381" s="148"/>
      <c r="J381" s="10" t="s">
        <v>2182</v>
      </c>
      <c r="K381" s="14"/>
      <c r="L381" s="13"/>
      <c r="M381" s="7"/>
      <c r="N381" s="7"/>
      <c r="O381" s="7"/>
      <c r="P381" s="7"/>
      <c r="Q381" s="7"/>
      <c r="R381" s="7" t="s">
        <v>2183</v>
      </c>
      <c r="S381" s="141" t="s">
        <v>949</v>
      </c>
      <c r="T381" s="7" t="s">
        <v>2127</v>
      </c>
    </row>
    <row r="382" spans="1:20" hidden="1">
      <c r="A382" s="38">
        <v>250418220132</v>
      </c>
      <c r="B382" s="147" t="s">
        <v>867</v>
      </c>
      <c r="C382" s="3" t="s">
        <v>1917</v>
      </c>
      <c r="D382" s="3" t="s">
        <v>1957</v>
      </c>
      <c r="E382" s="2" t="s">
        <v>2184</v>
      </c>
      <c r="F382" s="2" t="s">
        <v>2124</v>
      </c>
      <c r="G382" s="148"/>
      <c r="H382" s="148"/>
      <c r="J382" s="10" t="s">
        <v>2185</v>
      </c>
      <c r="K382" s="14"/>
      <c r="L382" s="13"/>
      <c r="M382" s="7"/>
      <c r="N382" s="7"/>
      <c r="O382" s="7"/>
      <c r="P382" s="7"/>
      <c r="Q382" s="7"/>
      <c r="R382" s="7" t="s">
        <v>2186</v>
      </c>
      <c r="S382" s="141" t="s">
        <v>949</v>
      </c>
      <c r="T382" s="7" t="s">
        <v>2127</v>
      </c>
    </row>
    <row r="383" spans="1:20" hidden="1">
      <c r="A383" s="38">
        <v>250418220133</v>
      </c>
      <c r="B383" s="147" t="s">
        <v>867</v>
      </c>
      <c r="C383" s="3" t="s">
        <v>1917</v>
      </c>
      <c r="D383" s="3" t="s">
        <v>1957</v>
      </c>
      <c r="E383" s="2" t="s">
        <v>2187</v>
      </c>
      <c r="F383" s="2" t="s">
        <v>2124</v>
      </c>
      <c r="G383" s="148"/>
      <c r="H383" s="148"/>
      <c r="J383" s="10" t="s">
        <v>2188</v>
      </c>
      <c r="K383" s="14"/>
      <c r="L383" s="13"/>
      <c r="M383" s="7"/>
      <c r="N383" s="7"/>
      <c r="O383" s="7"/>
      <c r="P383" s="7"/>
      <c r="Q383" s="7"/>
      <c r="R383" s="7" t="s">
        <v>2189</v>
      </c>
      <c r="S383" s="141" t="s">
        <v>949</v>
      </c>
      <c r="T383" s="7" t="s">
        <v>2127</v>
      </c>
    </row>
    <row r="384" spans="1:20" hidden="1">
      <c r="A384" s="38">
        <v>250418220134</v>
      </c>
      <c r="B384" s="147" t="s">
        <v>867</v>
      </c>
      <c r="C384" s="3" t="s">
        <v>1917</v>
      </c>
      <c r="D384" s="3" t="s">
        <v>1957</v>
      </c>
      <c r="E384" s="2" t="s">
        <v>2190</v>
      </c>
      <c r="F384" s="2" t="s">
        <v>2124</v>
      </c>
      <c r="G384" s="148"/>
      <c r="H384" s="148"/>
      <c r="J384" s="10" t="s">
        <v>2191</v>
      </c>
      <c r="K384" s="14"/>
      <c r="L384" s="13"/>
      <c r="M384" s="7"/>
      <c r="N384" s="7"/>
      <c r="O384" s="7"/>
      <c r="P384" s="7"/>
      <c r="Q384" s="7"/>
      <c r="R384" s="7" t="s">
        <v>2192</v>
      </c>
      <c r="S384" s="141" t="s">
        <v>949</v>
      </c>
      <c r="T384" s="7" t="s">
        <v>2127</v>
      </c>
    </row>
    <row r="385" spans="1:20" hidden="1">
      <c r="A385" s="38">
        <v>250418220135</v>
      </c>
      <c r="B385" s="147" t="s">
        <v>867</v>
      </c>
      <c r="C385" s="3" t="s">
        <v>1917</v>
      </c>
      <c r="D385" s="3" t="s">
        <v>1957</v>
      </c>
      <c r="E385" s="2" t="s">
        <v>2193</v>
      </c>
      <c r="F385" s="2" t="s">
        <v>2124</v>
      </c>
      <c r="G385" s="148"/>
      <c r="H385" s="148"/>
      <c r="J385" s="10" t="s">
        <v>2194</v>
      </c>
      <c r="K385" s="14"/>
      <c r="L385" s="13"/>
      <c r="M385" s="7"/>
      <c r="N385" s="7"/>
      <c r="O385" s="7"/>
      <c r="P385" s="7"/>
      <c r="Q385" s="7"/>
      <c r="R385" s="7" t="s">
        <v>2195</v>
      </c>
      <c r="S385" s="141" t="s">
        <v>949</v>
      </c>
      <c r="T385" s="7" t="s">
        <v>2127</v>
      </c>
    </row>
    <row r="386" spans="1:20" hidden="1">
      <c r="A386" s="38">
        <v>250418220136</v>
      </c>
      <c r="B386" s="147" t="s">
        <v>867</v>
      </c>
      <c r="C386" s="3" t="s">
        <v>1917</v>
      </c>
      <c r="D386" s="3" t="s">
        <v>1957</v>
      </c>
      <c r="E386" s="2" t="s">
        <v>2196</v>
      </c>
      <c r="F386" s="2" t="s">
        <v>2124</v>
      </c>
      <c r="G386" s="148"/>
      <c r="H386" s="148"/>
      <c r="J386" s="10" t="s">
        <v>2197</v>
      </c>
      <c r="K386" s="14"/>
      <c r="L386" s="13"/>
      <c r="M386" s="7"/>
      <c r="N386" s="7"/>
      <c r="O386" s="7"/>
      <c r="P386" s="7"/>
      <c r="Q386" s="7"/>
      <c r="R386" s="7" t="s">
        <v>2198</v>
      </c>
      <c r="S386" s="141" t="s">
        <v>949</v>
      </c>
      <c r="T386" s="7" t="s">
        <v>2127</v>
      </c>
    </row>
    <row r="387" spans="1:20" hidden="1">
      <c r="A387" s="38">
        <v>250418220137</v>
      </c>
      <c r="B387" s="147" t="s">
        <v>867</v>
      </c>
      <c r="C387" s="3" t="s">
        <v>1917</v>
      </c>
      <c r="D387" s="3" t="s">
        <v>1957</v>
      </c>
      <c r="E387" s="2" t="s">
        <v>2199</v>
      </c>
      <c r="F387" s="2" t="s">
        <v>2124</v>
      </c>
      <c r="G387" s="148"/>
      <c r="H387" s="148"/>
      <c r="J387" s="10" t="s">
        <v>2200</v>
      </c>
      <c r="K387" s="14"/>
      <c r="L387" s="13"/>
      <c r="M387" s="7"/>
      <c r="N387" s="7"/>
      <c r="O387" s="7"/>
      <c r="P387" s="7"/>
      <c r="Q387" s="7"/>
      <c r="R387" s="7" t="s">
        <v>2201</v>
      </c>
      <c r="S387" s="141" t="s">
        <v>949</v>
      </c>
      <c r="T387" s="7" t="s">
        <v>2127</v>
      </c>
    </row>
    <row r="388" spans="1:20" ht="15.75" hidden="1" customHeight="1">
      <c r="A388" s="38">
        <v>250418220138</v>
      </c>
      <c r="B388" s="147" t="s">
        <v>867</v>
      </c>
      <c r="C388" s="3" t="s">
        <v>1917</v>
      </c>
      <c r="D388" s="3" t="s">
        <v>1957</v>
      </c>
      <c r="E388" s="2" t="s">
        <v>2202</v>
      </c>
      <c r="F388" s="2" t="s">
        <v>2124</v>
      </c>
      <c r="G388" s="148"/>
      <c r="H388" s="148"/>
      <c r="J388" s="10" t="s">
        <v>2203</v>
      </c>
      <c r="K388" s="14"/>
      <c r="L388" s="13"/>
      <c r="M388" s="7"/>
      <c r="N388" s="7"/>
      <c r="O388" s="7"/>
      <c r="P388" s="7"/>
      <c r="Q388" s="7"/>
      <c r="R388" s="7" t="s">
        <v>2204</v>
      </c>
      <c r="S388" s="141" t="s">
        <v>949</v>
      </c>
      <c r="T388" s="7" t="s">
        <v>2127</v>
      </c>
    </row>
    <row r="389" spans="1:20" ht="15.75" hidden="1" customHeight="1">
      <c r="A389" s="38">
        <v>250418220139</v>
      </c>
      <c r="B389" s="147" t="s">
        <v>867</v>
      </c>
      <c r="C389" s="3" t="s">
        <v>1917</v>
      </c>
      <c r="D389" s="3" t="s">
        <v>1957</v>
      </c>
      <c r="E389" s="2" t="s">
        <v>2205</v>
      </c>
      <c r="F389" s="2" t="s">
        <v>2124</v>
      </c>
      <c r="G389" s="148"/>
      <c r="H389" s="148"/>
      <c r="J389" s="10" t="s">
        <v>2206</v>
      </c>
      <c r="K389" s="14"/>
      <c r="L389" s="13"/>
      <c r="M389" s="7"/>
      <c r="N389" s="7"/>
      <c r="O389" s="7"/>
      <c r="P389" s="7"/>
      <c r="Q389" s="7"/>
      <c r="R389" s="7" t="s">
        <v>2207</v>
      </c>
      <c r="S389" s="141" t="s">
        <v>949</v>
      </c>
      <c r="T389" s="7" t="s">
        <v>2127</v>
      </c>
    </row>
    <row r="390" spans="1:20" hidden="1">
      <c r="A390" s="38">
        <v>250418220140</v>
      </c>
      <c r="B390" s="147" t="s">
        <v>867</v>
      </c>
      <c r="C390" s="3" t="s">
        <v>1917</v>
      </c>
      <c r="D390" s="3" t="s">
        <v>1957</v>
      </c>
      <c r="E390" s="2" t="s">
        <v>2208</v>
      </c>
      <c r="F390" s="2" t="s">
        <v>2124</v>
      </c>
      <c r="G390" s="148"/>
      <c r="H390" s="148"/>
      <c r="J390" s="10" t="s">
        <v>2209</v>
      </c>
      <c r="K390" s="14"/>
      <c r="L390" s="13"/>
      <c r="M390" s="7"/>
      <c r="N390" s="7"/>
      <c r="O390" s="7"/>
      <c r="P390" s="7"/>
      <c r="Q390" s="7"/>
      <c r="R390" s="7" t="s">
        <v>2210</v>
      </c>
      <c r="S390" s="141" t="s">
        <v>949</v>
      </c>
      <c r="T390" s="7" t="s">
        <v>2127</v>
      </c>
    </row>
    <row r="391" spans="1:20" hidden="1">
      <c r="A391" s="38">
        <v>250418220141</v>
      </c>
      <c r="B391" s="147" t="s">
        <v>867</v>
      </c>
      <c r="C391" s="3" t="s">
        <v>1917</v>
      </c>
      <c r="D391" s="3" t="s">
        <v>1957</v>
      </c>
      <c r="E391" s="2" t="s">
        <v>2211</v>
      </c>
      <c r="F391" s="2" t="s">
        <v>2124</v>
      </c>
      <c r="G391" s="148"/>
      <c r="H391" s="148"/>
      <c r="J391" s="10" t="s">
        <v>2212</v>
      </c>
      <c r="K391" s="14"/>
      <c r="L391" s="13"/>
      <c r="M391" s="7"/>
      <c r="N391" s="7"/>
      <c r="O391" s="7"/>
      <c r="P391" s="7"/>
      <c r="Q391" s="7"/>
      <c r="R391" s="7" t="s">
        <v>2213</v>
      </c>
      <c r="S391" s="141" t="s">
        <v>949</v>
      </c>
      <c r="T391" s="7" t="s">
        <v>2127</v>
      </c>
    </row>
    <row r="392" spans="1:20" hidden="1">
      <c r="A392" s="38">
        <v>250418220142</v>
      </c>
      <c r="B392" s="147" t="s">
        <v>867</v>
      </c>
      <c r="C392" s="3" t="s">
        <v>1917</v>
      </c>
      <c r="D392" s="3" t="s">
        <v>1957</v>
      </c>
      <c r="E392" s="2" t="s">
        <v>2214</v>
      </c>
      <c r="F392" s="2" t="s">
        <v>2124</v>
      </c>
      <c r="G392" s="148"/>
      <c r="H392" s="148"/>
      <c r="J392" s="10" t="s">
        <v>2215</v>
      </c>
      <c r="K392" s="14"/>
      <c r="L392" s="13"/>
      <c r="M392" s="7"/>
      <c r="N392" s="7"/>
      <c r="O392" s="7"/>
      <c r="P392" s="7"/>
      <c r="Q392" s="7"/>
      <c r="R392" s="7" t="s">
        <v>2216</v>
      </c>
      <c r="S392" s="141" t="s">
        <v>949</v>
      </c>
      <c r="T392" s="7" t="s">
        <v>2127</v>
      </c>
    </row>
    <row r="393" spans="1:20" hidden="1">
      <c r="A393" s="38">
        <v>250418220143</v>
      </c>
      <c r="B393" s="147" t="s">
        <v>867</v>
      </c>
      <c r="C393" s="3" t="s">
        <v>1917</v>
      </c>
      <c r="D393" s="3" t="s">
        <v>1957</v>
      </c>
      <c r="E393" s="2" t="s">
        <v>2217</v>
      </c>
      <c r="F393" s="2" t="s">
        <v>2124</v>
      </c>
      <c r="G393" s="148"/>
      <c r="H393" s="148"/>
      <c r="J393" s="10" t="s">
        <v>2218</v>
      </c>
      <c r="K393" s="14"/>
      <c r="L393" s="13"/>
      <c r="M393" s="7"/>
      <c r="N393" s="7"/>
      <c r="O393" s="7"/>
      <c r="P393" s="7"/>
      <c r="Q393" s="7"/>
      <c r="R393" s="7" t="s">
        <v>2219</v>
      </c>
      <c r="S393" s="141" t="s">
        <v>949</v>
      </c>
      <c r="T393" s="7" t="s">
        <v>2127</v>
      </c>
    </row>
    <row r="394" spans="1:20" hidden="1">
      <c r="A394" s="38">
        <v>250418220144</v>
      </c>
      <c r="B394" s="147" t="s">
        <v>867</v>
      </c>
      <c r="C394" s="3" t="s">
        <v>1917</v>
      </c>
      <c r="D394" s="3" t="s">
        <v>1957</v>
      </c>
      <c r="E394" s="2" t="s">
        <v>2220</v>
      </c>
      <c r="F394" s="2" t="s">
        <v>2124</v>
      </c>
      <c r="G394" s="148"/>
      <c r="H394" s="148"/>
      <c r="J394" s="10" t="s">
        <v>2221</v>
      </c>
      <c r="K394" s="14"/>
      <c r="L394" s="13"/>
      <c r="M394" s="7"/>
      <c r="N394" s="7"/>
      <c r="O394" s="7"/>
      <c r="P394" s="7"/>
      <c r="Q394" s="7"/>
      <c r="R394" s="7" t="s">
        <v>2222</v>
      </c>
      <c r="S394" s="141" t="s">
        <v>949</v>
      </c>
      <c r="T394" s="7" t="s">
        <v>2127</v>
      </c>
    </row>
    <row r="395" spans="1:20" hidden="1">
      <c r="A395" s="38">
        <v>250418220145</v>
      </c>
      <c r="B395" s="147" t="s">
        <v>867</v>
      </c>
      <c r="C395" s="3" t="s">
        <v>1917</v>
      </c>
      <c r="D395" s="3" t="s">
        <v>1957</v>
      </c>
      <c r="E395" s="2" t="s">
        <v>2223</v>
      </c>
      <c r="F395" s="2" t="s">
        <v>2124</v>
      </c>
      <c r="G395" s="148"/>
      <c r="H395" s="148"/>
      <c r="J395" s="10" t="s">
        <v>2224</v>
      </c>
      <c r="K395" s="14"/>
      <c r="L395" s="13"/>
      <c r="M395" s="7"/>
      <c r="N395" s="7"/>
      <c r="O395" s="7"/>
      <c r="P395" s="7"/>
      <c r="Q395" s="7"/>
      <c r="R395" s="7" t="s">
        <v>2225</v>
      </c>
      <c r="S395" s="141" t="s">
        <v>949</v>
      </c>
      <c r="T395" s="7" t="s">
        <v>2127</v>
      </c>
    </row>
    <row r="396" spans="1:20" ht="15" hidden="1" customHeight="1">
      <c r="A396" s="38">
        <v>241112000097</v>
      </c>
      <c r="B396" s="147" t="s">
        <v>867</v>
      </c>
      <c r="C396" s="3" t="s">
        <v>1917</v>
      </c>
      <c r="D396" s="3" t="s">
        <v>1957</v>
      </c>
      <c r="E396" s="2" t="s">
        <v>2226</v>
      </c>
      <c r="F396" s="2" t="s">
        <v>2227</v>
      </c>
      <c r="G396" s="148"/>
      <c r="H396" s="148"/>
      <c r="J396" s="1" t="s">
        <v>2228</v>
      </c>
      <c r="K396" s="11"/>
      <c r="L396" s="13" t="s">
        <v>2229</v>
      </c>
      <c r="M396" s="7" t="s">
        <v>2230</v>
      </c>
      <c r="N396" s="7"/>
      <c r="O396" s="7"/>
      <c r="P396" s="7"/>
      <c r="Q396" s="7"/>
      <c r="R396" s="7"/>
      <c r="S396" s="141"/>
      <c r="T396" s="7"/>
    </row>
    <row r="397" spans="1:20" ht="15" hidden="1" customHeight="1">
      <c r="A397" s="38">
        <v>241112000098</v>
      </c>
      <c r="B397" s="147" t="s">
        <v>867</v>
      </c>
      <c r="C397" s="3" t="s">
        <v>1917</v>
      </c>
      <c r="D397" s="3" t="s">
        <v>1957</v>
      </c>
      <c r="E397" s="2" t="s">
        <v>2231</v>
      </c>
      <c r="F397" s="2" t="s">
        <v>2232</v>
      </c>
      <c r="G397" s="148"/>
      <c r="H397" s="148"/>
      <c r="J397" s="1" t="s">
        <v>2233</v>
      </c>
      <c r="K397" s="10"/>
      <c r="L397" s="12" t="s">
        <v>2234</v>
      </c>
      <c r="M397" s="7" t="s">
        <v>2235</v>
      </c>
      <c r="N397" s="7"/>
      <c r="O397" s="7"/>
      <c r="P397" s="7"/>
      <c r="Q397" s="7"/>
      <c r="R397" s="7"/>
      <c r="S397" s="141"/>
      <c r="T397" s="7"/>
    </row>
    <row r="398" spans="1:20" hidden="1">
      <c r="A398" s="38">
        <v>250331114313</v>
      </c>
      <c r="B398" s="147" t="s">
        <v>867</v>
      </c>
      <c r="C398" s="3" t="s">
        <v>1917</v>
      </c>
      <c r="D398" s="3" t="s">
        <v>2236</v>
      </c>
      <c r="E398" s="2" t="s">
        <v>2237</v>
      </c>
      <c r="F398" s="91" t="s">
        <v>2018</v>
      </c>
      <c r="G398" s="148"/>
      <c r="H398" s="148"/>
      <c r="J398" s="10" t="s">
        <v>2238</v>
      </c>
      <c r="K398" s="10"/>
      <c r="L398" s="13"/>
      <c r="M398" s="7"/>
      <c r="N398" s="7"/>
      <c r="O398" s="7"/>
      <c r="P398" s="7"/>
      <c r="Q398" s="7"/>
      <c r="R398" s="7"/>
      <c r="S398" s="141"/>
      <c r="T398" s="7"/>
    </row>
    <row r="399" spans="1:20" ht="14.25" hidden="1" customHeight="1">
      <c r="A399" s="38">
        <v>250410114303</v>
      </c>
      <c r="B399" s="147" t="s">
        <v>867</v>
      </c>
      <c r="C399" s="3" t="s">
        <v>1917</v>
      </c>
      <c r="D399" s="3" t="s">
        <v>2236</v>
      </c>
      <c r="E399" s="2" t="s">
        <v>2239</v>
      </c>
      <c r="F399" s="2" t="s">
        <v>2240</v>
      </c>
      <c r="G399" s="148"/>
      <c r="H399" s="148"/>
      <c r="J399" s="10" t="s">
        <v>2241</v>
      </c>
      <c r="K399" s="14"/>
      <c r="L399" s="13"/>
      <c r="M399" s="7"/>
      <c r="N399" s="7"/>
      <c r="O399" s="7"/>
      <c r="P399" s="7"/>
      <c r="Q399" s="7"/>
      <c r="R399" s="7"/>
      <c r="S399" s="141"/>
      <c r="T399" s="7"/>
    </row>
    <row r="400" spans="1:20" ht="17.25" hidden="1" customHeight="1">
      <c r="A400" s="38">
        <v>250331114312</v>
      </c>
      <c r="B400" s="147" t="s">
        <v>867</v>
      </c>
      <c r="C400" s="3" t="s">
        <v>1917</v>
      </c>
      <c r="D400" s="3" t="s">
        <v>2236</v>
      </c>
      <c r="E400" s="2" t="s">
        <v>2242</v>
      </c>
      <c r="F400" s="91" t="s">
        <v>886</v>
      </c>
      <c r="G400" s="148"/>
      <c r="H400" s="148"/>
      <c r="J400" s="10" t="s">
        <v>2243</v>
      </c>
      <c r="K400" s="10"/>
      <c r="L400" s="13"/>
      <c r="M400" s="7"/>
      <c r="N400" s="7"/>
      <c r="O400" s="7"/>
      <c r="P400" s="7"/>
      <c r="Q400" s="7"/>
      <c r="R400" s="7"/>
      <c r="S400" s="141"/>
      <c r="T400" s="7"/>
    </row>
    <row r="401" spans="1:20" hidden="1">
      <c r="A401" s="38">
        <v>250428141300</v>
      </c>
      <c r="B401" s="156"/>
      <c r="C401" s="3" t="s">
        <v>1917</v>
      </c>
      <c r="D401" s="3" t="s">
        <v>2236</v>
      </c>
      <c r="E401" s="2" t="s">
        <v>2244</v>
      </c>
      <c r="F401" s="2" t="s">
        <v>876</v>
      </c>
      <c r="G401" s="48"/>
      <c r="J401" s="2" t="s">
        <v>2245</v>
      </c>
      <c r="L401" s="157"/>
      <c r="M401" s="157"/>
      <c r="N401" s="157"/>
      <c r="O401" s="157"/>
      <c r="P401" s="157"/>
      <c r="Q401" s="157"/>
      <c r="R401" s="157"/>
      <c r="S401" s="158"/>
      <c r="T401" s="157"/>
    </row>
    <row r="402" spans="1:20" hidden="1">
      <c r="A402" s="38">
        <v>250331114300</v>
      </c>
      <c r="B402" s="147" t="s">
        <v>867</v>
      </c>
      <c r="C402" s="3" t="s">
        <v>1917</v>
      </c>
      <c r="D402" s="3" t="s">
        <v>2236</v>
      </c>
      <c r="E402" s="2" t="s">
        <v>2246</v>
      </c>
      <c r="F402" s="2" t="s">
        <v>886</v>
      </c>
      <c r="G402" s="148"/>
      <c r="H402" s="148"/>
      <c r="J402" s="10" t="s">
        <v>2247</v>
      </c>
      <c r="K402" s="10"/>
      <c r="L402" s="13"/>
      <c r="M402" s="7"/>
      <c r="N402" s="7"/>
      <c r="O402" s="7"/>
      <c r="P402" s="7"/>
      <c r="Q402" s="7"/>
      <c r="R402" s="7"/>
      <c r="S402" s="141"/>
      <c r="T402" s="7"/>
    </row>
    <row r="403" spans="1:20" hidden="1">
      <c r="A403" s="38">
        <v>250430121200</v>
      </c>
      <c r="B403" s="149"/>
      <c r="C403" s="3" t="s">
        <v>1917</v>
      </c>
      <c r="D403" s="3" t="s">
        <v>2236</v>
      </c>
      <c r="E403" s="2" t="s">
        <v>885</v>
      </c>
      <c r="F403" s="2" t="s">
        <v>886</v>
      </c>
      <c r="G403" s="48"/>
      <c r="H403" s="150"/>
      <c r="J403" s="10" t="s">
        <v>2248</v>
      </c>
      <c r="K403" s="14"/>
      <c r="L403" s="13"/>
      <c r="M403" s="7"/>
      <c r="N403" s="7"/>
      <c r="O403" s="7"/>
      <c r="P403" s="7"/>
      <c r="Q403" s="7"/>
      <c r="R403" s="7"/>
      <c r="S403" s="141"/>
      <c r="T403" s="7"/>
    </row>
    <row r="404" spans="1:20" hidden="1">
      <c r="A404" s="38">
        <v>250331121313</v>
      </c>
      <c r="B404" s="147" t="s">
        <v>867</v>
      </c>
      <c r="C404" s="3" t="s">
        <v>1917</v>
      </c>
      <c r="D404" s="3" t="s">
        <v>2249</v>
      </c>
      <c r="E404" s="2" t="s">
        <v>2250</v>
      </c>
      <c r="F404" s="2" t="s">
        <v>1218</v>
      </c>
      <c r="G404" s="148"/>
      <c r="H404" s="148"/>
      <c r="J404" s="1" t="s">
        <v>2251</v>
      </c>
      <c r="K404" s="10"/>
      <c r="L404" s="13"/>
      <c r="M404" s="7"/>
      <c r="N404" s="7"/>
      <c r="O404" s="7"/>
      <c r="P404" s="7"/>
      <c r="Q404" s="7"/>
      <c r="R404" s="7"/>
      <c r="S404" s="141"/>
      <c r="T404" s="7"/>
    </row>
    <row r="405" spans="1:20" hidden="1">
      <c r="A405" s="38">
        <v>241112000099</v>
      </c>
      <c r="B405" s="147" t="s">
        <v>867</v>
      </c>
      <c r="C405" s="3" t="s">
        <v>1917</v>
      </c>
      <c r="D405" s="3" t="s">
        <v>2249</v>
      </c>
      <c r="E405" s="2" t="s">
        <v>2025</v>
      </c>
      <c r="F405" s="2" t="s">
        <v>1071</v>
      </c>
      <c r="G405" s="148"/>
      <c r="H405" s="148"/>
      <c r="J405" s="1" t="s">
        <v>2252</v>
      </c>
      <c r="K405" s="10"/>
      <c r="L405" s="13"/>
      <c r="M405" s="7"/>
      <c r="N405" s="7"/>
      <c r="O405" s="7"/>
      <c r="P405" s="7"/>
      <c r="Q405" s="7"/>
      <c r="R405" s="7"/>
      <c r="S405" s="141"/>
      <c r="T405" s="7"/>
    </row>
    <row r="406" spans="1:20" hidden="1">
      <c r="A406" s="38">
        <v>241112000100</v>
      </c>
      <c r="B406" s="147" t="s">
        <v>867</v>
      </c>
      <c r="C406" s="3" t="s">
        <v>1917</v>
      </c>
      <c r="D406" s="3" t="s">
        <v>2249</v>
      </c>
      <c r="E406" s="2" t="s">
        <v>2253</v>
      </c>
      <c r="F406" s="2" t="s">
        <v>876</v>
      </c>
      <c r="G406" s="148"/>
      <c r="H406" s="148"/>
      <c r="J406" s="1" t="s">
        <v>2254</v>
      </c>
      <c r="K406" s="10"/>
      <c r="L406" s="13"/>
      <c r="M406" s="7"/>
      <c r="N406" s="7"/>
      <c r="O406" s="7"/>
      <c r="P406" s="7"/>
      <c r="Q406" s="7"/>
      <c r="R406" s="7"/>
      <c r="S406" s="141"/>
      <c r="T406" s="7"/>
    </row>
    <row r="407" spans="1:20" ht="17.25" hidden="1" customHeight="1">
      <c r="A407" s="38">
        <v>241112000101</v>
      </c>
      <c r="B407" s="147" t="s">
        <v>867</v>
      </c>
      <c r="C407" s="3" t="s">
        <v>1917</v>
      </c>
      <c r="D407" s="3" t="s">
        <v>2249</v>
      </c>
      <c r="E407" s="2" t="s">
        <v>2255</v>
      </c>
      <c r="F407" s="2" t="s">
        <v>873</v>
      </c>
      <c r="G407" s="148"/>
      <c r="H407" s="148"/>
      <c r="J407" s="1" t="s">
        <v>2256</v>
      </c>
      <c r="K407" s="10"/>
      <c r="L407" s="13"/>
      <c r="M407" s="7"/>
      <c r="N407" s="7"/>
      <c r="O407" s="7"/>
      <c r="P407" s="7"/>
      <c r="Q407" s="7"/>
      <c r="R407" s="7"/>
      <c r="S407" s="141"/>
      <c r="T407" s="7"/>
    </row>
    <row r="408" spans="1:20" ht="17.25" hidden="1" customHeight="1">
      <c r="A408" s="38">
        <v>241112000102</v>
      </c>
      <c r="B408" s="147" t="s">
        <v>867</v>
      </c>
      <c r="C408" s="3" t="s">
        <v>1917</v>
      </c>
      <c r="D408" s="3" t="s">
        <v>2249</v>
      </c>
      <c r="E408" s="2" t="s">
        <v>2257</v>
      </c>
      <c r="F408" s="2" t="s">
        <v>873</v>
      </c>
      <c r="G408" s="148"/>
      <c r="H408" s="148"/>
      <c r="J408" s="1" t="s">
        <v>2258</v>
      </c>
      <c r="K408" s="10"/>
      <c r="L408" s="13"/>
      <c r="M408" s="7"/>
      <c r="N408" s="7"/>
      <c r="O408" s="7"/>
      <c r="P408" s="7"/>
      <c r="Q408" s="7"/>
      <c r="R408" s="7"/>
      <c r="S408" s="141"/>
      <c r="T408" s="7"/>
    </row>
    <row r="409" spans="1:20" hidden="1">
      <c r="A409" s="38">
        <v>241112000103</v>
      </c>
      <c r="B409" s="147" t="s">
        <v>867</v>
      </c>
      <c r="C409" s="3" t="s">
        <v>1917</v>
      </c>
      <c r="D409" s="3" t="s">
        <v>2249</v>
      </c>
      <c r="E409" s="2" t="s">
        <v>2259</v>
      </c>
      <c r="F409" s="2" t="s">
        <v>1155</v>
      </c>
      <c r="G409" s="148"/>
      <c r="H409" s="148"/>
      <c r="J409" s="1" t="s">
        <v>2260</v>
      </c>
      <c r="K409" s="10"/>
      <c r="L409" s="13"/>
      <c r="M409" s="7"/>
      <c r="N409" s="7"/>
      <c r="O409" s="7"/>
      <c r="P409" s="7"/>
      <c r="Q409" s="7"/>
      <c r="R409" s="7"/>
      <c r="S409" s="141"/>
      <c r="T409" s="7"/>
    </row>
    <row r="410" spans="1:20" ht="14.25" hidden="1" customHeight="1">
      <c r="A410" s="38">
        <v>241112000104</v>
      </c>
      <c r="B410" s="147" t="s">
        <v>867</v>
      </c>
      <c r="C410" s="3" t="s">
        <v>1917</v>
      </c>
      <c r="D410" s="3" t="s">
        <v>2249</v>
      </c>
      <c r="E410" s="2" t="s">
        <v>2261</v>
      </c>
      <c r="F410" s="2" t="s">
        <v>873</v>
      </c>
      <c r="G410" s="148"/>
      <c r="H410" s="148"/>
      <c r="J410" s="1" t="s">
        <v>2262</v>
      </c>
      <c r="K410" s="10"/>
      <c r="L410" s="13"/>
      <c r="M410" s="7"/>
      <c r="N410" s="7"/>
      <c r="O410" s="7"/>
      <c r="P410" s="7"/>
      <c r="Q410" s="7"/>
      <c r="R410" s="7"/>
      <c r="S410" s="141"/>
      <c r="T410" s="7"/>
    </row>
    <row r="411" spans="1:20" ht="16.5" hidden="1" customHeight="1">
      <c r="A411" s="38">
        <v>241112000105</v>
      </c>
      <c r="B411" s="147" t="s">
        <v>867</v>
      </c>
      <c r="C411" s="3" t="s">
        <v>1917</v>
      </c>
      <c r="D411" s="3" t="s">
        <v>2249</v>
      </c>
      <c r="E411" s="2" t="s">
        <v>2263</v>
      </c>
      <c r="F411" s="2" t="s">
        <v>1521</v>
      </c>
      <c r="G411" s="148"/>
      <c r="H411" s="148"/>
      <c r="J411" s="1" t="s">
        <v>2264</v>
      </c>
      <c r="K411" s="10"/>
      <c r="L411" s="13"/>
      <c r="M411" s="7"/>
      <c r="N411" s="7"/>
      <c r="O411" s="7"/>
      <c r="P411" s="7"/>
      <c r="Q411" s="7"/>
      <c r="R411" s="7"/>
      <c r="S411" s="141"/>
      <c r="T411" s="7"/>
    </row>
    <row r="412" spans="1:20" hidden="1">
      <c r="A412" s="38">
        <v>241112000106</v>
      </c>
      <c r="B412" s="147" t="s">
        <v>867</v>
      </c>
      <c r="C412" s="3" t="s">
        <v>1917</v>
      </c>
      <c r="D412" s="3" t="s">
        <v>2249</v>
      </c>
      <c r="E412" s="2" t="s">
        <v>1942</v>
      </c>
      <c r="F412" s="2" t="s">
        <v>1789</v>
      </c>
      <c r="G412" s="148"/>
      <c r="H412" s="148"/>
      <c r="J412" s="1" t="s">
        <v>2265</v>
      </c>
      <c r="K412" s="10"/>
      <c r="L412" s="13" t="s">
        <v>2266</v>
      </c>
      <c r="M412" s="7" t="s">
        <v>2267</v>
      </c>
      <c r="N412" s="7"/>
      <c r="O412" s="7"/>
      <c r="P412" s="7"/>
      <c r="Q412" s="7"/>
      <c r="R412" s="7"/>
      <c r="S412" s="141"/>
      <c r="T412" s="7"/>
    </row>
    <row r="413" spans="1:20" hidden="1">
      <c r="A413" s="38">
        <v>250220103205</v>
      </c>
      <c r="B413" s="147" t="s">
        <v>867</v>
      </c>
      <c r="C413" s="3" t="s">
        <v>1917</v>
      </c>
      <c r="D413" s="3" t="s">
        <v>2249</v>
      </c>
      <c r="E413" t="s">
        <v>2268</v>
      </c>
      <c r="F413" s="2" t="s">
        <v>1071</v>
      </c>
      <c r="G413" s="148"/>
      <c r="H413" s="148"/>
      <c r="J413" s="1" t="s">
        <v>2269</v>
      </c>
      <c r="K413" s="14"/>
      <c r="L413" s="13"/>
      <c r="M413" s="7" t="s">
        <v>2270</v>
      </c>
      <c r="N413" s="7"/>
      <c r="O413" s="7"/>
      <c r="P413" s="7"/>
      <c r="Q413" s="7" t="s">
        <v>2271</v>
      </c>
      <c r="R413" s="7"/>
      <c r="S413" s="141"/>
      <c r="T413" s="7"/>
    </row>
    <row r="414" spans="1:20" hidden="1">
      <c r="A414" s="38">
        <v>250220103206</v>
      </c>
      <c r="B414" s="147" t="s">
        <v>867</v>
      </c>
      <c r="C414" s="3" t="s">
        <v>1917</v>
      </c>
      <c r="D414" s="3" t="s">
        <v>2249</v>
      </c>
      <c r="E414" t="s">
        <v>2272</v>
      </c>
      <c r="F414" s="2" t="s">
        <v>1029</v>
      </c>
      <c r="G414" s="148"/>
      <c r="H414" s="148"/>
      <c r="J414" s="1" t="s">
        <v>2273</v>
      </c>
      <c r="K414" s="14"/>
      <c r="L414" s="13"/>
      <c r="M414" s="7" t="s">
        <v>2274</v>
      </c>
      <c r="N414" s="7"/>
      <c r="O414" s="7"/>
      <c r="P414" s="7"/>
      <c r="Q414" s="7" t="s">
        <v>2275</v>
      </c>
      <c r="R414" s="7"/>
      <c r="S414" s="141"/>
      <c r="T414" s="7"/>
    </row>
    <row r="415" spans="1:20" hidden="1">
      <c r="A415" s="38">
        <v>250220103207</v>
      </c>
      <c r="B415" s="147" t="s">
        <v>867</v>
      </c>
      <c r="C415" s="3" t="s">
        <v>1917</v>
      </c>
      <c r="D415" s="3" t="s">
        <v>2249</v>
      </c>
      <c r="E415" t="s">
        <v>2276</v>
      </c>
      <c r="F415" s="2" t="s">
        <v>1029</v>
      </c>
      <c r="G415" s="148"/>
      <c r="H415" s="148"/>
      <c r="J415" s="1" t="s">
        <v>2277</v>
      </c>
      <c r="K415" s="14"/>
      <c r="L415" s="13"/>
      <c r="M415" s="7" t="s">
        <v>2278</v>
      </c>
      <c r="N415" s="7"/>
      <c r="O415" s="7"/>
      <c r="P415" s="7"/>
      <c r="Q415" s="7" t="s">
        <v>2279</v>
      </c>
      <c r="R415" s="7"/>
      <c r="S415" s="141"/>
      <c r="T415" s="7"/>
    </row>
    <row r="416" spans="1:20" hidden="1">
      <c r="A416" s="38">
        <v>250401134500</v>
      </c>
      <c r="B416" s="147" t="s">
        <v>867</v>
      </c>
      <c r="C416" s="3" t="s">
        <v>1917</v>
      </c>
      <c r="D416" s="3" t="s">
        <v>2280</v>
      </c>
      <c r="E416" s="2" t="s">
        <v>2281</v>
      </c>
      <c r="F416" s="2" t="s">
        <v>2282</v>
      </c>
      <c r="G416" s="148"/>
      <c r="H416" s="148"/>
      <c r="J416" s="10" t="s">
        <v>2283</v>
      </c>
      <c r="K416" s="14"/>
      <c r="L416" s="13"/>
      <c r="M416" s="7"/>
      <c r="N416" s="7"/>
      <c r="O416" s="7"/>
      <c r="P416" s="7"/>
      <c r="Q416" s="7"/>
      <c r="R416" s="7"/>
      <c r="S416" s="141"/>
      <c r="T416" s="7"/>
    </row>
    <row r="417" spans="1:20" hidden="1">
      <c r="A417" s="38">
        <v>241112000109</v>
      </c>
      <c r="B417" s="147" t="s">
        <v>867</v>
      </c>
      <c r="C417" s="3" t="s">
        <v>1917</v>
      </c>
      <c r="D417" s="3" t="s">
        <v>2280</v>
      </c>
      <c r="E417" s="2" t="s">
        <v>2284</v>
      </c>
      <c r="F417" s="2" t="s">
        <v>2285</v>
      </c>
      <c r="G417" s="148"/>
      <c r="H417" s="148"/>
      <c r="J417" s="1" t="s">
        <v>2286</v>
      </c>
      <c r="K417" s="10"/>
      <c r="L417" s="13" t="s">
        <v>2287</v>
      </c>
      <c r="M417" s="7" t="s">
        <v>2288</v>
      </c>
      <c r="N417" s="7"/>
      <c r="O417" s="7"/>
      <c r="P417" s="7"/>
      <c r="Q417" s="7"/>
      <c r="R417" s="7"/>
      <c r="S417" s="141"/>
      <c r="T417" s="7"/>
    </row>
    <row r="418" spans="1:20" hidden="1">
      <c r="A418" s="38">
        <v>250324112200</v>
      </c>
      <c r="B418" s="147" t="s">
        <v>867</v>
      </c>
      <c r="C418" s="3" t="s">
        <v>1917</v>
      </c>
      <c r="D418" s="3" t="s">
        <v>2280</v>
      </c>
      <c r="E418" s="2" t="s">
        <v>2289</v>
      </c>
      <c r="F418" s="2" t="s">
        <v>2290</v>
      </c>
      <c r="G418" s="148"/>
      <c r="H418" s="148"/>
      <c r="J418" s="10" t="s">
        <v>2291</v>
      </c>
      <c r="K418" s="14"/>
      <c r="L418" s="13"/>
      <c r="M418" s="7"/>
      <c r="N418" s="7"/>
      <c r="O418" s="7"/>
      <c r="P418" s="7"/>
      <c r="Q418" s="7"/>
      <c r="R418" s="7"/>
      <c r="S418" s="141"/>
      <c r="T418" s="7"/>
    </row>
    <row r="419" spans="1:20" hidden="1">
      <c r="A419" s="38">
        <v>250324111900</v>
      </c>
      <c r="B419" s="147" t="s">
        <v>867</v>
      </c>
      <c r="C419" s="3" t="s">
        <v>1917</v>
      </c>
      <c r="D419" s="3" t="s">
        <v>2280</v>
      </c>
      <c r="E419" s="2" t="s">
        <v>2292</v>
      </c>
      <c r="F419" s="2" t="s">
        <v>2293</v>
      </c>
      <c r="G419" s="148"/>
      <c r="H419" s="148"/>
      <c r="J419" s="10" t="s">
        <v>2294</v>
      </c>
      <c r="K419" s="14"/>
      <c r="L419" s="13"/>
      <c r="M419" s="7"/>
      <c r="N419" s="7"/>
      <c r="O419" s="7"/>
      <c r="P419" s="7"/>
      <c r="Q419" s="7"/>
      <c r="R419" s="7"/>
      <c r="S419" s="141"/>
      <c r="T419" s="7"/>
    </row>
    <row r="420" spans="1:20" hidden="1">
      <c r="A420" s="38">
        <v>250324114000</v>
      </c>
      <c r="B420" s="147" t="s">
        <v>867</v>
      </c>
      <c r="C420" s="3" t="s">
        <v>1917</v>
      </c>
      <c r="D420" s="3" t="s">
        <v>2280</v>
      </c>
      <c r="E420" s="2" t="s">
        <v>2295</v>
      </c>
      <c r="F420" s="2" t="s">
        <v>1713</v>
      </c>
      <c r="G420" s="148"/>
      <c r="H420" s="148"/>
      <c r="J420" s="10" t="s">
        <v>2296</v>
      </c>
      <c r="K420" s="14"/>
      <c r="L420" s="13"/>
      <c r="M420" s="7"/>
      <c r="N420" s="7"/>
      <c r="O420" s="7"/>
      <c r="P420" s="7"/>
      <c r="Q420" s="7"/>
      <c r="R420" s="7"/>
      <c r="S420" s="141"/>
      <c r="T420" s="7"/>
    </row>
    <row r="421" spans="1:20" hidden="1">
      <c r="A421" s="38">
        <v>241112000110</v>
      </c>
      <c r="B421" s="147" t="s">
        <v>867</v>
      </c>
      <c r="C421" s="3" t="s">
        <v>1917</v>
      </c>
      <c r="D421" s="3" t="s">
        <v>2280</v>
      </c>
      <c r="E421" s="2" t="s">
        <v>2297</v>
      </c>
      <c r="F421" s="2" t="s">
        <v>912</v>
      </c>
      <c r="G421" s="148"/>
      <c r="H421" s="148"/>
      <c r="J421" s="1" t="s">
        <v>2298</v>
      </c>
      <c r="K421" s="10" t="s">
        <v>2299</v>
      </c>
      <c r="L421" s="13" t="s">
        <v>2300</v>
      </c>
      <c r="M421" s="7"/>
      <c r="N421" s="7"/>
      <c r="O421" s="7"/>
      <c r="P421" s="7"/>
      <c r="Q421" s="7"/>
      <c r="R421" s="7"/>
      <c r="S421" s="141"/>
      <c r="T421" s="7"/>
    </row>
    <row r="422" spans="1:20" hidden="1">
      <c r="A422" s="38">
        <v>241112000111</v>
      </c>
      <c r="B422" s="147" t="s">
        <v>867</v>
      </c>
      <c r="C422" s="3" t="s">
        <v>1917</v>
      </c>
      <c r="D422" s="3" t="s">
        <v>2280</v>
      </c>
      <c r="E422" s="2" t="s">
        <v>2301</v>
      </c>
      <c r="F422" s="2" t="s">
        <v>2302</v>
      </c>
      <c r="G422" s="148"/>
      <c r="H422" s="148"/>
      <c r="J422" s="1" t="s">
        <v>2303</v>
      </c>
      <c r="K422" s="10" t="s">
        <v>2304</v>
      </c>
      <c r="L422" s="13" t="s">
        <v>2305</v>
      </c>
      <c r="M422" s="7" t="s">
        <v>2306</v>
      </c>
      <c r="N422" s="7" t="s">
        <v>2307</v>
      </c>
      <c r="O422" s="7"/>
      <c r="P422" s="7"/>
      <c r="Q422" s="7"/>
      <c r="R422" s="7"/>
      <c r="S422" s="141"/>
      <c r="T422" s="7"/>
    </row>
    <row r="423" spans="1:20" hidden="1">
      <c r="A423" s="38">
        <v>241112000112</v>
      </c>
      <c r="B423" s="147" t="s">
        <v>867</v>
      </c>
      <c r="C423" s="3" t="s">
        <v>1917</v>
      </c>
      <c r="D423" s="3" t="s">
        <v>2280</v>
      </c>
      <c r="E423" s="2" t="s">
        <v>2308</v>
      </c>
      <c r="F423" s="2" t="s">
        <v>2309</v>
      </c>
      <c r="G423" s="148"/>
      <c r="H423" s="148"/>
      <c r="J423" s="1" t="s">
        <v>2310</v>
      </c>
      <c r="K423" s="10" t="s">
        <v>2311</v>
      </c>
      <c r="L423" s="65"/>
      <c r="M423" s="7"/>
      <c r="N423" s="7"/>
      <c r="O423" s="7"/>
      <c r="P423" s="7"/>
      <c r="Q423" s="7"/>
      <c r="R423" s="7"/>
      <c r="S423" s="141"/>
      <c r="T423" s="7"/>
    </row>
    <row r="424" spans="1:20" hidden="1">
      <c r="A424" s="38">
        <v>250408114900</v>
      </c>
      <c r="B424" s="147" t="s">
        <v>867</v>
      </c>
      <c r="C424" s="3" t="s">
        <v>1917</v>
      </c>
      <c r="D424" s="3" t="s">
        <v>2280</v>
      </c>
      <c r="E424" s="2" t="s">
        <v>2312</v>
      </c>
      <c r="F424" s="2" t="s">
        <v>2313</v>
      </c>
      <c r="G424" s="148"/>
      <c r="H424" s="148"/>
      <c r="J424" s="1" t="s">
        <v>2314</v>
      </c>
      <c r="K424" s="14"/>
      <c r="L424" s="13"/>
      <c r="M424" s="7"/>
      <c r="N424" s="7"/>
      <c r="O424" s="7"/>
      <c r="P424" s="7"/>
      <c r="Q424" s="7"/>
      <c r="R424" s="7"/>
      <c r="S424" s="141"/>
      <c r="T424" s="7"/>
    </row>
    <row r="425" spans="1:20" hidden="1">
      <c r="A425" s="38">
        <v>241112000113</v>
      </c>
      <c r="B425" s="147" t="s">
        <v>867</v>
      </c>
      <c r="C425" s="3" t="s">
        <v>1917</v>
      </c>
      <c r="D425" s="3" t="s">
        <v>2280</v>
      </c>
      <c r="E425" s="2" t="s">
        <v>2315</v>
      </c>
      <c r="F425" s="2" t="s">
        <v>912</v>
      </c>
      <c r="G425" s="148"/>
      <c r="H425" s="148"/>
      <c r="J425" s="1" t="s">
        <v>2316</v>
      </c>
      <c r="K425" s="10" t="s">
        <v>2299</v>
      </c>
      <c r="L425" s="13" t="s">
        <v>2300</v>
      </c>
      <c r="M425" s="7"/>
      <c r="N425" s="7"/>
      <c r="O425" s="7"/>
      <c r="P425" s="7"/>
      <c r="Q425" s="7"/>
      <c r="R425" s="7"/>
      <c r="S425" s="141"/>
      <c r="T425" s="7"/>
    </row>
    <row r="426" spans="1:20" hidden="1">
      <c r="A426" s="38">
        <v>241112000114</v>
      </c>
      <c r="B426" s="147" t="s">
        <v>867</v>
      </c>
      <c r="C426" s="3" t="s">
        <v>1917</v>
      </c>
      <c r="D426" s="3" t="s">
        <v>2280</v>
      </c>
      <c r="E426" s="2" t="s">
        <v>2317</v>
      </c>
      <c r="F426" s="2" t="s">
        <v>912</v>
      </c>
      <c r="G426" s="148"/>
      <c r="H426" s="148"/>
      <c r="J426" s="1" t="s">
        <v>2318</v>
      </c>
      <c r="K426" s="10" t="s">
        <v>2299</v>
      </c>
      <c r="L426" s="13" t="s">
        <v>2300</v>
      </c>
      <c r="M426" s="7"/>
      <c r="N426" s="7"/>
      <c r="O426" s="7"/>
      <c r="P426" s="7"/>
      <c r="Q426" s="7"/>
      <c r="R426" s="7"/>
      <c r="S426" s="141"/>
      <c r="T426" s="7"/>
    </row>
    <row r="427" spans="1:20" ht="16.5" hidden="1" customHeight="1">
      <c r="A427" s="38">
        <v>250317124402</v>
      </c>
      <c r="B427" s="147" t="s">
        <v>867</v>
      </c>
      <c r="C427" s="3" t="s">
        <v>1917</v>
      </c>
      <c r="D427" s="3" t="s">
        <v>2280</v>
      </c>
      <c r="E427" s="2" t="s">
        <v>2319</v>
      </c>
      <c r="F427" s="2" t="s">
        <v>912</v>
      </c>
      <c r="G427" s="148"/>
      <c r="H427" s="148"/>
      <c r="J427" s="10" t="s">
        <v>2320</v>
      </c>
      <c r="K427" s="14"/>
      <c r="L427" s="13"/>
      <c r="M427" s="7"/>
      <c r="N427" s="7"/>
      <c r="O427" s="7"/>
      <c r="P427" s="7"/>
      <c r="Q427" s="7"/>
      <c r="R427" s="7"/>
      <c r="S427" s="141"/>
      <c r="T427" s="7"/>
    </row>
    <row r="428" spans="1:20" hidden="1">
      <c r="A428" s="38">
        <v>250428082400</v>
      </c>
      <c r="B428" s="149"/>
      <c r="C428" s="3" t="s">
        <v>1917</v>
      </c>
      <c r="D428" s="3" t="s">
        <v>2280</v>
      </c>
      <c r="E428" s="2" t="s">
        <v>2321</v>
      </c>
      <c r="F428" s="2" t="s">
        <v>2322</v>
      </c>
      <c r="G428" s="48"/>
      <c r="H428" s="150"/>
      <c r="J428" s="10" t="s">
        <v>2323</v>
      </c>
      <c r="K428" s="14"/>
      <c r="L428" s="13"/>
      <c r="M428" s="7"/>
      <c r="N428" s="7"/>
      <c r="O428" s="7"/>
      <c r="P428" s="7"/>
      <c r="Q428" s="7"/>
      <c r="R428" s="7"/>
      <c r="S428" s="141"/>
      <c r="T428" s="7"/>
    </row>
    <row r="429" spans="1:20" ht="15" hidden="1" customHeight="1">
      <c r="A429" s="38">
        <v>250428082300</v>
      </c>
      <c r="B429" s="149"/>
      <c r="C429" s="3" t="s">
        <v>1917</v>
      </c>
      <c r="D429" s="3" t="s">
        <v>2280</v>
      </c>
      <c r="E429" s="2" t="s">
        <v>2324</v>
      </c>
      <c r="F429" s="2" t="s">
        <v>912</v>
      </c>
      <c r="G429" s="48"/>
      <c r="H429" s="150"/>
      <c r="J429" s="10" t="s">
        <v>2325</v>
      </c>
      <c r="K429" s="14"/>
      <c r="L429" s="13"/>
      <c r="M429" s="7"/>
      <c r="N429" s="7"/>
      <c r="O429" s="7"/>
      <c r="P429" s="7"/>
      <c r="Q429" s="7"/>
      <c r="R429" s="7"/>
      <c r="S429" s="141"/>
      <c r="T429" s="7"/>
    </row>
    <row r="430" spans="1:20" ht="16.5" hidden="1" customHeight="1">
      <c r="A430" s="38">
        <v>241112000116</v>
      </c>
      <c r="B430" s="147" t="s">
        <v>867</v>
      </c>
      <c r="C430" s="3" t="s">
        <v>1917</v>
      </c>
      <c r="D430" s="3" t="s">
        <v>2280</v>
      </c>
      <c r="E430" s="2" t="s">
        <v>2326</v>
      </c>
      <c r="F430" s="2" t="s">
        <v>912</v>
      </c>
      <c r="G430" s="148"/>
      <c r="H430" s="148"/>
      <c r="J430" s="1" t="s">
        <v>2327</v>
      </c>
      <c r="K430" s="10" t="s">
        <v>2299</v>
      </c>
      <c r="L430" s="13" t="s">
        <v>2300</v>
      </c>
      <c r="M430" s="7"/>
      <c r="N430" s="7"/>
      <c r="O430" s="7"/>
      <c r="P430" s="7"/>
      <c r="Q430" s="7"/>
      <c r="R430" s="7"/>
      <c r="S430" s="141"/>
      <c r="T430" s="7"/>
    </row>
    <row r="431" spans="1:20" hidden="1">
      <c r="A431" s="38">
        <v>250408114000</v>
      </c>
      <c r="B431" s="147" t="s">
        <v>867</v>
      </c>
      <c r="C431" s="3" t="s">
        <v>1917</v>
      </c>
      <c r="D431" s="3" t="s">
        <v>2280</v>
      </c>
      <c r="E431" s="2" t="s">
        <v>2328</v>
      </c>
      <c r="F431" s="2" t="s">
        <v>2329</v>
      </c>
      <c r="G431" s="148"/>
      <c r="H431" s="148"/>
      <c r="J431" s="1" t="s">
        <v>2330</v>
      </c>
      <c r="K431" s="10"/>
      <c r="L431" s="13"/>
      <c r="M431" s="7"/>
      <c r="N431" s="7"/>
      <c r="O431" s="7"/>
      <c r="P431" s="7"/>
      <c r="Q431" s="7"/>
      <c r="R431" s="7"/>
      <c r="S431" s="141"/>
      <c r="T431" s="7"/>
    </row>
    <row r="432" spans="1:20" hidden="1">
      <c r="A432" s="38">
        <v>241112000117</v>
      </c>
      <c r="B432" s="147" t="s">
        <v>867</v>
      </c>
      <c r="C432" s="3" t="s">
        <v>1917</v>
      </c>
      <c r="D432" s="3" t="s">
        <v>2280</v>
      </c>
      <c r="E432" s="2" t="s">
        <v>2331</v>
      </c>
      <c r="F432" s="2" t="s">
        <v>2332</v>
      </c>
      <c r="G432" s="148"/>
      <c r="H432" s="148"/>
      <c r="J432" s="1" t="s">
        <v>2333</v>
      </c>
      <c r="K432" s="10" t="s">
        <v>2334</v>
      </c>
      <c r="L432" s="13" t="s">
        <v>2335</v>
      </c>
      <c r="M432" s="7" t="s">
        <v>2336</v>
      </c>
      <c r="N432" s="7"/>
      <c r="O432" s="7"/>
      <c r="P432" s="7"/>
      <c r="Q432" s="7"/>
      <c r="R432" s="7"/>
      <c r="S432" s="141"/>
      <c r="T432" s="7"/>
    </row>
    <row r="433" spans="1:20" hidden="1">
      <c r="A433" s="38">
        <v>241112000118</v>
      </c>
      <c r="B433" s="147" t="s">
        <v>867</v>
      </c>
      <c r="C433" s="3" t="s">
        <v>1917</v>
      </c>
      <c r="D433" s="3" t="s">
        <v>2280</v>
      </c>
      <c r="E433" s="2" t="s">
        <v>2337</v>
      </c>
      <c r="F433" s="2" t="s">
        <v>2338</v>
      </c>
      <c r="G433" s="148"/>
      <c r="H433" s="148"/>
      <c r="J433" s="1" t="s">
        <v>2339</v>
      </c>
      <c r="K433" s="10" t="s">
        <v>2340</v>
      </c>
      <c r="L433" s="13" t="s">
        <v>2300</v>
      </c>
      <c r="M433" s="7"/>
      <c r="N433" s="7"/>
      <c r="O433" s="7"/>
      <c r="P433" s="7"/>
      <c r="Q433" s="7"/>
      <c r="R433" s="7"/>
      <c r="S433" s="141"/>
      <c r="T433" s="7"/>
    </row>
    <row r="434" spans="1:20" hidden="1">
      <c r="A434" s="38">
        <v>241112000119</v>
      </c>
      <c r="B434" s="147" t="s">
        <v>867</v>
      </c>
      <c r="C434" s="3" t="s">
        <v>1917</v>
      </c>
      <c r="D434" s="3" t="s">
        <v>2280</v>
      </c>
      <c r="E434" s="2" t="s">
        <v>2341</v>
      </c>
      <c r="F434" s="2" t="s">
        <v>2342</v>
      </c>
      <c r="G434" s="148"/>
      <c r="H434" s="148"/>
      <c r="J434" s="1" t="s">
        <v>2343</v>
      </c>
      <c r="K434" s="10"/>
      <c r="L434" s="13" t="s">
        <v>2344</v>
      </c>
      <c r="M434" s="7"/>
      <c r="N434" s="7"/>
      <c r="O434" s="7"/>
      <c r="P434" s="7"/>
      <c r="Q434" s="7"/>
      <c r="R434" s="7"/>
      <c r="S434" s="141"/>
      <c r="T434" s="7"/>
    </row>
    <row r="435" spans="1:20" hidden="1">
      <c r="A435" s="38">
        <v>241112000120</v>
      </c>
      <c r="B435" s="147" t="s">
        <v>867</v>
      </c>
      <c r="C435" s="3" t="s">
        <v>1917</v>
      </c>
      <c r="D435" s="3" t="s">
        <v>2280</v>
      </c>
      <c r="E435" s="3" t="s">
        <v>2317</v>
      </c>
      <c r="F435" s="2" t="s">
        <v>2345</v>
      </c>
      <c r="G435" s="148"/>
      <c r="H435" s="148"/>
      <c r="J435" s="1" t="s">
        <v>2346</v>
      </c>
      <c r="K435" s="10"/>
      <c r="L435" s="13" t="s">
        <v>2347</v>
      </c>
      <c r="M435" s="7" t="s">
        <v>2348</v>
      </c>
      <c r="N435" s="7"/>
      <c r="O435" s="7"/>
      <c r="P435" s="7"/>
      <c r="Q435" s="7"/>
      <c r="R435" s="7"/>
      <c r="S435" s="141"/>
      <c r="T435" s="7"/>
    </row>
    <row r="436" spans="1:20" hidden="1">
      <c r="A436" s="38">
        <v>241112000123</v>
      </c>
      <c r="B436" s="147" t="s">
        <v>867</v>
      </c>
      <c r="C436" s="3" t="s">
        <v>1917</v>
      </c>
      <c r="D436" s="3" t="s">
        <v>2280</v>
      </c>
      <c r="E436" s="2" t="s">
        <v>2349</v>
      </c>
      <c r="F436" s="2" t="s">
        <v>2350</v>
      </c>
      <c r="G436" s="148"/>
      <c r="H436" s="148"/>
      <c r="J436" s="1" t="s">
        <v>2351</v>
      </c>
      <c r="K436" s="10" t="s">
        <v>2352</v>
      </c>
      <c r="L436" s="13" t="s">
        <v>2353</v>
      </c>
      <c r="M436" s="7" t="s">
        <v>2354</v>
      </c>
      <c r="N436" s="7"/>
      <c r="O436" s="7"/>
      <c r="P436" s="7"/>
      <c r="Q436" s="7"/>
      <c r="R436" s="7"/>
      <c r="S436" s="141"/>
      <c r="T436" s="7"/>
    </row>
    <row r="437" spans="1:20">
      <c r="A437" s="38">
        <v>241112000124</v>
      </c>
      <c r="B437" s="147" t="s">
        <v>867</v>
      </c>
      <c r="C437" s="3" t="s">
        <v>1917</v>
      </c>
      <c r="D437" s="3" t="s">
        <v>2280</v>
      </c>
      <c r="E437" s="2" t="s">
        <v>2355</v>
      </c>
      <c r="F437" s="2" t="s">
        <v>2356</v>
      </c>
      <c r="G437" s="148"/>
      <c r="H437" s="148"/>
      <c r="J437" s="1" t="s">
        <v>2357</v>
      </c>
      <c r="K437" s="10" t="s">
        <v>2358</v>
      </c>
      <c r="L437" s="13" t="s">
        <v>2359</v>
      </c>
      <c r="M437" s="7" t="s">
        <v>2360</v>
      </c>
      <c r="N437" s="7" t="s">
        <v>2361</v>
      </c>
      <c r="O437" s="7"/>
      <c r="P437" s="7"/>
      <c r="Q437" s="7"/>
      <c r="R437" s="7"/>
      <c r="S437" s="141"/>
      <c r="T437" s="7"/>
    </row>
    <row r="438" spans="1:20" hidden="1">
      <c r="A438" s="38">
        <v>250324114800</v>
      </c>
      <c r="B438" s="147" t="s">
        <v>867</v>
      </c>
      <c r="C438" s="3" t="s">
        <v>1917</v>
      </c>
      <c r="D438" s="3" t="s">
        <v>2280</v>
      </c>
      <c r="E438" s="2" t="s">
        <v>2362</v>
      </c>
      <c r="F438" s="2" t="s">
        <v>1394</v>
      </c>
      <c r="G438" s="148"/>
      <c r="H438" s="148"/>
      <c r="J438" s="10" t="s">
        <v>2363</v>
      </c>
      <c r="K438" s="14"/>
      <c r="L438" s="13"/>
      <c r="M438" s="7"/>
      <c r="N438" s="7"/>
      <c r="O438" s="7"/>
      <c r="P438" s="7"/>
      <c r="Q438" s="7"/>
      <c r="R438" s="7"/>
      <c r="S438" s="141"/>
      <c r="T438" s="7"/>
    </row>
    <row r="439" spans="1:20" hidden="1">
      <c r="A439" s="38">
        <v>250324114700</v>
      </c>
      <c r="B439" s="147" t="s">
        <v>867</v>
      </c>
      <c r="C439" s="3" t="s">
        <v>1917</v>
      </c>
      <c r="D439" s="3" t="s">
        <v>2280</v>
      </c>
      <c r="E439" s="2" t="s">
        <v>2364</v>
      </c>
      <c r="F439" s="2" t="s">
        <v>1394</v>
      </c>
      <c r="G439" s="148"/>
      <c r="H439" s="148"/>
      <c r="J439" s="10" t="s">
        <v>2365</v>
      </c>
      <c r="K439" s="14"/>
      <c r="L439" s="13"/>
      <c r="M439" s="7"/>
      <c r="N439" s="7"/>
      <c r="O439" s="7"/>
      <c r="P439" s="7"/>
      <c r="Q439" s="7"/>
      <c r="R439" s="7"/>
      <c r="S439" s="141"/>
      <c r="T439" s="7"/>
    </row>
    <row r="440" spans="1:20" hidden="1">
      <c r="A440" s="38">
        <v>250428082200</v>
      </c>
      <c r="B440" s="149"/>
      <c r="C440" s="3" t="s">
        <v>1917</v>
      </c>
      <c r="D440" s="3" t="s">
        <v>2280</v>
      </c>
      <c r="E440" s="2" t="s">
        <v>2366</v>
      </c>
      <c r="F440" s="2" t="s">
        <v>912</v>
      </c>
      <c r="G440" s="48"/>
      <c r="H440" s="150"/>
      <c r="J440" s="10" t="s">
        <v>2367</v>
      </c>
      <c r="K440" s="14"/>
      <c r="L440" s="13"/>
      <c r="M440" s="7"/>
      <c r="N440" s="7"/>
      <c r="O440" s="7"/>
      <c r="P440" s="7"/>
      <c r="Q440" s="7"/>
      <c r="R440" s="7"/>
      <c r="S440" s="141"/>
      <c r="T440" s="7"/>
    </row>
    <row r="441" spans="1:20" hidden="1">
      <c r="A441" s="38">
        <v>241112000130</v>
      </c>
      <c r="B441" s="147" t="s">
        <v>867</v>
      </c>
      <c r="C441" s="3" t="s">
        <v>1917</v>
      </c>
      <c r="D441" s="3" t="s">
        <v>2280</v>
      </c>
      <c r="E441" s="2" t="s">
        <v>2368</v>
      </c>
      <c r="F441" s="2" t="s">
        <v>2332</v>
      </c>
      <c r="G441" s="148"/>
      <c r="H441" s="148"/>
      <c r="J441" s="1" t="s">
        <v>2369</v>
      </c>
      <c r="K441" s="10"/>
      <c r="L441" s="13" t="s">
        <v>2370</v>
      </c>
      <c r="M441" s="7" t="s">
        <v>2371</v>
      </c>
      <c r="N441" s="7"/>
      <c r="O441" s="7"/>
      <c r="P441" s="7"/>
      <c r="Q441" s="7"/>
      <c r="R441" s="7"/>
      <c r="S441" s="141"/>
      <c r="T441" s="7"/>
    </row>
    <row r="442" spans="1:20" hidden="1">
      <c r="A442" s="38">
        <v>250428082500</v>
      </c>
      <c r="B442" s="149"/>
      <c r="C442" s="3" t="s">
        <v>1917</v>
      </c>
      <c r="D442" s="3" t="s">
        <v>2280</v>
      </c>
      <c r="E442" s="2" t="s">
        <v>2372</v>
      </c>
      <c r="F442" s="2" t="s">
        <v>2373</v>
      </c>
      <c r="G442" s="48"/>
      <c r="H442" s="150"/>
      <c r="J442" s="10" t="s">
        <v>2374</v>
      </c>
      <c r="K442" s="14"/>
      <c r="L442" s="13"/>
      <c r="M442" s="7"/>
      <c r="N442" s="7"/>
      <c r="O442" s="7"/>
      <c r="P442" s="7"/>
      <c r="Q442" s="7"/>
      <c r="R442" s="7"/>
      <c r="S442" s="141"/>
      <c r="T442" s="7"/>
    </row>
    <row r="443" spans="1:20" hidden="1">
      <c r="A443" s="38">
        <v>241112000131</v>
      </c>
      <c r="B443" s="147" t="s">
        <v>867</v>
      </c>
      <c r="C443" s="3" t="s">
        <v>1917</v>
      </c>
      <c r="D443" s="3" t="s">
        <v>2280</v>
      </c>
      <c r="E443" s="2" t="s">
        <v>1942</v>
      </c>
      <c r="F443" s="2" t="s">
        <v>1789</v>
      </c>
      <c r="G443" s="148"/>
      <c r="H443" s="148"/>
      <c r="J443" s="1" t="s">
        <v>2375</v>
      </c>
      <c r="K443" s="10"/>
      <c r="L443" s="13" t="s">
        <v>2376</v>
      </c>
      <c r="M443" s="7" t="s">
        <v>2377</v>
      </c>
      <c r="N443" s="7" t="s">
        <v>2378</v>
      </c>
      <c r="O443" s="7"/>
      <c r="P443" s="7"/>
      <c r="Q443" s="7"/>
      <c r="R443" s="7"/>
      <c r="S443" s="141"/>
      <c r="T443" s="7"/>
    </row>
    <row r="444" spans="1:20" hidden="1">
      <c r="A444" s="38">
        <v>250401134800</v>
      </c>
      <c r="B444" s="147" t="s">
        <v>867</v>
      </c>
      <c r="C444" s="3" t="s">
        <v>1917</v>
      </c>
      <c r="D444" s="3" t="s">
        <v>2280</v>
      </c>
      <c r="E444" s="2" t="s">
        <v>2379</v>
      </c>
      <c r="F444" s="2" t="s">
        <v>2380</v>
      </c>
      <c r="G444" s="148"/>
      <c r="H444" s="148"/>
      <c r="I444" s="108"/>
      <c r="J444" s="10" t="s">
        <v>2381</v>
      </c>
      <c r="K444" s="109"/>
      <c r="L444" s="65"/>
      <c r="M444" s="110"/>
      <c r="N444" s="110"/>
      <c r="O444" s="110"/>
      <c r="P444" s="110"/>
      <c r="Q444" s="110"/>
      <c r="R444" s="7"/>
      <c r="S444" s="141"/>
      <c r="T444" s="7"/>
    </row>
    <row r="445" spans="1:20" hidden="1">
      <c r="A445" s="38">
        <v>250401140200</v>
      </c>
      <c r="B445" s="147" t="s">
        <v>867</v>
      </c>
      <c r="C445" s="3" t="s">
        <v>1917</v>
      </c>
      <c r="D445" s="3" t="s">
        <v>2280</v>
      </c>
      <c r="E445" s="2" t="s">
        <v>2382</v>
      </c>
      <c r="F445" s="2" t="s">
        <v>879</v>
      </c>
      <c r="G445" s="148"/>
      <c r="H445" s="148"/>
      <c r="I445" s="10"/>
      <c r="J445" s="10" t="s">
        <v>2383</v>
      </c>
      <c r="K445" s="14"/>
      <c r="L445" s="13"/>
      <c r="M445" s="7"/>
      <c r="N445" s="7"/>
      <c r="O445" s="7"/>
      <c r="P445" s="7"/>
      <c r="Q445" s="7"/>
      <c r="R445" s="7"/>
      <c r="S445" s="141"/>
      <c r="T445" s="7"/>
    </row>
    <row r="446" spans="1:20" hidden="1">
      <c r="A446" s="38">
        <v>241112000132</v>
      </c>
      <c r="B446" s="147" t="s">
        <v>867</v>
      </c>
      <c r="C446" s="3" t="s">
        <v>1917</v>
      </c>
      <c r="D446" s="3" t="s">
        <v>2280</v>
      </c>
      <c r="E446" s="2" t="s">
        <v>2384</v>
      </c>
      <c r="F446" s="2" t="s">
        <v>912</v>
      </c>
      <c r="G446" s="148"/>
      <c r="H446" s="148"/>
      <c r="J446" s="1" t="s">
        <v>2385</v>
      </c>
      <c r="K446" s="10" t="s">
        <v>2299</v>
      </c>
      <c r="L446" s="13" t="s">
        <v>2300</v>
      </c>
      <c r="M446" s="7"/>
      <c r="N446" s="7"/>
      <c r="O446" s="7"/>
      <c r="P446" s="7"/>
      <c r="Q446" s="7"/>
      <c r="R446" s="7"/>
      <c r="S446" s="141"/>
      <c r="T446" s="7"/>
    </row>
    <row r="447" spans="1:20" hidden="1">
      <c r="A447" s="38">
        <v>250418220146</v>
      </c>
      <c r="B447" s="147" t="s">
        <v>867</v>
      </c>
      <c r="C447" s="3" t="s">
        <v>1917</v>
      </c>
      <c r="D447" s="3" t="s">
        <v>2280</v>
      </c>
      <c r="E447" s="2" t="s">
        <v>2386</v>
      </c>
      <c r="F447" s="2" t="s">
        <v>912</v>
      </c>
      <c r="G447" s="148"/>
      <c r="H447" s="148"/>
      <c r="J447" s="10" t="s">
        <v>2387</v>
      </c>
      <c r="K447" s="14"/>
      <c r="L447" s="13"/>
      <c r="M447" s="7"/>
      <c r="N447" s="7"/>
      <c r="O447" s="7"/>
      <c r="P447" s="7"/>
      <c r="Q447" s="7"/>
      <c r="R447" s="7" t="s">
        <v>2388</v>
      </c>
      <c r="S447" s="141" t="s">
        <v>949</v>
      </c>
      <c r="T447" s="7" t="s">
        <v>1145</v>
      </c>
    </row>
    <row r="448" spans="1:20" hidden="1">
      <c r="A448" s="38">
        <v>250418220151</v>
      </c>
      <c r="B448" s="147" t="s">
        <v>867</v>
      </c>
      <c r="C448" s="3" t="s">
        <v>1917</v>
      </c>
      <c r="D448" s="3" t="s">
        <v>2280</v>
      </c>
      <c r="E448" s="2" t="s">
        <v>2389</v>
      </c>
      <c r="F448" s="2" t="s">
        <v>2390</v>
      </c>
      <c r="G448" s="148"/>
      <c r="H448" s="148"/>
      <c r="J448" s="10" t="s">
        <v>2391</v>
      </c>
      <c r="K448" s="14"/>
      <c r="L448" s="13"/>
      <c r="M448" s="7"/>
      <c r="N448" s="7"/>
      <c r="O448" s="7"/>
      <c r="P448" s="7"/>
      <c r="Q448" s="7"/>
      <c r="R448" s="7" t="s">
        <v>2392</v>
      </c>
      <c r="S448" s="141" t="s">
        <v>949</v>
      </c>
      <c r="T448" s="7" t="s">
        <v>1945</v>
      </c>
    </row>
    <row r="449" spans="1:20" hidden="1">
      <c r="A449" s="38">
        <v>250418220152</v>
      </c>
      <c r="B449" s="147" t="s">
        <v>867</v>
      </c>
      <c r="C449" s="3" t="s">
        <v>1917</v>
      </c>
      <c r="D449" s="3" t="s">
        <v>2280</v>
      </c>
      <c r="E449" s="2" t="s">
        <v>2393</v>
      </c>
      <c r="F449" s="2" t="s">
        <v>2293</v>
      </c>
      <c r="G449" s="148"/>
      <c r="H449" s="148"/>
      <c r="J449" s="10" t="s">
        <v>2394</v>
      </c>
      <c r="K449" s="14"/>
      <c r="L449" s="13"/>
      <c r="M449" s="7"/>
      <c r="N449" s="7"/>
      <c r="O449" s="7"/>
      <c r="P449" s="7"/>
      <c r="Q449" s="7"/>
      <c r="R449" s="7" t="s">
        <v>2395</v>
      </c>
      <c r="S449" s="141" t="s">
        <v>949</v>
      </c>
      <c r="T449" s="7" t="s">
        <v>1145</v>
      </c>
    </row>
    <row r="450" spans="1:20" hidden="1">
      <c r="A450" s="38">
        <v>250418220153</v>
      </c>
      <c r="B450" s="147" t="s">
        <v>867</v>
      </c>
      <c r="C450" s="3" t="s">
        <v>1917</v>
      </c>
      <c r="D450" s="3" t="s">
        <v>2280</v>
      </c>
      <c r="E450" s="2" t="s">
        <v>2396</v>
      </c>
      <c r="F450" s="2" t="s">
        <v>1042</v>
      </c>
      <c r="G450" s="148"/>
      <c r="H450" s="148"/>
      <c r="J450" s="10" t="s">
        <v>2397</v>
      </c>
      <c r="K450" s="14"/>
      <c r="L450" s="13"/>
      <c r="M450" s="7"/>
      <c r="N450" s="7"/>
      <c r="O450" s="7"/>
      <c r="P450" s="7"/>
      <c r="Q450" s="7"/>
      <c r="R450" s="7" t="s">
        <v>2398</v>
      </c>
      <c r="S450" s="141" t="s">
        <v>949</v>
      </c>
      <c r="T450" s="7" t="s">
        <v>1145</v>
      </c>
    </row>
    <row r="451" spans="1:20" hidden="1">
      <c r="A451" s="38">
        <v>250418220154</v>
      </c>
      <c r="B451" s="147" t="s">
        <v>867</v>
      </c>
      <c r="C451" s="3" t="s">
        <v>1917</v>
      </c>
      <c r="D451" s="3" t="s">
        <v>2280</v>
      </c>
      <c r="E451" s="2" t="s">
        <v>2399</v>
      </c>
      <c r="F451" s="2" t="s">
        <v>2332</v>
      </c>
      <c r="G451" s="148"/>
      <c r="H451" s="148"/>
      <c r="J451" s="10" t="s">
        <v>2400</v>
      </c>
      <c r="K451" s="14"/>
      <c r="L451" s="13"/>
      <c r="M451" s="7"/>
      <c r="N451" s="7"/>
      <c r="O451" s="7"/>
      <c r="P451" s="7"/>
      <c r="Q451" s="7"/>
      <c r="R451" s="7" t="s">
        <v>2401</v>
      </c>
      <c r="S451" s="141" t="s">
        <v>949</v>
      </c>
      <c r="T451" s="7" t="s">
        <v>1145</v>
      </c>
    </row>
    <row r="452" spans="1:20" hidden="1">
      <c r="A452" s="38">
        <v>250325134503</v>
      </c>
      <c r="B452" s="147" t="s">
        <v>867</v>
      </c>
      <c r="C452" s="3" t="s">
        <v>1917</v>
      </c>
      <c r="D452" s="3" t="s">
        <v>2402</v>
      </c>
      <c r="E452" s="2" t="s">
        <v>2403</v>
      </c>
      <c r="F452" s="2" t="s">
        <v>2404</v>
      </c>
      <c r="G452" s="148"/>
      <c r="H452" s="148"/>
      <c r="J452" s="10" t="s">
        <v>2405</v>
      </c>
      <c r="K452" s="14"/>
      <c r="L452" s="13"/>
      <c r="M452" s="7" t="s">
        <v>2406</v>
      </c>
      <c r="N452" s="7"/>
      <c r="O452" s="7" t="s">
        <v>2407</v>
      </c>
      <c r="P452" s="7"/>
      <c r="Q452" s="7"/>
      <c r="R452" s="7"/>
      <c r="S452" s="141"/>
      <c r="T452" s="7"/>
    </row>
    <row r="453" spans="1:20" hidden="1">
      <c r="A453" s="38">
        <v>250325134502</v>
      </c>
      <c r="B453" s="147" t="s">
        <v>867</v>
      </c>
      <c r="C453" s="3" t="s">
        <v>1917</v>
      </c>
      <c r="D453" s="3" t="s">
        <v>2402</v>
      </c>
      <c r="E453" s="2" t="s">
        <v>2082</v>
      </c>
      <c r="F453" s="2" t="s">
        <v>2083</v>
      </c>
      <c r="G453" s="148"/>
      <c r="H453" s="148"/>
      <c r="J453" s="10" t="s">
        <v>2084</v>
      </c>
      <c r="K453" s="14"/>
      <c r="L453" s="13"/>
      <c r="M453" s="7" t="s">
        <v>2408</v>
      </c>
      <c r="N453" s="7"/>
      <c r="O453" s="7" t="s">
        <v>2409</v>
      </c>
      <c r="P453" s="7"/>
      <c r="Q453" s="7"/>
      <c r="R453" s="7"/>
      <c r="S453" s="141"/>
      <c r="T453" s="7"/>
    </row>
    <row r="454" spans="1:20" hidden="1">
      <c r="A454" s="38">
        <v>250325134504</v>
      </c>
      <c r="B454" s="147" t="s">
        <v>867</v>
      </c>
      <c r="C454" s="3" t="s">
        <v>1917</v>
      </c>
      <c r="D454" s="3" t="s">
        <v>2410</v>
      </c>
      <c r="E454" s="2" t="s">
        <v>2403</v>
      </c>
      <c r="F454" s="2" t="s">
        <v>2404</v>
      </c>
      <c r="G454" s="148"/>
      <c r="H454" s="148"/>
      <c r="J454" s="10" t="s">
        <v>2411</v>
      </c>
      <c r="K454" s="14"/>
      <c r="L454" s="13"/>
      <c r="M454" s="7" t="s">
        <v>2412</v>
      </c>
      <c r="N454" s="7"/>
      <c r="O454" s="7" t="s">
        <v>2407</v>
      </c>
      <c r="P454" s="7"/>
      <c r="Q454" s="7"/>
      <c r="R454" s="7"/>
      <c r="S454" s="141"/>
      <c r="T454" s="7"/>
    </row>
    <row r="455" spans="1:20" ht="17.649999999999999" hidden="1" customHeight="1">
      <c r="A455" s="38">
        <v>250325134500</v>
      </c>
      <c r="B455" s="147" t="s">
        <v>867</v>
      </c>
      <c r="C455" s="3" t="s">
        <v>1917</v>
      </c>
      <c r="D455" s="3" t="s">
        <v>2410</v>
      </c>
      <c r="E455" s="2" t="s">
        <v>2413</v>
      </c>
      <c r="F455" s="2" t="s">
        <v>1029</v>
      </c>
      <c r="G455" s="148"/>
      <c r="H455" s="148"/>
      <c r="J455" s="10" t="s">
        <v>2414</v>
      </c>
      <c r="K455" s="14"/>
      <c r="L455" s="13"/>
      <c r="M455" s="7" t="s">
        <v>2415</v>
      </c>
      <c r="N455" s="7"/>
      <c r="O455" s="7" t="s">
        <v>2416</v>
      </c>
      <c r="P455" s="7"/>
      <c r="Q455" s="7"/>
      <c r="R455" s="7"/>
      <c r="S455" s="141"/>
      <c r="T455" s="7"/>
    </row>
    <row r="456" spans="1:20" hidden="1">
      <c r="A456" s="38">
        <v>250325134501</v>
      </c>
      <c r="B456" s="147" t="s">
        <v>867</v>
      </c>
      <c r="C456" s="3" t="s">
        <v>1917</v>
      </c>
      <c r="D456" s="3" t="s">
        <v>2410</v>
      </c>
      <c r="E456" s="2" t="s">
        <v>2328</v>
      </c>
      <c r="F456" t="s">
        <v>2329</v>
      </c>
      <c r="G456" s="148"/>
      <c r="H456" s="148"/>
      <c r="J456" s="10" t="s">
        <v>2417</v>
      </c>
      <c r="K456" s="14"/>
      <c r="L456" s="13"/>
      <c r="M456" s="7" t="s">
        <v>2418</v>
      </c>
      <c r="N456" s="7" t="s">
        <v>2419</v>
      </c>
      <c r="O456" s="7" t="s">
        <v>2420</v>
      </c>
      <c r="P456" s="7"/>
      <c r="Q456" s="7"/>
      <c r="R456" s="7"/>
      <c r="S456" s="141"/>
      <c r="T456" s="7"/>
    </row>
    <row r="457" spans="1:20" hidden="1">
      <c r="A457" s="38">
        <v>250422133700</v>
      </c>
      <c r="B457" s="147" t="s">
        <v>867</v>
      </c>
      <c r="C457" s="3" t="s">
        <v>1917</v>
      </c>
      <c r="D457" s="3" t="s">
        <v>2421</v>
      </c>
      <c r="E457" s="2" t="s">
        <v>2422</v>
      </c>
      <c r="F457" s="2" t="s">
        <v>1789</v>
      </c>
      <c r="G457" s="148"/>
      <c r="H457" s="148"/>
      <c r="J457" s="10" t="s">
        <v>2423</v>
      </c>
      <c r="K457" s="14"/>
      <c r="L457" s="13"/>
      <c r="M457" s="7"/>
      <c r="N457" s="7" t="s">
        <v>2424</v>
      </c>
      <c r="O457" s="7"/>
      <c r="P457" s="7"/>
      <c r="Q457" s="7"/>
      <c r="R457" s="7"/>
      <c r="S457" s="141"/>
      <c r="T457" s="7"/>
    </row>
    <row r="458" spans="1:20" hidden="1">
      <c r="A458" s="38">
        <v>241112000023</v>
      </c>
      <c r="B458" s="147" t="s">
        <v>867</v>
      </c>
      <c r="C458" s="3" t="s">
        <v>1917</v>
      </c>
      <c r="D458" s="3" t="s">
        <v>2421</v>
      </c>
      <c r="E458" s="2" t="s">
        <v>2425</v>
      </c>
      <c r="F458" s="2" t="s">
        <v>2426</v>
      </c>
      <c r="G458" s="148"/>
      <c r="H458" s="148"/>
      <c r="J458" s="1" t="s">
        <v>2427</v>
      </c>
      <c r="K458" s="10" t="s">
        <v>2428</v>
      </c>
      <c r="L458" s="13" t="s">
        <v>2429</v>
      </c>
      <c r="M458" s="7" t="s">
        <v>2430</v>
      </c>
      <c r="N458" s="7"/>
      <c r="O458" s="7"/>
      <c r="P458" s="10" t="s">
        <v>2431</v>
      </c>
      <c r="Q458" s="10" t="s">
        <v>2432</v>
      </c>
      <c r="R458" s="7"/>
      <c r="S458" s="141"/>
      <c r="T458" s="7"/>
    </row>
    <row r="459" spans="1:20" ht="14.65" hidden="1" customHeight="1">
      <c r="A459" s="38">
        <v>250327121305</v>
      </c>
      <c r="B459" s="147" t="s">
        <v>867</v>
      </c>
      <c r="C459" s="3" t="s">
        <v>1917</v>
      </c>
      <c r="D459" s="3" t="s">
        <v>2421</v>
      </c>
      <c r="E459" s="2" t="s">
        <v>2433</v>
      </c>
      <c r="F459" s="2" t="s">
        <v>2426</v>
      </c>
      <c r="G459" s="148"/>
      <c r="H459" s="148"/>
      <c r="J459" s="10" t="s">
        <v>2434</v>
      </c>
      <c r="K459" s="14"/>
      <c r="L459" s="13"/>
      <c r="M459" s="7" t="s">
        <v>2435</v>
      </c>
      <c r="N459" s="7" t="s">
        <v>2436</v>
      </c>
      <c r="O459" s="13" t="s">
        <v>2437</v>
      </c>
      <c r="P459" s="7"/>
      <c r="Q459" s="7"/>
      <c r="R459" s="7"/>
      <c r="S459" s="141"/>
      <c r="T459" s="7"/>
    </row>
    <row r="460" spans="1:20" hidden="1">
      <c r="A460" s="38">
        <v>250425100302</v>
      </c>
      <c r="B460" s="149"/>
      <c r="C460" s="3" t="s">
        <v>1917</v>
      </c>
      <c r="D460" s="3" t="s">
        <v>2421</v>
      </c>
      <c r="E460" s="2" t="s">
        <v>2438</v>
      </c>
      <c r="F460" s="2" t="s">
        <v>1324</v>
      </c>
      <c r="G460" s="48"/>
      <c r="H460" s="150"/>
      <c r="J460" s="10" t="s">
        <v>2439</v>
      </c>
      <c r="K460" s="14"/>
      <c r="L460" s="13"/>
      <c r="M460" s="7"/>
      <c r="N460" s="7" t="s">
        <v>2440</v>
      </c>
      <c r="O460" s="7"/>
      <c r="P460" s="7"/>
      <c r="Q460" s="7"/>
      <c r="R460" s="7"/>
      <c r="S460" s="141"/>
      <c r="T460" s="7"/>
    </row>
    <row r="461" spans="1:20" hidden="1">
      <c r="A461" s="38">
        <v>250318094610</v>
      </c>
      <c r="B461" s="147" t="s">
        <v>867</v>
      </c>
      <c r="C461" s="3" t="s">
        <v>1917</v>
      </c>
      <c r="D461" s="3" t="s">
        <v>2421</v>
      </c>
      <c r="E461" s="2" t="s">
        <v>2441</v>
      </c>
      <c r="F461" s="2" t="s">
        <v>2426</v>
      </c>
      <c r="G461" s="148"/>
      <c r="H461" s="148"/>
      <c r="J461" s="10" t="s">
        <v>2442</v>
      </c>
      <c r="K461" s="14"/>
      <c r="L461" s="13"/>
      <c r="M461" s="7"/>
      <c r="N461" s="7"/>
      <c r="O461" s="7" t="s">
        <v>2443</v>
      </c>
      <c r="P461" s="7"/>
      <c r="Q461" s="7"/>
      <c r="R461" s="7"/>
      <c r="S461" s="141"/>
      <c r="T461" s="7"/>
    </row>
    <row r="462" spans="1:20" hidden="1">
      <c r="A462" s="38">
        <v>241112000024</v>
      </c>
      <c r="B462" s="147" t="s">
        <v>867</v>
      </c>
      <c r="C462" s="3" t="s">
        <v>1917</v>
      </c>
      <c r="D462" s="3" t="s">
        <v>2421</v>
      </c>
      <c r="E462" s="2" t="s">
        <v>2444</v>
      </c>
      <c r="F462" s="2" t="s">
        <v>2426</v>
      </c>
      <c r="G462" s="148"/>
      <c r="H462" s="148"/>
      <c r="J462" s="1" t="s">
        <v>2445</v>
      </c>
      <c r="K462" s="10"/>
      <c r="L462" s="13" t="s">
        <v>2446</v>
      </c>
      <c r="M462" s="7" t="s">
        <v>2447</v>
      </c>
      <c r="N462" s="7"/>
      <c r="O462" s="7"/>
      <c r="P462" s="7"/>
      <c r="Q462" s="7"/>
      <c r="R462" s="7"/>
      <c r="S462" s="141"/>
      <c r="T462" s="7"/>
    </row>
    <row r="463" spans="1:20" hidden="1">
      <c r="A463" s="38">
        <v>250415131000</v>
      </c>
      <c r="B463" s="147" t="s">
        <v>867</v>
      </c>
      <c r="C463" s="3" t="s">
        <v>1917</v>
      </c>
      <c r="D463" s="3" t="s">
        <v>2448</v>
      </c>
      <c r="E463" s="2" t="s">
        <v>2449</v>
      </c>
      <c r="F463" s="2" t="s">
        <v>879</v>
      </c>
      <c r="G463" s="148"/>
      <c r="H463" s="148"/>
      <c r="J463" s="10" t="s">
        <v>2450</v>
      </c>
      <c r="K463" s="14" t="s">
        <v>2451</v>
      </c>
      <c r="L463" s="13" t="s">
        <v>2452</v>
      </c>
      <c r="M463" s="7"/>
      <c r="N463" s="7"/>
      <c r="O463" s="13" t="s">
        <v>2452</v>
      </c>
      <c r="P463" s="7"/>
      <c r="Q463" s="7"/>
      <c r="R463" s="7"/>
      <c r="S463" s="141"/>
      <c r="T463" s="7"/>
    </row>
    <row r="464" spans="1:20" hidden="1">
      <c r="A464" s="38">
        <v>250331155400</v>
      </c>
      <c r="B464" s="147" t="s">
        <v>867</v>
      </c>
      <c r="C464" s="3" t="s">
        <v>1917</v>
      </c>
      <c r="D464" s="3" t="s">
        <v>2448</v>
      </c>
      <c r="E464" s="2" t="s">
        <v>2453</v>
      </c>
      <c r="F464" s="2" t="s">
        <v>969</v>
      </c>
      <c r="G464" s="148"/>
      <c r="H464" s="148"/>
      <c r="J464" s="10" t="s">
        <v>2454</v>
      </c>
      <c r="K464" s="14"/>
      <c r="L464" s="13"/>
      <c r="M464" s="7"/>
      <c r="N464" s="7" t="s">
        <v>2455</v>
      </c>
      <c r="O464" s="7"/>
      <c r="P464" s="7"/>
      <c r="Q464" s="7"/>
      <c r="R464" s="7"/>
      <c r="S464" s="141"/>
      <c r="T464" s="7"/>
    </row>
    <row r="465" spans="1:20" hidden="1">
      <c r="A465" s="38">
        <v>250331155407</v>
      </c>
      <c r="B465" s="147" t="s">
        <v>867</v>
      </c>
      <c r="C465" s="3" t="s">
        <v>1917</v>
      </c>
      <c r="D465" s="3" t="s">
        <v>2448</v>
      </c>
      <c r="E465" s="2" t="s">
        <v>2456</v>
      </c>
      <c r="F465" s="2" t="s">
        <v>2457</v>
      </c>
      <c r="G465" s="148"/>
      <c r="H465" s="148"/>
      <c r="J465" s="10" t="s">
        <v>2458</v>
      </c>
      <c r="K465" s="14"/>
      <c r="L465" s="13"/>
      <c r="M465" s="7"/>
      <c r="N465" s="7" t="s">
        <v>2459</v>
      </c>
      <c r="O465" s="7"/>
      <c r="P465" s="7"/>
      <c r="Q465" s="7"/>
      <c r="R465" s="7"/>
      <c r="S465" s="141"/>
      <c r="T465" s="7"/>
    </row>
    <row r="466" spans="1:20" hidden="1">
      <c r="A466" s="38">
        <v>250422151300</v>
      </c>
      <c r="B466" s="147" t="s">
        <v>867</v>
      </c>
      <c r="C466" s="3" t="s">
        <v>1917</v>
      </c>
      <c r="D466" s="3" t="s">
        <v>2448</v>
      </c>
      <c r="E466" s="2" t="s">
        <v>2460</v>
      </c>
      <c r="F466" s="2" t="s">
        <v>2461</v>
      </c>
      <c r="G466" s="148"/>
      <c r="H466" s="148"/>
      <c r="J466" s="10" t="s">
        <v>2462</v>
      </c>
      <c r="K466" s="14"/>
      <c r="L466" s="13"/>
      <c r="M466" s="7"/>
      <c r="N466" s="7" t="s">
        <v>2463</v>
      </c>
      <c r="O466" s="7"/>
      <c r="P466" s="7"/>
      <c r="Q466" s="7"/>
      <c r="R466" s="7"/>
      <c r="S466" s="141"/>
      <c r="T466" s="7"/>
    </row>
    <row r="467" spans="1:20" hidden="1">
      <c r="A467" s="38">
        <v>241112000133</v>
      </c>
      <c r="B467" s="147" t="s">
        <v>867</v>
      </c>
      <c r="C467" s="3" t="s">
        <v>1917</v>
      </c>
      <c r="D467" s="3" t="s">
        <v>2448</v>
      </c>
      <c r="E467" s="2" t="s">
        <v>2464</v>
      </c>
      <c r="F467" s="2" t="s">
        <v>1363</v>
      </c>
      <c r="G467" s="148"/>
      <c r="H467" s="148"/>
      <c r="J467" s="1" t="s">
        <v>2465</v>
      </c>
      <c r="K467" s="10" t="s">
        <v>2466</v>
      </c>
      <c r="L467" s="13" t="s">
        <v>2467</v>
      </c>
      <c r="M467" s="7" t="s">
        <v>2468</v>
      </c>
      <c r="N467" s="7"/>
      <c r="O467" s="7"/>
      <c r="P467" s="7"/>
      <c r="Q467" s="7"/>
      <c r="R467" s="7"/>
      <c r="S467" s="141"/>
      <c r="T467" s="7"/>
    </row>
    <row r="468" spans="1:20" hidden="1">
      <c r="A468" s="38">
        <v>250331155402</v>
      </c>
      <c r="B468" s="147" t="s">
        <v>867</v>
      </c>
      <c r="C468" s="3" t="s">
        <v>1917</v>
      </c>
      <c r="D468" s="3" t="s">
        <v>2448</v>
      </c>
      <c r="E468" s="2" t="s">
        <v>2469</v>
      </c>
      <c r="F468" s="2" t="s">
        <v>2470</v>
      </c>
      <c r="G468" s="148"/>
      <c r="H468" s="148"/>
      <c r="J468" s="10" t="s">
        <v>2471</v>
      </c>
      <c r="K468" s="14"/>
      <c r="L468" s="13"/>
      <c r="M468" s="7"/>
      <c r="N468" s="7" t="s">
        <v>2472</v>
      </c>
      <c r="O468" s="7"/>
      <c r="P468" s="7"/>
      <c r="Q468" s="7"/>
      <c r="R468" s="7"/>
      <c r="S468" s="141"/>
      <c r="T468" s="7"/>
    </row>
    <row r="469" spans="1:20" hidden="1">
      <c r="A469" s="38">
        <v>250331155401</v>
      </c>
      <c r="B469" s="147" t="s">
        <v>867</v>
      </c>
      <c r="C469" s="3" t="s">
        <v>1917</v>
      </c>
      <c r="D469" s="3" t="s">
        <v>2448</v>
      </c>
      <c r="E469" s="2" t="s">
        <v>2473</v>
      </c>
      <c r="F469" s="2" t="s">
        <v>1324</v>
      </c>
      <c r="G469" s="148"/>
      <c r="H469" s="148"/>
      <c r="J469" s="10" t="s">
        <v>2474</v>
      </c>
      <c r="K469" s="14"/>
      <c r="L469" s="13"/>
      <c r="M469" s="7"/>
      <c r="N469" s="7" t="s">
        <v>2475</v>
      </c>
      <c r="O469" s="7"/>
      <c r="P469" s="7"/>
      <c r="Q469" s="7"/>
      <c r="R469" s="7"/>
      <c r="S469" s="141"/>
      <c r="T469" s="7"/>
    </row>
    <row r="470" spans="1:20" hidden="1">
      <c r="A470" s="38">
        <v>250331125900</v>
      </c>
      <c r="B470" s="147" t="s">
        <v>867</v>
      </c>
      <c r="C470" s="3" t="s">
        <v>1917</v>
      </c>
      <c r="D470" s="3" t="s">
        <v>2448</v>
      </c>
      <c r="E470" s="2" t="s">
        <v>2476</v>
      </c>
      <c r="F470" s="2" t="s">
        <v>2477</v>
      </c>
      <c r="G470" s="148"/>
      <c r="H470" s="148"/>
      <c r="J470" s="10" t="s">
        <v>2478</v>
      </c>
      <c r="K470" s="14"/>
      <c r="L470" s="13"/>
      <c r="M470" s="7"/>
      <c r="N470" s="7" t="s">
        <v>2479</v>
      </c>
      <c r="O470" s="7"/>
      <c r="P470" s="7"/>
      <c r="Q470" s="7"/>
      <c r="R470" s="7"/>
      <c r="S470" s="141"/>
      <c r="T470" s="7"/>
    </row>
    <row r="471" spans="1:20" hidden="1">
      <c r="A471" s="38">
        <v>250331125901</v>
      </c>
      <c r="B471" s="147" t="s">
        <v>867</v>
      </c>
      <c r="C471" s="3" t="s">
        <v>1917</v>
      </c>
      <c r="D471" s="3" t="s">
        <v>2448</v>
      </c>
      <c r="E471" s="2" t="s">
        <v>2480</v>
      </c>
      <c r="F471" s="2" t="s">
        <v>2481</v>
      </c>
      <c r="G471" s="148"/>
      <c r="H471" s="148"/>
      <c r="J471" s="10" t="s">
        <v>2482</v>
      </c>
      <c r="K471" s="14"/>
      <c r="L471" s="13"/>
      <c r="M471" s="7"/>
      <c r="N471" s="7" t="s">
        <v>2483</v>
      </c>
      <c r="O471" s="7"/>
      <c r="P471" s="7"/>
      <c r="Q471" s="7"/>
      <c r="R471" s="7"/>
      <c r="S471" s="141"/>
      <c r="T471" s="7"/>
    </row>
    <row r="472" spans="1:20" hidden="1">
      <c r="A472" s="38">
        <v>241112000134</v>
      </c>
      <c r="B472" s="147" t="s">
        <v>867</v>
      </c>
      <c r="C472" s="3" t="s">
        <v>1917</v>
      </c>
      <c r="D472" s="3" t="s">
        <v>2448</v>
      </c>
      <c r="E472" s="2" t="s">
        <v>2484</v>
      </c>
      <c r="F472" s="2" t="s">
        <v>2485</v>
      </c>
      <c r="G472" s="148"/>
      <c r="H472" s="148"/>
      <c r="J472" s="1" t="s">
        <v>2486</v>
      </c>
      <c r="K472" s="11" t="s">
        <v>2487</v>
      </c>
      <c r="L472" s="13" t="s">
        <v>2488</v>
      </c>
      <c r="M472" s="7" t="s">
        <v>2489</v>
      </c>
      <c r="N472" s="7" t="s">
        <v>2490</v>
      </c>
      <c r="O472" s="7"/>
      <c r="P472" s="7"/>
      <c r="Q472" s="7"/>
      <c r="R472" s="7"/>
      <c r="S472" s="141"/>
      <c r="T472" s="7"/>
    </row>
    <row r="473" spans="1:20" hidden="1">
      <c r="A473" s="38">
        <v>250331125902</v>
      </c>
      <c r="B473" s="147" t="s">
        <v>867</v>
      </c>
      <c r="C473" s="3" t="s">
        <v>1917</v>
      </c>
      <c r="D473" s="3" t="s">
        <v>2448</v>
      </c>
      <c r="E473" s="2" t="s">
        <v>2491</v>
      </c>
      <c r="F473" s="2" t="s">
        <v>2492</v>
      </c>
      <c r="G473" s="148"/>
      <c r="H473" s="148"/>
      <c r="J473" s="10" t="s">
        <v>2493</v>
      </c>
      <c r="K473" s="14"/>
      <c r="L473" s="13"/>
      <c r="M473" s="7"/>
      <c r="N473" s="7" t="s">
        <v>2494</v>
      </c>
      <c r="O473" s="7"/>
      <c r="P473" s="7"/>
      <c r="Q473" s="7"/>
      <c r="R473" s="7"/>
      <c r="S473" s="141"/>
      <c r="T473" s="7"/>
    </row>
    <row r="474" spans="1:20" ht="16.149999999999999" hidden="1" customHeight="1">
      <c r="A474" s="38">
        <v>241112000136</v>
      </c>
      <c r="B474" s="147" t="s">
        <v>867</v>
      </c>
      <c r="C474" s="3" t="s">
        <v>1917</v>
      </c>
      <c r="D474" s="3" t="s">
        <v>2448</v>
      </c>
      <c r="E474" s="2" t="s">
        <v>2025</v>
      </c>
      <c r="F474" s="2" t="s">
        <v>1071</v>
      </c>
      <c r="G474" s="148"/>
      <c r="H474" s="148"/>
      <c r="J474" s="1" t="s">
        <v>2495</v>
      </c>
      <c r="K474" s="11" t="s">
        <v>2496</v>
      </c>
      <c r="L474" s="12" t="s">
        <v>2497</v>
      </c>
      <c r="M474" s="7" t="s">
        <v>2498</v>
      </c>
      <c r="N474" s="7" t="s">
        <v>2499</v>
      </c>
      <c r="O474" s="7"/>
      <c r="P474" s="7"/>
      <c r="Q474" s="7"/>
      <c r="R474" s="7"/>
      <c r="S474" s="141"/>
      <c r="T474" s="7"/>
    </row>
    <row r="475" spans="1:20" hidden="1">
      <c r="A475" s="38">
        <v>241112000137</v>
      </c>
      <c r="B475" s="147" t="s">
        <v>867</v>
      </c>
      <c r="C475" s="3" t="s">
        <v>1917</v>
      </c>
      <c r="D475" s="3" t="s">
        <v>2448</v>
      </c>
      <c r="E475" s="2" t="s">
        <v>2500</v>
      </c>
      <c r="F475" s="2" t="s">
        <v>2501</v>
      </c>
      <c r="G475" s="148"/>
      <c r="H475" s="148"/>
      <c r="J475" s="1" t="s">
        <v>2502</v>
      </c>
      <c r="K475" s="10"/>
      <c r="L475" s="13" t="s">
        <v>2503</v>
      </c>
      <c r="M475" s="7" t="s">
        <v>2504</v>
      </c>
      <c r="N475" s="7"/>
      <c r="O475" s="7"/>
      <c r="P475" s="7"/>
      <c r="Q475" s="7"/>
      <c r="R475" s="7"/>
      <c r="S475" s="141"/>
      <c r="T475" s="7"/>
    </row>
    <row r="476" spans="1:20" ht="18" hidden="1" customHeight="1">
      <c r="A476" s="38">
        <v>241112000138</v>
      </c>
      <c r="B476" s="147" t="s">
        <v>867</v>
      </c>
      <c r="C476" s="3" t="s">
        <v>1917</v>
      </c>
      <c r="D476" s="3" t="s">
        <v>2448</v>
      </c>
      <c r="E476" s="2" t="s">
        <v>2505</v>
      </c>
      <c r="F476" s="2" t="s">
        <v>969</v>
      </c>
      <c r="G476" s="148"/>
      <c r="H476" s="148"/>
      <c r="J476" s="1" t="s">
        <v>2506</v>
      </c>
      <c r="K476" s="46" t="s">
        <v>2507</v>
      </c>
      <c r="L476" s="13" t="s">
        <v>2508</v>
      </c>
      <c r="M476" s="7" t="s">
        <v>2509</v>
      </c>
      <c r="N476" s="7"/>
      <c r="O476" s="7"/>
      <c r="P476" s="7"/>
      <c r="Q476" s="7"/>
      <c r="R476" s="7"/>
      <c r="S476" s="141"/>
      <c r="T476" s="7"/>
    </row>
    <row r="477" spans="1:20" ht="16.149999999999999" hidden="1" customHeight="1">
      <c r="A477" s="38">
        <v>241112000139</v>
      </c>
      <c r="B477" s="147" t="s">
        <v>867</v>
      </c>
      <c r="C477" s="3" t="s">
        <v>1917</v>
      </c>
      <c r="D477" s="3" t="s">
        <v>2448</v>
      </c>
      <c r="E477" s="2" t="s">
        <v>2510</v>
      </c>
      <c r="F477" s="2" t="s">
        <v>969</v>
      </c>
      <c r="G477" s="148"/>
      <c r="H477" s="148"/>
      <c r="J477" s="1" t="s">
        <v>2511</v>
      </c>
      <c r="K477" s="10" t="s">
        <v>2512</v>
      </c>
      <c r="L477" s="13" t="s">
        <v>2513</v>
      </c>
      <c r="M477" s="7" t="s">
        <v>2514</v>
      </c>
      <c r="N477" s="7"/>
      <c r="O477" s="7"/>
      <c r="P477" s="7"/>
      <c r="Q477" s="7"/>
      <c r="R477" s="7"/>
      <c r="S477" s="141"/>
      <c r="T477" s="7"/>
    </row>
    <row r="478" spans="1:20" hidden="1">
      <c r="A478" s="38">
        <v>250408145000</v>
      </c>
      <c r="B478" s="147" t="s">
        <v>867</v>
      </c>
      <c r="C478" s="3" t="s">
        <v>1917</v>
      </c>
      <c r="D478" s="3" t="s">
        <v>2448</v>
      </c>
      <c r="E478" s="2" t="s">
        <v>2515</v>
      </c>
      <c r="F478" s="2" t="s">
        <v>1751</v>
      </c>
      <c r="G478" s="148"/>
      <c r="H478" s="148"/>
      <c r="J478" s="10" t="s">
        <v>2516</v>
      </c>
      <c r="K478" s="10"/>
      <c r="L478" s="13"/>
      <c r="M478" s="7" t="s">
        <v>2517</v>
      </c>
      <c r="N478" s="7"/>
      <c r="O478" s="7"/>
      <c r="P478" s="7"/>
      <c r="Q478" s="7"/>
      <c r="R478" s="7"/>
      <c r="S478" s="141"/>
      <c r="T478" s="7"/>
    </row>
    <row r="479" spans="1:20" hidden="1">
      <c r="A479" s="38">
        <v>250331125903</v>
      </c>
      <c r="B479" s="147" t="s">
        <v>867</v>
      </c>
      <c r="C479" s="3" t="s">
        <v>1917</v>
      </c>
      <c r="D479" s="3" t="s">
        <v>2448</v>
      </c>
      <c r="E479" s="2" t="s">
        <v>2518</v>
      </c>
      <c r="F479" s="2" t="s">
        <v>2519</v>
      </c>
      <c r="G479" s="148"/>
      <c r="H479" s="148"/>
      <c r="J479" s="10" t="s">
        <v>2520</v>
      </c>
      <c r="K479" s="14"/>
      <c r="L479" s="13"/>
      <c r="M479" s="7"/>
      <c r="N479" s="7" t="s">
        <v>2521</v>
      </c>
      <c r="O479" s="7"/>
      <c r="P479" s="7"/>
      <c r="Q479" s="7"/>
      <c r="R479" s="7"/>
      <c r="S479" s="141"/>
      <c r="T479" s="7"/>
    </row>
    <row r="480" spans="1:20" hidden="1">
      <c r="A480" s="38">
        <v>250414091401</v>
      </c>
      <c r="B480" s="147" t="s">
        <v>867</v>
      </c>
      <c r="C480" s="3" t="s">
        <v>1917</v>
      </c>
      <c r="D480" s="3" t="s">
        <v>2448</v>
      </c>
      <c r="E480" s="2" t="s">
        <v>2522</v>
      </c>
      <c r="F480" s="2" t="s">
        <v>1324</v>
      </c>
      <c r="G480" s="148"/>
      <c r="H480" s="148"/>
      <c r="J480" s="10" t="s">
        <v>2523</v>
      </c>
      <c r="K480" s="14"/>
      <c r="L480" s="13"/>
      <c r="M480" s="7"/>
      <c r="N480" s="7" t="s">
        <v>2524</v>
      </c>
      <c r="O480" s="7"/>
      <c r="P480" s="7"/>
      <c r="Q480" s="7"/>
      <c r="R480" s="7"/>
      <c r="S480" s="141"/>
      <c r="T480" s="7"/>
    </row>
    <row r="481" spans="1:20" hidden="1">
      <c r="A481" s="38">
        <v>241112000140</v>
      </c>
      <c r="B481" s="147" t="s">
        <v>867</v>
      </c>
      <c r="C481" s="3" t="s">
        <v>1917</v>
      </c>
      <c r="D481" s="3" t="s">
        <v>2448</v>
      </c>
      <c r="E481" s="2" t="s">
        <v>2525</v>
      </c>
      <c r="F481" s="2" t="s">
        <v>2526</v>
      </c>
      <c r="G481" s="148"/>
      <c r="H481" s="148"/>
      <c r="J481" s="1" t="s">
        <v>2527</v>
      </c>
      <c r="K481" s="10"/>
      <c r="L481" s="13" t="s">
        <v>2528</v>
      </c>
      <c r="M481" s="7" t="s">
        <v>2529</v>
      </c>
      <c r="N481" s="7"/>
      <c r="O481" s="7"/>
      <c r="P481" s="7"/>
      <c r="Q481" s="7"/>
      <c r="R481" s="7"/>
      <c r="S481" s="141"/>
      <c r="T481" s="7"/>
    </row>
    <row r="482" spans="1:20" hidden="1">
      <c r="A482" s="38">
        <v>250331125904</v>
      </c>
      <c r="B482" s="147" t="s">
        <v>867</v>
      </c>
      <c r="C482" s="3" t="s">
        <v>1917</v>
      </c>
      <c r="D482" s="3" t="s">
        <v>2448</v>
      </c>
      <c r="E482" s="2" t="s">
        <v>2530</v>
      </c>
      <c r="F482" s="2" t="s">
        <v>2531</v>
      </c>
      <c r="G482" s="148"/>
      <c r="H482" s="148"/>
      <c r="J482" s="10" t="s">
        <v>2532</v>
      </c>
      <c r="K482" s="14"/>
      <c r="L482" s="13"/>
      <c r="M482" s="7"/>
      <c r="N482" s="7" t="s">
        <v>2533</v>
      </c>
      <c r="O482" s="7"/>
      <c r="P482" s="7"/>
      <c r="Q482" s="7"/>
      <c r="R482" s="7"/>
      <c r="S482" s="141"/>
      <c r="T482" s="7"/>
    </row>
    <row r="483" spans="1:20" hidden="1">
      <c r="A483" s="38">
        <v>250331155405</v>
      </c>
      <c r="B483" s="147" t="s">
        <v>867</v>
      </c>
      <c r="C483" s="3" t="s">
        <v>1917</v>
      </c>
      <c r="D483" s="3" t="s">
        <v>2448</v>
      </c>
      <c r="E483" s="2" t="s">
        <v>2534</v>
      </c>
      <c r="F483" s="2" t="s">
        <v>2457</v>
      </c>
      <c r="G483" s="148"/>
      <c r="H483" s="148"/>
      <c r="J483" s="10" t="s">
        <v>2535</v>
      </c>
      <c r="K483" s="14"/>
      <c r="L483" s="13"/>
      <c r="M483" s="7"/>
      <c r="N483" s="7" t="s">
        <v>2536</v>
      </c>
      <c r="O483" s="7"/>
      <c r="P483" s="7"/>
      <c r="Q483" s="7"/>
      <c r="R483" s="7"/>
      <c r="S483" s="141"/>
      <c r="T483" s="7"/>
    </row>
    <row r="484" spans="1:20" hidden="1">
      <c r="A484" s="38">
        <v>241112000141</v>
      </c>
      <c r="B484" s="147" t="s">
        <v>867</v>
      </c>
      <c r="C484" s="3" t="s">
        <v>1917</v>
      </c>
      <c r="D484" s="3" t="s">
        <v>2448</v>
      </c>
      <c r="E484" s="2" t="s">
        <v>2537</v>
      </c>
      <c r="F484" s="2" t="s">
        <v>2538</v>
      </c>
      <c r="G484" s="148"/>
      <c r="H484" s="148"/>
      <c r="J484" s="1" t="s">
        <v>2539</v>
      </c>
      <c r="K484" s="10"/>
      <c r="L484" s="13" t="s">
        <v>2540</v>
      </c>
      <c r="M484" s="7" t="s">
        <v>2541</v>
      </c>
      <c r="N484" s="7"/>
      <c r="O484" s="7"/>
      <c r="P484" s="7"/>
      <c r="Q484" s="7"/>
      <c r="R484" s="7"/>
      <c r="S484" s="141"/>
      <c r="T484" s="7"/>
    </row>
    <row r="485" spans="1:20" hidden="1">
      <c r="A485" s="38">
        <v>241112000142</v>
      </c>
      <c r="B485" s="147" t="s">
        <v>867</v>
      </c>
      <c r="C485" s="3" t="s">
        <v>1917</v>
      </c>
      <c r="D485" s="3" t="s">
        <v>2448</v>
      </c>
      <c r="E485" s="2" t="s">
        <v>2542</v>
      </c>
      <c r="F485" s="2" t="s">
        <v>1324</v>
      </c>
      <c r="G485" s="148"/>
      <c r="H485" s="148"/>
      <c r="J485" s="1" t="s">
        <v>2543</v>
      </c>
      <c r="K485" s="10"/>
      <c r="L485" s="13" t="s">
        <v>2544</v>
      </c>
      <c r="M485" s="7" t="s">
        <v>2545</v>
      </c>
      <c r="N485" s="7"/>
      <c r="O485" s="7"/>
      <c r="P485" s="7"/>
      <c r="Q485" s="7"/>
      <c r="R485" s="7"/>
      <c r="S485" s="141"/>
      <c r="T485" s="7"/>
    </row>
    <row r="486" spans="1:20" hidden="1">
      <c r="A486" s="38">
        <v>241112000143</v>
      </c>
      <c r="B486" s="147" t="s">
        <v>867</v>
      </c>
      <c r="C486" s="3" t="s">
        <v>1917</v>
      </c>
      <c r="D486" s="3" t="s">
        <v>2448</v>
      </c>
      <c r="E486" s="2" t="s">
        <v>2546</v>
      </c>
      <c r="F486" s="2" t="s">
        <v>1029</v>
      </c>
      <c r="G486" s="148"/>
      <c r="H486" s="148"/>
      <c r="J486" s="1" t="s">
        <v>2547</v>
      </c>
      <c r="K486" s="10" t="s">
        <v>2548</v>
      </c>
      <c r="L486" s="13" t="s">
        <v>2549</v>
      </c>
      <c r="M486" s="7" t="s">
        <v>2550</v>
      </c>
      <c r="N486" s="7" t="s">
        <v>2551</v>
      </c>
      <c r="O486" s="7"/>
      <c r="P486" s="7"/>
      <c r="Q486" s="7"/>
      <c r="R486" s="7"/>
      <c r="S486" s="141"/>
      <c r="T486" s="7"/>
    </row>
    <row r="487" spans="1:20" hidden="1">
      <c r="A487" s="38">
        <v>250425201712</v>
      </c>
      <c r="B487" s="149"/>
      <c r="C487" s="3" t="s">
        <v>1917</v>
      </c>
      <c r="D487" s="3" t="s">
        <v>2448</v>
      </c>
      <c r="E487" s="2" t="s">
        <v>2552</v>
      </c>
      <c r="F487" s="2" t="s">
        <v>1394</v>
      </c>
      <c r="G487" s="48"/>
      <c r="H487" s="150"/>
      <c r="J487" s="10" t="s">
        <v>2553</v>
      </c>
      <c r="K487" s="14"/>
      <c r="L487" s="13"/>
      <c r="M487" s="7"/>
      <c r="N487" s="7" t="s">
        <v>2554</v>
      </c>
      <c r="O487" s="7"/>
      <c r="P487" s="7"/>
      <c r="Q487" s="7"/>
      <c r="R487" s="7"/>
      <c r="S487" s="141" t="s">
        <v>949</v>
      </c>
      <c r="T487" s="7"/>
    </row>
    <row r="488" spans="1:20" hidden="1">
      <c r="A488" s="38">
        <v>250425201713</v>
      </c>
      <c r="B488" s="149"/>
      <c r="C488" s="3" t="s">
        <v>1917</v>
      </c>
      <c r="D488" s="3" t="s">
        <v>2448</v>
      </c>
      <c r="E488" s="2" t="s">
        <v>2555</v>
      </c>
      <c r="F488" s="2" t="s">
        <v>1394</v>
      </c>
      <c r="G488" s="48"/>
      <c r="H488" s="150"/>
      <c r="J488" s="10" t="s">
        <v>2556</v>
      </c>
      <c r="K488" s="14"/>
      <c r="L488" s="13"/>
      <c r="M488" s="7"/>
      <c r="N488" s="7" t="s">
        <v>2557</v>
      </c>
      <c r="O488" s="7"/>
      <c r="P488" s="7"/>
      <c r="Q488" s="7"/>
      <c r="R488" s="7"/>
      <c r="S488" s="141" t="s">
        <v>949</v>
      </c>
      <c r="T488" s="7"/>
    </row>
    <row r="489" spans="1:20" hidden="1">
      <c r="A489" s="38">
        <v>250425201714</v>
      </c>
      <c r="B489" s="149"/>
      <c r="C489" s="3" t="s">
        <v>1917</v>
      </c>
      <c r="D489" s="3" t="s">
        <v>2448</v>
      </c>
      <c r="E489" s="2" t="s">
        <v>2558</v>
      </c>
      <c r="F489" s="2" t="s">
        <v>1394</v>
      </c>
      <c r="G489" s="48"/>
      <c r="H489" s="150"/>
      <c r="J489" s="10" t="s">
        <v>2559</v>
      </c>
      <c r="K489" s="14"/>
      <c r="L489" s="13"/>
      <c r="M489" s="7"/>
      <c r="N489" s="7" t="s">
        <v>2560</v>
      </c>
      <c r="O489" s="7"/>
      <c r="P489" s="7"/>
      <c r="Q489" s="7"/>
      <c r="R489" s="7"/>
      <c r="S489" s="141" t="s">
        <v>949</v>
      </c>
      <c r="T489" s="7"/>
    </row>
    <row r="490" spans="1:20" hidden="1">
      <c r="A490" s="38">
        <v>241112000144</v>
      </c>
      <c r="B490" s="147" t="s">
        <v>867</v>
      </c>
      <c r="C490" s="3" t="s">
        <v>1917</v>
      </c>
      <c r="D490" s="3" t="s">
        <v>2448</v>
      </c>
      <c r="E490" s="2" t="s">
        <v>2561</v>
      </c>
      <c r="F490" s="2" t="s">
        <v>2562</v>
      </c>
      <c r="G490" s="148"/>
      <c r="H490" s="148"/>
      <c r="J490" s="1" t="s">
        <v>2563</v>
      </c>
      <c r="K490" s="10"/>
      <c r="L490" s="13" t="s">
        <v>2564</v>
      </c>
      <c r="M490" s="7" t="s">
        <v>2565</v>
      </c>
      <c r="N490" s="7"/>
      <c r="O490" s="7"/>
      <c r="P490" s="7"/>
      <c r="Q490" s="7"/>
      <c r="R490" s="7"/>
      <c r="S490" s="141"/>
      <c r="T490" s="7"/>
    </row>
    <row r="491" spans="1:20" hidden="1">
      <c r="A491" s="38">
        <v>241112000145</v>
      </c>
      <c r="B491" s="147" t="s">
        <v>867</v>
      </c>
      <c r="C491" s="3" t="s">
        <v>1917</v>
      </c>
      <c r="D491" s="3" t="s">
        <v>2448</v>
      </c>
      <c r="E491" s="2" t="s">
        <v>2566</v>
      </c>
      <c r="F491" s="2" t="s">
        <v>946</v>
      </c>
      <c r="G491" s="148"/>
      <c r="H491" s="148"/>
      <c r="J491" s="1" t="s">
        <v>2567</v>
      </c>
      <c r="K491" s="10"/>
      <c r="L491" s="13" t="s">
        <v>2568</v>
      </c>
      <c r="M491" s="7" t="s">
        <v>2569</v>
      </c>
      <c r="N491" s="7"/>
      <c r="O491" s="7"/>
      <c r="P491" s="7"/>
      <c r="Q491" s="7"/>
      <c r="R491" s="7"/>
      <c r="S491" s="141"/>
      <c r="T491" s="7"/>
    </row>
    <row r="492" spans="1:20" hidden="1">
      <c r="A492" s="38">
        <v>241112000146</v>
      </c>
      <c r="B492" s="147" t="s">
        <v>867</v>
      </c>
      <c r="C492" s="3" t="s">
        <v>1917</v>
      </c>
      <c r="D492" s="3" t="s">
        <v>2448</v>
      </c>
      <c r="E492" s="2" t="s">
        <v>2570</v>
      </c>
      <c r="F492" s="2" t="s">
        <v>2571</v>
      </c>
      <c r="G492" s="148"/>
      <c r="H492" s="148"/>
      <c r="J492" s="1" t="s">
        <v>2572</v>
      </c>
      <c r="K492" s="10"/>
      <c r="L492" s="13" t="s">
        <v>2573</v>
      </c>
      <c r="M492" s="7" t="s">
        <v>2574</v>
      </c>
      <c r="N492" s="7"/>
      <c r="O492" s="7"/>
      <c r="P492" s="7"/>
      <c r="Q492" s="7"/>
      <c r="R492" s="7"/>
      <c r="S492" s="141"/>
      <c r="T492" s="7"/>
    </row>
    <row r="493" spans="1:20" hidden="1">
      <c r="A493" s="38">
        <v>241112000147</v>
      </c>
      <c r="B493" s="147" t="s">
        <v>867</v>
      </c>
      <c r="C493" s="3" t="s">
        <v>1917</v>
      </c>
      <c r="D493" s="3" t="s">
        <v>2448</v>
      </c>
      <c r="E493" s="2" t="s">
        <v>2575</v>
      </c>
      <c r="F493" s="2" t="s">
        <v>2457</v>
      </c>
      <c r="G493" s="148"/>
      <c r="H493" s="148"/>
      <c r="J493" s="1" t="s">
        <v>2576</v>
      </c>
      <c r="K493" s="10"/>
      <c r="L493" s="13" t="s">
        <v>2577</v>
      </c>
      <c r="M493" s="7" t="s">
        <v>2578</v>
      </c>
      <c r="N493" s="7"/>
      <c r="O493" s="7"/>
      <c r="P493" s="7"/>
      <c r="Q493" s="7"/>
      <c r="R493" s="7"/>
      <c r="S493" s="141"/>
      <c r="T493" s="7"/>
    </row>
    <row r="494" spans="1:20" hidden="1">
      <c r="A494" s="38">
        <v>250423112000</v>
      </c>
      <c r="B494" s="147" t="s">
        <v>867</v>
      </c>
      <c r="C494" s="3" t="s">
        <v>1917</v>
      </c>
      <c r="D494" s="3" t="s">
        <v>2579</v>
      </c>
      <c r="E494" s="2" t="s">
        <v>2580</v>
      </c>
      <c r="F494" s="4" t="s">
        <v>886</v>
      </c>
      <c r="G494" s="148"/>
      <c r="H494" s="148"/>
      <c r="J494" s="10" t="s">
        <v>2581</v>
      </c>
      <c r="K494" s="14"/>
      <c r="L494" s="13"/>
      <c r="M494" s="7"/>
      <c r="N494" s="7"/>
      <c r="O494" s="7"/>
      <c r="P494" s="7"/>
      <c r="Q494" s="7"/>
      <c r="R494" s="7"/>
      <c r="S494" s="141"/>
      <c r="T494" s="7"/>
    </row>
    <row r="495" spans="1:20" hidden="1">
      <c r="A495" s="38">
        <v>241112000148</v>
      </c>
      <c r="B495" s="147" t="s">
        <v>867</v>
      </c>
      <c r="C495" s="3" t="s">
        <v>1917</v>
      </c>
      <c r="D495" s="3" t="s">
        <v>2579</v>
      </c>
      <c r="E495" s="2" t="s">
        <v>2582</v>
      </c>
      <c r="F495" s="2" t="s">
        <v>1222</v>
      </c>
      <c r="G495" s="148"/>
      <c r="H495" s="148"/>
      <c r="J495" s="1" t="s">
        <v>2583</v>
      </c>
      <c r="K495" s="10"/>
      <c r="L495" s="13" t="s">
        <v>2584</v>
      </c>
      <c r="M495" t="s">
        <v>2585</v>
      </c>
      <c r="N495" s="7"/>
      <c r="O495" s="7"/>
      <c r="P495" s="7"/>
      <c r="Q495" s="7"/>
      <c r="R495" s="7"/>
      <c r="S495" s="141"/>
      <c r="T495" s="7"/>
    </row>
    <row r="496" spans="1:20" hidden="1">
      <c r="A496" s="38">
        <v>241112000149</v>
      </c>
      <c r="B496" s="147" t="s">
        <v>867</v>
      </c>
      <c r="C496" s="3" t="s">
        <v>1917</v>
      </c>
      <c r="D496" s="3" t="s">
        <v>2579</v>
      </c>
      <c r="E496" s="2" t="s">
        <v>2586</v>
      </c>
      <c r="F496" s="2" t="s">
        <v>1338</v>
      </c>
      <c r="G496" s="148"/>
      <c r="H496" s="148"/>
      <c r="J496" s="1" t="s">
        <v>2587</v>
      </c>
      <c r="K496" s="10"/>
      <c r="L496" s="13" t="s">
        <v>2588</v>
      </c>
      <c r="M496" t="s">
        <v>2589</v>
      </c>
      <c r="N496" s="7"/>
      <c r="O496" s="7"/>
      <c r="P496" s="7"/>
      <c r="Q496" s="7"/>
      <c r="R496" s="7"/>
      <c r="S496" s="141"/>
      <c r="T496" s="7"/>
    </row>
    <row r="497" spans="1:20" hidden="1">
      <c r="A497" s="38">
        <v>241112000150</v>
      </c>
      <c r="B497" s="147" t="s">
        <v>867</v>
      </c>
      <c r="C497" s="3" t="s">
        <v>1917</v>
      </c>
      <c r="D497" s="3" t="s">
        <v>2579</v>
      </c>
      <c r="E497" s="2" t="s">
        <v>2590</v>
      </c>
      <c r="F497" s="2" t="s">
        <v>1029</v>
      </c>
      <c r="G497" s="148"/>
      <c r="H497" s="148"/>
      <c r="J497" s="1" t="s">
        <v>2591</v>
      </c>
      <c r="K497" s="10"/>
      <c r="L497" s="13" t="s">
        <v>2592</v>
      </c>
      <c r="M497" t="s">
        <v>2593</v>
      </c>
      <c r="N497" s="7"/>
      <c r="O497" s="7"/>
      <c r="P497" s="7"/>
      <c r="Q497" s="7"/>
      <c r="R497" s="7"/>
      <c r="S497" s="141"/>
      <c r="T497" s="7"/>
    </row>
    <row r="498" spans="1:20" hidden="1">
      <c r="A498" s="38">
        <v>241112000151</v>
      </c>
      <c r="B498" s="147" t="s">
        <v>867</v>
      </c>
      <c r="C498" s="3" t="s">
        <v>1917</v>
      </c>
      <c r="D498" s="3" t="s">
        <v>2579</v>
      </c>
      <c r="E498" s="2" t="s">
        <v>2594</v>
      </c>
      <c r="F498" s="2" t="s">
        <v>899</v>
      </c>
      <c r="G498" s="148"/>
      <c r="H498" s="148"/>
      <c r="J498" s="1" t="s">
        <v>2595</v>
      </c>
      <c r="K498" s="10"/>
      <c r="L498" s="13" t="s">
        <v>2596</v>
      </c>
      <c r="M498" s="159" t="s">
        <v>2597</v>
      </c>
      <c r="N498" s="7"/>
      <c r="O498" s="7"/>
      <c r="P498" s="7"/>
      <c r="Q498" s="7"/>
      <c r="R498" s="7"/>
      <c r="S498" s="141"/>
      <c r="T498" s="7"/>
    </row>
    <row r="499" spans="1:20" hidden="1">
      <c r="A499" s="38">
        <v>250414121804</v>
      </c>
      <c r="B499" s="147" t="s">
        <v>867</v>
      </c>
      <c r="C499" s="3" t="s">
        <v>1917</v>
      </c>
      <c r="D499" s="3" t="s">
        <v>2598</v>
      </c>
      <c r="E499" s="2" t="s">
        <v>2599</v>
      </c>
      <c r="F499" s="2" t="s">
        <v>2600</v>
      </c>
      <c r="G499" s="148"/>
      <c r="H499" s="148"/>
      <c r="J499" s="10" t="s">
        <v>2601</v>
      </c>
      <c r="K499" s="14"/>
      <c r="L499" s="13"/>
      <c r="M499" s="7"/>
      <c r="N499" s="7" t="s">
        <v>2602</v>
      </c>
      <c r="O499" s="7"/>
      <c r="P499" s="7"/>
      <c r="Q499" s="7"/>
      <c r="R499" s="7"/>
      <c r="S499" s="141"/>
      <c r="T499" s="7"/>
    </row>
    <row r="500" spans="1:20" hidden="1">
      <c r="A500" s="38">
        <v>241112000152</v>
      </c>
      <c r="B500" s="147" t="s">
        <v>867</v>
      </c>
      <c r="C500" s="3" t="s">
        <v>1917</v>
      </c>
      <c r="D500" s="3" t="s">
        <v>2598</v>
      </c>
      <c r="E500" s="2" t="s">
        <v>2603</v>
      </c>
      <c r="F500" s="2" t="s">
        <v>2285</v>
      </c>
      <c r="G500" s="148"/>
      <c r="H500" s="148"/>
      <c r="J500" s="1" t="s">
        <v>2604</v>
      </c>
      <c r="K500" s="10"/>
      <c r="L500" s="13" t="s">
        <v>2605</v>
      </c>
      <c r="M500" s="131" t="s">
        <v>2606</v>
      </c>
      <c r="N500" s="7"/>
      <c r="O500" s="7"/>
      <c r="P500" s="7"/>
      <c r="Q500" s="7"/>
      <c r="R500" s="7"/>
      <c r="S500" s="141"/>
      <c r="T500" s="7"/>
    </row>
    <row r="501" spans="1:20" hidden="1">
      <c r="A501" s="38">
        <v>241112000153</v>
      </c>
      <c r="B501" s="147" t="s">
        <v>867</v>
      </c>
      <c r="C501" s="3" t="s">
        <v>1917</v>
      </c>
      <c r="D501" s="3" t="s">
        <v>2598</v>
      </c>
      <c r="E501" s="2" t="s">
        <v>2607</v>
      </c>
      <c r="F501" s="2" t="s">
        <v>2608</v>
      </c>
      <c r="G501" s="148"/>
      <c r="H501" s="148"/>
      <c r="J501" s="1" t="s">
        <v>2609</v>
      </c>
      <c r="K501" s="10"/>
      <c r="L501" s="13" t="s">
        <v>2610</v>
      </c>
      <c r="M501" s="7" t="s">
        <v>2611</v>
      </c>
      <c r="N501" s="7"/>
      <c r="O501" s="7"/>
      <c r="P501" s="7"/>
      <c r="Q501" s="7"/>
      <c r="R501" s="7"/>
      <c r="S501" s="141"/>
      <c r="T501" s="7"/>
    </row>
    <row r="502" spans="1:20" hidden="1">
      <c r="A502" s="38">
        <v>250317120004</v>
      </c>
      <c r="B502" s="147" t="s">
        <v>867</v>
      </c>
      <c r="C502" s="3" t="s">
        <v>2612</v>
      </c>
      <c r="D502" s="3" t="s">
        <v>2613</v>
      </c>
      <c r="E502" s="2" t="s">
        <v>2614</v>
      </c>
      <c r="F502" s="2" t="s">
        <v>1394</v>
      </c>
      <c r="G502" s="148"/>
      <c r="H502" s="148"/>
      <c r="J502" s="11" t="s">
        <v>2615</v>
      </c>
      <c r="K502" s="100" t="s">
        <v>2616</v>
      </c>
      <c r="L502" s="13"/>
      <c r="M502" s="7"/>
      <c r="N502" s="7"/>
      <c r="O502" s="7"/>
      <c r="P502" s="7"/>
      <c r="Q502" s="7"/>
      <c r="R502" s="7"/>
      <c r="S502" s="141"/>
      <c r="T502" s="7"/>
    </row>
    <row r="503" spans="1:20" hidden="1">
      <c r="A503" s="38">
        <v>250317120005</v>
      </c>
      <c r="B503" s="147" t="s">
        <v>867</v>
      </c>
      <c r="C503" s="3" t="s">
        <v>2612</v>
      </c>
      <c r="D503" s="3" t="s">
        <v>2613</v>
      </c>
      <c r="E503" s="2" t="s">
        <v>2617</v>
      </c>
      <c r="F503" s="2" t="s">
        <v>1526</v>
      </c>
      <c r="G503" s="148"/>
      <c r="H503" s="148"/>
      <c r="J503" s="11" t="s">
        <v>2618</v>
      </c>
      <c r="K503" s="100"/>
      <c r="L503" s="13"/>
      <c r="M503" s="7"/>
      <c r="N503" s="7"/>
      <c r="O503" s="7"/>
      <c r="P503" s="7"/>
      <c r="Q503" s="7"/>
      <c r="R503" s="7"/>
      <c r="S503" s="141"/>
      <c r="T503" s="7"/>
    </row>
    <row r="504" spans="1:20" hidden="1">
      <c r="A504" s="38">
        <v>241112000154</v>
      </c>
      <c r="B504" s="147" t="s">
        <v>867</v>
      </c>
      <c r="C504" s="3" t="s">
        <v>2612</v>
      </c>
      <c r="D504" s="3" t="s">
        <v>2613</v>
      </c>
      <c r="E504" s="2" t="s">
        <v>2619</v>
      </c>
      <c r="F504" s="2" t="s">
        <v>2620</v>
      </c>
      <c r="G504" s="148"/>
      <c r="H504" s="148"/>
      <c r="J504" s="1" t="s">
        <v>2621</v>
      </c>
      <c r="K504" s="10"/>
      <c r="L504" s="13" t="s">
        <v>2622</v>
      </c>
      <c r="M504" s="7"/>
      <c r="N504" s="7"/>
      <c r="O504" s="7"/>
      <c r="P504" s="7"/>
      <c r="Q504" s="7"/>
      <c r="R504" s="7"/>
      <c r="S504" s="141"/>
      <c r="T504" s="7"/>
    </row>
    <row r="505" spans="1:20" hidden="1">
      <c r="A505" s="38">
        <v>241112000155</v>
      </c>
      <c r="B505" s="147" t="s">
        <v>867</v>
      </c>
      <c r="C505" s="3" t="s">
        <v>2612</v>
      </c>
      <c r="D505" s="3" t="s">
        <v>2613</v>
      </c>
      <c r="E505" s="2" t="s">
        <v>2623</v>
      </c>
      <c r="F505" s="2" t="s">
        <v>2624</v>
      </c>
      <c r="G505" s="148"/>
      <c r="H505" s="148"/>
      <c r="J505" s="1" t="s">
        <v>2625</v>
      </c>
      <c r="K505" s="10"/>
      <c r="L505" s="13" t="s">
        <v>2626</v>
      </c>
      <c r="M505" s="7"/>
      <c r="N505" s="7"/>
      <c r="O505" s="7"/>
      <c r="P505" s="7"/>
      <c r="Q505" s="7"/>
      <c r="R505" s="7"/>
      <c r="S505" s="141"/>
      <c r="T505" s="7"/>
    </row>
    <row r="506" spans="1:20" hidden="1">
      <c r="A506" s="38">
        <v>241112000156</v>
      </c>
      <c r="B506" s="147" t="s">
        <v>867</v>
      </c>
      <c r="C506" s="3" t="s">
        <v>2612</v>
      </c>
      <c r="D506" s="3" t="s">
        <v>2613</v>
      </c>
      <c r="E506" s="2" t="s">
        <v>2627</v>
      </c>
      <c r="F506" s="2" t="s">
        <v>1954</v>
      </c>
      <c r="G506" s="148"/>
      <c r="H506" s="148"/>
      <c r="J506" s="1" t="s">
        <v>2628</v>
      </c>
      <c r="K506" s="10"/>
      <c r="L506" s="13" t="s">
        <v>2629</v>
      </c>
      <c r="M506" s="7"/>
      <c r="N506" s="7"/>
      <c r="O506" s="7"/>
      <c r="P506" s="7"/>
      <c r="Q506" s="7"/>
      <c r="R506" s="7"/>
      <c r="S506" s="141"/>
      <c r="T506" s="7"/>
    </row>
    <row r="507" spans="1:20" ht="27.6" hidden="1">
      <c r="A507" s="38">
        <v>250317120006</v>
      </c>
      <c r="B507" s="147" t="s">
        <v>867</v>
      </c>
      <c r="C507" s="3" t="s">
        <v>2612</v>
      </c>
      <c r="D507" s="3" t="s">
        <v>2613</v>
      </c>
      <c r="E507" s="2" t="s">
        <v>2630</v>
      </c>
      <c r="F507" s="2" t="s">
        <v>2631</v>
      </c>
      <c r="G507" s="148"/>
      <c r="H507" s="148"/>
      <c r="J507" s="11" t="s">
        <v>2632</v>
      </c>
      <c r="K507" s="100"/>
      <c r="L507" s="13"/>
      <c r="M507" s="7"/>
      <c r="N507" s="7"/>
      <c r="O507" s="7"/>
      <c r="P507" s="7"/>
      <c r="Q507" s="7"/>
      <c r="R507" s="7"/>
      <c r="S507" s="141"/>
      <c r="T507" s="7"/>
    </row>
    <row r="508" spans="1:20" hidden="1">
      <c r="A508" s="38">
        <v>241112000231</v>
      </c>
      <c r="B508" s="147" t="s">
        <v>867</v>
      </c>
      <c r="C508" s="3" t="s">
        <v>515</v>
      </c>
      <c r="D508" s="3" t="s">
        <v>2633</v>
      </c>
      <c r="E508" s="2" t="s">
        <v>2634</v>
      </c>
      <c r="F508" s="2" t="s">
        <v>946</v>
      </c>
      <c r="G508" s="148"/>
      <c r="H508" s="148"/>
      <c r="J508" s="1" t="s">
        <v>2635</v>
      </c>
      <c r="K508" s="10" t="s">
        <v>2636</v>
      </c>
      <c r="L508" s="13" t="s">
        <v>2637</v>
      </c>
      <c r="M508" s="7" t="s">
        <v>2638</v>
      </c>
      <c r="N508" s="7"/>
      <c r="O508" s="7"/>
      <c r="P508" s="7"/>
      <c r="Q508" s="7"/>
      <c r="R508" s="7"/>
      <c r="S508" s="141"/>
      <c r="T508" s="7"/>
    </row>
    <row r="509" spans="1:20" hidden="1">
      <c r="A509" s="38">
        <v>250220103201</v>
      </c>
      <c r="B509" s="147" t="s">
        <v>867</v>
      </c>
      <c r="C509" s="3" t="s">
        <v>515</v>
      </c>
      <c r="D509" s="3" t="s">
        <v>2633</v>
      </c>
      <c r="E509" t="s">
        <v>2639</v>
      </c>
      <c r="F509" t="s">
        <v>2640</v>
      </c>
      <c r="G509" s="148"/>
      <c r="H509" s="148"/>
      <c r="J509" s="1" t="s">
        <v>2641</v>
      </c>
      <c r="K509" s="14"/>
      <c r="L509" s="13"/>
      <c r="M509" s="7" t="s">
        <v>2642</v>
      </c>
      <c r="N509" s="7"/>
      <c r="O509" s="7"/>
      <c r="P509" s="7" t="s">
        <v>2643</v>
      </c>
      <c r="Q509" s="7"/>
      <c r="R509" s="7"/>
      <c r="S509" s="141"/>
      <c r="T509" s="7"/>
    </row>
    <row r="510" spans="1:20" hidden="1">
      <c r="A510" s="38">
        <v>250212174500</v>
      </c>
      <c r="B510" s="147" t="s">
        <v>867</v>
      </c>
      <c r="C510" s="3" t="s">
        <v>515</v>
      </c>
      <c r="D510" s="74" t="s">
        <v>2633</v>
      </c>
      <c r="E510" s="69" t="s">
        <v>2644</v>
      </c>
      <c r="F510" s="69" t="s">
        <v>2645</v>
      </c>
      <c r="G510" s="148"/>
      <c r="H510" s="148"/>
      <c r="I510" s="70"/>
      <c r="J510" s="71" t="s">
        <v>2646</v>
      </c>
      <c r="K510" s="72"/>
      <c r="L510" s="73" t="s">
        <v>2647</v>
      </c>
      <c r="M510" s="13" t="s">
        <v>1887</v>
      </c>
      <c r="N510" s="13"/>
      <c r="O510" s="13"/>
      <c r="P510" s="13" t="s">
        <v>2648</v>
      </c>
      <c r="Q510" s="13" t="s">
        <v>2649</v>
      </c>
      <c r="R510" s="7"/>
      <c r="S510" s="141"/>
      <c r="T510" s="7"/>
    </row>
    <row r="511" spans="1:20" hidden="1">
      <c r="A511" s="38">
        <v>250414121802</v>
      </c>
      <c r="B511" s="147" t="s">
        <v>867</v>
      </c>
      <c r="C511" s="3" t="s">
        <v>515</v>
      </c>
      <c r="D511" s="3" t="s">
        <v>2633</v>
      </c>
      <c r="E511" s="2" t="s">
        <v>2650</v>
      </c>
      <c r="F511" s="2" t="s">
        <v>2651</v>
      </c>
      <c r="G511" s="148"/>
      <c r="H511" s="148"/>
      <c r="J511" s="10" t="s">
        <v>2652</v>
      </c>
      <c r="K511" s="14"/>
      <c r="L511" s="13"/>
      <c r="M511" s="7"/>
      <c r="N511" s="7" t="s">
        <v>2653</v>
      </c>
      <c r="O511" s="7"/>
      <c r="P511" s="7"/>
      <c r="Q511" s="7"/>
      <c r="R511" s="7"/>
      <c r="S511" s="141"/>
      <c r="T511" s="7"/>
    </row>
    <row r="512" spans="1:20" hidden="1">
      <c r="A512" s="38">
        <v>250414121803</v>
      </c>
      <c r="B512" s="147" t="s">
        <v>867</v>
      </c>
      <c r="C512" s="3" t="s">
        <v>515</v>
      </c>
      <c r="D512" s="3" t="s">
        <v>2633</v>
      </c>
      <c r="E512" s="2" t="s">
        <v>2654</v>
      </c>
      <c r="F512" s="2" t="s">
        <v>2655</v>
      </c>
      <c r="G512" s="148"/>
      <c r="H512" s="148"/>
      <c r="J512" s="10" t="s">
        <v>2656</v>
      </c>
      <c r="K512" s="14"/>
      <c r="L512" s="13"/>
      <c r="M512" s="7"/>
      <c r="N512" s="7" t="s">
        <v>2657</v>
      </c>
      <c r="O512" s="7"/>
      <c r="P512" s="7"/>
      <c r="Q512" s="7"/>
      <c r="R512" s="7"/>
      <c r="S512" s="141"/>
      <c r="T512" s="7"/>
    </row>
    <row r="513" spans="1:20" hidden="1">
      <c r="A513" s="38">
        <v>250414121800</v>
      </c>
      <c r="B513" s="147" t="s">
        <v>867</v>
      </c>
      <c r="C513" s="3" t="s">
        <v>515</v>
      </c>
      <c r="D513" s="3" t="s">
        <v>2633</v>
      </c>
      <c r="E513" s="2" t="s">
        <v>2658</v>
      </c>
      <c r="F513" s="2" t="s">
        <v>2659</v>
      </c>
      <c r="G513" s="148"/>
      <c r="H513" s="148"/>
      <c r="J513" s="10" t="s">
        <v>2660</v>
      </c>
      <c r="K513" s="14"/>
      <c r="L513" s="13"/>
      <c r="M513" s="7"/>
      <c r="N513" s="7" t="s">
        <v>2661</v>
      </c>
      <c r="O513" s="7"/>
      <c r="P513" s="7"/>
      <c r="Q513" s="7"/>
      <c r="R513" s="7"/>
      <c r="S513" s="141"/>
      <c r="T513" s="7"/>
    </row>
    <row r="514" spans="1:20" hidden="1">
      <c r="A514" s="38">
        <v>250203172500</v>
      </c>
      <c r="B514" s="147" t="s">
        <v>867</v>
      </c>
      <c r="C514" s="3" t="s">
        <v>515</v>
      </c>
      <c r="D514" s="3" t="s">
        <v>2633</v>
      </c>
      <c r="E514" s="2" t="s">
        <v>2662</v>
      </c>
      <c r="F514" s="2" t="s">
        <v>2663</v>
      </c>
      <c r="G514" s="148"/>
      <c r="H514" s="148"/>
      <c r="J514" s="10" t="s">
        <v>2664</v>
      </c>
      <c r="K514" s="14"/>
      <c r="L514" s="13" t="s">
        <v>2665</v>
      </c>
      <c r="M514" s="7" t="s">
        <v>2666</v>
      </c>
      <c r="N514" s="7"/>
      <c r="O514" s="7"/>
      <c r="P514" s="7"/>
      <c r="Q514" s="7"/>
      <c r="R514" s="7"/>
      <c r="S514" s="141"/>
      <c r="T514" s="7"/>
    </row>
    <row r="515" spans="1:20" hidden="1">
      <c r="A515" s="38">
        <v>250203170300</v>
      </c>
      <c r="B515" s="147" t="s">
        <v>867</v>
      </c>
      <c r="C515" s="3" t="s">
        <v>515</v>
      </c>
      <c r="D515" s="3" t="s">
        <v>2633</v>
      </c>
      <c r="E515" s="2" t="s">
        <v>2667</v>
      </c>
      <c r="F515" s="2" t="s">
        <v>2668</v>
      </c>
      <c r="G515" s="148"/>
      <c r="H515" s="148"/>
      <c r="J515" s="10" t="s">
        <v>2669</v>
      </c>
      <c r="K515" s="14"/>
      <c r="L515" s="13" t="s">
        <v>2670</v>
      </c>
      <c r="M515" s="7" t="s">
        <v>2671</v>
      </c>
      <c r="N515" s="7"/>
      <c r="O515" s="7"/>
      <c r="P515" s="7"/>
      <c r="Q515" s="7"/>
      <c r="R515" s="7"/>
      <c r="S515" s="141"/>
      <c r="T515" s="7"/>
    </row>
    <row r="516" spans="1:20" hidden="1">
      <c r="A516" s="38">
        <v>241112000232</v>
      </c>
      <c r="B516" s="147" t="s">
        <v>867</v>
      </c>
      <c r="C516" s="3" t="s">
        <v>515</v>
      </c>
      <c r="D516" s="3" t="s">
        <v>2633</v>
      </c>
      <c r="E516" s="2" t="s">
        <v>2672</v>
      </c>
      <c r="F516" s="2" t="s">
        <v>2673</v>
      </c>
      <c r="G516" s="148"/>
      <c r="H516" s="148"/>
      <c r="J516" s="1" t="s">
        <v>2674</v>
      </c>
      <c r="K516" s="10"/>
      <c r="L516" s="13" t="s">
        <v>2675</v>
      </c>
      <c r="M516" s="7" t="s">
        <v>2676</v>
      </c>
      <c r="N516" s="7"/>
      <c r="O516" s="7"/>
      <c r="P516" s="7"/>
      <c r="Q516" s="7"/>
      <c r="R516" s="7"/>
      <c r="S516" s="141"/>
      <c r="T516" s="7"/>
    </row>
    <row r="517" spans="1:20" hidden="1">
      <c r="A517" s="38">
        <v>250220103202</v>
      </c>
      <c r="B517" s="147" t="s">
        <v>867</v>
      </c>
      <c r="C517" s="3" t="s">
        <v>515</v>
      </c>
      <c r="D517" s="3" t="s">
        <v>2633</v>
      </c>
      <c r="E517" t="s">
        <v>2677</v>
      </c>
      <c r="F517" s="2" t="s">
        <v>899</v>
      </c>
      <c r="G517" s="148"/>
      <c r="H517" s="148"/>
      <c r="J517" s="1" t="s">
        <v>2678</v>
      </c>
      <c r="K517" s="14"/>
      <c r="L517" s="13"/>
      <c r="M517" s="7" t="s">
        <v>2679</v>
      </c>
      <c r="N517" s="7" t="s">
        <v>2680</v>
      </c>
      <c r="O517" s="7"/>
      <c r="P517" s="7" t="s">
        <v>2681</v>
      </c>
      <c r="Q517" s="7"/>
      <c r="R517" s="7"/>
      <c r="S517" s="141"/>
      <c r="T517" s="7"/>
    </row>
    <row r="518" spans="1:20" hidden="1">
      <c r="A518" s="38">
        <v>250425153913</v>
      </c>
      <c r="B518" s="149"/>
      <c r="C518" s="3" t="s">
        <v>515</v>
      </c>
      <c r="D518" s="3" t="s">
        <v>2633</v>
      </c>
      <c r="E518" s="2" t="s">
        <v>2682</v>
      </c>
      <c r="F518" s="2" t="s">
        <v>899</v>
      </c>
      <c r="G518" s="48"/>
      <c r="H518" s="150"/>
      <c r="J518" s="10" t="s">
        <v>2683</v>
      </c>
      <c r="K518" s="14"/>
      <c r="L518" s="13"/>
      <c r="M518" s="7"/>
      <c r="N518" s="7" t="s">
        <v>2684</v>
      </c>
      <c r="O518" s="7"/>
      <c r="P518" s="7"/>
      <c r="Q518" s="7"/>
      <c r="R518" s="7"/>
      <c r="S518" s="141"/>
      <c r="T518" s="7"/>
    </row>
    <row r="519" spans="1:20" hidden="1">
      <c r="A519" s="38">
        <v>250220103203</v>
      </c>
      <c r="B519" s="147" t="s">
        <v>867</v>
      </c>
      <c r="C519" s="3" t="s">
        <v>515</v>
      </c>
      <c r="D519" s="3" t="s">
        <v>2633</v>
      </c>
      <c r="E519" t="s">
        <v>2685</v>
      </c>
      <c r="F519" s="2" t="s">
        <v>899</v>
      </c>
      <c r="G519" s="148"/>
      <c r="H519" s="148"/>
      <c r="J519" s="1" t="s">
        <v>2686</v>
      </c>
      <c r="K519" s="14"/>
      <c r="L519" s="13"/>
      <c r="M519" s="7" t="s">
        <v>2687</v>
      </c>
      <c r="N519" s="7"/>
      <c r="O519" s="7"/>
      <c r="P519" s="7" t="s">
        <v>2688</v>
      </c>
      <c r="Q519" s="7"/>
      <c r="R519" s="7"/>
      <c r="S519" s="141"/>
      <c r="T519" s="7"/>
    </row>
    <row r="520" spans="1:20" hidden="1">
      <c r="A520" s="38">
        <v>250203163000</v>
      </c>
      <c r="B520" s="147" t="s">
        <v>867</v>
      </c>
      <c r="C520" s="3" t="s">
        <v>515</v>
      </c>
      <c r="D520" s="3" t="s">
        <v>2633</v>
      </c>
      <c r="E520" s="2" t="s">
        <v>2689</v>
      </c>
      <c r="F520" s="2" t="s">
        <v>2645</v>
      </c>
      <c r="G520" s="148"/>
      <c r="H520" s="148"/>
      <c r="J520" s="10" t="s">
        <v>2690</v>
      </c>
      <c r="K520" s="14" t="s">
        <v>2691</v>
      </c>
      <c r="L520" s="13"/>
      <c r="M520" s="7"/>
      <c r="N520" s="7"/>
      <c r="O520" s="7"/>
      <c r="P520" s="7"/>
      <c r="Q520" s="7"/>
      <c r="R520" s="7"/>
      <c r="S520" s="141"/>
      <c r="T520" s="7"/>
    </row>
    <row r="521" spans="1:20" hidden="1">
      <c r="A521" s="38">
        <v>241112000233</v>
      </c>
      <c r="B521" s="147" t="s">
        <v>867</v>
      </c>
      <c r="C521" s="3" t="s">
        <v>515</v>
      </c>
      <c r="D521" s="3" t="s">
        <v>2633</v>
      </c>
      <c r="E521" s="2" t="s">
        <v>2692</v>
      </c>
      <c r="F521" s="2" t="s">
        <v>2693</v>
      </c>
      <c r="G521" s="148"/>
      <c r="H521" s="148"/>
      <c r="J521" s="1" t="s">
        <v>2694</v>
      </c>
      <c r="K521" s="10"/>
      <c r="L521" s="13" t="s">
        <v>2695</v>
      </c>
      <c r="M521" s="7" t="s">
        <v>2696</v>
      </c>
      <c r="N521" s="7"/>
      <c r="O521" s="7"/>
      <c r="P521" s="7"/>
      <c r="Q521" s="7"/>
      <c r="R521" s="7"/>
      <c r="S521" s="141"/>
      <c r="T521" s="7"/>
    </row>
    <row r="522" spans="1:20" hidden="1">
      <c r="A522" s="38">
        <v>250214100500</v>
      </c>
      <c r="B522" s="147" t="s">
        <v>867</v>
      </c>
      <c r="C522" s="3" t="s">
        <v>515</v>
      </c>
      <c r="D522" s="3" t="s">
        <v>2633</v>
      </c>
      <c r="E522" s="2" t="s">
        <v>2697</v>
      </c>
      <c r="F522" s="2" t="s">
        <v>1939</v>
      </c>
      <c r="G522" s="148"/>
      <c r="H522" s="148"/>
      <c r="J522" s="10" t="s">
        <v>2698</v>
      </c>
      <c r="K522" s="14"/>
      <c r="L522" s="13"/>
      <c r="M522" s="7"/>
      <c r="N522" s="7"/>
      <c r="O522" s="7"/>
      <c r="P522" s="7"/>
      <c r="Q522" s="7"/>
      <c r="R522" s="7"/>
      <c r="S522" s="141"/>
      <c r="T522" s="7"/>
    </row>
    <row r="523" spans="1:20" hidden="1">
      <c r="A523" s="38">
        <v>250214101000</v>
      </c>
      <c r="B523" s="147" t="s">
        <v>867</v>
      </c>
      <c r="C523" s="3" t="s">
        <v>515</v>
      </c>
      <c r="D523" s="3" t="s">
        <v>2633</v>
      </c>
      <c r="E523" s="2" t="s">
        <v>2699</v>
      </c>
      <c r="F523" s="2" t="s">
        <v>1338</v>
      </c>
      <c r="G523" s="148"/>
      <c r="H523" s="148"/>
      <c r="J523" s="10" t="s">
        <v>2700</v>
      </c>
      <c r="K523" s="14"/>
      <c r="L523" s="13"/>
      <c r="M523" s="7"/>
      <c r="N523" s="7"/>
      <c r="O523" s="7"/>
      <c r="P523" s="7"/>
      <c r="Q523" s="7"/>
      <c r="R523" s="7"/>
      <c r="S523" s="141"/>
      <c r="T523" s="7"/>
    </row>
    <row r="524" spans="1:20" hidden="1">
      <c r="A524" s="38">
        <v>250214100200</v>
      </c>
      <c r="B524" s="147" t="s">
        <v>867</v>
      </c>
      <c r="C524" s="3" t="s">
        <v>515</v>
      </c>
      <c r="D524" s="3" t="s">
        <v>2633</v>
      </c>
      <c r="E524" s="2" t="s">
        <v>2701</v>
      </c>
      <c r="F524" s="2" t="s">
        <v>2702</v>
      </c>
      <c r="G524" s="148"/>
      <c r="H524" s="148"/>
      <c r="J524" s="10" t="s">
        <v>2703</v>
      </c>
      <c r="K524" s="14"/>
      <c r="L524" s="13"/>
      <c r="M524" s="7"/>
      <c r="N524" s="7"/>
      <c r="O524" s="7"/>
      <c r="P524" s="7"/>
      <c r="Q524" s="7"/>
      <c r="R524" s="7"/>
      <c r="S524" s="141"/>
      <c r="T524" s="7"/>
    </row>
    <row r="525" spans="1:20" hidden="1">
      <c r="A525" s="38">
        <v>241112000234</v>
      </c>
      <c r="B525" s="147" t="s">
        <v>867</v>
      </c>
      <c r="C525" s="3" t="s">
        <v>515</v>
      </c>
      <c r="D525" s="3" t="s">
        <v>2633</v>
      </c>
      <c r="E525" s="2" t="s">
        <v>2704</v>
      </c>
      <c r="F525" s="2" t="s">
        <v>2705</v>
      </c>
      <c r="G525" s="148"/>
      <c r="H525" s="148"/>
      <c r="J525" s="1" t="s">
        <v>2706</v>
      </c>
      <c r="K525" s="10"/>
      <c r="L525" s="13" t="s">
        <v>2707</v>
      </c>
      <c r="M525" s="7" t="s">
        <v>2708</v>
      </c>
      <c r="N525" s="7"/>
      <c r="O525" s="7"/>
      <c r="P525" s="7"/>
      <c r="Q525" s="7"/>
      <c r="R525" s="7"/>
      <c r="S525" s="141"/>
      <c r="T525" s="7"/>
    </row>
    <row r="526" spans="1:20" hidden="1">
      <c r="A526" s="38">
        <v>250214102900</v>
      </c>
      <c r="B526" s="147" t="s">
        <v>867</v>
      </c>
      <c r="C526" s="3" t="s">
        <v>515</v>
      </c>
      <c r="D526" s="3" t="s">
        <v>2633</v>
      </c>
      <c r="E526" s="2" t="s">
        <v>2709</v>
      </c>
      <c r="F526" s="2" t="s">
        <v>1939</v>
      </c>
      <c r="G526" s="148"/>
      <c r="H526" s="148"/>
      <c r="J526" s="10" t="s">
        <v>2710</v>
      </c>
      <c r="K526" s="14"/>
      <c r="L526" s="13"/>
      <c r="M526" s="7"/>
      <c r="N526" s="7"/>
      <c r="O526" s="7"/>
      <c r="P526" s="7"/>
      <c r="Q526" s="7"/>
      <c r="R526" s="7"/>
      <c r="S526" s="141"/>
      <c r="T526" s="7"/>
    </row>
    <row r="527" spans="1:20" hidden="1">
      <c r="A527" s="38">
        <v>250214103100</v>
      </c>
      <c r="B527" s="147" t="s">
        <v>867</v>
      </c>
      <c r="C527" s="3" t="s">
        <v>515</v>
      </c>
      <c r="D527" s="3" t="s">
        <v>2633</v>
      </c>
      <c r="E527" s="2" t="s">
        <v>2711</v>
      </c>
      <c r="F527" s="2" t="s">
        <v>899</v>
      </c>
      <c r="G527" s="148"/>
      <c r="H527" s="148"/>
      <c r="J527" s="10" t="s">
        <v>2712</v>
      </c>
      <c r="K527" s="14"/>
      <c r="L527" s="13"/>
      <c r="M527" s="7"/>
      <c r="N527" s="7"/>
      <c r="O527" s="7"/>
      <c r="P527" s="7"/>
      <c r="Q527" s="7"/>
      <c r="R527" s="7"/>
      <c r="S527" s="141"/>
      <c r="T527" s="7"/>
    </row>
    <row r="528" spans="1:20" hidden="1">
      <c r="A528" s="38">
        <v>250212174502</v>
      </c>
      <c r="B528" s="147" t="s">
        <v>867</v>
      </c>
      <c r="C528" s="3" t="s">
        <v>515</v>
      </c>
      <c r="D528" s="74" t="s">
        <v>2633</v>
      </c>
      <c r="E528" s="69" t="s">
        <v>2713</v>
      </c>
      <c r="F528" s="69" t="s">
        <v>2645</v>
      </c>
      <c r="G528" s="148"/>
      <c r="H528" s="148"/>
      <c r="I528" s="70"/>
      <c r="J528" s="71" t="s">
        <v>2714</v>
      </c>
      <c r="K528" s="72"/>
      <c r="L528" s="73" t="s">
        <v>2715</v>
      </c>
      <c r="M528" s="13" t="s">
        <v>2716</v>
      </c>
      <c r="N528" s="13"/>
      <c r="O528" s="13"/>
      <c r="P528" s="13" t="s">
        <v>2717</v>
      </c>
      <c r="Q528" s="13"/>
      <c r="R528" s="7"/>
      <c r="S528" s="141"/>
      <c r="T528" s="7"/>
    </row>
    <row r="529" spans="1:20" hidden="1">
      <c r="A529" s="38">
        <v>250203161100</v>
      </c>
      <c r="B529" s="147" t="s">
        <v>867</v>
      </c>
      <c r="C529" s="3" t="s">
        <v>515</v>
      </c>
      <c r="D529" s="3" t="s">
        <v>2633</v>
      </c>
      <c r="E529" s="2" t="s">
        <v>2718</v>
      </c>
      <c r="F529" s="2" t="s">
        <v>2645</v>
      </c>
      <c r="G529" s="148"/>
      <c r="H529" s="148"/>
      <c r="J529" s="10" t="s">
        <v>2719</v>
      </c>
      <c r="K529" s="14" t="s">
        <v>2720</v>
      </c>
      <c r="L529" s="13"/>
      <c r="M529" s="7"/>
      <c r="N529" s="7"/>
      <c r="O529" s="7"/>
      <c r="P529" s="7"/>
      <c r="Q529" s="7"/>
      <c r="R529" s="7"/>
      <c r="S529" s="141"/>
      <c r="T529" s="7"/>
    </row>
    <row r="530" spans="1:20" hidden="1">
      <c r="A530" s="38">
        <v>250212174503</v>
      </c>
      <c r="B530" s="147" t="s">
        <v>867</v>
      </c>
      <c r="C530" s="3" t="s">
        <v>515</v>
      </c>
      <c r="D530" s="74" t="s">
        <v>2633</v>
      </c>
      <c r="E530" s="69" t="s">
        <v>2721</v>
      </c>
      <c r="F530" s="69" t="s">
        <v>2722</v>
      </c>
      <c r="G530" s="148"/>
      <c r="H530" s="148"/>
      <c r="I530" s="70"/>
      <c r="J530" s="71" t="s">
        <v>2723</v>
      </c>
      <c r="K530" s="72"/>
      <c r="L530" s="73" t="s">
        <v>2724</v>
      </c>
      <c r="M530" s="13" t="s">
        <v>2725</v>
      </c>
      <c r="N530" s="13"/>
      <c r="O530" s="13"/>
      <c r="P530" s="13"/>
      <c r="Q530" s="13"/>
      <c r="R530" s="7"/>
      <c r="S530" s="141"/>
      <c r="T530" s="7"/>
    </row>
    <row r="531" spans="1:20" hidden="1">
      <c r="A531" s="38">
        <v>250212174504</v>
      </c>
      <c r="B531" s="147" t="s">
        <v>867</v>
      </c>
      <c r="C531" s="3" t="s">
        <v>515</v>
      </c>
      <c r="D531" s="74" t="s">
        <v>2633</v>
      </c>
      <c r="E531" s="69" t="s">
        <v>2726</v>
      </c>
      <c r="F531" s="69" t="s">
        <v>1231</v>
      </c>
      <c r="G531" s="148"/>
      <c r="H531" s="148"/>
      <c r="I531" s="70"/>
      <c r="J531" s="71" t="s">
        <v>2727</v>
      </c>
      <c r="K531" s="72"/>
      <c r="L531" s="73" t="s">
        <v>2724</v>
      </c>
      <c r="M531" s="13" t="s">
        <v>2725</v>
      </c>
      <c r="N531" s="13"/>
      <c r="O531" s="13"/>
      <c r="P531" s="13"/>
      <c r="Q531" s="13"/>
      <c r="R531" s="7"/>
      <c r="S531" s="141"/>
      <c r="T531" s="7"/>
    </row>
    <row r="532" spans="1:20" hidden="1">
      <c r="A532" s="38">
        <v>250214101400</v>
      </c>
      <c r="B532" s="147" t="s">
        <v>867</v>
      </c>
      <c r="C532" s="3" t="s">
        <v>515</v>
      </c>
      <c r="D532" s="3" t="s">
        <v>2633</v>
      </c>
      <c r="E532" s="2" t="s">
        <v>2728</v>
      </c>
      <c r="F532" s="2" t="s">
        <v>912</v>
      </c>
      <c r="G532" s="148"/>
      <c r="H532" s="148"/>
      <c r="J532" s="10" t="s">
        <v>2729</v>
      </c>
      <c r="K532" s="14"/>
      <c r="L532" s="13"/>
      <c r="M532" s="7"/>
      <c r="N532" s="7"/>
      <c r="O532" s="7"/>
      <c r="P532" s="7"/>
      <c r="Q532" s="7"/>
      <c r="R532" s="7"/>
      <c r="S532" s="141"/>
      <c r="T532" s="7"/>
    </row>
    <row r="533" spans="1:20" hidden="1">
      <c r="A533" s="38">
        <v>241112000235</v>
      </c>
      <c r="B533" s="147" t="s">
        <v>867</v>
      </c>
      <c r="C533" s="3" t="s">
        <v>515</v>
      </c>
      <c r="D533" s="3" t="s">
        <v>2633</v>
      </c>
      <c r="E533" s="2" t="s">
        <v>2730</v>
      </c>
      <c r="F533" s="2" t="s">
        <v>2731</v>
      </c>
      <c r="G533" s="148"/>
      <c r="H533" s="148"/>
      <c r="J533" s="1" t="s">
        <v>2732</v>
      </c>
      <c r="K533" s="10"/>
      <c r="L533" s="13" t="s">
        <v>2733</v>
      </c>
      <c r="M533" s="7" t="s">
        <v>2734</v>
      </c>
      <c r="N533" s="7"/>
      <c r="O533" s="7"/>
      <c r="P533" s="7"/>
      <c r="Q533" s="7"/>
      <c r="R533" s="7"/>
      <c r="S533" s="141"/>
      <c r="T533" s="7"/>
    </row>
    <row r="534" spans="1:20" hidden="1">
      <c r="A534" s="38">
        <v>241112000236</v>
      </c>
      <c r="B534" s="147" t="s">
        <v>867</v>
      </c>
      <c r="C534" s="3" t="s">
        <v>515</v>
      </c>
      <c r="D534" s="3" t="s">
        <v>2633</v>
      </c>
      <c r="E534" s="2" t="s">
        <v>2735</v>
      </c>
      <c r="F534" s="2" t="s">
        <v>1118</v>
      </c>
      <c r="G534" s="148"/>
      <c r="H534" s="148"/>
      <c r="J534" s="1" t="s">
        <v>2736</v>
      </c>
      <c r="K534" s="10"/>
      <c r="L534" s="13" t="s">
        <v>2737</v>
      </c>
      <c r="M534" s="7" t="s">
        <v>2738</v>
      </c>
      <c r="N534" s="7"/>
      <c r="O534" s="7"/>
      <c r="P534" s="7"/>
      <c r="Q534" s="7"/>
      <c r="R534" s="7"/>
      <c r="S534" s="141"/>
      <c r="T534" s="7"/>
    </row>
    <row r="535" spans="1:20" hidden="1">
      <c r="A535" s="38">
        <v>241112000237</v>
      </c>
      <c r="B535" s="147" t="s">
        <v>867</v>
      </c>
      <c r="C535" s="3" t="s">
        <v>515</v>
      </c>
      <c r="D535" s="3" t="s">
        <v>2633</v>
      </c>
      <c r="E535" s="2" t="s">
        <v>2739</v>
      </c>
      <c r="F535" s="2" t="s">
        <v>2740</v>
      </c>
      <c r="G535" s="148"/>
      <c r="H535" s="148"/>
      <c r="J535" s="1" t="s">
        <v>2741</v>
      </c>
      <c r="K535" s="10"/>
      <c r="L535" s="13" t="s">
        <v>2742</v>
      </c>
      <c r="M535" s="7" t="s">
        <v>2743</v>
      </c>
      <c r="N535" s="7"/>
      <c r="O535" s="7"/>
      <c r="P535" s="7"/>
      <c r="Q535" s="7"/>
      <c r="R535" s="7"/>
      <c r="S535" s="141"/>
      <c r="T535" s="7"/>
    </row>
    <row r="536" spans="1:20" hidden="1">
      <c r="A536" s="38">
        <v>241112000044</v>
      </c>
      <c r="B536" s="147" t="s">
        <v>867</v>
      </c>
      <c r="C536" s="3" t="s">
        <v>515</v>
      </c>
      <c r="D536" s="3" t="s">
        <v>2633</v>
      </c>
      <c r="E536" s="2" t="s">
        <v>2744</v>
      </c>
      <c r="F536" s="2" t="s">
        <v>932</v>
      </c>
      <c r="G536" s="148"/>
      <c r="H536" s="148"/>
      <c r="J536" s="1" t="s">
        <v>2745</v>
      </c>
      <c r="K536" s="10"/>
      <c r="L536" s="13" t="s">
        <v>2746</v>
      </c>
      <c r="M536" s="7" t="s">
        <v>2747</v>
      </c>
      <c r="N536" s="7"/>
      <c r="O536" s="7"/>
      <c r="P536" s="7"/>
      <c r="Q536" s="7"/>
      <c r="R536" s="7"/>
      <c r="S536" s="141"/>
      <c r="T536" s="7"/>
    </row>
    <row r="537" spans="1:20" hidden="1">
      <c r="A537" s="38">
        <v>241112000046</v>
      </c>
      <c r="B537" s="147" t="s">
        <v>867</v>
      </c>
      <c r="C537" s="3" t="s">
        <v>515</v>
      </c>
      <c r="D537" s="3" t="s">
        <v>2633</v>
      </c>
      <c r="E537" s="2" t="s">
        <v>2748</v>
      </c>
      <c r="F537" s="2" t="s">
        <v>932</v>
      </c>
      <c r="G537" s="148"/>
      <c r="H537" s="148"/>
      <c r="J537" s="1" t="s">
        <v>2749</v>
      </c>
      <c r="K537" s="14"/>
      <c r="L537" s="13" t="s">
        <v>2750</v>
      </c>
      <c r="M537" s="7" t="s">
        <v>2751</v>
      </c>
      <c r="N537" s="7"/>
      <c r="O537" s="7"/>
      <c r="P537" s="7"/>
      <c r="Q537" s="7"/>
      <c r="R537" s="7"/>
      <c r="S537" s="141"/>
      <c r="T537" s="7"/>
    </row>
    <row r="538" spans="1:20" hidden="1">
      <c r="A538" s="38">
        <v>250214102600</v>
      </c>
      <c r="B538" s="147" t="s">
        <v>867</v>
      </c>
      <c r="C538" s="3" t="s">
        <v>515</v>
      </c>
      <c r="D538" s="3" t="s">
        <v>2633</v>
      </c>
      <c r="E538" s="2" t="s">
        <v>2752</v>
      </c>
      <c r="F538" s="2" t="s">
        <v>912</v>
      </c>
      <c r="G538" s="148"/>
      <c r="H538" s="148"/>
      <c r="J538" s="10" t="s">
        <v>2753</v>
      </c>
      <c r="K538" s="14"/>
      <c r="L538" s="13"/>
      <c r="M538" s="7"/>
      <c r="N538" s="7"/>
      <c r="O538" s="7"/>
      <c r="P538" s="7"/>
      <c r="Q538" s="7"/>
      <c r="R538" s="7"/>
      <c r="S538" s="141"/>
      <c r="T538" s="7"/>
    </row>
    <row r="539" spans="1:20" hidden="1">
      <c r="A539" s="38">
        <v>241112000238</v>
      </c>
      <c r="B539" s="147" t="s">
        <v>867</v>
      </c>
      <c r="C539" s="3" t="s">
        <v>515</v>
      </c>
      <c r="D539" s="3" t="s">
        <v>2633</v>
      </c>
      <c r="E539" s="2" t="s">
        <v>2754</v>
      </c>
      <c r="F539" s="2" t="s">
        <v>2755</v>
      </c>
      <c r="G539" s="148"/>
      <c r="H539" s="148"/>
      <c r="J539" s="1" t="s">
        <v>2756</v>
      </c>
      <c r="K539" s="10" t="s">
        <v>2757</v>
      </c>
      <c r="L539" s="13" t="s">
        <v>2758</v>
      </c>
      <c r="M539" s="7" t="s">
        <v>2759</v>
      </c>
      <c r="N539" s="7"/>
      <c r="O539" s="7"/>
      <c r="P539" s="7"/>
      <c r="Q539" s="7"/>
      <c r="R539" s="7"/>
      <c r="S539" s="141"/>
      <c r="T539" s="7"/>
    </row>
    <row r="540" spans="1:20" hidden="1">
      <c r="A540" s="38">
        <v>241112000239</v>
      </c>
      <c r="B540" s="147" t="s">
        <v>867</v>
      </c>
      <c r="C540" s="3" t="s">
        <v>515</v>
      </c>
      <c r="D540" s="3" t="s">
        <v>2633</v>
      </c>
      <c r="E540" s="2" t="s">
        <v>2760</v>
      </c>
      <c r="F540" s="2" t="s">
        <v>1118</v>
      </c>
      <c r="G540" s="148"/>
      <c r="H540" s="148"/>
      <c r="J540" s="1" t="s">
        <v>2761</v>
      </c>
      <c r="K540" s="10" t="s">
        <v>2757</v>
      </c>
      <c r="L540" s="13" t="s">
        <v>2762</v>
      </c>
      <c r="M540" s="7" t="s">
        <v>2763</v>
      </c>
      <c r="N540" s="7"/>
      <c r="O540" s="7"/>
      <c r="P540" s="7"/>
      <c r="Q540" s="7"/>
      <c r="R540" s="7"/>
      <c r="S540" s="141"/>
      <c r="T540" s="7"/>
    </row>
    <row r="541" spans="1:20" hidden="1">
      <c r="A541" s="38">
        <v>241112000240</v>
      </c>
      <c r="B541" s="147" t="s">
        <v>867</v>
      </c>
      <c r="C541" s="3" t="s">
        <v>515</v>
      </c>
      <c r="D541" s="3" t="s">
        <v>2633</v>
      </c>
      <c r="E541" s="2" t="s">
        <v>2764</v>
      </c>
      <c r="F541" s="2" t="s">
        <v>2765</v>
      </c>
      <c r="G541" s="148"/>
      <c r="H541" s="148"/>
      <c r="J541" s="1" t="s">
        <v>2766</v>
      </c>
      <c r="K541" s="10" t="s">
        <v>2757</v>
      </c>
      <c r="L541" s="13" t="s">
        <v>2767</v>
      </c>
      <c r="M541" s="7" t="s">
        <v>2768</v>
      </c>
      <c r="N541" s="7"/>
      <c r="O541" s="7"/>
      <c r="P541" s="7"/>
      <c r="Q541" s="7"/>
      <c r="R541" s="7"/>
      <c r="S541" s="141"/>
      <c r="T541" s="7"/>
    </row>
    <row r="542" spans="1:20" hidden="1">
      <c r="A542" s="38">
        <v>250214101200</v>
      </c>
      <c r="B542" s="147" t="s">
        <v>867</v>
      </c>
      <c r="C542" s="3" t="s">
        <v>515</v>
      </c>
      <c r="D542" s="3" t="s">
        <v>2633</v>
      </c>
      <c r="E542" s="2" t="s">
        <v>2769</v>
      </c>
      <c r="F542" s="2" t="s">
        <v>2457</v>
      </c>
      <c r="G542" s="148"/>
      <c r="H542" s="148"/>
      <c r="J542" s="10" t="s">
        <v>2770</v>
      </c>
      <c r="K542" s="14"/>
      <c r="L542" s="13"/>
      <c r="M542" s="7"/>
      <c r="N542" s="7"/>
      <c r="O542" s="7"/>
      <c r="P542" s="7"/>
      <c r="Q542" s="7"/>
      <c r="R542" s="7"/>
      <c r="S542" s="141"/>
      <c r="T542" s="7"/>
    </row>
    <row r="543" spans="1:20" hidden="1">
      <c r="A543" s="38">
        <v>250214103300</v>
      </c>
      <c r="B543" s="147" t="s">
        <v>867</v>
      </c>
      <c r="C543" s="3" t="s">
        <v>515</v>
      </c>
      <c r="D543" s="3" t="s">
        <v>2633</v>
      </c>
      <c r="E543" s="2" t="s">
        <v>2771</v>
      </c>
      <c r="F543" s="2" t="s">
        <v>1324</v>
      </c>
      <c r="G543" s="148"/>
      <c r="H543" s="148"/>
      <c r="J543" s="10" t="s">
        <v>2772</v>
      </c>
      <c r="K543" s="14"/>
      <c r="L543" s="13"/>
      <c r="M543" s="7"/>
      <c r="N543" s="7"/>
      <c r="O543" s="7"/>
      <c r="P543" s="7"/>
      <c r="Q543" s="7"/>
      <c r="R543" s="7"/>
      <c r="S543" s="141"/>
      <c r="T543" s="7"/>
    </row>
    <row r="544" spans="1:20" hidden="1">
      <c r="A544" s="38">
        <v>241112000049</v>
      </c>
      <c r="B544" s="147" t="s">
        <v>867</v>
      </c>
      <c r="C544" s="3" t="s">
        <v>515</v>
      </c>
      <c r="D544" s="3" t="s">
        <v>2633</v>
      </c>
      <c r="E544" s="2" t="s">
        <v>2773</v>
      </c>
      <c r="F544" s="2" t="s">
        <v>932</v>
      </c>
      <c r="G544" s="148"/>
      <c r="H544" s="148"/>
      <c r="J544" s="1" t="s">
        <v>2774</v>
      </c>
      <c r="K544" s="10"/>
      <c r="L544" s="13" t="s">
        <v>2775</v>
      </c>
      <c r="M544" s="7" t="s">
        <v>2776</v>
      </c>
      <c r="N544" s="7"/>
      <c r="O544" s="7"/>
      <c r="P544" s="7"/>
      <c r="Q544" s="7"/>
      <c r="R544" s="7"/>
      <c r="S544" s="141"/>
      <c r="T544" s="7"/>
    </row>
    <row r="545" spans="1:20" hidden="1">
      <c r="A545" s="38">
        <v>250203165300</v>
      </c>
      <c r="B545" s="147" t="s">
        <v>867</v>
      </c>
      <c r="C545" s="3" t="s">
        <v>515</v>
      </c>
      <c r="D545" s="3" t="s">
        <v>2633</v>
      </c>
      <c r="E545" s="2" t="s">
        <v>2777</v>
      </c>
      <c r="F545" s="2" t="s">
        <v>1338</v>
      </c>
      <c r="G545" s="148"/>
      <c r="H545" s="148"/>
      <c r="J545" s="10" t="s">
        <v>2778</v>
      </c>
      <c r="K545" s="14"/>
      <c r="L545" s="13"/>
      <c r="M545" s="7"/>
      <c r="N545" s="7"/>
      <c r="O545" s="7"/>
      <c r="P545" s="7"/>
      <c r="Q545" s="7"/>
      <c r="R545" s="7"/>
      <c r="S545" s="141"/>
      <c r="T545" s="7"/>
    </row>
    <row r="546" spans="1:20" hidden="1">
      <c r="A546" s="38">
        <v>241112000241</v>
      </c>
      <c r="B546" s="147" t="s">
        <v>867</v>
      </c>
      <c r="C546" s="3" t="s">
        <v>515</v>
      </c>
      <c r="D546" s="3" t="s">
        <v>2633</v>
      </c>
      <c r="E546" s="2" t="s">
        <v>2779</v>
      </c>
      <c r="F546" s="2" t="s">
        <v>1338</v>
      </c>
      <c r="G546" s="148"/>
      <c r="H546" s="148"/>
      <c r="J546" s="1" t="s">
        <v>2780</v>
      </c>
      <c r="K546" s="10" t="s">
        <v>2781</v>
      </c>
      <c r="L546" s="13" t="s">
        <v>2782</v>
      </c>
      <c r="M546" s="7" t="s">
        <v>2783</v>
      </c>
      <c r="N546" s="7"/>
      <c r="O546" s="7"/>
      <c r="P546" s="7"/>
      <c r="Q546" s="7"/>
      <c r="R546" s="7"/>
      <c r="S546" s="141"/>
      <c r="T546" s="7"/>
    </row>
    <row r="547" spans="1:20" hidden="1">
      <c r="A547" s="38">
        <v>241112000242</v>
      </c>
      <c r="B547" s="147" t="s">
        <v>867</v>
      </c>
      <c r="C547" s="3" t="s">
        <v>515</v>
      </c>
      <c r="D547" s="3" t="s">
        <v>2633</v>
      </c>
      <c r="E547" s="2" t="s">
        <v>2784</v>
      </c>
      <c r="F547" s="2" t="s">
        <v>1014</v>
      </c>
      <c r="G547" s="148"/>
      <c r="H547" s="148"/>
      <c r="J547" s="1" t="s">
        <v>2785</v>
      </c>
      <c r="K547" s="10"/>
      <c r="L547" s="13" t="s">
        <v>2786</v>
      </c>
      <c r="M547" s="7" t="s">
        <v>2787</v>
      </c>
      <c r="N547" s="7"/>
      <c r="O547" s="7"/>
      <c r="P547" s="7"/>
      <c r="Q547" s="7"/>
      <c r="R547" s="7"/>
      <c r="S547" s="141"/>
      <c r="T547" s="7"/>
    </row>
    <row r="548" spans="1:20" hidden="1">
      <c r="A548" s="38">
        <v>241112000243</v>
      </c>
      <c r="B548" s="147" t="s">
        <v>867</v>
      </c>
      <c r="C548" s="3" t="s">
        <v>515</v>
      </c>
      <c r="D548" s="3" t="s">
        <v>2633</v>
      </c>
      <c r="E548" s="2" t="s">
        <v>2788</v>
      </c>
      <c r="F548" s="2" t="s">
        <v>946</v>
      </c>
      <c r="G548" s="148"/>
      <c r="H548" s="148"/>
      <c r="J548" s="1" t="s">
        <v>2789</v>
      </c>
      <c r="K548" s="10" t="s">
        <v>2636</v>
      </c>
      <c r="L548" s="13" t="s">
        <v>2790</v>
      </c>
      <c r="M548" s="7" t="s">
        <v>2791</v>
      </c>
      <c r="N548" s="7"/>
      <c r="O548" s="7"/>
      <c r="P548" s="7"/>
      <c r="Q548" s="7"/>
      <c r="R548" s="7"/>
      <c r="S548" s="141"/>
      <c r="T548" s="7"/>
    </row>
    <row r="549" spans="1:20" hidden="1">
      <c r="A549" s="38">
        <v>241112000244</v>
      </c>
      <c r="B549" s="147" t="s">
        <v>867</v>
      </c>
      <c r="C549" s="3" t="s">
        <v>515</v>
      </c>
      <c r="D549" s="3" t="s">
        <v>2633</v>
      </c>
      <c r="E549" s="2" t="s">
        <v>2792</v>
      </c>
      <c r="F549" s="2" t="s">
        <v>946</v>
      </c>
      <c r="G549" s="148"/>
      <c r="H549" s="148"/>
      <c r="J549" s="1" t="s">
        <v>2793</v>
      </c>
      <c r="K549" s="10" t="s">
        <v>2794</v>
      </c>
      <c r="L549" s="13" t="s">
        <v>2795</v>
      </c>
      <c r="M549" s="7" t="s">
        <v>2796</v>
      </c>
      <c r="N549" s="7"/>
      <c r="O549" s="7"/>
      <c r="P549" s="7"/>
      <c r="Q549" s="7"/>
      <c r="R549" s="7"/>
      <c r="S549" s="141"/>
      <c r="T549" s="7"/>
    </row>
    <row r="550" spans="1:20" hidden="1">
      <c r="A550" s="38">
        <v>250425153912</v>
      </c>
      <c r="B550" s="149"/>
      <c r="C550" s="3" t="s">
        <v>515</v>
      </c>
      <c r="D550" s="3" t="s">
        <v>2633</v>
      </c>
      <c r="E550" s="2" t="s">
        <v>2797</v>
      </c>
      <c r="F550" s="2" t="s">
        <v>2798</v>
      </c>
      <c r="G550" s="48"/>
      <c r="H550" s="150"/>
      <c r="J550" s="10" t="s">
        <v>2799</v>
      </c>
      <c r="K550" s="14"/>
      <c r="L550" s="13"/>
      <c r="M550" s="7"/>
      <c r="N550" s="7" t="s">
        <v>2800</v>
      </c>
      <c r="O550" s="7"/>
      <c r="P550" s="7"/>
      <c r="Q550" s="7"/>
      <c r="R550" s="7"/>
      <c r="S550" s="141"/>
      <c r="T550" s="7"/>
    </row>
    <row r="551" spans="1:20" hidden="1">
      <c r="A551" s="38">
        <v>241112000246</v>
      </c>
      <c r="B551" s="147" t="s">
        <v>867</v>
      </c>
      <c r="C551" s="3" t="s">
        <v>515</v>
      </c>
      <c r="D551" s="3" t="s">
        <v>2633</v>
      </c>
      <c r="E551" s="2" t="s">
        <v>2801</v>
      </c>
      <c r="F551" s="2" t="s">
        <v>2802</v>
      </c>
      <c r="G551" s="148"/>
      <c r="H551" s="148"/>
      <c r="J551" s="1" t="s">
        <v>2803</v>
      </c>
      <c r="K551" s="10"/>
      <c r="L551" s="13" t="s">
        <v>2804</v>
      </c>
      <c r="M551" s="7" t="s">
        <v>2805</v>
      </c>
      <c r="N551" s="7"/>
      <c r="O551" s="7"/>
      <c r="P551" s="7"/>
      <c r="Q551" s="7"/>
      <c r="R551" s="7"/>
      <c r="S551" s="141"/>
      <c r="T551" s="7"/>
    </row>
    <row r="552" spans="1:20" hidden="1">
      <c r="A552" s="38">
        <v>241112000247</v>
      </c>
      <c r="B552" s="147" t="s">
        <v>867</v>
      </c>
      <c r="C552" s="3" t="s">
        <v>515</v>
      </c>
      <c r="D552" s="3" t="s">
        <v>2633</v>
      </c>
      <c r="E552" s="2" t="s">
        <v>2806</v>
      </c>
      <c r="F552" s="2" t="s">
        <v>871</v>
      </c>
      <c r="G552" s="148"/>
      <c r="H552" s="148"/>
      <c r="J552" s="1" t="s">
        <v>2807</v>
      </c>
      <c r="K552" s="10"/>
      <c r="L552" s="13" t="s">
        <v>2808</v>
      </c>
      <c r="M552" s="7" t="s">
        <v>2809</v>
      </c>
      <c r="N552" s="7"/>
      <c r="O552" s="7"/>
      <c r="P552" s="7"/>
      <c r="Q552" s="7"/>
      <c r="R552" s="7"/>
      <c r="S552" s="141"/>
      <c r="T552" s="7"/>
    </row>
    <row r="553" spans="1:20" hidden="1">
      <c r="A553" s="38">
        <v>241112000051</v>
      </c>
      <c r="B553" s="147" t="s">
        <v>867</v>
      </c>
      <c r="C553" s="3" t="s">
        <v>515</v>
      </c>
      <c r="D553" s="3" t="s">
        <v>2633</v>
      </c>
      <c r="E553" s="2" t="s">
        <v>2810</v>
      </c>
      <c r="F553" s="2" t="s">
        <v>932</v>
      </c>
      <c r="G553" s="148"/>
      <c r="H553" s="148"/>
      <c r="J553" s="1" t="s">
        <v>2811</v>
      </c>
      <c r="K553" s="10"/>
      <c r="L553" s="13" t="s">
        <v>2812</v>
      </c>
      <c r="M553" s="7" t="s">
        <v>2813</v>
      </c>
      <c r="N553" s="7"/>
      <c r="O553" s="7"/>
      <c r="P553" s="7"/>
      <c r="Q553" s="7"/>
      <c r="R553" s="7"/>
      <c r="S553" s="141"/>
      <c r="T553" s="7"/>
    </row>
    <row r="554" spans="1:20" hidden="1">
      <c r="A554" s="38">
        <v>241112000248</v>
      </c>
      <c r="B554" s="147" t="s">
        <v>867</v>
      </c>
      <c r="C554" s="3" t="s">
        <v>515</v>
      </c>
      <c r="D554" s="3" t="s">
        <v>2633</v>
      </c>
      <c r="E554" s="2" t="s">
        <v>2814</v>
      </c>
      <c r="F554" s="2" t="s">
        <v>2815</v>
      </c>
      <c r="G554" s="148"/>
      <c r="H554" s="148"/>
      <c r="J554" s="1" t="s">
        <v>2816</v>
      </c>
      <c r="K554" s="10"/>
      <c r="L554" s="13" t="s">
        <v>2817</v>
      </c>
      <c r="M554" s="7" t="s">
        <v>2818</v>
      </c>
      <c r="N554" s="7"/>
      <c r="O554" s="7"/>
      <c r="P554" s="7"/>
      <c r="Q554" s="7"/>
      <c r="R554" s="7"/>
      <c r="S554" s="141"/>
      <c r="T554" s="7"/>
    </row>
    <row r="555" spans="1:20" hidden="1">
      <c r="A555" s="38">
        <v>250203165900</v>
      </c>
      <c r="B555" s="147" t="s">
        <v>867</v>
      </c>
      <c r="C555" s="3" t="s">
        <v>515</v>
      </c>
      <c r="D555" s="3" t="s">
        <v>2633</v>
      </c>
      <c r="E555" s="2" t="s">
        <v>2819</v>
      </c>
      <c r="F555" s="2" t="s">
        <v>1135</v>
      </c>
      <c r="G555" s="148"/>
      <c r="H555" s="148"/>
      <c r="J555" s="10" t="s">
        <v>2820</v>
      </c>
      <c r="K555" s="14"/>
      <c r="L555" s="13"/>
      <c r="M555" s="7"/>
      <c r="N555" s="7"/>
      <c r="O555" s="7"/>
      <c r="P555" s="7"/>
      <c r="Q555" s="7"/>
      <c r="R555" s="7"/>
      <c r="S555" s="141"/>
      <c r="T555" s="7"/>
    </row>
    <row r="556" spans="1:20" hidden="1">
      <c r="A556" s="38">
        <v>250214102200</v>
      </c>
      <c r="B556" s="147" t="s">
        <v>867</v>
      </c>
      <c r="C556" s="3" t="s">
        <v>515</v>
      </c>
      <c r="D556" s="3" t="s">
        <v>2633</v>
      </c>
      <c r="E556" s="2" t="s">
        <v>2821</v>
      </c>
      <c r="F556" s="2" t="s">
        <v>912</v>
      </c>
      <c r="G556" s="148"/>
      <c r="H556" s="148"/>
      <c r="J556" s="10" t="s">
        <v>2822</v>
      </c>
      <c r="K556" s="14"/>
      <c r="L556" s="13"/>
      <c r="M556" s="7"/>
      <c r="N556" s="7"/>
      <c r="O556" s="7"/>
      <c r="P556" s="7"/>
      <c r="Q556" s="7"/>
      <c r="R556" s="7"/>
      <c r="S556" s="141"/>
      <c r="T556" s="7"/>
    </row>
    <row r="557" spans="1:20" hidden="1">
      <c r="A557" s="38">
        <v>250214102400</v>
      </c>
      <c r="B557" s="147" t="s">
        <v>867</v>
      </c>
      <c r="C557" s="3" t="s">
        <v>515</v>
      </c>
      <c r="D557" s="3" t="s">
        <v>2633</v>
      </c>
      <c r="E557" s="2" t="s">
        <v>2823</v>
      </c>
      <c r="F557" s="2" t="s">
        <v>912</v>
      </c>
      <c r="G557" s="148"/>
      <c r="H557" s="148"/>
      <c r="J557" s="10" t="s">
        <v>2824</v>
      </c>
      <c r="K557" s="14"/>
      <c r="L557" s="13"/>
      <c r="M557" s="7"/>
      <c r="N557" s="7"/>
      <c r="O557" s="7"/>
      <c r="P557" s="7"/>
      <c r="Q557" s="7"/>
      <c r="R557" s="7"/>
      <c r="S557" s="141"/>
      <c r="T557" s="7"/>
    </row>
    <row r="558" spans="1:20" hidden="1">
      <c r="A558" s="38">
        <v>250203174600</v>
      </c>
      <c r="B558" s="147" t="s">
        <v>867</v>
      </c>
      <c r="C558" s="3" t="s">
        <v>515</v>
      </c>
      <c r="D558" s="3" t="s">
        <v>2633</v>
      </c>
      <c r="E558" s="2" t="s">
        <v>2263</v>
      </c>
      <c r="F558" s="2" t="s">
        <v>1521</v>
      </c>
      <c r="G558" s="148"/>
      <c r="H558" s="148"/>
      <c r="J558" s="10" t="s">
        <v>2825</v>
      </c>
      <c r="K558" s="14"/>
      <c r="L558" s="13"/>
      <c r="M558" s="7"/>
      <c r="N558" s="7"/>
      <c r="O558" s="7"/>
      <c r="P558" s="7"/>
      <c r="Q558" s="7"/>
      <c r="R558" s="7"/>
      <c r="S558" s="141"/>
      <c r="T558" s="7"/>
    </row>
    <row r="559" spans="1:20" hidden="1">
      <c r="A559" s="38">
        <v>250212174501</v>
      </c>
      <c r="B559" s="147" t="s">
        <v>867</v>
      </c>
      <c r="C559" s="3" t="s">
        <v>515</v>
      </c>
      <c r="D559" s="74" t="s">
        <v>2633</v>
      </c>
      <c r="E559" s="69" t="s">
        <v>2826</v>
      </c>
      <c r="F559" s="69" t="s">
        <v>2645</v>
      </c>
      <c r="G559" s="148"/>
      <c r="H559" s="148"/>
      <c r="I559" s="70"/>
      <c r="J559" s="71" t="s">
        <v>2827</v>
      </c>
      <c r="K559" s="72"/>
      <c r="L559" s="73" t="s">
        <v>2828</v>
      </c>
      <c r="M559" s="13" t="s">
        <v>2829</v>
      </c>
      <c r="N559" s="13"/>
      <c r="O559" s="13"/>
      <c r="P559" s="13" t="s">
        <v>2830</v>
      </c>
      <c r="Q559" s="13"/>
      <c r="R559" s="7"/>
      <c r="S559" s="141"/>
      <c r="T559" s="7"/>
    </row>
    <row r="560" spans="1:20" hidden="1">
      <c r="A560" s="38">
        <v>250220103204</v>
      </c>
      <c r="B560" s="147" t="s">
        <v>867</v>
      </c>
      <c r="C560" s="3" t="s">
        <v>515</v>
      </c>
      <c r="D560" s="3" t="s">
        <v>2633</v>
      </c>
      <c r="E560" t="s">
        <v>2831</v>
      </c>
      <c r="F560" s="2" t="s">
        <v>932</v>
      </c>
      <c r="G560" s="148"/>
      <c r="H560" s="148"/>
      <c r="J560" s="1" t="s">
        <v>2832</v>
      </c>
      <c r="K560" s="14"/>
      <c r="L560" s="13"/>
      <c r="M560" s="7" t="s">
        <v>2833</v>
      </c>
      <c r="N560" s="7"/>
      <c r="O560" s="7"/>
      <c r="P560" s="7" t="s">
        <v>2834</v>
      </c>
      <c r="Q560" s="7"/>
      <c r="R560" s="7"/>
      <c r="S560" s="141"/>
      <c r="T560" s="7"/>
    </row>
    <row r="561" spans="1:20" hidden="1">
      <c r="A561" s="38">
        <v>241112000249</v>
      </c>
      <c r="B561" s="147" t="s">
        <v>867</v>
      </c>
      <c r="C561" s="3" t="s">
        <v>515</v>
      </c>
      <c r="D561" s="3" t="s">
        <v>2633</v>
      </c>
      <c r="E561" s="2" t="s">
        <v>2835</v>
      </c>
      <c r="F561" s="2" t="s">
        <v>2765</v>
      </c>
      <c r="G561" s="148"/>
      <c r="H561" s="148"/>
      <c r="J561" s="1" t="s">
        <v>2836</v>
      </c>
      <c r="K561" s="10"/>
      <c r="L561" s="13" t="s">
        <v>2837</v>
      </c>
      <c r="M561" s="7" t="s">
        <v>2838</v>
      </c>
      <c r="N561" s="7"/>
      <c r="O561" s="7"/>
      <c r="P561" s="7"/>
      <c r="Q561" s="7"/>
      <c r="R561" s="7"/>
      <c r="S561" s="141"/>
      <c r="T561" s="7"/>
    </row>
    <row r="562" spans="1:20" hidden="1">
      <c r="A562" s="38">
        <v>241112000250</v>
      </c>
      <c r="B562" s="147" t="s">
        <v>867</v>
      </c>
      <c r="C562" s="3" t="s">
        <v>515</v>
      </c>
      <c r="D562" s="3" t="s">
        <v>2633</v>
      </c>
      <c r="E562" s="2" t="s">
        <v>2839</v>
      </c>
      <c r="F562" s="2" t="s">
        <v>2840</v>
      </c>
      <c r="G562" s="148"/>
      <c r="H562" s="148"/>
      <c r="J562" s="1" t="s">
        <v>2841</v>
      </c>
      <c r="K562" s="10"/>
      <c r="L562" s="13" t="s">
        <v>2842</v>
      </c>
      <c r="M562" s="7" t="s">
        <v>2843</v>
      </c>
      <c r="N562" s="7"/>
      <c r="O562" s="7"/>
      <c r="P562" s="7"/>
      <c r="Q562" s="7"/>
      <c r="R562" s="7"/>
      <c r="S562" s="141"/>
      <c r="T562" s="7"/>
    </row>
    <row r="563" spans="1:20" hidden="1">
      <c r="A563" s="38">
        <v>241112000251</v>
      </c>
      <c r="B563" s="147" t="s">
        <v>867</v>
      </c>
      <c r="C563" s="3" t="s">
        <v>515</v>
      </c>
      <c r="D563" s="3" t="s">
        <v>2633</v>
      </c>
      <c r="E563" s="2" t="s">
        <v>2844</v>
      </c>
      <c r="F563" s="2" t="s">
        <v>1279</v>
      </c>
      <c r="G563" s="148"/>
      <c r="H563" s="148"/>
      <c r="J563" s="1" t="s">
        <v>2845</v>
      </c>
      <c r="K563" s="10" t="s">
        <v>2636</v>
      </c>
      <c r="L563" s="13" t="s">
        <v>2846</v>
      </c>
      <c r="M563" s="7" t="s">
        <v>2847</v>
      </c>
      <c r="N563" s="7"/>
      <c r="O563" s="7"/>
      <c r="P563" s="7"/>
      <c r="Q563" s="7"/>
      <c r="R563" s="7"/>
      <c r="S563" s="141"/>
      <c r="T563" s="7"/>
    </row>
    <row r="564" spans="1:20" hidden="1">
      <c r="A564" s="38">
        <v>241112000252</v>
      </c>
      <c r="B564" s="147" t="s">
        <v>867</v>
      </c>
      <c r="C564" s="3" t="s">
        <v>515</v>
      </c>
      <c r="D564" s="3" t="s">
        <v>2633</v>
      </c>
      <c r="E564" s="2" t="s">
        <v>2848</v>
      </c>
      <c r="F564" s="2" t="s">
        <v>1279</v>
      </c>
      <c r="G564" s="148"/>
      <c r="H564" s="148"/>
      <c r="J564" s="1" t="s">
        <v>2849</v>
      </c>
      <c r="K564" s="10" t="s">
        <v>2636</v>
      </c>
      <c r="L564" s="13" t="s">
        <v>2850</v>
      </c>
      <c r="M564" s="7" t="s">
        <v>2851</v>
      </c>
      <c r="N564" s="7"/>
      <c r="O564" s="7"/>
      <c r="P564" s="7"/>
      <c r="Q564" s="7"/>
      <c r="R564" s="7"/>
      <c r="S564" s="141"/>
      <c r="T564" s="7"/>
    </row>
    <row r="565" spans="1:20" hidden="1">
      <c r="A565" s="38">
        <v>241112000253</v>
      </c>
      <c r="B565" s="147" t="s">
        <v>867</v>
      </c>
      <c r="C565" s="3" t="s">
        <v>515</v>
      </c>
      <c r="D565" s="3" t="s">
        <v>2633</v>
      </c>
      <c r="E565" s="2" t="s">
        <v>2852</v>
      </c>
      <c r="F565" s="2" t="s">
        <v>1526</v>
      </c>
      <c r="G565" s="148"/>
      <c r="H565" s="148"/>
      <c r="J565" s="1" t="s">
        <v>2853</v>
      </c>
      <c r="K565" s="10" t="s">
        <v>2854</v>
      </c>
      <c r="L565" s="13" t="s">
        <v>2855</v>
      </c>
      <c r="M565" s="7" t="s">
        <v>2856</v>
      </c>
      <c r="N565" s="7"/>
      <c r="O565" s="7"/>
      <c r="P565" s="7"/>
      <c r="Q565" s="7"/>
      <c r="R565" s="7"/>
      <c r="S565" s="141"/>
      <c r="T565" s="7"/>
    </row>
    <row r="566" spans="1:20" hidden="1">
      <c r="A566" s="38">
        <v>250203174800</v>
      </c>
      <c r="B566" s="147" t="s">
        <v>867</v>
      </c>
      <c r="C566" s="3" t="s">
        <v>515</v>
      </c>
      <c r="D566" s="3" t="s">
        <v>2633</v>
      </c>
      <c r="E566" s="2" t="s">
        <v>2857</v>
      </c>
      <c r="F566" s="2" t="s">
        <v>883</v>
      </c>
      <c r="G566" s="148"/>
      <c r="H566" s="148"/>
      <c r="J566" s="10" t="s">
        <v>2858</v>
      </c>
      <c r="K566" s="14" t="s">
        <v>2859</v>
      </c>
      <c r="L566" s="13"/>
      <c r="M566" s="7"/>
      <c r="N566" s="7"/>
      <c r="O566" s="7"/>
      <c r="P566" s="7"/>
      <c r="Q566" s="7"/>
      <c r="R566" s="7"/>
      <c r="S566" s="141"/>
      <c r="T566" s="7"/>
    </row>
    <row r="567" spans="1:20" hidden="1">
      <c r="A567" s="38">
        <v>250203175000</v>
      </c>
      <c r="B567" s="147" t="s">
        <v>867</v>
      </c>
      <c r="C567" s="3" t="s">
        <v>515</v>
      </c>
      <c r="D567" s="3" t="s">
        <v>2633</v>
      </c>
      <c r="E567" s="2" t="s">
        <v>2860</v>
      </c>
      <c r="F567" s="2" t="s">
        <v>2861</v>
      </c>
      <c r="G567" s="148"/>
      <c r="H567" s="148"/>
      <c r="J567" s="10" t="s">
        <v>2862</v>
      </c>
      <c r="K567" s="14"/>
      <c r="L567" s="13"/>
      <c r="M567" s="7"/>
      <c r="N567" s="7"/>
      <c r="O567" s="7"/>
      <c r="P567" s="7"/>
      <c r="Q567" s="7"/>
      <c r="R567" s="7"/>
      <c r="S567" s="141"/>
      <c r="T567" s="7"/>
    </row>
    <row r="568" spans="1:20" hidden="1">
      <c r="A568" s="38">
        <v>250423093000</v>
      </c>
      <c r="B568" s="147" t="s">
        <v>867</v>
      </c>
      <c r="C568" s="3" t="s">
        <v>515</v>
      </c>
      <c r="D568" s="3" t="s">
        <v>2633</v>
      </c>
      <c r="E568" s="2" t="s">
        <v>2863</v>
      </c>
      <c r="F568" s="2" t="s">
        <v>1014</v>
      </c>
      <c r="G568" s="148"/>
      <c r="H568" s="148"/>
      <c r="J568" s="10" t="s">
        <v>2864</v>
      </c>
      <c r="K568" s="14"/>
      <c r="L568" s="13"/>
      <c r="M568" s="7"/>
      <c r="N568" s="7" t="s">
        <v>1509</v>
      </c>
      <c r="O568" s="7"/>
      <c r="P568" s="7"/>
      <c r="Q568" s="7"/>
      <c r="R568" s="7"/>
      <c r="S568" s="141" t="s">
        <v>949</v>
      </c>
      <c r="T568" s="7"/>
    </row>
    <row r="569" spans="1:20" hidden="1">
      <c r="A569" s="38">
        <v>241112000254</v>
      </c>
      <c r="B569" s="147" t="s">
        <v>867</v>
      </c>
      <c r="C569" s="3" t="s">
        <v>515</v>
      </c>
      <c r="D569" s="3" t="s">
        <v>2633</v>
      </c>
      <c r="E569" s="2" t="s">
        <v>2865</v>
      </c>
      <c r="F569" s="2" t="s">
        <v>2866</v>
      </c>
      <c r="G569" s="148"/>
      <c r="H569" s="148"/>
      <c r="J569" s="1" t="s">
        <v>2867</v>
      </c>
      <c r="K569" s="10"/>
      <c r="L569" s="13" t="s">
        <v>2868</v>
      </c>
      <c r="M569" s="7" t="s">
        <v>2869</v>
      </c>
      <c r="N569" s="7"/>
      <c r="O569" s="7"/>
      <c r="P569" s="7"/>
      <c r="Q569" s="7"/>
      <c r="R569" s="7"/>
      <c r="S569" s="141"/>
      <c r="T569" s="7"/>
    </row>
    <row r="570" spans="1:20" hidden="1">
      <c r="A570" s="38">
        <v>250422151301</v>
      </c>
      <c r="B570" s="147" t="s">
        <v>867</v>
      </c>
      <c r="C570" s="3" t="s">
        <v>515</v>
      </c>
      <c r="D570" s="3" t="s">
        <v>2633</v>
      </c>
      <c r="E570" s="2" t="s">
        <v>2870</v>
      </c>
      <c r="F570" s="2" t="s">
        <v>2871</v>
      </c>
      <c r="G570" s="148"/>
      <c r="H570" s="148"/>
      <c r="J570" s="10" t="s">
        <v>2872</v>
      </c>
      <c r="K570" s="14"/>
      <c r="L570" s="13"/>
      <c r="M570" s="7"/>
      <c r="N570" s="7" t="s">
        <v>2873</v>
      </c>
      <c r="O570" s="7"/>
      <c r="P570" s="7"/>
      <c r="Q570" s="7"/>
      <c r="R570" s="7"/>
      <c r="S570" s="141"/>
      <c r="T570" s="7"/>
    </row>
    <row r="571" spans="1:20" hidden="1">
      <c r="A571" s="38">
        <v>241112000255</v>
      </c>
      <c r="B571" s="147" t="s">
        <v>867</v>
      </c>
      <c r="C571" s="3" t="s">
        <v>515</v>
      </c>
      <c r="D571" s="3" t="s">
        <v>2633</v>
      </c>
      <c r="E571" s="2" t="s">
        <v>2874</v>
      </c>
      <c r="F571" s="2" t="s">
        <v>1713</v>
      </c>
      <c r="G571" s="148"/>
      <c r="H571" s="148"/>
      <c r="J571" s="1" t="s">
        <v>2875</v>
      </c>
      <c r="K571" s="10"/>
      <c r="L571" s="13" t="s">
        <v>2876</v>
      </c>
      <c r="M571" s="7" t="s">
        <v>2877</v>
      </c>
      <c r="N571" s="7"/>
      <c r="O571" s="7"/>
      <c r="P571" s="7"/>
      <c r="Q571" s="7"/>
      <c r="R571" s="7"/>
      <c r="S571" s="141"/>
      <c r="T571" s="7"/>
    </row>
    <row r="572" spans="1:20" hidden="1">
      <c r="A572" s="38">
        <v>241112000256</v>
      </c>
      <c r="B572" s="147" t="s">
        <v>867</v>
      </c>
      <c r="C572" s="3" t="s">
        <v>515</v>
      </c>
      <c r="D572" s="3" t="s">
        <v>2633</v>
      </c>
      <c r="E572" s="2" t="s">
        <v>2878</v>
      </c>
      <c r="F572" s="2" t="s">
        <v>2879</v>
      </c>
      <c r="G572" s="148"/>
      <c r="H572" s="148"/>
      <c r="J572" s="1" t="s">
        <v>2880</v>
      </c>
      <c r="K572" s="10"/>
      <c r="L572" s="13" t="s">
        <v>2881</v>
      </c>
      <c r="M572" s="7" t="s">
        <v>2882</v>
      </c>
      <c r="N572" s="7"/>
      <c r="O572" s="7"/>
      <c r="P572" s="7"/>
      <c r="Q572" s="7"/>
      <c r="R572" s="7"/>
      <c r="S572" s="141"/>
      <c r="T572" s="7"/>
    </row>
    <row r="573" spans="1:20" ht="15" hidden="1" customHeight="1">
      <c r="A573" s="38">
        <v>250203144200</v>
      </c>
      <c r="B573" s="147" t="s">
        <v>867</v>
      </c>
      <c r="C573" s="3" t="s">
        <v>515</v>
      </c>
      <c r="D573" s="3" t="s">
        <v>2633</v>
      </c>
      <c r="E573" s="2" t="s">
        <v>2883</v>
      </c>
      <c r="F573" s="2" t="s">
        <v>1209</v>
      </c>
      <c r="G573" s="148"/>
      <c r="H573" s="148"/>
      <c r="J573" s="10" t="s">
        <v>2884</v>
      </c>
      <c r="K573" s="100" t="s">
        <v>2885</v>
      </c>
      <c r="L573" s="13"/>
      <c r="M573" s="7"/>
      <c r="N573" s="7"/>
      <c r="O573" s="7"/>
      <c r="P573" s="7"/>
      <c r="Q573" s="7"/>
      <c r="R573" s="7"/>
      <c r="S573" s="141"/>
      <c r="T573" s="7"/>
    </row>
    <row r="574" spans="1:20" hidden="1">
      <c r="A574" s="38">
        <v>250331121303</v>
      </c>
      <c r="B574" s="147" t="s">
        <v>867</v>
      </c>
      <c r="C574" s="3" t="s">
        <v>515</v>
      </c>
      <c r="D574" s="3" t="s">
        <v>2886</v>
      </c>
      <c r="E574" s="2" t="s">
        <v>2887</v>
      </c>
      <c r="F574" s="2" t="s">
        <v>2174</v>
      </c>
      <c r="G574" s="148"/>
      <c r="H574" s="148"/>
      <c r="J574" s="1" t="s">
        <v>2888</v>
      </c>
      <c r="K574" s="10"/>
      <c r="L574" s="13"/>
      <c r="M574" s="7"/>
      <c r="N574" s="7"/>
      <c r="O574" s="7"/>
      <c r="P574" s="7"/>
      <c r="Q574" s="7"/>
      <c r="R574" s="7"/>
      <c r="S574" s="141"/>
      <c r="T574" s="7"/>
    </row>
    <row r="575" spans="1:20" hidden="1">
      <c r="A575" s="38">
        <v>250331121304</v>
      </c>
      <c r="B575" s="147" t="s">
        <v>867</v>
      </c>
      <c r="C575" s="3" t="s">
        <v>515</v>
      </c>
      <c r="D575" s="3" t="s">
        <v>2886</v>
      </c>
      <c r="E575" s="2" t="s">
        <v>2889</v>
      </c>
      <c r="F575" s="2" t="s">
        <v>2890</v>
      </c>
      <c r="G575" s="148"/>
      <c r="H575" s="148"/>
      <c r="J575" s="1" t="s">
        <v>2891</v>
      </c>
      <c r="K575" s="10"/>
      <c r="L575" s="13"/>
      <c r="M575" s="7"/>
      <c r="N575" s="7"/>
      <c r="O575" s="7"/>
      <c r="P575" s="7"/>
      <c r="Q575" s="7"/>
      <c r="R575" s="7"/>
      <c r="S575" s="141"/>
      <c r="T575" s="7"/>
    </row>
    <row r="576" spans="1:20" hidden="1">
      <c r="A576" s="38">
        <v>250401153200</v>
      </c>
      <c r="B576" s="147" t="s">
        <v>867</v>
      </c>
      <c r="C576" s="3" t="s">
        <v>515</v>
      </c>
      <c r="D576" s="3" t="s">
        <v>2886</v>
      </c>
      <c r="E576" s="2" t="s">
        <v>2892</v>
      </c>
      <c r="F576" s="2" t="s">
        <v>1526</v>
      </c>
      <c r="G576" s="148"/>
      <c r="H576" s="148"/>
      <c r="J576" s="1" t="s">
        <v>2893</v>
      </c>
      <c r="K576" s="10"/>
      <c r="L576" s="13"/>
      <c r="M576" s="7"/>
      <c r="N576" s="7"/>
      <c r="O576" s="7"/>
      <c r="P576" s="7"/>
      <c r="Q576" s="7"/>
      <c r="R576" s="7"/>
      <c r="S576" s="141"/>
      <c r="T576" s="7"/>
    </row>
    <row r="577" spans="1:20" hidden="1">
      <c r="A577" s="38">
        <v>250401153201</v>
      </c>
      <c r="B577" s="147" t="s">
        <v>867</v>
      </c>
      <c r="C577" s="3" t="s">
        <v>515</v>
      </c>
      <c r="D577" s="3" t="s">
        <v>2886</v>
      </c>
      <c r="E577" s="2" t="s">
        <v>2894</v>
      </c>
      <c r="F577" s="2" t="s">
        <v>2890</v>
      </c>
      <c r="G577" s="148"/>
      <c r="H577" s="148"/>
      <c r="J577" s="1" t="s">
        <v>2895</v>
      </c>
      <c r="K577" s="10"/>
      <c r="L577" s="13"/>
      <c r="M577" s="7"/>
      <c r="N577" s="7"/>
      <c r="O577" s="7"/>
      <c r="P577" s="7"/>
      <c r="Q577" s="7"/>
      <c r="R577" s="7"/>
      <c r="S577" s="141"/>
      <c r="T577" s="7"/>
    </row>
    <row r="578" spans="1:20" hidden="1">
      <c r="A578" s="38">
        <v>250324131105</v>
      </c>
      <c r="B578" s="147" t="s">
        <v>867</v>
      </c>
      <c r="C578" s="3" t="s">
        <v>515</v>
      </c>
      <c r="D578" s="3" t="s">
        <v>2896</v>
      </c>
      <c r="E578" s="2" t="s">
        <v>2897</v>
      </c>
      <c r="F578" s="2" t="s">
        <v>2624</v>
      </c>
      <c r="G578" s="148"/>
      <c r="H578" s="148"/>
      <c r="J578" s="10" t="s">
        <v>2898</v>
      </c>
      <c r="K578" s="14"/>
      <c r="L578" s="13"/>
      <c r="M578" s="7"/>
      <c r="N578" s="7"/>
      <c r="O578" s="7"/>
      <c r="P578" s="7"/>
      <c r="Q578" s="7"/>
      <c r="R578" s="7"/>
      <c r="S578" s="141"/>
      <c r="T578" s="7"/>
    </row>
    <row r="579" spans="1:20" hidden="1">
      <c r="A579" s="38">
        <v>250317176916</v>
      </c>
      <c r="B579" s="147" t="s">
        <v>867</v>
      </c>
      <c r="C579" s="3" t="s">
        <v>515</v>
      </c>
      <c r="D579" s="3" t="s">
        <v>2896</v>
      </c>
      <c r="E579" s="2" t="s">
        <v>2899</v>
      </c>
      <c r="F579" s="2" t="s">
        <v>912</v>
      </c>
      <c r="G579" s="148"/>
      <c r="H579" s="148"/>
      <c r="J579" s="10" t="s">
        <v>2900</v>
      </c>
      <c r="K579" s="14"/>
      <c r="L579" s="13"/>
      <c r="M579" s="7"/>
      <c r="N579" s="7"/>
      <c r="O579" s="7"/>
      <c r="P579" s="7"/>
      <c r="Q579" s="7"/>
      <c r="R579" s="7"/>
      <c r="S579" s="141"/>
      <c r="T579" s="7"/>
    </row>
    <row r="580" spans="1:20" hidden="1">
      <c r="A580" s="38">
        <v>250317176910</v>
      </c>
      <c r="B580" s="147" t="s">
        <v>867</v>
      </c>
      <c r="C580" s="3" t="s">
        <v>515</v>
      </c>
      <c r="D580" s="3" t="s">
        <v>2896</v>
      </c>
      <c r="E580" s="2" t="s">
        <v>2901</v>
      </c>
      <c r="F580" s="2" t="s">
        <v>1394</v>
      </c>
      <c r="G580" s="148"/>
      <c r="H580" s="148"/>
      <c r="J580" s="10" t="s">
        <v>2902</v>
      </c>
      <c r="K580" s="14"/>
      <c r="L580" s="13"/>
      <c r="M580" s="7"/>
      <c r="N580" s="7"/>
      <c r="O580" s="7"/>
      <c r="P580" s="7"/>
      <c r="Q580" s="7"/>
      <c r="R580" s="7"/>
      <c r="S580" s="141"/>
      <c r="T580" s="7"/>
    </row>
    <row r="581" spans="1:20" hidden="1">
      <c r="A581" s="38">
        <v>250324131109</v>
      </c>
      <c r="B581" s="147" t="s">
        <v>867</v>
      </c>
      <c r="C581" s="3" t="s">
        <v>515</v>
      </c>
      <c r="D581" s="3" t="s">
        <v>2896</v>
      </c>
      <c r="E581" s="2" t="s">
        <v>2903</v>
      </c>
      <c r="F581" s="2" t="s">
        <v>1394</v>
      </c>
      <c r="G581" s="148"/>
      <c r="H581" s="148"/>
      <c r="J581" s="10" t="s">
        <v>2904</v>
      </c>
      <c r="K581" s="14"/>
      <c r="L581" s="13"/>
      <c r="M581" s="7"/>
      <c r="N581" s="7"/>
      <c r="O581" s="7"/>
      <c r="P581" s="7"/>
      <c r="Q581" s="7"/>
      <c r="R581" s="7"/>
      <c r="S581" s="141"/>
      <c r="T581" s="7"/>
    </row>
    <row r="582" spans="1:20" hidden="1">
      <c r="A582" s="38">
        <v>250317176912</v>
      </c>
      <c r="B582" s="147" t="s">
        <v>867</v>
      </c>
      <c r="C582" s="3" t="s">
        <v>515</v>
      </c>
      <c r="D582" s="3" t="s">
        <v>2896</v>
      </c>
      <c r="E582" s="2" t="s">
        <v>2905</v>
      </c>
      <c r="F582" s="2" t="s">
        <v>2906</v>
      </c>
      <c r="G582" s="148"/>
      <c r="H582" s="148"/>
      <c r="J582" s="10" t="s">
        <v>2907</v>
      </c>
      <c r="K582" s="14"/>
      <c r="L582" s="13"/>
      <c r="M582" s="7"/>
      <c r="N582" s="7"/>
      <c r="O582" s="7"/>
      <c r="P582" s="7"/>
      <c r="Q582" s="7"/>
      <c r="R582" s="7"/>
      <c r="S582" s="141"/>
      <c r="T582" s="7"/>
    </row>
    <row r="583" spans="1:20" hidden="1">
      <c r="A583" s="38">
        <v>250317176907</v>
      </c>
      <c r="B583" s="147" t="s">
        <v>867</v>
      </c>
      <c r="C583" s="3" t="s">
        <v>515</v>
      </c>
      <c r="D583" s="3" t="s">
        <v>2896</v>
      </c>
      <c r="E583" s="2" t="s">
        <v>2908</v>
      </c>
      <c r="F583" s="101" t="s">
        <v>2909</v>
      </c>
      <c r="G583" s="148"/>
      <c r="H583" s="148"/>
      <c r="J583" s="10" t="s">
        <v>2910</v>
      </c>
      <c r="K583" s="14"/>
      <c r="L583" s="13"/>
      <c r="M583" s="7"/>
      <c r="N583" s="7"/>
      <c r="O583" s="7"/>
      <c r="P583" s="7"/>
      <c r="Q583" s="7"/>
      <c r="R583" s="7"/>
      <c r="S583" s="141"/>
      <c r="T583" s="7"/>
    </row>
    <row r="584" spans="1:20" hidden="1">
      <c r="A584" s="38">
        <v>250317176908</v>
      </c>
      <c r="B584" s="147" t="s">
        <v>867</v>
      </c>
      <c r="C584" s="3" t="s">
        <v>515</v>
      </c>
      <c r="D584" s="3" t="s">
        <v>2896</v>
      </c>
      <c r="E584" s="2" t="s">
        <v>2911</v>
      </c>
      <c r="F584" s="2" t="s">
        <v>2083</v>
      </c>
      <c r="G584" s="148"/>
      <c r="H584" s="148"/>
      <c r="J584" s="10" t="s">
        <v>2912</v>
      </c>
      <c r="K584" s="14"/>
      <c r="L584" s="13"/>
      <c r="M584" s="7"/>
      <c r="N584" s="7"/>
      <c r="O584" s="7"/>
      <c r="P584" s="7"/>
      <c r="Q584" s="7"/>
      <c r="R584" s="7"/>
      <c r="S584" s="141"/>
      <c r="T584" s="7"/>
    </row>
    <row r="585" spans="1:20" hidden="1">
      <c r="A585" s="38">
        <v>250317176913</v>
      </c>
      <c r="B585" s="147" t="s">
        <v>867</v>
      </c>
      <c r="C585" s="3" t="s">
        <v>515</v>
      </c>
      <c r="D585" s="3" t="s">
        <v>2896</v>
      </c>
      <c r="E585" s="2" t="s">
        <v>2913</v>
      </c>
      <c r="F585" s="101" t="s">
        <v>2914</v>
      </c>
      <c r="G585" s="148"/>
      <c r="H585" s="148"/>
      <c r="J585" s="10" t="s">
        <v>2915</v>
      </c>
      <c r="K585" s="14"/>
      <c r="L585" s="13"/>
      <c r="M585" s="7"/>
      <c r="N585" s="7"/>
      <c r="O585" s="7"/>
      <c r="P585" s="7"/>
      <c r="Q585" s="7"/>
      <c r="R585" s="7"/>
      <c r="S585" s="141"/>
      <c r="T585" s="7"/>
    </row>
    <row r="586" spans="1:20" hidden="1">
      <c r="A586" s="38">
        <v>250414134000</v>
      </c>
      <c r="B586" s="147" t="s">
        <v>867</v>
      </c>
      <c r="C586" s="3" t="s">
        <v>515</v>
      </c>
      <c r="D586" s="3" t="s">
        <v>2896</v>
      </c>
      <c r="E586" s="2" t="s">
        <v>2916</v>
      </c>
      <c r="F586" s="2" t="s">
        <v>1394</v>
      </c>
      <c r="G586" s="148"/>
      <c r="H586" s="148"/>
      <c r="J586" s="1" t="s">
        <v>2917</v>
      </c>
      <c r="K586" s="14"/>
      <c r="L586" s="13"/>
      <c r="M586" s="7"/>
      <c r="N586" s="7"/>
      <c r="O586" s="7"/>
      <c r="P586" s="7"/>
      <c r="Q586" s="7"/>
      <c r="R586" s="7"/>
      <c r="S586" s="141"/>
      <c r="T586" s="7"/>
    </row>
    <row r="587" spans="1:20" hidden="1">
      <c r="A587" s="38">
        <v>250324131106</v>
      </c>
      <c r="B587" s="147" t="s">
        <v>867</v>
      </c>
      <c r="C587" s="3" t="s">
        <v>515</v>
      </c>
      <c r="D587" s="3" t="s">
        <v>2896</v>
      </c>
      <c r="E587" s="2" t="s">
        <v>2918</v>
      </c>
      <c r="F587" s="2" t="s">
        <v>912</v>
      </c>
      <c r="G587" s="148"/>
      <c r="H587" s="148"/>
      <c r="J587" s="10" t="s">
        <v>2919</v>
      </c>
      <c r="K587" s="14"/>
      <c r="L587" s="13"/>
      <c r="M587" s="7"/>
      <c r="N587" s="7"/>
      <c r="O587" s="7"/>
      <c r="P587" s="7"/>
      <c r="Q587" s="7"/>
      <c r="R587" s="7"/>
      <c r="S587" s="141"/>
      <c r="T587" s="7"/>
    </row>
    <row r="588" spans="1:20" hidden="1">
      <c r="A588" s="38">
        <v>250324131108</v>
      </c>
      <c r="B588" s="147" t="s">
        <v>867</v>
      </c>
      <c r="C588" s="3" t="s">
        <v>515</v>
      </c>
      <c r="D588" s="3" t="s">
        <v>2896</v>
      </c>
      <c r="E588" s="2" t="s">
        <v>2920</v>
      </c>
      <c r="F588" s="2" t="s">
        <v>2921</v>
      </c>
      <c r="G588" s="148"/>
      <c r="H588" s="148"/>
      <c r="J588" s="10" t="s">
        <v>2922</v>
      </c>
      <c r="K588" s="14"/>
      <c r="L588" s="13"/>
      <c r="M588" s="7"/>
      <c r="N588" s="7"/>
      <c r="O588" s="7"/>
      <c r="P588" s="7"/>
      <c r="Q588" s="7"/>
      <c r="R588" s="7"/>
      <c r="S588" s="141"/>
      <c r="T588" s="7"/>
    </row>
    <row r="589" spans="1:20" hidden="1">
      <c r="A589" s="38">
        <v>250324131107</v>
      </c>
      <c r="B589" s="147" t="s">
        <v>867</v>
      </c>
      <c r="C589" s="3" t="s">
        <v>515</v>
      </c>
      <c r="D589" s="3" t="s">
        <v>2896</v>
      </c>
      <c r="E589" s="2" t="s">
        <v>2923</v>
      </c>
      <c r="F589" s="2" t="s">
        <v>2924</v>
      </c>
      <c r="G589" s="148"/>
      <c r="H589" s="148"/>
      <c r="J589" s="10" t="s">
        <v>2925</v>
      </c>
      <c r="K589" s="14"/>
      <c r="L589" s="13"/>
      <c r="M589" s="7"/>
      <c r="N589" s="7"/>
      <c r="O589" s="7"/>
      <c r="P589" s="7"/>
      <c r="Q589" s="7"/>
      <c r="R589" s="7"/>
      <c r="S589" s="141"/>
      <c r="T589" s="7"/>
    </row>
    <row r="590" spans="1:20" hidden="1">
      <c r="A590" s="38">
        <v>250324131101</v>
      </c>
      <c r="B590" s="147" t="s">
        <v>867</v>
      </c>
      <c r="C590" s="3" t="s">
        <v>515</v>
      </c>
      <c r="D590" s="3" t="s">
        <v>2896</v>
      </c>
      <c r="E590" s="2" t="s">
        <v>2926</v>
      </c>
      <c r="F590" s="2" t="s">
        <v>2927</v>
      </c>
      <c r="G590" s="148"/>
      <c r="H590" s="148"/>
      <c r="J590" s="10" t="s">
        <v>2928</v>
      </c>
      <c r="K590" s="14"/>
      <c r="L590" s="13"/>
      <c r="M590" s="7"/>
      <c r="N590" s="7"/>
      <c r="O590" s="7"/>
      <c r="P590" s="7"/>
      <c r="Q590" s="7"/>
      <c r="R590" s="7"/>
      <c r="S590" s="141"/>
      <c r="T590" s="7"/>
    </row>
    <row r="591" spans="1:20" hidden="1">
      <c r="A591" s="38">
        <v>250324131102</v>
      </c>
      <c r="B591" s="147" t="s">
        <v>867</v>
      </c>
      <c r="C591" s="3" t="s">
        <v>515</v>
      </c>
      <c r="D591" s="3" t="s">
        <v>2896</v>
      </c>
      <c r="E591" s="2" t="s">
        <v>2929</v>
      </c>
      <c r="F591" s="2" t="s">
        <v>1526</v>
      </c>
      <c r="G591" s="148"/>
      <c r="H591" s="148"/>
      <c r="J591" s="10" t="s">
        <v>2930</v>
      </c>
      <c r="K591" s="14"/>
      <c r="L591" s="13"/>
      <c r="M591" s="7"/>
      <c r="N591" s="7"/>
      <c r="O591" s="7"/>
      <c r="P591" s="7"/>
      <c r="Q591" s="7"/>
      <c r="R591" s="7"/>
      <c r="S591" s="141"/>
      <c r="T591" s="7"/>
    </row>
    <row r="592" spans="1:20" hidden="1">
      <c r="A592" s="38">
        <v>250324131103</v>
      </c>
      <c r="B592" s="147" t="s">
        <v>867</v>
      </c>
      <c r="C592" s="3" t="s">
        <v>515</v>
      </c>
      <c r="D592" s="3" t="s">
        <v>2896</v>
      </c>
      <c r="E592" s="2" t="s">
        <v>2931</v>
      </c>
      <c r="F592" s="2" t="s">
        <v>1394</v>
      </c>
      <c r="G592" s="148"/>
      <c r="H592" s="148"/>
      <c r="J592" s="10" t="s">
        <v>2932</v>
      </c>
      <c r="K592" s="14"/>
      <c r="L592" s="13"/>
      <c r="M592" s="7"/>
      <c r="N592" s="7"/>
      <c r="O592" s="7"/>
      <c r="P592" s="7"/>
      <c r="Q592" s="7"/>
      <c r="R592" s="7"/>
      <c r="S592" s="141"/>
      <c r="T592" s="7"/>
    </row>
    <row r="593" spans="1:20" hidden="1">
      <c r="A593" s="38">
        <v>250324131104</v>
      </c>
      <c r="B593" s="147" t="s">
        <v>867</v>
      </c>
      <c r="C593" s="3" t="s">
        <v>515</v>
      </c>
      <c r="D593" s="3" t="s">
        <v>2896</v>
      </c>
      <c r="E593" s="2" t="s">
        <v>2933</v>
      </c>
      <c r="F593" s="2" t="s">
        <v>1526</v>
      </c>
      <c r="G593" s="148"/>
      <c r="H593" s="148"/>
      <c r="J593" s="10" t="s">
        <v>2934</v>
      </c>
      <c r="K593" s="14"/>
      <c r="L593" s="13"/>
      <c r="M593" s="7"/>
      <c r="N593" s="7"/>
      <c r="O593" s="7"/>
      <c r="P593" s="7"/>
      <c r="Q593" s="7"/>
      <c r="R593" s="7"/>
      <c r="S593" s="141"/>
      <c r="T593" s="7"/>
    </row>
    <row r="594" spans="1:20" hidden="1">
      <c r="A594" s="38">
        <v>250317176914</v>
      </c>
      <c r="B594" s="147" t="s">
        <v>867</v>
      </c>
      <c r="C594" s="3" t="s">
        <v>515</v>
      </c>
      <c r="D594" s="3" t="s">
        <v>2896</v>
      </c>
      <c r="E594" s="2" t="s">
        <v>2935</v>
      </c>
      <c r="F594" s="2" t="s">
        <v>1014</v>
      </c>
      <c r="G594" s="148"/>
      <c r="H594" s="148"/>
      <c r="J594" s="10" t="s">
        <v>2936</v>
      </c>
      <c r="K594" s="14"/>
      <c r="L594" s="13"/>
      <c r="M594" s="7"/>
      <c r="N594" s="7"/>
      <c r="O594" s="7"/>
      <c r="P594" s="7"/>
      <c r="Q594" s="7"/>
      <c r="R594" s="7"/>
      <c r="S594" s="141"/>
      <c r="T594" s="7"/>
    </row>
    <row r="595" spans="1:20" hidden="1">
      <c r="A595" s="38">
        <v>250317176915</v>
      </c>
      <c r="B595" s="147" t="s">
        <v>867</v>
      </c>
      <c r="C595" s="3" t="s">
        <v>515</v>
      </c>
      <c r="D595" s="3" t="s">
        <v>2896</v>
      </c>
      <c r="E595" s="2" t="s">
        <v>2937</v>
      </c>
      <c r="F595" s="101" t="s">
        <v>2083</v>
      </c>
      <c r="G595" s="148"/>
      <c r="H595" s="148"/>
      <c r="J595" s="10" t="s">
        <v>2938</v>
      </c>
      <c r="K595" s="14"/>
      <c r="L595" s="13"/>
      <c r="M595" s="7"/>
      <c r="N595" s="7"/>
      <c r="O595" s="7"/>
      <c r="P595" s="7"/>
      <c r="Q595" s="7"/>
      <c r="R595" s="7"/>
      <c r="S595" s="141"/>
      <c r="T595" s="7"/>
    </row>
    <row r="596" spans="1:20" hidden="1">
      <c r="A596" s="38">
        <v>250324131100</v>
      </c>
      <c r="B596" s="147" t="s">
        <v>867</v>
      </c>
      <c r="C596" s="3" t="s">
        <v>515</v>
      </c>
      <c r="D596" s="3" t="s">
        <v>2896</v>
      </c>
      <c r="E596" s="2" t="s">
        <v>2939</v>
      </c>
      <c r="F596" s="2" t="s">
        <v>1394</v>
      </c>
      <c r="G596" s="148"/>
      <c r="H596" s="148"/>
      <c r="J596" s="10" t="s">
        <v>2940</v>
      </c>
      <c r="K596" s="14"/>
      <c r="L596" s="13"/>
      <c r="M596" s="7"/>
      <c r="N596" s="7"/>
      <c r="O596" s="7"/>
      <c r="P596" s="7"/>
      <c r="Q596" s="7"/>
      <c r="R596" s="7"/>
      <c r="S596" s="141"/>
      <c r="T596" s="7"/>
    </row>
    <row r="597" spans="1:20" hidden="1">
      <c r="A597" s="38">
        <v>250414120300</v>
      </c>
      <c r="B597" s="147" t="s">
        <v>867</v>
      </c>
      <c r="C597" s="3" t="s">
        <v>515</v>
      </c>
      <c r="D597" s="3" t="s">
        <v>2941</v>
      </c>
      <c r="E597" s="2" t="s">
        <v>2942</v>
      </c>
      <c r="F597" s="2" t="s">
        <v>2943</v>
      </c>
      <c r="G597" s="148"/>
      <c r="H597" s="148"/>
      <c r="J597" s="10" t="s">
        <v>2944</v>
      </c>
      <c r="K597" s="14"/>
      <c r="L597" s="13"/>
      <c r="M597" s="7"/>
      <c r="N597" s="7" t="s">
        <v>2945</v>
      </c>
      <c r="O597" s="7"/>
      <c r="P597" s="7"/>
      <c r="Q597" s="7"/>
      <c r="R597" s="7"/>
      <c r="S597" s="141"/>
      <c r="T597" s="7"/>
    </row>
    <row r="598" spans="1:20" hidden="1">
      <c r="A598" s="38">
        <v>241112000167</v>
      </c>
      <c r="B598" s="147" t="s">
        <v>867</v>
      </c>
      <c r="C598" s="3" t="s">
        <v>515</v>
      </c>
      <c r="D598" s="3" t="s">
        <v>2941</v>
      </c>
      <c r="E598" s="2" t="s">
        <v>2946</v>
      </c>
      <c r="F598" s="2" t="s">
        <v>2943</v>
      </c>
      <c r="G598" s="148"/>
      <c r="H598" s="148"/>
      <c r="J598" s="1" t="s">
        <v>2947</v>
      </c>
      <c r="K598" s="10" t="s">
        <v>2948</v>
      </c>
      <c r="L598" s="13" t="s">
        <v>2949</v>
      </c>
      <c r="M598" s="7" t="s">
        <v>2950</v>
      </c>
      <c r="N598" s="7"/>
      <c r="O598" s="7"/>
      <c r="P598" s="7"/>
      <c r="Q598" s="7"/>
      <c r="R598" s="7"/>
      <c r="S598" s="141"/>
      <c r="T598" s="7"/>
    </row>
    <row r="599" spans="1:20" hidden="1">
      <c r="A599" s="38">
        <v>241112000168</v>
      </c>
      <c r="B599" s="147" t="s">
        <v>867</v>
      </c>
      <c r="C599" s="3" t="s">
        <v>515</v>
      </c>
      <c r="D599" s="3" t="s">
        <v>2941</v>
      </c>
      <c r="E599" s="2" t="s">
        <v>2951</v>
      </c>
      <c r="F599" s="2" t="s">
        <v>2952</v>
      </c>
      <c r="G599" s="148"/>
      <c r="H599" s="148"/>
      <c r="J599" s="1" t="s">
        <v>2953</v>
      </c>
      <c r="K599" s="10"/>
      <c r="L599" s="13" t="s">
        <v>2954</v>
      </c>
      <c r="M599" s="7" t="s">
        <v>2955</v>
      </c>
      <c r="N599" s="7" t="s">
        <v>2956</v>
      </c>
      <c r="O599" s="7"/>
      <c r="P599" s="7"/>
      <c r="Q599" s="7"/>
      <c r="R599" s="7"/>
      <c r="S599" s="141"/>
      <c r="T599" s="7"/>
    </row>
    <row r="600" spans="1:20" hidden="1">
      <c r="A600" s="38">
        <v>241112000169</v>
      </c>
      <c r="B600" s="147" t="s">
        <v>867</v>
      </c>
      <c r="C600" s="3" t="s">
        <v>515</v>
      </c>
      <c r="D600" s="3" t="s">
        <v>2941</v>
      </c>
      <c r="E600" s="2" t="s">
        <v>2957</v>
      </c>
      <c r="F600" s="2" t="s">
        <v>2958</v>
      </c>
      <c r="G600" s="148"/>
      <c r="H600" s="148"/>
      <c r="J600" s="1" t="s">
        <v>2959</v>
      </c>
      <c r="K600" s="10"/>
      <c r="L600" s="13" t="s">
        <v>2960</v>
      </c>
      <c r="M600" s="7" t="s">
        <v>2961</v>
      </c>
      <c r="N600" s="7"/>
      <c r="O600" s="7"/>
      <c r="P600" s="7"/>
      <c r="Q600" s="7"/>
      <c r="R600" s="7"/>
      <c r="S600" s="141"/>
      <c r="T600" s="7"/>
    </row>
    <row r="601" spans="1:20" hidden="1">
      <c r="A601" s="38">
        <v>241112000170</v>
      </c>
      <c r="B601" s="147" t="s">
        <v>867</v>
      </c>
      <c r="C601" s="3" t="s">
        <v>515</v>
      </c>
      <c r="D601" s="3" t="s">
        <v>2941</v>
      </c>
      <c r="E601" s="2" t="s">
        <v>2962</v>
      </c>
      <c r="F601" s="2" t="s">
        <v>2227</v>
      </c>
      <c r="G601" s="148"/>
      <c r="H601" s="148"/>
      <c r="J601" s="1" t="s">
        <v>2963</v>
      </c>
      <c r="K601" s="10"/>
      <c r="L601" s="13" t="s">
        <v>2964</v>
      </c>
      <c r="M601" s="7" t="s">
        <v>2965</v>
      </c>
      <c r="N601" s="7"/>
      <c r="O601" s="7"/>
      <c r="P601" s="7"/>
      <c r="Q601" s="7"/>
      <c r="R601" s="7"/>
      <c r="S601" s="141"/>
      <c r="T601" s="7"/>
    </row>
    <row r="602" spans="1:20" hidden="1">
      <c r="A602" s="38">
        <v>250325134512</v>
      </c>
      <c r="B602" s="147" t="s">
        <v>867</v>
      </c>
      <c r="C602" s="3" t="s">
        <v>515</v>
      </c>
      <c r="D602" s="3" t="s">
        <v>2941</v>
      </c>
      <c r="E602" s="2" t="s">
        <v>2966</v>
      </c>
      <c r="F602" s="2" t="s">
        <v>2967</v>
      </c>
      <c r="G602" s="148"/>
      <c r="H602" s="148"/>
      <c r="J602" s="10" t="s">
        <v>2968</v>
      </c>
      <c r="K602" s="14"/>
      <c r="L602" s="13"/>
      <c r="M602" s="7"/>
      <c r="N602" s="7"/>
      <c r="O602" s="7" t="s">
        <v>2969</v>
      </c>
      <c r="P602" s="7"/>
      <c r="Q602" s="7"/>
      <c r="R602" s="7"/>
      <c r="S602" s="141"/>
      <c r="T602" s="7"/>
    </row>
    <row r="603" spans="1:20" hidden="1">
      <c r="A603" s="38">
        <v>241112000171</v>
      </c>
      <c r="B603" s="147" t="s">
        <v>867</v>
      </c>
      <c r="C603" s="3" t="s">
        <v>515</v>
      </c>
      <c r="D603" s="3" t="s">
        <v>2941</v>
      </c>
      <c r="E603" s="2" t="s">
        <v>2970</v>
      </c>
      <c r="F603" s="2" t="s">
        <v>951</v>
      </c>
      <c r="G603" s="148"/>
      <c r="H603" s="148"/>
      <c r="J603" s="1" t="s">
        <v>2971</v>
      </c>
      <c r="K603" s="10"/>
      <c r="L603" s="13" t="s">
        <v>2972</v>
      </c>
      <c r="M603" s="7" t="s">
        <v>2973</v>
      </c>
      <c r="N603" s="7" t="s">
        <v>2974</v>
      </c>
      <c r="O603" s="7"/>
      <c r="P603" s="7"/>
      <c r="Q603" s="7"/>
      <c r="R603" s="7"/>
      <c r="S603" s="141"/>
      <c r="T603" s="7"/>
    </row>
    <row r="604" spans="1:20" hidden="1">
      <c r="A604" s="38">
        <v>250414120601</v>
      </c>
      <c r="B604" s="147" t="s">
        <v>867</v>
      </c>
      <c r="C604" s="3" t="s">
        <v>515</v>
      </c>
      <c r="D604" s="3" t="s">
        <v>2941</v>
      </c>
      <c r="E604" s="2" t="s">
        <v>2975</v>
      </c>
      <c r="F604" s="2" t="s">
        <v>2059</v>
      </c>
      <c r="G604" s="148"/>
      <c r="H604" s="148"/>
      <c r="J604" s="10" t="s">
        <v>2976</v>
      </c>
      <c r="K604" s="14"/>
      <c r="L604" s="13"/>
      <c r="M604" s="7"/>
      <c r="N604" s="7" t="s">
        <v>2977</v>
      </c>
      <c r="O604" s="7"/>
      <c r="P604" s="7"/>
      <c r="Q604" s="7"/>
      <c r="R604" s="7"/>
      <c r="S604" s="141"/>
      <c r="T604" s="7"/>
    </row>
    <row r="605" spans="1:20" hidden="1">
      <c r="A605" s="38">
        <v>250414120602</v>
      </c>
      <c r="B605" s="147" t="s">
        <v>867</v>
      </c>
      <c r="C605" s="3" t="s">
        <v>515</v>
      </c>
      <c r="D605" s="3" t="s">
        <v>2941</v>
      </c>
      <c r="E605" s="2" t="s">
        <v>2978</v>
      </c>
      <c r="F605" s="2" t="s">
        <v>2059</v>
      </c>
      <c r="G605" s="148"/>
      <c r="H605" s="148"/>
      <c r="J605" s="10" t="s">
        <v>2979</v>
      </c>
      <c r="K605" s="14"/>
      <c r="L605" s="13"/>
      <c r="M605" s="7"/>
      <c r="N605" s="7" t="s">
        <v>2980</v>
      </c>
      <c r="O605" s="7"/>
      <c r="P605" s="7"/>
      <c r="Q605" s="7"/>
      <c r="R605" s="7"/>
      <c r="S605" s="141"/>
      <c r="T605" s="7"/>
    </row>
    <row r="606" spans="1:20" hidden="1">
      <c r="A606" s="38">
        <v>250414120603</v>
      </c>
      <c r="B606" s="147" t="s">
        <v>867</v>
      </c>
      <c r="C606" s="3" t="s">
        <v>515</v>
      </c>
      <c r="D606" s="3" t="s">
        <v>2941</v>
      </c>
      <c r="E606" s="2" t="s">
        <v>2981</v>
      </c>
      <c r="F606" s="2" t="s">
        <v>2059</v>
      </c>
      <c r="G606" s="148"/>
      <c r="H606" s="148"/>
      <c r="J606" s="10" t="s">
        <v>2982</v>
      </c>
      <c r="K606" s="14"/>
      <c r="L606" s="13"/>
      <c r="M606" s="7"/>
      <c r="N606" s="7" t="s">
        <v>2983</v>
      </c>
      <c r="O606" s="7"/>
      <c r="P606" s="7"/>
      <c r="Q606" s="7"/>
      <c r="R606" s="7"/>
      <c r="S606" s="141"/>
      <c r="T606" s="7"/>
    </row>
    <row r="607" spans="1:20" hidden="1">
      <c r="A607" s="38">
        <v>241112000172</v>
      </c>
      <c r="B607" s="147" t="s">
        <v>867</v>
      </c>
      <c r="C607" s="3" t="s">
        <v>515</v>
      </c>
      <c r="D607" s="3" t="s">
        <v>2941</v>
      </c>
      <c r="E607" s="2" t="s">
        <v>2984</v>
      </c>
      <c r="F607" s="2" t="s">
        <v>2985</v>
      </c>
      <c r="G607" s="148"/>
      <c r="H607" s="148"/>
      <c r="J607" s="1" t="s">
        <v>2986</v>
      </c>
      <c r="K607" s="10"/>
      <c r="L607" s="13" t="s">
        <v>2987</v>
      </c>
      <c r="M607" s="7" t="s">
        <v>2988</v>
      </c>
      <c r="N607" s="7" t="s">
        <v>2989</v>
      </c>
      <c r="O607" s="7"/>
      <c r="P607" s="7"/>
      <c r="Q607" s="7"/>
      <c r="R607" s="7"/>
      <c r="S607" s="141"/>
      <c r="T607" s="7"/>
    </row>
    <row r="608" spans="1:20" hidden="1">
      <c r="A608" s="38">
        <v>241112000173</v>
      </c>
      <c r="B608" s="147" t="s">
        <v>867</v>
      </c>
      <c r="C608" s="3" t="s">
        <v>515</v>
      </c>
      <c r="D608" s="3" t="s">
        <v>2941</v>
      </c>
      <c r="E608" s="2" t="s">
        <v>2990</v>
      </c>
      <c r="F608" s="2" t="s">
        <v>2991</v>
      </c>
      <c r="G608" s="148"/>
      <c r="H608" s="148"/>
      <c r="J608" s="10" t="s">
        <v>2992</v>
      </c>
      <c r="K608" s="10"/>
      <c r="L608" s="13" t="s">
        <v>2993</v>
      </c>
      <c r="M608" s="7" t="s">
        <v>2994</v>
      </c>
      <c r="N608" s="7"/>
      <c r="O608" s="7"/>
      <c r="P608" s="7"/>
      <c r="Q608" s="7"/>
      <c r="R608" s="7"/>
      <c r="S608" s="141"/>
      <c r="T608" s="7"/>
    </row>
    <row r="609" spans="1:20" hidden="1">
      <c r="A609" s="38">
        <v>250423100403</v>
      </c>
      <c r="B609" s="147" t="s">
        <v>867</v>
      </c>
      <c r="C609" s="3" t="s">
        <v>515</v>
      </c>
      <c r="D609" s="3" t="s">
        <v>2941</v>
      </c>
      <c r="E609" s="2" t="s">
        <v>2995</v>
      </c>
      <c r="F609" s="2" t="s">
        <v>1239</v>
      </c>
      <c r="G609" s="148"/>
      <c r="H609" s="148"/>
      <c r="J609" s="10" t="s">
        <v>2996</v>
      </c>
      <c r="K609" s="14"/>
      <c r="L609" s="13"/>
      <c r="M609" s="7"/>
      <c r="N609" s="7" t="s">
        <v>2997</v>
      </c>
      <c r="O609" s="7"/>
      <c r="P609" s="7"/>
      <c r="Q609" s="7"/>
      <c r="R609" s="7"/>
      <c r="S609" s="141" t="s">
        <v>949</v>
      </c>
      <c r="T609" s="7"/>
    </row>
    <row r="610" spans="1:20" hidden="1">
      <c r="A610" s="38">
        <v>250423093001</v>
      </c>
      <c r="B610" s="147" t="s">
        <v>867</v>
      </c>
      <c r="C610" s="3" t="s">
        <v>515</v>
      </c>
      <c r="D610" s="3" t="s">
        <v>2941</v>
      </c>
      <c r="E610" s="2" t="s">
        <v>2998</v>
      </c>
      <c r="F610" s="2" t="s">
        <v>2059</v>
      </c>
      <c r="G610" s="148"/>
      <c r="H610" s="148"/>
      <c r="J610" s="10" t="s">
        <v>2999</v>
      </c>
      <c r="K610" s="14"/>
      <c r="L610" s="13"/>
      <c r="M610" s="7"/>
      <c r="N610" s="7" t="s">
        <v>3000</v>
      </c>
      <c r="O610" s="7"/>
      <c r="P610" s="7"/>
      <c r="Q610" s="7"/>
      <c r="R610" s="7"/>
      <c r="S610" s="141" t="s">
        <v>949</v>
      </c>
      <c r="T610" s="7"/>
    </row>
    <row r="611" spans="1:20" hidden="1">
      <c r="A611" s="38">
        <v>241112000174</v>
      </c>
      <c r="B611" s="147" t="s">
        <v>867</v>
      </c>
      <c r="C611" s="3" t="s">
        <v>515</v>
      </c>
      <c r="D611" s="3" t="s">
        <v>2941</v>
      </c>
      <c r="E611" s="2" t="s">
        <v>3001</v>
      </c>
      <c r="F611" s="2" t="s">
        <v>2943</v>
      </c>
      <c r="G611" s="148"/>
      <c r="H611" s="148"/>
      <c r="J611" s="1" t="s">
        <v>3002</v>
      </c>
      <c r="K611" s="10" t="s">
        <v>3003</v>
      </c>
      <c r="L611" s="13" t="s">
        <v>3004</v>
      </c>
      <c r="M611" s="7" t="s">
        <v>3005</v>
      </c>
      <c r="N611" s="7"/>
      <c r="O611" s="7"/>
      <c r="P611" s="7"/>
      <c r="Q611" s="7"/>
      <c r="R611" s="7"/>
      <c r="S611" s="141"/>
      <c r="T611" s="7"/>
    </row>
    <row r="612" spans="1:20" hidden="1">
      <c r="A612" s="38">
        <v>241112000175</v>
      </c>
      <c r="B612" s="147" t="s">
        <v>867</v>
      </c>
      <c r="C612" s="3" t="s">
        <v>515</v>
      </c>
      <c r="D612" s="3" t="s">
        <v>2941</v>
      </c>
      <c r="E612" s="2" t="s">
        <v>3006</v>
      </c>
      <c r="F612" s="2" t="s">
        <v>2059</v>
      </c>
      <c r="G612" s="148"/>
      <c r="H612" s="148"/>
      <c r="J612" s="1" t="s">
        <v>3007</v>
      </c>
      <c r="K612" s="10"/>
      <c r="L612" s="13" t="s">
        <v>3008</v>
      </c>
      <c r="M612" s="7" t="s">
        <v>3009</v>
      </c>
      <c r="N612" s="7"/>
      <c r="O612" s="7"/>
      <c r="P612" s="7"/>
      <c r="Q612" s="7"/>
      <c r="R612" s="7"/>
      <c r="S612" s="141"/>
      <c r="T612" s="7"/>
    </row>
    <row r="613" spans="1:20" hidden="1">
      <c r="A613" s="38">
        <v>250331121312</v>
      </c>
      <c r="B613" s="147" t="s">
        <v>867</v>
      </c>
      <c r="C613" s="3" t="s">
        <v>515</v>
      </c>
      <c r="D613" s="3" t="s">
        <v>3010</v>
      </c>
      <c r="E613" s="2" t="s">
        <v>3011</v>
      </c>
      <c r="F613" s="2" t="s">
        <v>1014</v>
      </c>
      <c r="G613" s="148"/>
      <c r="H613" s="148"/>
      <c r="J613" s="1" t="s">
        <v>3012</v>
      </c>
      <c r="K613" s="10"/>
      <c r="L613" s="13"/>
      <c r="M613" s="7"/>
      <c r="N613" s="7"/>
      <c r="O613" s="7"/>
      <c r="P613" s="7"/>
      <c r="Q613" s="7"/>
      <c r="R613" s="7"/>
      <c r="S613" s="141"/>
      <c r="T613" s="7"/>
    </row>
    <row r="614" spans="1:20" hidden="1">
      <c r="A614" s="38">
        <v>250331121300</v>
      </c>
      <c r="B614" s="147" t="s">
        <v>867</v>
      </c>
      <c r="C614" s="3" t="s">
        <v>515</v>
      </c>
      <c r="D614" s="3" t="s">
        <v>3010</v>
      </c>
      <c r="E614" s="2" t="s">
        <v>3013</v>
      </c>
      <c r="F614" s="2" t="s">
        <v>1699</v>
      </c>
      <c r="G614" s="148"/>
      <c r="H614" s="148"/>
      <c r="J614" s="1" t="s">
        <v>3014</v>
      </c>
      <c r="K614" s="10"/>
      <c r="L614" s="13"/>
      <c r="M614" s="7"/>
      <c r="N614" s="7"/>
      <c r="O614" s="7"/>
      <c r="P614" s="7"/>
      <c r="Q614" s="7"/>
      <c r="R614" s="7"/>
      <c r="S614" s="141"/>
      <c r="T614" s="7"/>
    </row>
    <row r="615" spans="1:20" hidden="1">
      <c r="A615" s="38">
        <v>250331121309</v>
      </c>
      <c r="B615" s="147" t="s">
        <v>867</v>
      </c>
      <c r="C615" s="3" t="s">
        <v>515</v>
      </c>
      <c r="D615" s="3" t="s">
        <v>3010</v>
      </c>
      <c r="E615" s="2" t="s">
        <v>3015</v>
      </c>
      <c r="F615" s="2" t="s">
        <v>912</v>
      </c>
      <c r="G615" s="148"/>
      <c r="H615" s="148"/>
      <c r="J615" s="1" t="s">
        <v>3016</v>
      </c>
      <c r="K615" s="10"/>
      <c r="L615" s="13"/>
      <c r="M615" s="7"/>
      <c r="N615" s="7"/>
      <c r="O615" s="7"/>
      <c r="P615" s="7"/>
      <c r="Q615" s="7"/>
      <c r="R615" s="7"/>
      <c r="S615" s="141"/>
      <c r="T615" s="7"/>
    </row>
    <row r="616" spans="1:20" hidden="1">
      <c r="A616" s="38">
        <v>250331121310</v>
      </c>
      <c r="B616" s="147" t="s">
        <v>867</v>
      </c>
      <c r="C616" s="3" t="s">
        <v>515</v>
      </c>
      <c r="D616" s="3" t="s">
        <v>3010</v>
      </c>
      <c r="E616" s="2" t="s">
        <v>3017</v>
      </c>
      <c r="F616" s="2" t="s">
        <v>1526</v>
      </c>
      <c r="G616" s="148"/>
      <c r="H616" s="148"/>
      <c r="J616" s="1" t="s">
        <v>3018</v>
      </c>
      <c r="K616" s="10"/>
      <c r="L616" s="13"/>
      <c r="M616" s="7"/>
      <c r="N616" s="7"/>
      <c r="O616" s="7"/>
      <c r="P616" s="7"/>
      <c r="Q616" s="7"/>
      <c r="R616" s="7"/>
      <c r="S616" s="141"/>
      <c r="T616" s="7"/>
    </row>
    <row r="617" spans="1:20" hidden="1">
      <c r="A617" s="38">
        <v>250331121302</v>
      </c>
      <c r="B617" s="147" t="s">
        <v>867</v>
      </c>
      <c r="C617" s="3" t="s">
        <v>515</v>
      </c>
      <c r="D617" s="3" t="s">
        <v>3010</v>
      </c>
      <c r="E617" s="2" t="s">
        <v>2916</v>
      </c>
      <c r="F617" s="2" t="s">
        <v>1394</v>
      </c>
      <c r="G617" s="148"/>
      <c r="H617" s="148"/>
      <c r="J617" s="1" t="s">
        <v>3019</v>
      </c>
      <c r="K617" s="10"/>
      <c r="L617" s="13"/>
      <c r="M617" s="7"/>
      <c r="N617" s="7"/>
      <c r="O617" s="7"/>
      <c r="P617" s="7"/>
      <c r="Q617" s="7"/>
      <c r="R617" s="7"/>
      <c r="S617" s="141"/>
      <c r="T617" s="7"/>
    </row>
    <row r="618" spans="1:20" hidden="1">
      <c r="A618" s="38">
        <v>250331121311</v>
      </c>
      <c r="B618" s="147" t="s">
        <v>867</v>
      </c>
      <c r="C618" s="3" t="s">
        <v>515</v>
      </c>
      <c r="D618" s="3" t="s">
        <v>3010</v>
      </c>
      <c r="E618" s="2" t="s">
        <v>1705</v>
      </c>
      <c r="F618" s="2" t="s">
        <v>912</v>
      </c>
      <c r="G618" s="148"/>
      <c r="H618" s="148"/>
      <c r="J618" s="1" t="s">
        <v>1706</v>
      </c>
      <c r="K618" s="10"/>
      <c r="L618" s="13"/>
      <c r="M618" s="7"/>
      <c r="N618" s="7"/>
      <c r="O618" s="7"/>
      <c r="P618" s="7"/>
      <c r="Q618" s="7"/>
      <c r="R618" s="7"/>
      <c r="S618" s="141"/>
      <c r="T618" s="7"/>
    </row>
    <row r="619" spans="1:20" hidden="1">
      <c r="A619" s="38">
        <v>250331121301</v>
      </c>
      <c r="B619" s="147" t="s">
        <v>867</v>
      </c>
      <c r="C619" s="3" t="s">
        <v>515</v>
      </c>
      <c r="D619" s="3" t="s">
        <v>3010</v>
      </c>
      <c r="E619" s="2" t="s">
        <v>2926</v>
      </c>
      <c r="F619" s="2" t="s">
        <v>2927</v>
      </c>
      <c r="G619" s="148"/>
      <c r="H619" s="148"/>
      <c r="J619" s="1" t="s">
        <v>3020</v>
      </c>
      <c r="K619" s="10"/>
      <c r="L619" s="13"/>
      <c r="M619" s="7"/>
      <c r="N619" s="7"/>
      <c r="O619" s="7"/>
      <c r="P619" s="7"/>
      <c r="Q619" s="7"/>
      <c r="R619" s="7"/>
      <c r="S619" s="141"/>
      <c r="T619" s="7"/>
    </row>
    <row r="620" spans="1:20" hidden="1">
      <c r="A620" s="38">
        <v>250418220155</v>
      </c>
      <c r="B620" s="147" t="s">
        <v>867</v>
      </c>
      <c r="C620" s="3" t="s">
        <v>515</v>
      </c>
      <c r="D620" s="3" t="s">
        <v>3010</v>
      </c>
      <c r="E620" s="2" t="s">
        <v>3021</v>
      </c>
      <c r="F620" s="2" t="s">
        <v>1699</v>
      </c>
      <c r="G620" s="148"/>
      <c r="H620" s="148"/>
      <c r="J620" s="1" t="s">
        <v>3022</v>
      </c>
      <c r="K620" s="14"/>
      <c r="L620" s="13"/>
      <c r="M620" s="7"/>
      <c r="N620" s="7"/>
      <c r="O620" s="7"/>
      <c r="P620" s="7"/>
      <c r="Q620" s="7"/>
      <c r="R620" s="7"/>
      <c r="S620" s="141" t="s">
        <v>949</v>
      </c>
      <c r="T620" s="7" t="s">
        <v>1834</v>
      </c>
    </row>
    <row r="621" spans="1:20" hidden="1">
      <c r="A621" s="38">
        <v>250418220156</v>
      </c>
      <c r="B621" s="147" t="s">
        <v>867</v>
      </c>
      <c r="C621" s="3" t="s">
        <v>515</v>
      </c>
      <c r="D621" s="3" t="s">
        <v>3010</v>
      </c>
      <c r="E621" s="2" t="s">
        <v>3023</v>
      </c>
      <c r="F621" s="2" t="s">
        <v>1699</v>
      </c>
      <c r="G621" s="148"/>
      <c r="H621" s="148"/>
      <c r="J621" s="1" t="s">
        <v>3024</v>
      </c>
      <c r="K621" s="14"/>
      <c r="L621" s="13"/>
      <c r="M621" s="7"/>
      <c r="N621" s="7"/>
      <c r="O621" s="7"/>
      <c r="P621" s="7"/>
      <c r="Q621" s="7"/>
      <c r="R621" s="7"/>
      <c r="S621" s="141" t="s">
        <v>949</v>
      </c>
      <c r="T621" s="7" t="s">
        <v>1834</v>
      </c>
    </row>
    <row r="622" spans="1:20" hidden="1">
      <c r="A622" s="38">
        <v>250418220157</v>
      </c>
      <c r="B622" s="147" t="s">
        <v>867</v>
      </c>
      <c r="C622" s="3" t="s">
        <v>515</v>
      </c>
      <c r="D622" s="3" t="s">
        <v>3010</v>
      </c>
      <c r="E622" s="2" t="s">
        <v>3025</v>
      </c>
      <c r="F622" s="2" t="s">
        <v>1699</v>
      </c>
      <c r="G622" s="148"/>
      <c r="H622" s="148"/>
      <c r="J622" s="1" t="s">
        <v>3026</v>
      </c>
      <c r="K622" s="14"/>
      <c r="L622" s="13"/>
      <c r="M622" s="7"/>
      <c r="N622" s="7"/>
      <c r="O622" s="7"/>
      <c r="P622" s="7"/>
      <c r="Q622" s="7"/>
      <c r="R622" s="7"/>
      <c r="S622" s="141" t="s">
        <v>949</v>
      </c>
      <c r="T622" s="7" t="s">
        <v>1834</v>
      </c>
    </row>
    <row r="623" spans="1:20" hidden="1">
      <c r="A623" s="38">
        <v>250418220158</v>
      </c>
      <c r="B623" s="147" t="s">
        <v>867</v>
      </c>
      <c r="C623" s="3" t="s">
        <v>515</v>
      </c>
      <c r="D623" s="3" t="s">
        <v>3010</v>
      </c>
      <c r="E623" s="2" t="s">
        <v>3027</v>
      </c>
      <c r="F623" s="2" t="s">
        <v>1699</v>
      </c>
      <c r="G623" s="148"/>
      <c r="H623" s="148"/>
      <c r="J623" s="1" t="s">
        <v>3028</v>
      </c>
      <c r="K623" s="14"/>
      <c r="L623" s="13"/>
      <c r="M623" s="7"/>
      <c r="N623" s="7"/>
      <c r="O623" s="7"/>
      <c r="P623" s="7"/>
      <c r="Q623" s="7"/>
      <c r="R623" s="7"/>
      <c r="S623" s="141" t="s">
        <v>949</v>
      </c>
      <c r="T623" s="7" t="s">
        <v>1834</v>
      </c>
    </row>
    <row r="624" spans="1:20" hidden="1">
      <c r="A624" s="38">
        <v>250331121307</v>
      </c>
      <c r="B624" s="147" t="s">
        <v>867</v>
      </c>
      <c r="C624" s="3" t="s">
        <v>515</v>
      </c>
      <c r="D624" s="3" t="s">
        <v>3010</v>
      </c>
      <c r="E624" s="2" t="s">
        <v>3029</v>
      </c>
      <c r="F624" s="2" t="s">
        <v>912</v>
      </c>
      <c r="G624" s="148"/>
      <c r="H624" s="148"/>
      <c r="J624" s="1" t="s">
        <v>3030</v>
      </c>
      <c r="K624" s="10"/>
      <c r="L624" s="13"/>
      <c r="M624" s="7"/>
      <c r="N624" s="7"/>
      <c r="O624" s="7"/>
      <c r="P624" s="7"/>
      <c r="Q624" s="7"/>
      <c r="R624" s="7"/>
      <c r="S624" s="141"/>
      <c r="T624" s="7"/>
    </row>
    <row r="625" spans="1:20" hidden="1">
      <c r="A625" s="38">
        <v>250331121308</v>
      </c>
      <c r="B625" s="147" t="s">
        <v>867</v>
      </c>
      <c r="C625" s="3" t="s">
        <v>515</v>
      </c>
      <c r="D625" s="3" t="s">
        <v>3010</v>
      </c>
      <c r="E625" s="2" t="s">
        <v>3031</v>
      </c>
      <c r="F625" s="2" t="s">
        <v>1526</v>
      </c>
      <c r="G625" s="148"/>
      <c r="H625" s="148"/>
      <c r="J625" s="1" t="s">
        <v>3032</v>
      </c>
      <c r="K625" s="10"/>
      <c r="L625" s="13"/>
      <c r="M625" s="7"/>
      <c r="N625" s="7"/>
      <c r="O625" s="7"/>
      <c r="P625" s="7"/>
      <c r="Q625" s="7"/>
      <c r="R625" s="7"/>
      <c r="S625" s="141"/>
      <c r="T625" s="7"/>
    </row>
    <row r="626" spans="1:20" hidden="1">
      <c r="A626" s="38">
        <v>250425100316</v>
      </c>
      <c r="B626" s="149"/>
      <c r="C626" s="3" t="s">
        <v>515</v>
      </c>
      <c r="D626" s="3" t="s">
        <v>3033</v>
      </c>
      <c r="E626" s="2" t="s">
        <v>3034</v>
      </c>
      <c r="F626" s="2" t="s">
        <v>1014</v>
      </c>
      <c r="G626" s="48"/>
      <c r="H626" s="150"/>
      <c r="J626" s="10" t="s">
        <v>3035</v>
      </c>
      <c r="K626" s="14"/>
      <c r="L626" s="13"/>
      <c r="M626" s="7"/>
      <c r="N626" s="7" t="s">
        <v>3036</v>
      </c>
      <c r="O626" s="7"/>
      <c r="P626" s="7"/>
      <c r="Q626" s="7"/>
      <c r="R626" s="7"/>
      <c r="S626" s="141"/>
      <c r="T626" s="7"/>
    </row>
    <row r="627" spans="1:20" hidden="1">
      <c r="A627" s="38">
        <v>250422131305</v>
      </c>
      <c r="B627" s="147" t="s">
        <v>867</v>
      </c>
      <c r="C627" s="3" t="s">
        <v>515</v>
      </c>
      <c r="D627" s="3" t="s">
        <v>3033</v>
      </c>
      <c r="E627" s="2" t="s">
        <v>3037</v>
      </c>
      <c r="F627" s="2" t="s">
        <v>1014</v>
      </c>
      <c r="G627" s="148"/>
      <c r="H627" s="148"/>
      <c r="J627" s="10" t="s">
        <v>3038</v>
      </c>
      <c r="K627" s="14"/>
      <c r="L627" s="13"/>
      <c r="M627" s="7"/>
      <c r="N627" s="7" t="s">
        <v>3036</v>
      </c>
      <c r="O627" s="7"/>
      <c r="P627" s="7"/>
      <c r="Q627" s="7"/>
      <c r="R627" s="7"/>
      <c r="S627" s="141"/>
      <c r="T627" s="7"/>
    </row>
    <row r="628" spans="1:20" hidden="1">
      <c r="A628" s="38">
        <v>250422131300</v>
      </c>
      <c r="B628" s="147" t="s">
        <v>867</v>
      </c>
      <c r="C628" s="3" t="s">
        <v>515</v>
      </c>
      <c r="D628" s="3" t="s">
        <v>3033</v>
      </c>
      <c r="E628" s="2" t="s">
        <v>3039</v>
      </c>
      <c r="F628" s="2" t="s">
        <v>1328</v>
      </c>
      <c r="G628" s="148"/>
      <c r="H628" s="148"/>
      <c r="J628" s="10" t="s">
        <v>3040</v>
      </c>
      <c r="K628" s="14"/>
      <c r="L628" s="13"/>
      <c r="M628" s="7"/>
      <c r="N628" s="7" t="s">
        <v>3041</v>
      </c>
      <c r="O628" s="7"/>
      <c r="P628" s="7"/>
      <c r="Q628" s="7"/>
      <c r="R628" s="7"/>
      <c r="S628" s="141"/>
      <c r="T628" s="7"/>
    </row>
    <row r="629" spans="1:20" hidden="1">
      <c r="A629" s="38">
        <v>250422131302</v>
      </c>
      <c r="B629" s="147" t="s">
        <v>867</v>
      </c>
      <c r="C629" s="3" t="s">
        <v>515</v>
      </c>
      <c r="D629" s="3" t="s">
        <v>3033</v>
      </c>
      <c r="E629" s="2" t="s">
        <v>3042</v>
      </c>
      <c r="F629" s="2" t="s">
        <v>1328</v>
      </c>
      <c r="G629" s="148"/>
      <c r="H629" s="148"/>
      <c r="J629" s="10" t="s">
        <v>3043</v>
      </c>
      <c r="K629" s="14"/>
      <c r="L629" s="13"/>
      <c r="M629" s="7"/>
      <c r="N629" s="7" t="s">
        <v>3044</v>
      </c>
      <c r="O629" s="7"/>
      <c r="P629" s="7"/>
      <c r="Q629" s="7"/>
      <c r="R629" s="7"/>
      <c r="S629" s="141"/>
      <c r="T629" s="7"/>
    </row>
    <row r="630" spans="1:20" hidden="1">
      <c r="A630" s="38">
        <v>250422131304</v>
      </c>
      <c r="B630" s="147" t="s">
        <v>867</v>
      </c>
      <c r="C630" s="3" t="s">
        <v>515</v>
      </c>
      <c r="D630" s="3" t="s">
        <v>3033</v>
      </c>
      <c r="E630" s="2" t="s">
        <v>3045</v>
      </c>
      <c r="F630" s="2" t="s">
        <v>2798</v>
      </c>
      <c r="G630" s="148"/>
      <c r="H630" s="148"/>
      <c r="J630" s="10" t="s">
        <v>3046</v>
      </c>
      <c r="K630" s="14"/>
      <c r="L630" s="13"/>
      <c r="M630" s="7"/>
      <c r="N630" s="7" t="s">
        <v>3047</v>
      </c>
      <c r="O630" s="7"/>
      <c r="P630" s="7"/>
      <c r="Q630" s="7"/>
      <c r="R630" s="7"/>
      <c r="S630" s="141"/>
      <c r="T630" s="7"/>
    </row>
    <row r="631" spans="1:20" hidden="1">
      <c r="A631" s="38">
        <v>250422131301</v>
      </c>
      <c r="B631" s="147" t="s">
        <v>867</v>
      </c>
      <c r="C631" s="3" t="s">
        <v>515</v>
      </c>
      <c r="D631" s="3" t="s">
        <v>3033</v>
      </c>
      <c r="E631" s="2" t="s">
        <v>3048</v>
      </c>
      <c r="F631" s="2" t="s">
        <v>1328</v>
      </c>
      <c r="G631" s="148"/>
      <c r="H631" s="148"/>
      <c r="J631" s="10" t="s">
        <v>3049</v>
      </c>
      <c r="K631" s="14"/>
      <c r="L631" s="13"/>
      <c r="M631" s="7"/>
      <c r="N631" s="7" t="s">
        <v>3050</v>
      </c>
      <c r="O631" s="7"/>
      <c r="P631" s="7"/>
      <c r="Q631" s="7"/>
      <c r="R631" s="7"/>
      <c r="S631" s="141"/>
      <c r="T631" s="7"/>
    </row>
    <row r="632" spans="1:20" hidden="1">
      <c r="A632" s="38">
        <v>250422131303</v>
      </c>
      <c r="B632" s="147" t="s">
        <v>867</v>
      </c>
      <c r="C632" s="3" t="s">
        <v>515</v>
      </c>
      <c r="D632" s="3" t="s">
        <v>3033</v>
      </c>
      <c r="E632" s="2" t="s">
        <v>3051</v>
      </c>
      <c r="F632" s="2" t="s">
        <v>1328</v>
      </c>
      <c r="G632" s="148"/>
      <c r="H632" s="148"/>
      <c r="J632" s="10" t="s">
        <v>3052</v>
      </c>
      <c r="K632" s="14"/>
      <c r="L632" s="13"/>
      <c r="M632" s="7"/>
      <c r="N632" s="7" t="s">
        <v>3053</v>
      </c>
      <c r="O632" s="7"/>
      <c r="P632" s="7"/>
      <c r="Q632" s="7"/>
      <c r="R632" s="7"/>
      <c r="S632" s="141"/>
      <c r="T632" s="7"/>
    </row>
    <row r="633" spans="1:20" hidden="1">
      <c r="A633" s="38">
        <v>250425153903</v>
      </c>
      <c r="B633" s="149"/>
      <c r="C633" s="3" t="s">
        <v>515</v>
      </c>
      <c r="D633" s="3" t="s">
        <v>3033</v>
      </c>
      <c r="E633" s="2" t="s">
        <v>3054</v>
      </c>
      <c r="F633" s="2" t="s">
        <v>946</v>
      </c>
      <c r="G633" s="48"/>
      <c r="H633" s="150"/>
      <c r="J633" s="10" t="s">
        <v>3055</v>
      </c>
      <c r="K633" s="14"/>
      <c r="L633" s="13"/>
      <c r="M633" s="7"/>
      <c r="N633" s="7" t="s">
        <v>3056</v>
      </c>
      <c r="O633" s="7"/>
      <c r="P633" s="7"/>
      <c r="Q633" s="7"/>
      <c r="R633" s="7"/>
      <c r="S633" s="141"/>
      <c r="T633" s="7"/>
    </row>
    <row r="634" spans="1:20" hidden="1">
      <c r="A634" s="38">
        <v>250425153901</v>
      </c>
      <c r="B634" s="149"/>
      <c r="C634" s="3" t="s">
        <v>515</v>
      </c>
      <c r="D634" s="3" t="s">
        <v>3033</v>
      </c>
      <c r="E634" s="2" t="s">
        <v>3057</v>
      </c>
      <c r="F634" s="2" t="s">
        <v>1328</v>
      </c>
      <c r="G634" s="48"/>
      <c r="H634" s="150"/>
      <c r="J634" s="10" t="s">
        <v>3040</v>
      </c>
      <c r="K634" s="14"/>
      <c r="L634" s="13"/>
      <c r="M634" s="7"/>
      <c r="N634" s="7" t="s">
        <v>3058</v>
      </c>
      <c r="O634" s="7"/>
      <c r="P634" s="7"/>
      <c r="Q634" s="7"/>
      <c r="R634" s="7"/>
      <c r="S634" s="141"/>
      <c r="T634" s="7"/>
    </row>
    <row r="635" spans="1:20" hidden="1">
      <c r="A635" s="38">
        <v>250425153902</v>
      </c>
      <c r="B635" s="149"/>
      <c r="C635" s="3" t="s">
        <v>515</v>
      </c>
      <c r="D635" s="3" t="s">
        <v>3033</v>
      </c>
      <c r="E635" s="2" t="s">
        <v>3059</v>
      </c>
      <c r="F635" s="2" t="s">
        <v>1328</v>
      </c>
      <c r="G635" s="48"/>
      <c r="H635" s="150"/>
      <c r="J635" s="10" t="s">
        <v>3049</v>
      </c>
      <c r="K635" s="14"/>
      <c r="L635" s="13"/>
      <c r="M635" s="7"/>
      <c r="N635" s="7" t="s">
        <v>3060</v>
      </c>
      <c r="O635" s="7"/>
      <c r="P635" s="7"/>
      <c r="Q635" s="7"/>
      <c r="R635" s="7"/>
      <c r="S635" s="141"/>
      <c r="T635" s="7"/>
    </row>
    <row r="636" spans="1:20" hidden="1">
      <c r="A636" s="38">
        <v>250425165515</v>
      </c>
      <c r="B636" s="149"/>
      <c r="C636" s="3" t="s">
        <v>515</v>
      </c>
      <c r="D636" s="3" t="s">
        <v>3033</v>
      </c>
      <c r="E636" s="2" t="s">
        <v>3061</v>
      </c>
      <c r="F636" s="2" t="s">
        <v>2798</v>
      </c>
      <c r="G636" s="48"/>
      <c r="H636" s="150"/>
      <c r="J636" s="10" t="s">
        <v>3062</v>
      </c>
      <c r="K636" s="14"/>
      <c r="L636" s="13"/>
      <c r="M636" s="7"/>
      <c r="N636" s="7" t="s">
        <v>3047</v>
      </c>
      <c r="O636" s="7"/>
      <c r="P636" s="7"/>
      <c r="Q636" s="7"/>
      <c r="R636" s="7"/>
      <c r="S636" s="141"/>
      <c r="T636" s="7"/>
    </row>
    <row r="637" spans="1:20" hidden="1">
      <c r="A637" s="38">
        <v>250425100314</v>
      </c>
      <c r="B637" s="149"/>
      <c r="C637" s="3" t="s">
        <v>515</v>
      </c>
      <c r="D637" s="3" t="s">
        <v>3033</v>
      </c>
      <c r="E637" s="2" t="s">
        <v>3063</v>
      </c>
      <c r="F637" s="2" t="s">
        <v>1328</v>
      </c>
      <c r="G637" s="48"/>
      <c r="H637" s="150"/>
      <c r="J637" s="10" t="s">
        <v>3052</v>
      </c>
      <c r="K637" s="14"/>
      <c r="L637" s="13"/>
      <c r="M637" s="7"/>
      <c r="N637" s="7" t="s">
        <v>3053</v>
      </c>
      <c r="O637" s="7"/>
      <c r="P637" s="7"/>
      <c r="Q637" s="7"/>
      <c r="R637" s="7"/>
      <c r="S637" s="141"/>
      <c r="T637" s="7"/>
    </row>
    <row r="638" spans="1:20" hidden="1">
      <c r="A638" s="38">
        <v>250430073101</v>
      </c>
      <c r="B638" s="149"/>
      <c r="C638" s="3" t="s">
        <v>515</v>
      </c>
      <c r="D638" s="3" t="s">
        <v>3033</v>
      </c>
      <c r="E638" s="2" t="s">
        <v>3064</v>
      </c>
      <c r="F638" s="2" t="s">
        <v>2909</v>
      </c>
      <c r="G638" s="48"/>
      <c r="H638" s="150"/>
      <c r="J638" s="10" t="s">
        <v>3065</v>
      </c>
      <c r="K638" s="14"/>
      <c r="L638" s="13"/>
      <c r="M638" s="7"/>
      <c r="N638" s="7"/>
      <c r="O638" s="7"/>
      <c r="P638" s="7"/>
      <c r="Q638" s="7"/>
      <c r="R638" s="7"/>
      <c r="S638" s="141" t="s">
        <v>949</v>
      </c>
      <c r="T638" s="7" t="s">
        <v>11</v>
      </c>
    </row>
    <row r="639" spans="1:20" ht="27.6" hidden="1">
      <c r="A639" s="38">
        <v>250317120007</v>
      </c>
      <c r="B639" s="147" t="s">
        <v>867</v>
      </c>
      <c r="C639" s="3" t="s">
        <v>515</v>
      </c>
      <c r="D639" s="3" t="s">
        <v>3066</v>
      </c>
      <c r="E639" s="2" t="s">
        <v>3067</v>
      </c>
      <c r="F639" s="2" t="s">
        <v>3068</v>
      </c>
      <c r="G639" s="148"/>
      <c r="H639" s="148"/>
      <c r="J639" s="11" t="s">
        <v>3069</v>
      </c>
      <c r="K639" s="100" t="s">
        <v>3070</v>
      </c>
      <c r="L639" s="13"/>
      <c r="M639" s="7"/>
      <c r="N639" s="7"/>
      <c r="O639" s="7"/>
      <c r="P639" s="7"/>
      <c r="Q639" s="7"/>
      <c r="R639" s="7"/>
      <c r="S639" s="141"/>
      <c r="T639" s="7"/>
    </row>
    <row r="640" spans="1:20" hidden="1">
      <c r="A640" s="38">
        <v>250317120008</v>
      </c>
      <c r="B640" s="147" t="s">
        <v>867</v>
      </c>
      <c r="C640" s="3" t="s">
        <v>515</v>
      </c>
      <c r="D640" s="3" t="s">
        <v>3066</v>
      </c>
      <c r="E640" s="2" t="s">
        <v>3011</v>
      </c>
      <c r="F640" s="2" t="s">
        <v>1014</v>
      </c>
      <c r="G640" s="148"/>
      <c r="H640" s="148"/>
      <c r="J640" s="11" t="s">
        <v>3071</v>
      </c>
      <c r="K640" s="100"/>
      <c r="L640" s="13"/>
      <c r="M640" s="7"/>
      <c r="N640" s="7"/>
      <c r="O640" s="7"/>
      <c r="P640" s="7"/>
      <c r="Q640" s="7"/>
      <c r="R640" s="7"/>
      <c r="S640" s="141"/>
      <c r="T640" s="7"/>
    </row>
    <row r="641" spans="1:20" hidden="1">
      <c r="A641" s="38">
        <v>250317120009</v>
      </c>
      <c r="B641" s="147" t="s">
        <v>867</v>
      </c>
      <c r="C641" s="3" t="s">
        <v>515</v>
      </c>
      <c r="D641" s="3" t="s">
        <v>3066</v>
      </c>
      <c r="E641" s="2" t="s">
        <v>3072</v>
      </c>
      <c r="F641" s="2" t="s">
        <v>873</v>
      </c>
      <c r="G641" s="148"/>
      <c r="H641" s="148"/>
      <c r="J641" s="11" t="s">
        <v>3073</v>
      </c>
      <c r="K641" s="100"/>
      <c r="L641" s="13"/>
      <c r="M641" s="7"/>
      <c r="N641" s="7"/>
      <c r="O641" s="7"/>
      <c r="P641" s="7"/>
      <c r="Q641" s="7"/>
      <c r="R641" s="7"/>
      <c r="S641" s="141"/>
      <c r="T641" s="7"/>
    </row>
    <row r="642" spans="1:20" hidden="1">
      <c r="A642" s="38">
        <v>250317120010</v>
      </c>
      <c r="B642" s="147" t="s">
        <v>867</v>
      </c>
      <c r="C642" s="3" t="s">
        <v>515</v>
      </c>
      <c r="D642" s="3" t="s">
        <v>3066</v>
      </c>
      <c r="E642" s="2" t="s">
        <v>3074</v>
      </c>
      <c r="F642" s="2" t="s">
        <v>3075</v>
      </c>
      <c r="G642" s="148"/>
      <c r="H642" s="148"/>
      <c r="J642" s="11" t="s">
        <v>3076</v>
      </c>
      <c r="K642" s="100"/>
      <c r="L642" s="13"/>
      <c r="M642" s="7"/>
      <c r="N642" s="7"/>
      <c r="O642" s="7"/>
      <c r="P642" s="7"/>
      <c r="Q642" s="7"/>
      <c r="R642" s="7"/>
      <c r="S642" s="141"/>
      <c r="T642" s="7"/>
    </row>
    <row r="643" spans="1:20" hidden="1">
      <c r="A643" s="38">
        <v>250203180200</v>
      </c>
      <c r="B643" s="147" t="s">
        <v>867</v>
      </c>
      <c r="C643" s="3" t="s">
        <v>515</v>
      </c>
      <c r="D643" s="3" t="s">
        <v>2058</v>
      </c>
      <c r="E643" s="2" t="s">
        <v>3077</v>
      </c>
      <c r="F643" s="2" t="s">
        <v>3078</v>
      </c>
      <c r="G643" s="148"/>
      <c r="H643" s="148"/>
      <c r="J643" s="10" t="s">
        <v>3079</v>
      </c>
      <c r="K643" s="14"/>
      <c r="L643" s="13"/>
      <c r="M643" s="7" t="s">
        <v>3080</v>
      </c>
      <c r="N643" s="7"/>
      <c r="O643" s="7"/>
      <c r="P643" s="7"/>
      <c r="Q643" s="7"/>
      <c r="R643" s="7"/>
      <c r="S643" s="141"/>
      <c r="T643" s="7"/>
    </row>
    <row r="644" spans="1:20" hidden="1">
      <c r="A644" s="38">
        <v>250203180201</v>
      </c>
      <c r="B644" s="147" t="s">
        <v>867</v>
      </c>
      <c r="C644" s="3" t="s">
        <v>515</v>
      </c>
      <c r="D644" s="3" t="s">
        <v>2058</v>
      </c>
      <c r="E644" s="2" t="s">
        <v>3081</v>
      </c>
      <c r="F644" s="2" t="s">
        <v>3078</v>
      </c>
      <c r="G644" s="148"/>
      <c r="H644" s="148"/>
      <c r="J644" s="10" t="s">
        <v>3082</v>
      </c>
      <c r="K644" s="14"/>
      <c r="L644" s="13"/>
      <c r="M644" s="7" t="s">
        <v>3083</v>
      </c>
      <c r="N644" s="7"/>
      <c r="O644" s="7"/>
      <c r="P644" s="7"/>
      <c r="Q644" s="7"/>
      <c r="R644" s="7"/>
      <c r="S644" s="141"/>
      <c r="T644" s="7"/>
    </row>
    <row r="645" spans="1:20" hidden="1">
      <c r="A645" s="38">
        <v>241112000177</v>
      </c>
      <c r="B645" s="147" t="s">
        <v>867</v>
      </c>
      <c r="C645" s="3" t="s">
        <v>515</v>
      </c>
      <c r="D645" s="3" t="s">
        <v>3084</v>
      </c>
      <c r="E645" s="2" t="s">
        <v>3085</v>
      </c>
      <c r="F645" s="2" t="s">
        <v>1875</v>
      </c>
      <c r="G645" s="148"/>
      <c r="H645" s="148"/>
      <c r="J645" s="1" t="s">
        <v>3086</v>
      </c>
      <c r="K645" s="1"/>
      <c r="L645" s="13" t="s">
        <v>3087</v>
      </c>
      <c r="M645" s="7" t="s">
        <v>3088</v>
      </c>
      <c r="N645" s="7"/>
      <c r="O645" s="7"/>
      <c r="P645" s="7"/>
      <c r="Q645" s="7"/>
      <c r="R645" s="7"/>
      <c r="S645" s="141"/>
      <c r="T645" s="7"/>
    </row>
    <row r="646" spans="1:20" hidden="1">
      <c r="A646" s="38">
        <v>241112000178</v>
      </c>
      <c r="B646" s="147" t="s">
        <v>867</v>
      </c>
      <c r="C646" s="3" t="s">
        <v>515</v>
      </c>
      <c r="D646" s="3" t="s">
        <v>3084</v>
      </c>
      <c r="E646" s="2" t="s">
        <v>1555</v>
      </c>
      <c r="F646" s="2" t="s">
        <v>1014</v>
      </c>
      <c r="G646" s="148"/>
      <c r="H646" s="148"/>
      <c r="J646" s="1" t="s">
        <v>3089</v>
      </c>
      <c r="K646" s="10" t="s">
        <v>3090</v>
      </c>
      <c r="L646" s="13" t="s">
        <v>3091</v>
      </c>
      <c r="M646" s="7" t="s">
        <v>3092</v>
      </c>
      <c r="N646" s="7"/>
      <c r="O646" s="7"/>
      <c r="P646" s="7"/>
      <c r="Q646" s="7"/>
      <c r="R646" s="7"/>
      <c r="S646" s="141"/>
      <c r="T646" s="7"/>
    </row>
    <row r="647" spans="1:20" hidden="1">
      <c r="A647" s="38">
        <v>241112000179</v>
      </c>
      <c r="B647" s="147" t="s">
        <v>867</v>
      </c>
      <c r="C647" s="3" t="s">
        <v>515</v>
      </c>
      <c r="D647" s="3" t="s">
        <v>3084</v>
      </c>
      <c r="E647" s="2" t="s">
        <v>1559</v>
      </c>
      <c r="F647" s="2" t="s">
        <v>1394</v>
      </c>
      <c r="G647" s="148"/>
      <c r="H647" s="148"/>
      <c r="J647" s="1" t="s">
        <v>3093</v>
      </c>
      <c r="K647" s="10" t="s">
        <v>3094</v>
      </c>
      <c r="L647" s="13" t="s">
        <v>3095</v>
      </c>
      <c r="M647" s="7" t="s">
        <v>3096</v>
      </c>
      <c r="N647" s="7"/>
      <c r="O647" s="7"/>
      <c r="P647" s="7"/>
      <c r="Q647" s="7"/>
      <c r="R647" s="7"/>
      <c r="S647" s="141"/>
      <c r="T647" s="7"/>
    </row>
    <row r="648" spans="1:20" hidden="1">
      <c r="A648" s="38">
        <v>250327121304</v>
      </c>
      <c r="B648" s="147" t="s">
        <v>867</v>
      </c>
      <c r="C648" s="3" t="s">
        <v>515</v>
      </c>
      <c r="D648" s="3" t="s">
        <v>3084</v>
      </c>
      <c r="E648" s="2" t="s">
        <v>3097</v>
      </c>
      <c r="F648" s="2" t="s">
        <v>2890</v>
      </c>
      <c r="G648" s="148"/>
      <c r="H648" s="148"/>
      <c r="J648" s="10" t="s">
        <v>3098</v>
      </c>
      <c r="K648" s="14"/>
      <c r="L648" s="13" t="s">
        <v>3099</v>
      </c>
      <c r="M648" s="7"/>
      <c r="N648" s="7"/>
      <c r="O648" s="13" t="s">
        <v>3099</v>
      </c>
      <c r="P648" s="7"/>
      <c r="Q648" s="7"/>
      <c r="R648" s="7"/>
      <c r="S648" s="141"/>
      <c r="T648" s="7"/>
    </row>
    <row r="649" spans="1:20" hidden="1">
      <c r="A649" s="38">
        <v>241112000180</v>
      </c>
      <c r="B649" s="147" t="s">
        <v>867</v>
      </c>
      <c r="C649" s="3" t="s">
        <v>515</v>
      </c>
      <c r="D649" s="3" t="s">
        <v>3084</v>
      </c>
      <c r="E649" s="2" t="s">
        <v>1582</v>
      </c>
      <c r="F649" s="2" t="s">
        <v>1135</v>
      </c>
      <c r="G649" s="148"/>
      <c r="H649" s="148"/>
      <c r="J649" s="1" t="s">
        <v>1584</v>
      </c>
      <c r="K649" s="10" t="s">
        <v>3100</v>
      </c>
      <c r="L649" s="13" t="s">
        <v>3101</v>
      </c>
      <c r="M649" s="7" t="s">
        <v>3102</v>
      </c>
      <c r="N649" s="7"/>
      <c r="O649" s="7"/>
      <c r="P649" s="7"/>
      <c r="Q649" s="7"/>
      <c r="R649" s="7"/>
      <c r="S649" s="141"/>
      <c r="T649" s="7"/>
    </row>
    <row r="650" spans="1:20" hidden="1">
      <c r="A650" s="38">
        <v>241112000181</v>
      </c>
      <c r="B650" s="147" t="s">
        <v>867</v>
      </c>
      <c r="C650" s="3" t="s">
        <v>515</v>
      </c>
      <c r="D650" s="3" t="s">
        <v>3084</v>
      </c>
      <c r="E650" s="2" t="s">
        <v>3103</v>
      </c>
      <c r="F650" s="2" t="s">
        <v>3104</v>
      </c>
      <c r="G650" s="148"/>
      <c r="H650" s="148"/>
      <c r="J650" s="1" t="s">
        <v>3105</v>
      </c>
      <c r="K650" s="10" t="s">
        <v>3106</v>
      </c>
      <c r="L650" s="13" t="s">
        <v>3107</v>
      </c>
      <c r="M650" s="7" t="s">
        <v>3108</v>
      </c>
      <c r="N650" s="7" t="s">
        <v>3109</v>
      </c>
      <c r="O650" s="7"/>
      <c r="P650" s="7"/>
      <c r="Q650" s="7"/>
      <c r="R650" s="7"/>
      <c r="S650" s="141"/>
      <c r="T650" s="7"/>
    </row>
    <row r="651" spans="1:20" hidden="1">
      <c r="A651" s="38">
        <v>241112000182</v>
      </c>
      <c r="B651" s="147" t="s">
        <v>867</v>
      </c>
      <c r="C651" s="3" t="s">
        <v>515</v>
      </c>
      <c r="D651" s="3" t="s">
        <v>3084</v>
      </c>
      <c r="E651" s="2" t="s">
        <v>1908</v>
      </c>
      <c r="F651" s="2" t="s">
        <v>899</v>
      </c>
      <c r="G651" s="148"/>
      <c r="H651" s="148"/>
      <c r="J651" s="1" t="s">
        <v>1909</v>
      </c>
      <c r="K651" s="10" t="s">
        <v>3110</v>
      </c>
      <c r="L651" s="13" t="s">
        <v>3111</v>
      </c>
      <c r="M651" s="7" t="s">
        <v>3112</v>
      </c>
      <c r="N651" s="7"/>
      <c r="O651" s="7"/>
      <c r="P651" s="7"/>
      <c r="Q651" s="7"/>
      <c r="R651" s="7"/>
      <c r="S651" s="141"/>
      <c r="T651" s="7"/>
    </row>
    <row r="652" spans="1:20" hidden="1">
      <c r="A652" s="38">
        <v>241112000183</v>
      </c>
      <c r="B652" s="147" t="s">
        <v>867</v>
      </c>
      <c r="C652" s="3" t="s">
        <v>515</v>
      </c>
      <c r="D652" s="3" t="s">
        <v>3084</v>
      </c>
      <c r="E652" s="2" t="s">
        <v>3113</v>
      </c>
      <c r="F652" s="2" t="s">
        <v>1875</v>
      </c>
      <c r="G652" s="148"/>
      <c r="H652" s="148"/>
      <c r="J652" s="1" t="s">
        <v>3114</v>
      </c>
      <c r="K652" s="1"/>
      <c r="L652" s="13" t="s">
        <v>3115</v>
      </c>
      <c r="M652" s="7" t="s">
        <v>3116</v>
      </c>
      <c r="N652" s="7"/>
      <c r="O652" s="7"/>
      <c r="P652" s="7"/>
      <c r="Q652" s="7"/>
      <c r="R652" s="7"/>
      <c r="S652" s="141"/>
      <c r="T652" s="7"/>
    </row>
    <row r="653" spans="1:20" hidden="1">
      <c r="A653" s="38">
        <v>241112000184</v>
      </c>
      <c r="B653" s="147" t="s">
        <v>867</v>
      </c>
      <c r="C653" s="3" t="s">
        <v>515</v>
      </c>
      <c r="D653" s="3" t="s">
        <v>3084</v>
      </c>
      <c r="E653" s="2" t="s">
        <v>1635</v>
      </c>
      <c r="F653" s="2" t="s">
        <v>946</v>
      </c>
      <c r="G653" s="148"/>
      <c r="H653" s="148"/>
      <c r="J653" s="1" t="s">
        <v>1637</v>
      </c>
      <c r="K653" s="10" t="s">
        <v>3117</v>
      </c>
      <c r="L653" s="13" t="s">
        <v>3118</v>
      </c>
      <c r="M653" s="7" t="s">
        <v>3119</v>
      </c>
      <c r="N653" s="7"/>
      <c r="O653" s="7"/>
      <c r="P653" s="7"/>
      <c r="Q653" s="7"/>
      <c r="R653" s="7"/>
      <c r="S653" s="141"/>
      <c r="T653" s="7"/>
    </row>
    <row r="654" spans="1:20" hidden="1">
      <c r="A654" s="38">
        <v>250425125002</v>
      </c>
      <c r="B654" s="149"/>
      <c r="C654" s="3" t="s">
        <v>515</v>
      </c>
      <c r="D654" s="3" t="s">
        <v>3084</v>
      </c>
      <c r="E654" s="2" t="s">
        <v>3120</v>
      </c>
      <c r="F654" s="2" t="s">
        <v>1235</v>
      </c>
      <c r="G654" s="48"/>
      <c r="H654" s="150"/>
      <c r="J654" s="10" t="s">
        <v>3121</v>
      </c>
      <c r="K654" s="14"/>
      <c r="L654" s="13"/>
      <c r="M654" s="7" t="s">
        <v>3122</v>
      </c>
      <c r="N654" s="7" t="s">
        <v>3123</v>
      </c>
      <c r="O654" s="7"/>
      <c r="P654" s="7"/>
      <c r="Q654" s="7"/>
      <c r="R654" s="7"/>
      <c r="S654" s="141"/>
      <c r="T654" s="7"/>
    </row>
    <row r="655" spans="1:20" hidden="1">
      <c r="A655" s="38">
        <v>250425125001</v>
      </c>
      <c r="B655" s="149"/>
      <c r="C655" s="3" t="s">
        <v>515</v>
      </c>
      <c r="D655" s="3" t="s">
        <v>3084</v>
      </c>
      <c r="E655" s="2" t="s">
        <v>3124</v>
      </c>
      <c r="F655" s="2" t="s">
        <v>946</v>
      </c>
      <c r="G655" s="48"/>
      <c r="H655" s="150"/>
      <c r="J655" s="10" t="s">
        <v>3125</v>
      </c>
      <c r="K655" s="14"/>
      <c r="L655" s="13"/>
      <c r="M655" s="7" t="s">
        <v>3126</v>
      </c>
      <c r="N655" s="7" t="s">
        <v>3127</v>
      </c>
      <c r="O655" s="7"/>
      <c r="P655" s="7"/>
      <c r="Q655" s="7"/>
      <c r="R655" s="7"/>
      <c r="S655" s="141"/>
      <c r="T655" s="7"/>
    </row>
    <row r="656" spans="1:20" hidden="1">
      <c r="A656" s="38">
        <v>250425125000</v>
      </c>
      <c r="B656" s="149"/>
      <c r="C656" s="3" t="s">
        <v>515</v>
      </c>
      <c r="D656" s="3" t="s">
        <v>3084</v>
      </c>
      <c r="E656" s="2" t="s">
        <v>2916</v>
      </c>
      <c r="F656" s="2" t="s">
        <v>1394</v>
      </c>
      <c r="G656" s="48"/>
      <c r="H656" s="150"/>
      <c r="J656" s="10" t="s">
        <v>3128</v>
      </c>
      <c r="K656" s="14"/>
      <c r="L656" s="13"/>
      <c r="M656" s="7" t="s">
        <v>3129</v>
      </c>
      <c r="N656" s="7" t="s">
        <v>3130</v>
      </c>
      <c r="O656" s="7"/>
      <c r="P656" s="7"/>
      <c r="Q656" s="7"/>
      <c r="R656" s="7"/>
      <c r="S656" s="141"/>
      <c r="T656" s="7"/>
    </row>
    <row r="657" spans="1:20" hidden="1">
      <c r="A657" s="38">
        <v>241112000185</v>
      </c>
      <c r="B657" s="147" t="s">
        <v>867</v>
      </c>
      <c r="C657" s="3" t="s">
        <v>515</v>
      </c>
      <c r="D657" s="3" t="s">
        <v>3084</v>
      </c>
      <c r="E657" s="2" t="s">
        <v>3131</v>
      </c>
      <c r="F657" s="2" t="s">
        <v>879</v>
      </c>
      <c r="G657" s="148"/>
      <c r="H657" s="148"/>
      <c r="J657" s="1" t="s">
        <v>3132</v>
      </c>
      <c r="K657" s="10" t="s">
        <v>3133</v>
      </c>
      <c r="L657" s="13" t="s">
        <v>3134</v>
      </c>
      <c r="M657" s="7" t="s">
        <v>3135</v>
      </c>
      <c r="N657" s="7"/>
      <c r="O657" s="7"/>
      <c r="P657" s="7"/>
      <c r="Q657" s="7"/>
      <c r="R657" s="7"/>
      <c r="S657" s="141"/>
      <c r="T657" s="7"/>
    </row>
    <row r="658" spans="1:20" hidden="1">
      <c r="A658" s="38">
        <v>250425100319</v>
      </c>
      <c r="B658" s="149"/>
      <c r="C658" s="3" t="s">
        <v>515</v>
      </c>
      <c r="D658" s="3" t="s">
        <v>3084</v>
      </c>
      <c r="E658" s="2" t="s">
        <v>3136</v>
      </c>
      <c r="F658" s="2" t="s">
        <v>1279</v>
      </c>
      <c r="G658" s="48"/>
      <c r="H658" s="150"/>
      <c r="J658" s="10" t="s">
        <v>3137</v>
      </c>
      <c r="K658" s="14"/>
      <c r="L658" s="13"/>
      <c r="M658" s="7" t="s">
        <v>3138</v>
      </c>
      <c r="N658" s="7" t="s">
        <v>3139</v>
      </c>
      <c r="O658" s="7"/>
      <c r="P658" s="7"/>
      <c r="Q658" s="7"/>
      <c r="R658" s="7"/>
      <c r="S658" s="141"/>
      <c r="T658" s="7"/>
    </row>
    <row r="659" spans="1:20" hidden="1">
      <c r="A659" s="38">
        <v>241112000212</v>
      </c>
      <c r="B659" s="147" t="s">
        <v>867</v>
      </c>
      <c r="C659" s="3" t="s">
        <v>515</v>
      </c>
      <c r="D659" s="3" t="s">
        <v>3084</v>
      </c>
      <c r="E659" s="2" t="s">
        <v>3140</v>
      </c>
      <c r="F659" s="2" t="s">
        <v>1699</v>
      </c>
      <c r="G659" s="148"/>
      <c r="H659" s="148"/>
      <c r="J659" s="1" t="s">
        <v>3141</v>
      </c>
      <c r="K659" s="10" t="s">
        <v>3142</v>
      </c>
      <c r="L659" s="13" t="s">
        <v>3143</v>
      </c>
      <c r="M659" s="7" t="s">
        <v>3144</v>
      </c>
      <c r="N659" s="7" t="s">
        <v>3145</v>
      </c>
      <c r="O659" s="7"/>
      <c r="P659" s="7"/>
      <c r="Q659" s="7"/>
      <c r="R659" s="7"/>
      <c r="S659" s="141"/>
      <c r="T659" s="7"/>
    </row>
    <row r="660" spans="1:20" hidden="1">
      <c r="A660" s="38">
        <v>241112000186</v>
      </c>
      <c r="B660" s="147" t="s">
        <v>867</v>
      </c>
      <c r="C660" s="3" t="s">
        <v>515</v>
      </c>
      <c r="D660" s="3" t="s">
        <v>3084</v>
      </c>
      <c r="E660" s="2" t="s">
        <v>3146</v>
      </c>
      <c r="F660" s="2" t="s">
        <v>2765</v>
      </c>
      <c r="G660" s="148"/>
      <c r="H660" s="148"/>
      <c r="J660" s="1" t="s">
        <v>3147</v>
      </c>
      <c r="K660" s="10"/>
      <c r="L660" s="13" t="s">
        <v>3148</v>
      </c>
      <c r="M660" s="7" t="s">
        <v>3149</v>
      </c>
      <c r="N660" s="7"/>
      <c r="O660" s="7"/>
      <c r="P660" s="7"/>
      <c r="Q660" s="7"/>
      <c r="R660" s="7"/>
      <c r="S660" s="141"/>
      <c r="T660" s="7"/>
    </row>
    <row r="661" spans="1:20" hidden="1">
      <c r="A661" s="38">
        <v>241112000187</v>
      </c>
      <c r="B661" s="147" t="s">
        <v>867</v>
      </c>
      <c r="C661" s="3" t="s">
        <v>515</v>
      </c>
      <c r="D661" s="3" t="s">
        <v>3084</v>
      </c>
      <c r="E661" s="2" t="s">
        <v>3150</v>
      </c>
      <c r="F661" s="2" t="s">
        <v>1034</v>
      </c>
      <c r="G661" s="148"/>
      <c r="H661" s="148"/>
      <c r="J661" s="1" t="s">
        <v>3151</v>
      </c>
      <c r="K661" s="10"/>
      <c r="L661" s="13" t="s">
        <v>3152</v>
      </c>
      <c r="M661" s="7" t="s">
        <v>3153</v>
      </c>
      <c r="N661" s="7"/>
      <c r="O661" s="7"/>
      <c r="P661" s="7"/>
      <c r="Q661" s="7"/>
      <c r="R661" s="7"/>
      <c r="S661" s="141"/>
      <c r="T661" s="7"/>
    </row>
    <row r="662" spans="1:20" hidden="1">
      <c r="A662" s="38">
        <v>250408142600</v>
      </c>
      <c r="B662" s="147" t="s">
        <v>867</v>
      </c>
      <c r="C662" s="3" t="s">
        <v>515</v>
      </c>
      <c r="D662" s="3" t="s">
        <v>3084</v>
      </c>
      <c r="E662" s="2" t="s">
        <v>3154</v>
      </c>
      <c r="F662" s="2" t="s">
        <v>871</v>
      </c>
      <c r="G662" s="148"/>
      <c r="H662" s="148"/>
      <c r="J662" s="10" t="s">
        <v>3155</v>
      </c>
      <c r="K662" s="14"/>
      <c r="L662" s="13" t="s">
        <v>3156</v>
      </c>
      <c r="M662" s="7"/>
      <c r="N662" s="7"/>
      <c r="O662" s="7"/>
      <c r="P662" s="7"/>
      <c r="Q662" s="7"/>
      <c r="R662" s="7"/>
      <c r="S662" s="141"/>
      <c r="T662" s="7"/>
    </row>
    <row r="663" spans="1:20" hidden="1">
      <c r="A663" s="38">
        <v>250327121300</v>
      </c>
      <c r="B663" s="147" t="s">
        <v>867</v>
      </c>
      <c r="C663" s="3" t="s">
        <v>515</v>
      </c>
      <c r="D663" s="3" t="s">
        <v>3084</v>
      </c>
      <c r="E663" s="2" t="s">
        <v>3157</v>
      </c>
      <c r="F663" s="2" t="s">
        <v>3158</v>
      </c>
      <c r="G663" s="148"/>
      <c r="H663" s="148"/>
      <c r="J663" s="10" t="s">
        <v>3159</v>
      </c>
      <c r="K663" s="14"/>
      <c r="L663" s="13" t="s">
        <v>3160</v>
      </c>
      <c r="M663" s="7"/>
      <c r="N663" s="7"/>
      <c r="O663" s="7"/>
      <c r="P663" s="7"/>
      <c r="Q663" s="7"/>
      <c r="R663" s="7"/>
      <c r="S663" s="141"/>
      <c r="T663" s="7"/>
    </row>
    <row r="664" spans="1:20" hidden="1">
      <c r="A664" s="38">
        <v>250327121301</v>
      </c>
      <c r="B664" s="147" t="s">
        <v>867</v>
      </c>
      <c r="C664" s="3" t="s">
        <v>515</v>
      </c>
      <c r="D664" s="3" t="s">
        <v>3084</v>
      </c>
      <c r="E664" s="2" t="s">
        <v>3161</v>
      </c>
      <c r="F664" s="2" t="s">
        <v>1394</v>
      </c>
      <c r="G664" s="148"/>
      <c r="H664" s="148"/>
      <c r="J664" s="10" t="s">
        <v>3162</v>
      </c>
      <c r="K664" s="14"/>
      <c r="L664" s="13" t="s">
        <v>3163</v>
      </c>
      <c r="M664" s="7"/>
      <c r="N664" s="7"/>
      <c r="O664" s="7"/>
      <c r="P664" s="7"/>
      <c r="Q664" s="7"/>
      <c r="R664" s="7"/>
      <c r="S664" s="141"/>
      <c r="T664" s="7"/>
    </row>
    <row r="665" spans="1:20" hidden="1">
      <c r="A665" s="38">
        <v>250327121302</v>
      </c>
      <c r="B665" s="147" t="s">
        <v>867</v>
      </c>
      <c r="C665" s="3" t="s">
        <v>515</v>
      </c>
      <c r="D665" s="3" t="s">
        <v>3084</v>
      </c>
      <c r="E665" s="2" t="s">
        <v>3164</v>
      </c>
      <c r="F665" s="2" t="s">
        <v>1209</v>
      </c>
      <c r="G665" s="148"/>
      <c r="H665" s="148"/>
      <c r="J665" s="10" t="s">
        <v>3165</v>
      </c>
      <c r="K665" s="14"/>
      <c r="L665" s="13" t="s">
        <v>3166</v>
      </c>
      <c r="M665" s="7"/>
      <c r="N665" s="7"/>
      <c r="O665" s="7"/>
      <c r="P665" s="7"/>
      <c r="Q665" s="7"/>
      <c r="R665" s="7"/>
      <c r="S665" s="141"/>
      <c r="T665" s="7"/>
    </row>
    <row r="666" spans="1:20" hidden="1">
      <c r="A666" s="38">
        <v>241112000176</v>
      </c>
      <c r="B666" s="147" t="s">
        <v>867</v>
      </c>
      <c r="C666" s="3" t="s">
        <v>515</v>
      </c>
      <c r="D666" s="3" t="s">
        <v>3084</v>
      </c>
      <c r="E666" s="2" t="s">
        <v>3167</v>
      </c>
      <c r="F666" s="2" t="s">
        <v>3168</v>
      </c>
      <c r="G666" s="148"/>
      <c r="H666" s="148"/>
      <c r="J666" s="1" t="s">
        <v>3169</v>
      </c>
      <c r="K666" s="10" t="s">
        <v>3170</v>
      </c>
      <c r="L666" s="13" t="s">
        <v>3171</v>
      </c>
      <c r="M666" s="7" t="s">
        <v>3172</v>
      </c>
      <c r="N666" s="7"/>
      <c r="O666" s="7"/>
      <c r="P666" s="7"/>
      <c r="Q666" s="7"/>
      <c r="R666" s="7"/>
      <c r="S666" s="141"/>
      <c r="T666" s="7"/>
    </row>
    <row r="667" spans="1:20" hidden="1">
      <c r="A667" s="38">
        <v>250325134507</v>
      </c>
      <c r="B667" s="147" t="s">
        <v>867</v>
      </c>
      <c r="C667" s="3" t="s">
        <v>515</v>
      </c>
      <c r="D667" s="3" t="s">
        <v>3084</v>
      </c>
      <c r="E667" s="2" t="s">
        <v>3173</v>
      </c>
      <c r="F667" s="2" t="s">
        <v>1029</v>
      </c>
      <c r="G667" s="148"/>
      <c r="H667" s="148"/>
      <c r="J667" s="10" t="s">
        <v>3174</v>
      </c>
      <c r="K667" s="14"/>
      <c r="L667" s="13" t="s">
        <v>3175</v>
      </c>
      <c r="M667" s="7" t="s">
        <v>3138</v>
      </c>
      <c r="N667" s="7" t="s">
        <v>3176</v>
      </c>
      <c r="O667" s="7"/>
      <c r="P667" s="7"/>
      <c r="Q667" s="7"/>
      <c r="R667" s="7"/>
      <c r="S667" s="141"/>
      <c r="T667" s="7"/>
    </row>
    <row r="668" spans="1:20" hidden="1">
      <c r="A668" s="38">
        <v>250325134508</v>
      </c>
      <c r="B668" s="147" t="s">
        <v>867</v>
      </c>
      <c r="C668" s="3" t="s">
        <v>515</v>
      </c>
      <c r="D668" s="3" t="s">
        <v>3084</v>
      </c>
      <c r="E668" s="2" t="s">
        <v>3177</v>
      </c>
      <c r="F668" s="2" t="s">
        <v>1394</v>
      </c>
      <c r="G668" s="148"/>
      <c r="H668" s="148"/>
      <c r="J668" s="10" t="s">
        <v>3178</v>
      </c>
      <c r="K668" s="14"/>
      <c r="L668" s="13" t="s">
        <v>3175</v>
      </c>
      <c r="M668" s="7"/>
      <c r="N668" s="7"/>
      <c r="O668" s="7"/>
      <c r="P668" s="7"/>
      <c r="Q668" s="7"/>
      <c r="R668" s="7"/>
      <c r="S668" s="141"/>
      <c r="T668" s="7"/>
    </row>
    <row r="669" spans="1:20" hidden="1">
      <c r="A669" s="38">
        <v>250425153907</v>
      </c>
      <c r="B669" s="149"/>
      <c r="C669" s="3" t="s">
        <v>515</v>
      </c>
      <c r="D669" s="3" t="s">
        <v>3179</v>
      </c>
      <c r="E669" s="2" t="s">
        <v>3180</v>
      </c>
      <c r="F669" s="2" t="s">
        <v>1014</v>
      </c>
      <c r="G669" s="48"/>
      <c r="H669" s="150"/>
      <c r="J669" s="10" t="s">
        <v>3181</v>
      </c>
      <c r="K669" s="14"/>
      <c r="L669" s="13"/>
      <c r="M669" s="7"/>
      <c r="N669" s="7">
        <v>86</v>
      </c>
      <c r="O669" s="7"/>
      <c r="P669" s="7"/>
      <c r="Q669" s="7"/>
      <c r="R669" s="7"/>
      <c r="S669" s="141"/>
      <c r="T669" s="7"/>
    </row>
    <row r="670" spans="1:20" hidden="1">
      <c r="A670" s="38">
        <v>250425153904</v>
      </c>
      <c r="B670" s="149"/>
      <c r="C670" s="3" t="s">
        <v>515</v>
      </c>
      <c r="D670" s="3" t="s">
        <v>3179</v>
      </c>
      <c r="E670" s="2" t="s">
        <v>3182</v>
      </c>
      <c r="F670" s="2" t="s">
        <v>2798</v>
      </c>
      <c r="G670" s="48"/>
      <c r="H670" s="150"/>
      <c r="J670" s="10" t="s">
        <v>3183</v>
      </c>
      <c r="K670" s="14"/>
      <c r="L670" s="13"/>
      <c r="M670" s="7"/>
      <c r="N670" s="7">
        <v>74</v>
      </c>
      <c r="O670" s="7"/>
      <c r="P670" s="7"/>
      <c r="Q670" s="7"/>
      <c r="R670" s="7"/>
      <c r="S670" s="141"/>
      <c r="T670" s="7"/>
    </row>
    <row r="671" spans="1:20" hidden="1">
      <c r="A671" s="38">
        <v>250425153908</v>
      </c>
      <c r="B671" s="149"/>
      <c r="C671" s="3" t="s">
        <v>515</v>
      </c>
      <c r="D671" s="3" t="s">
        <v>3179</v>
      </c>
      <c r="E671" s="2" t="s">
        <v>3184</v>
      </c>
      <c r="F671" s="2" t="s">
        <v>1014</v>
      </c>
      <c r="G671" s="48"/>
      <c r="H671" s="150"/>
      <c r="J671" s="10" t="s">
        <v>3185</v>
      </c>
      <c r="K671" s="14"/>
      <c r="L671" s="13"/>
      <c r="M671" s="7"/>
      <c r="N671" s="7">
        <v>88</v>
      </c>
      <c r="O671" s="7"/>
      <c r="P671" s="7"/>
      <c r="Q671" s="7"/>
      <c r="R671" s="7"/>
      <c r="S671" s="141"/>
      <c r="T671" s="7"/>
    </row>
    <row r="672" spans="1:20" hidden="1">
      <c r="A672" s="38">
        <v>250425153909</v>
      </c>
      <c r="B672" s="149"/>
      <c r="C672" s="3" t="s">
        <v>515</v>
      </c>
      <c r="D672" s="3" t="s">
        <v>3179</v>
      </c>
      <c r="E672" s="2" t="s">
        <v>3186</v>
      </c>
      <c r="F672" s="2" t="s">
        <v>1014</v>
      </c>
      <c r="G672" s="48"/>
      <c r="H672" s="150"/>
      <c r="J672" s="10" t="s">
        <v>3187</v>
      </c>
      <c r="K672" s="14"/>
      <c r="L672" s="13"/>
      <c r="M672" s="7"/>
      <c r="N672" s="7">
        <v>89</v>
      </c>
      <c r="O672" s="7"/>
      <c r="P672" s="7"/>
      <c r="Q672" s="7"/>
      <c r="R672" s="7"/>
      <c r="S672" s="141"/>
      <c r="T672" s="7"/>
    </row>
    <row r="673" spans="1:20" hidden="1">
      <c r="A673" s="38">
        <v>250425153905</v>
      </c>
      <c r="B673" s="149"/>
      <c r="C673" s="3" t="s">
        <v>515</v>
      </c>
      <c r="D673" s="3" t="s">
        <v>3179</v>
      </c>
      <c r="E673" s="2" t="s">
        <v>3188</v>
      </c>
      <c r="F673" s="2" t="s">
        <v>2798</v>
      </c>
      <c r="G673" s="48"/>
      <c r="H673" s="150"/>
      <c r="J673" s="10" t="s">
        <v>3189</v>
      </c>
      <c r="K673" s="14"/>
      <c r="L673" s="13"/>
      <c r="M673" s="7"/>
      <c r="N673" s="7">
        <v>76</v>
      </c>
      <c r="O673" s="7"/>
      <c r="P673" s="7"/>
      <c r="Q673" s="7"/>
      <c r="R673" s="7"/>
      <c r="S673" s="141"/>
      <c r="T673" s="7"/>
    </row>
    <row r="674" spans="1:20" hidden="1">
      <c r="A674" s="38">
        <v>250425153906</v>
      </c>
      <c r="B674" s="149"/>
      <c r="C674" s="3" t="s">
        <v>515</v>
      </c>
      <c r="D674" s="3" t="s">
        <v>3179</v>
      </c>
      <c r="E674" s="2" t="s">
        <v>3190</v>
      </c>
      <c r="F674" s="2" t="s">
        <v>2798</v>
      </c>
      <c r="G674" s="48"/>
      <c r="H674" s="150"/>
      <c r="J674" s="10" t="s">
        <v>3191</v>
      </c>
      <c r="K674" s="14"/>
      <c r="L674" s="13"/>
      <c r="M674" s="7"/>
      <c r="N674" s="7">
        <v>77</v>
      </c>
      <c r="O674" s="7"/>
      <c r="P674" s="7"/>
      <c r="Q674" s="7"/>
      <c r="R674" s="7"/>
      <c r="S674" s="141"/>
      <c r="T674" s="7"/>
    </row>
    <row r="675" spans="1:20" hidden="1">
      <c r="A675" s="38">
        <v>250425151002</v>
      </c>
      <c r="B675" s="156"/>
      <c r="C675" s="3" t="s">
        <v>515</v>
      </c>
      <c r="D675" s="3" t="s">
        <v>3179</v>
      </c>
      <c r="E675" s="2" t="s">
        <v>3192</v>
      </c>
      <c r="F675" s="2" t="s">
        <v>3193</v>
      </c>
      <c r="G675" s="48"/>
      <c r="J675" s="2" t="s">
        <v>3194</v>
      </c>
      <c r="L675" s="157"/>
      <c r="M675" s="157"/>
      <c r="N675" s="157" t="s">
        <v>3195</v>
      </c>
      <c r="O675" s="157"/>
      <c r="P675" s="157"/>
      <c r="Q675" s="157"/>
      <c r="R675" s="157"/>
      <c r="S675" s="158"/>
      <c r="T675" s="157"/>
    </row>
    <row r="676" spans="1:20" hidden="1">
      <c r="A676" s="38">
        <v>250425151001</v>
      </c>
      <c r="B676" s="156"/>
      <c r="C676" s="3" t="s">
        <v>515</v>
      </c>
      <c r="D676" s="3" t="s">
        <v>3179</v>
      </c>
      <c r="E676" s="2" t="s">
        <v>3196</v>
      </c>
      <c r="F676" s="2" t="s">
        <v>2798</v>
      </c>
      <c r="G676" s="48"/>
      <c r="J676" s="2" t="s">
        <v>3197</v>
      </c>
      <c r="L676" s="157"/>
      <c r="M676" s="157"/>
      <c r="N676" s="157" t="s">
        <v>3198</v>
      </c>
      <c r="O676" s="157"/>
      <c r="P676" s="157"/>
      <c r="Q676" s="157"/>
      <c r="R676" s="157"/>
      <c r="S676" s="158"/>
      <c r="T676" s="157"/>
    </row>
    <row r="677" spans="1:20" hidden="1">
      <c r="A677" s="38">
        <v>250425150901</v>
      </c>
      <c r="B677" s="156"/>
      <c r="C677" s="3" t="s">
        <v>515</v>
      </c>
      <c r="D677" s="3" t="s">
        <v>3179</v>
      </c>
      <c r="E677" s="2" t="s">
        <v>3199</v>
      </c>
      <c r="F677" s="2" t="s">
        <v>3193</v>
      </c>
      <c r="G677" s="48"/>
      <c r="J677" s="2" t="s">
        <v>3200</v>
      </c>
      <c r="L677" s="157"/>
      <c r="M677" s="157"/>
      <c r="N677" s="157" t="s">
        <v>3201</v>
      </c>
      <c r="O677" s="157"/>
      <c r="P677" s="157"/>
      <c r="Q677" s="157"/>
      <c r="R677" s="157"/>
      <c r="S677" s="158"/>
      <c r="T677" s="157"/>
    </row>
    <row r="678" spans="1:20" hidden="1">
      <c r="A678" s="38">
        <v>250425150900</v>
      </c>
      <c r="B678" s="156"/>
      <c r="C678" s="3" t="s">
        <v>515</v>
      </c>
      <c r="D678" s="3" t="s">
        <v>3179</v>
      </c>
      <c r="E678" s="2" t="s">
        <v>3202</v>
      </c>
      <c r="F678" s="2" t="s">
        <v>2798</v>
      </c>
      <c r="G678" s="48"/>
      <c r="J678" s="2" t="s">
        <v>3203</v>
      </c>
      <c r="L678" s="157"/>
      <c r="M678" s="157"/>
      <c r="N678" s="157" t="s">
        <v>3204</v>
      </c>
      <c r="O678" s="157"/>
      <c r="P678" s="157"/>
      <c r="Q678" s="157"/>
      <c r="R678" s="157"/>
      <c r="S678" s="158"/>
      <c r="T678" s="157"/>
    </row>
    <row r="679" spans="1:20" hidden="1">
      <c r="A679" s="38">
        <v>250418220159</v>
      </c>
      <c r="B679" s="147" t="s">
        <v>867</v>
      </c>
      <c r="C679" s="3" t="s">
        <v>515</v>
      </c>
      <c r="D679" s="3" t="s">
        <v>3179</v>
      </c>
      <c r="E679" s="2" t="s">
        <v>2916</v>
      </c>
      <c r="F679" s="2" t="s">
        <v>1394</v>
      </c>
      <c r="G679" s="148"/>
      <c r="H679" s="148"/>
      <c r="J679" s="10" t="s">
        <v>3205</v>
      </c>
      <c r="K679" s="14"/>
      <c r="L679" s="13"/>
      <c r="M679" s="7"/>
      <c r="N679" s="7"/>
      <c r="O679" s="7"/>
      <c r="P679" s="7"/>
      <c r="Q679" s="7"/>
      <c r="R679" s="7" t="s">
        <v>3206</v>
      </c>
      <c r="S679" s="141" t="s">
        <v>949</v>
      </c>
      <c r="T679" s="7" t="s">
        <v>1945</v>
      </c>
    </row>
    <row r="680" spans="1:20" hidden="1">
      <c r="A680" s="38">
        <v>250425175700</v>
      </c>
      <c r="B680" s="147"/>
      <c r="C680" s="3" t="s">
        <v>515</v>
      </c>
      <c r="D680" s="3" t="s">
        <v>3179</v>
      </c>
      <c r="E680" s="2" t="s">
        <v>3207</v>
      </c>
      <c r="F680" s="2" t="s">
        <v>1328</v>
      </c>
      <c r="G680" s="148"/>
      <c r="H680" s="148"/>
      <c r="J680" s="10" t="s">
        <v>3208</v>
      </c>
      <c r="K680" s="14"/>
      <c r="L680" s="13"/>
      <c r="M680" s="7"/>
      <c r="N680" s="7" t="s">
        <v>3209</v>
      </c>
      <c r="O680" s="7"/>
      <c r="P680" s="7"/>
      <c r="Q680" s="7"/>
      <c r="R680" s="7"/>
      <c r="S680" s="141"/>
      <c r="T680" s="7"/>
    </row>
    <row r="681" spans="1:20" hidden="1">
      <c r="A681" s="38">
        <v>250425153911</v>
      </c>
      <c r="B681" s="149"/>
      <c r="C681" s="3" t="s">
        <v>515</v>
      </c>
      <c r="D681" s="3" t="s">
        <v>3179</v>
      </c>
      <c r="E681" s="2" t="s">
        <v>3210</v>
      </c>
      <c r="F681" s="2" t="s">
        <v>1328</v>
      </c>
      <c r="G681" s="48"/>
      <c r="H681" s="150"/>
      <c r="J681" s="10" t="s">
        <v>3208</v>
      </c>
      <c r="K681" s="14"/>
      <c r="L681" s="13"/>
      <c r="M681" s="7"/>
      <c r="N681" s="7" t="s">
        <v>3209</v>
      </c>
      <c r="O681" s="7"/>
      <c r="P681" s="7"/>
      <c r="Q681" s="7"/>
      <c r="R681" s="7"/>
      <c r="S681" s="141"/>
      <c r="T681" s="7"/>
    </row>
    <row r="682" spans="1:20" hidden="1">
      <c r="A682" s="38">
        <v>250414091408</v>
      </c>
      <c r="B682" s="147" t="s">
        <v>867</v>
      </c>
      <c r="C682" s="3" t="s">
        <v>515</v>
      </c>
      <c r="D682" s="3" t="s">
        <v>3179</v>
      </c>
      <c r="E682" s="2" t="s">
        <v>3211</v>
      </c>
      <c r="F682" s="2" t="s">
        <v>3212</v>
      </c>
      <c r="G682" s="148"/>
      <c r="H682" s="148"/>
      <c r="J682" s="10" t="s">
        <v>3213</v>
      </c>
      <c r="K682" s="14"/>
      <c r="L682" s="13"/>
      <c r="M682" s="7"/>
      <c r="N682" s="7" t="s">
        <v>3214</v>
      </c>
      <c r="O682" s="7"/>
      <c r="P682" s="7"/>
      <c r="Q682" s="7"/>
      <c r="R682" s="7"/>
      <c r="S682" s="141"/>
      <c r="T682" s="7"/>
    </row>
    <row r="683" spans="1:20" hidden="1">
      <c r="A683" s="38">
        <v>250430073100</v>
      </c>
      <c r="B683" s="149"/>
      <c r="C683" s="3" t="s">
        <v>515</v>
      </c>
      <c r="D683" s="3" t="s">
        <v>3179</v>
      </c>
      <c r="E683" s="2" t="s">
        <v>3064</v>
      </c>
      <c r="F683" s="2" t="s">
        <v>2909</v>
      </c>
      <c r="G683" s="48"/>
      <c r="H683" s="150"/>
      <c r="J683" s="10" t="s">
        <v>3215</v>
      </c>
      <c r="K683" s="14"/>
      <c r="L683" s="13"/>
      <c r="M683" s="7"/>
      <c r="N683" s="7"/>
      <c r="O683" s="7"/>
      <c r="P683" s="7"/>
      <c r="Q683" s="7"/>
      <c r="R683" s="7"/>
      <c r="S683" s="141" t="s">
        <v>949</v>
      </c>
      <c r="T683" s="7" t="s">
        <v>11</v>
      </c>
    </row>
    <row r="684" spans="1:20" hidden="1">
      <c r="A684" s="38">
        <v>250418220160</v>
      </c>
      <c r="B684" s="147" t="s">
        <v>867</v>
      </c>
      <c r="C684" s="3" t="s">
        <v>515</v>
      </c>
      <c r="D684" s="3" t="s">
        <v>3179</v>
      </c>
      <c r="E684" s="2" t="s">
        <v>3216</v>
      </c>
      <c r="F684" s="2" t="s">
        <v>1014</v>
      </c>
      <c r="G684" s="148"/>
      <c r="H684" s="148"/>
      <c r="J684" s="10" t="s">
        <v>3217</v>
      </c>
      <c r="K684" s="14"/>
      <c r="L684" s="13"/>
      <c r="M684" s="7"/>
      <c r="N684" s="7"/>
      <c r="O684" s="7"/>
      <c r="P684" s="7"/>
      <c r="Q684" s="7"/>
      <c r="R684" s="7" t="s">
        <v>3218</v>
      </c>
      <c r="S684" s="141" t="s">
        <v>949</v>
      </c>
      <c r="T684" s="7" t="s">
        <v>1945</v>
      </c>
    </row>
    <row r="685" spans="1:20" hidden="1">
      <c r="A685" s="38">
        <v>250418220161</v>
      </c>
      <c r="B685" s="147" t="s">
        <v>867</v>
      </c>
      <c r="C685" s="3" t="s">
        <v>515</v>
      </c>
      <c r="D685" s="3" t="s">
        <v>3179</v>
      </c>
      <c r="E685" s="2" t="s">
        <v>3219</v>
      </c>
      <c r="F685" s="2" t="s">
        <v>1328</v>
      </c>
      <c r="G685" s="148"/>
      <c r="H685" s="148"/>
      <c r="J685" s="10" t="s">
        <v>3220</v>
      </c>
      <c r="K685" s="14"/>
      <c r="L685" s="13"/>
      <c r="M685" s="7"/>
      <c r="N685" s="7"/>
      <c r="O685" s="7"/>
      <c r="P685" s="7"/>
      <c r="Q685" s="7"/>
      <c r="R685" s="7" t="s">
        <v>3221</v>
      </c>
      <c r="S685" s="141" t="s">
        <v>949</v>
      </c>
      <c r="T685" s="7" t="s">
        <v>1945</v>
      </c>
    </row>
    <row r="686" spans="1:20" hidden="1">
      <c r="A686" s="38">
        <v>250418220162</v>
      </c>
      <c r="B686" s="147" t="s">
        <v>867</v>
      </c>
      <c r="C686" s="3" t="s">
        <v>515</v>
      </c>
      <c r="D686" s="3" t="s">
        <v>3179</v>
      </c>
      <c r="E686" s="2" t="s">
        <v>3222</v>
      </c>
      <c r="F686" s="2" t="s">
        <v>1984</v>
      </c>
      <c r="G686" s="148"/>
      <c r="H686" s="148"/>
      <c r="J686" s="10" t="s">
        <v>3223</v>
      </c>
      <c r="K686" s="14"/>
      <c r="L686" s="13"/>
      <c r="M686" s="7"/>
      <c r="N686" s="7"/>
      <c r="O686" s="7"/>
      <c r="P686" s="7"/>
      <c r="Q686" s="7"/>
      <c r="R686" s="7" t="s">
        <v>3224</v>
      </c>
      <c r="S686" s="141" t="s">
        <v>949</v>
      </c>
      <c r="T686" s="7" t="s">
        <v>1945</v>
      </c>
    </row>
    <row r="687" spans="1:20" hidden="1">
      <c r="A687" s="38">
        <v>250418220164</v>
      </c>
      <c r="B687" s="147" t="s">
        <v>867</v>
      </c>
      <c r="C687" s="3" t="s">
        <v>515</v>
      </c>
      <c r="D687" s="3" t="s">
        <v>3179</v>
      </c>
      <c r="E687" s="2" t="s">
        <v>3225</v>
      </c>
      <c r="F687" s="2" t="s">
        <v>2083</v>
      </c>
      <c r="G687" s="148"/>
      <c r="H687" s="148"/>
      <c r="J687" s="10" t="s">
        <v>3226</v>
      </c>
      <c r="K687" s="14"/>
      <c r="L687" s="13"/>
      <c r="M687" s="7"/>
      <c r="N687" s="7"/>
      <c r="O687" s="7"/>
      <c r="P687" s="7"/>
      <c r="Q687" s="7"/>
      <c r="R687" s="7" t="s">
        <v>3227</v>
      </c>
      <c r="S687" s="141" t="s">
        <v>949</v>
      </c>
      <c r="T687" s="7" t="s">
        <v>1945</v>
      </c>
    </row>
    <row r="688" spans="1:20" hidden="1">
      <c r="A688" s="38">
        <v>250422120104</v>
      </c>
      <c r="B688" s="147" t="s">
        <v>867</v>
      </c>
      <c r="C688" s="3" t="s">
        <v>515</v>
      </c>
      <c r="D688" s="3" t="s">
        <v>3179</v>
      </c>
      <c r="E688" s="2" t="s">
        <v>3228</v>
      </c>
      <c r="F688" s="2" t="s">
        <v>1014</v>
      </c>
      <c r="G688" s="148"/>
      <c r="H688" s="148"/>
      <c r="J688" s="1" t="s">
        <v>3229</v>
      </c>
      <c r="K688" s="14"/>
      <c r="L688" s="13"/>
      <c r="M688" s="7"/>
      <c r="N688" s="7" t="s">
        <v>3230</v>
      </c>
      <c r="O688" s="7"/>
      <c r="P688" s="7"/>
      <c r="Q688" s="7"/>
      <c r="R688" s="7"/>
      <c r="S688" s="141"/>
      <c r="T688" s="7"/>
    </row>
    <row r="689" spans="1:20" hidden="1">
      <c r="A689" s="38">
        <v>250425151003</v>
      </c>
      <c r="B689" s="156"/>
      <c r="C689" s="3" t="s">
        <v>515</v>
      </c>
      <c r="D689" s="3" t="s">
        <v>3179</v>
      </c>
      <c r="E689" s="2" t="s">
        <v>3231</v>
      </c>
      <c r="F689" s="2" t="s">
        <v>3193</v>
      </c>
      <c r="G689" s="48"/>
      <c r="J689" s="2" t="s">
        <v>3232</v>
      </c>
      <c r="L689" s="157"/>
      <c r="M689" s="157"/>
      <c r="N689" s="157" t="s">
        <v>3233</v>
      </c>
      <c r="O689" s="157"/>
      <c r="P689" s="157"/>
      <c r="Q689" s="157"/>
      <c r="R689" s="157"/>
      <c r="S689" s="158"/>
      <c r="T689" s="157"/>
    </row>
    <row r="690" spans="1:20" hidden="1">
      <c r="A690" s="38">
        <v>250422120103</v>
      </c>
      <c r="B690" s="147" t="s">
        <v>867</v>
      </c>
      <c r="C690" s="3" t="s">
        <v>515</v>
      </c>
      <c r="D690" s="3" t="s">
        <v>3179</v>
      </c>
      <c r="E690" s="2" t="s">
        <v>3234</v>
      </c>
      <c r="F690" s="2" t="s">
        <v>2798</v>
      </c>
      <c r="G690" s="148"/>
      <c r="H690" s="148"/>
      <c r="J690" s="1" t="s">
        <v>3235</v>
      </c>
      <c r="K690" s="14"/>
      <c r="L690" s="13"/>
      <c r="M690" s="7"/>
      <c r="N690" s="7" t="s">
        <v>3236</v>
      </c>
      <c r="O690" s="7"/>
      <c r="P690" s="7"/>
      <c r="Q690" s="7"/>
      <c r="R690" s="7"/>
      <c r="S690" s="141"/>
      <c r="T690" s="7"/>
    </row>
    <row r="691" spans="1:20" hidden="1">
      <c r="A691" s="38">
        <v>250422133704</v>
      </c>
      <c r="B691" s="147" t="s">
        <v>867</v>
      </c>
      <c r="C691" s="3" t="s">
        <v>515</v>
      </c>
      <c r="D691" s="3" t="s">
        <v>3179</v>
      </c>
      <c r="E691" s="2" t="s">
        <v>3237</v>
      </c>
      <c r="F691" s="2" t="s">
        <v>1279</v>
      </c>
      <c r="G691" s="148"/>
      <c r="H691" s="148"/>
      <c r="J691" s="10" t="s">
        <v>3238</v>
      </c>
      <c r="K691" s="14"/>
      <c r="L691" s="13"/>
      <c r="M691" s="7"/>
      <c r="N691" s="7" t="s">
        <v>3239</v>
      </c>
      <c r="O691" s="7"/>
      <c r="P691" s="7"/>
      <c r="Q691" s="7"/>
      <c r="R691" s="7"/>
      <c r="S691" s="141"/>
      <c r="T691" s="7"/>
    </row>
    <row r="692" spans="1:20" hidden="1">
      <c r="A692" s="38">
        <v>250425151000</v>
      </c>
      <c r="B692" s="156"/>
      <c r="C692" s="3" t="s">
        <v>515</v>
      </c>
      <c r="D692" s="3" t="s">
        <v>3179</v>
      </c>
      <c r="E692" s="2" t="s">
        <v>3240</v>
      </c>
      <c r="F692" s="2" t="s">
        <v>3193</v>
      </c>
      <c r="G692" s="48"/>
      <c r="J692" s="2" t="s">
        <v>3241</v>
      </c>
      <c r="L692" s="157"/>
      <c r="M692" s="157"/>
      <c r="N692" s="157" t="s">
        <v>3242</v>
      </c>
      <c r="O692" s="157"/>
      <c r="P692" s="157"/>
      <c r="Q692" s="157"/>
      <c r="R692" s="157"/>
      <c r="S692" s="158"/>
      <c r="T692" s="157"/>
    </row>
    <row r="693" spans="1:20" hidden="1">
      <c r="A693" s="38">
        <v>241112000261</v>
      </c>
      <c r="B693" s="147" t="s">
        <v>867</v>
      </c>
      <c r="C693" s="3" t="s">
        <v>515</v>
      </c>
      <c r="D693" s="3" t="s">
        <v>3243</v>
      </c>
      <c r="E693" s="2" t="s">
        <v>3097</v>
      </c>
      <c r="F693" s="2" t="s">
        <v>2890</v>
      </c>
      <c r="G693" s="148"/>
      <c r="H693" s="148"/>
      <c r="J693" s="1" t="s">
        <v>3244</v>
      </c>
      <c r="K693" s="10"/>
      <c r="L693" s="13" t="s">
        <v>3099</v>
      </c>
      <c r="M693" s="7" t="s">
        <v>3245</v>
      </c>
      <c r="N693" s="7"/>
      <c r="O693" s="7"/>
      <c r="P693" s="7"/>
      <c r="Q693" s="7"/>
      <c r="R693" s="7"/>
      <c r="S693" s="141"/>
      <c r="T693" s="7"/>
    </row>
    <row r="694" spans="1:20" hidden="1">
      <c r="A694" s="38">
        <v>241112000262</v>
      </c>
      <c r="B694" s="147" t="s">
        <v>867</v>
      </c>
      <c r="C694" s="3" t="s">
        <v>515</v>
      </c>
      <c r="D694" s="3" t="s">
        <v>3243</v>
      </c>
      <c r="E694" s="2" t="s">
        <v>3246</v>
      </c>
      <c r="F694" s="2" t="s">
        <v>2890</v>
      </c>
      <c r="G694" s="148"/>
      <c r="H694" s="148"/>
      <c r="J694" s="1" t="s">
        <v>3247</v>
      </c>
      <c r="K694" s="1"/>
      <c r="L694" s="13" t="s">
        <v>3248</v>
      </c>
      <c r="M694" s="7" t="s">
        <v>3249</v>
      </c>
      <c r="N694" s="7"/>
      <c r="O694" s="7"/>
      <c r="P694" s="7"/>
      <c r="Q694" s="7"/>
      <c r="R694" s="7"/>
      <c r="S694" s="141"/>
      <c r="T694" s="7"/>
    </row>
    <row r="695" spans="1:20" hidden="1">
      <c r="A695" s="38">
        <v>241114154800</v>
      </c>
      <c r="B695" s="147" t="s">
        <v>867</v>
      </c>
      <c r="C695" s="3" t="s">
        <v>515</v>
      </c>
      <c r="D695" s="3" t="s">
        <v>3243</v>
      </c>
      <c r="E695" s="2" t="s">
        <v>3250</v>
      </c>
      <c r="F695" s="2" t="s">
        <v>1394</v>
      </c>
      <c r="G695" s="148"/>
      <c r="H695" s="148"/>
      <c r="J695" s="10" t="s">
        <v>3251</v>
      </c>
      <c r="K695" s="10"/>
      <c r="L695" s="13"/>
      <c r="M695" s="7"/>
      <c r="N695" s="7"/>
      <c r="O695" s="7"/>
      <c r="P695" s="7"/>
      <c r="Q695" s="7"/>
      <c r="R695" s="7"/>
      <c r="S695" s="141"/>
      <c r="T695" s="7"/>
    </row>
    <row r="696" spans="1:20" hidden="1">
      <c r="A696" s="38">
        <v>250408142700</v>
      </c>
      <c r="B696" s="147" t="s">
        <v>867</v>
      </c>
      <c r="C696" s="3" t="s">
        <v>515</v>
      </c>
      <c r="D696" s="3" t="s">
        <v>3243</v>
      </c>
      <c r="E696" s="2" t="s">
        <v>3252</v>
      </c>
      <c r="F696" s="2" t="s">
        <v>3253</v>
      </c>
      <c r="G696" s="148"/>
      <c r="H696" s="148"/>
      <c r="J696" s="1" t="s">
        <v>3254</v>
      </c>
      <c r="K696" s="10"/>
      <c r="L696" s="13" t="s">
        <v>3255</v>
      </c>
      <c r="M696" s="7"/>
      <c r="N696" s="7"/>
      <c r="O696" s="7"/>
      <c r="P696" s="7"/>
      <c r="Q696" s="7"/>
      <c r="R696" s="7"/>
      <c r="S696" s="141"/>
      <c r="T696" s="7"/>
    </row>
    <row r="697" spans="1:20" hidden="1">
      <c r="A697" s="38">
        <v>250408142402</v>
      </c>
      <c r="B697" s="147" t="s">
        <v>867</v>
      </c>
      <c r="C697" s="3" t="s">
        <v>515</v>
      </c>
      <c r="D697" s="3" t="s">
        <v>3243</v>
      </c>
      <c r="E697" s="2" t="s">
        <v>3256</v>
      </c>
      <c r="F697" s="2" t="s">
        <v>2624</v>
      </c>
      <c r="G697" s="148"/>
      <c r="H697" s="148"/>
      <c r="J697" s="10" t="s">
        <v>3257</v>
      </c>
      <c r="K697" s="14"/>
      <c r="L697" s="13"/>
      <c r="M697" s="7"/>
      <c r="N697" s="7"/>
      <c r="O697" s="7"/>
      <c r="P697" s="7"/>
      <c r="Q697" s="7"/>
      <c r="R697" s="7"/>
      <c r="S697" s="141"/>
      <c r="T697" s="7"/>
    </row>
    <row r="698" spans="1:20" ht="27.6" hidden="1">
      <c r="A698" s="38">
        <v>250317120011</v>
      </c>
      <c r="B698" s="147" t="s">
        <v>867</v>
      </c>
      <c r="C698" s="3" t="s">
        <v>515</v>
      </c>
      <c r="D698" s="3" t="s">
        <v>3258</v>
      </c>
      <c r="E698" s="2" t="s">
        <v>3259</v>
      </c>
      <c r="F698" s="2" t="s">
        <v>3260</v>
      </c>
      <c r="G698" s="148"/>
      <c r="H698" s="148"/>
      <c r="J698" s="11" t="s">
        <v>3261</v>
      </c>
      <c r="K698" s="100" t="s">
        <v>3070</v>
      </c>
      <c r="L698" s="13"/>
      <c r="M698" s="7"/>
      <c r="N698" s="7"/>
      <c r="O698" s="7"/>
      <c r="P698" s="7"/>
      <c r="Q698" s="7"/>
      <c r="R698" s="7"/>
      <c r="S698" s="141"/>
      <c r="T698" s="7"/>
    </row>
    <row r="699" spans="1:20" ht="41.45" hidden="1">
      <c r="A699" s="38">
        <v>250317120012</v>
      </c>
      <c r="B699" s="147" t="s">
        <v>867</v>
      </c>
      <c r="C699" s="3" t="s">
        <v>515</v>
      </c>
      <c r="D699" s="3" t="s">
        <v>3258</v>
      </c>
      <c r="E699" s="2" t="s">
        <v>2935</v>
      </c>
      <c r="F699" s="2" t="s">
        <v>1014</v>
      </c>
      <c r="G699" s="148"/>
      <c r="H699" s="148"/>
      <c r="J699" s="11" t="s">
        <v>3262</v>
      </c>
      <c r="K699" s="100" t="s">
        <v>3263</v>
      </c>
      <c r="L699" s="13"/>
      <c r="M699" s="7"/>
      <c r="N699" s="7"/>
      <c r="O699" s="7"/>
      <c r="P699" s="7"/>
      <c r="Q699" s="7"/>
      <c r="R699" s="7"/>
      <c r="S699" s="141"/>
      <c r="T699" s="7"/>
    </row>
    <row r="700" spans="1:20" hidden="1">
      <c r="A700" s="38">
        <v>250212174516</v>
      </c>
      <c r="B700" s="147" t="s">
        <v>867</v>
      </c>
      <c r="C700" s="3" t="s">
        <v>515</v>
      </c>
      <c r="D700" s="3" t="s">
        <v>3264</v>
      </c>
      <c r="E700" s="2" t="s">
        <v>3265</v>
      </c>
      <c r="F700" s="2" t="s">
        <v>1699</v>
      </c>
      <c r="G700" s="148"/>
      <c r="H700" s="148"/>
      <c r="J700" s="1" t="s">
        <v>3266</v>
      </c>
      <c r="K700" s="14"/>
      <c r="L700" s="13"/>
      <c r="M700" s="7"/>
      <c r="N700" s="7"/>
      <c r="O700" s="7"/>
      <c r="P700" s="7"/>
      <c r="Q700" s="7"/>
      <c r="R700" s="7"/>
      <c r="S700" s="141"/>
      <c r="T700" s="7"/>
    </row>
    <row r="701" spans="1:20" hidden="1">
      <c r="A701" s="38">
        <v>250408142800</v>
      </c>
      <c r="B701" s="147" t="s">
        <v>867</v>
      </c>
      <c r="C701" s="3" t="s">
        <v>515</v>
      </c>
      <c r="D701" s="3" t="s">
        <v>3264</v>
      </c>
      <c r="E701" s="2" t="s">
        <v>3267</v>
      </c>
      <c r="F701" s="2" t="s">
        <v>3268</v>
      </c>
      <c r="G701" s="148"/>
      <c r="H701" s="148"/>
      <c r="J701" s="1" t="s">
        <v>3269</v>
      </c>
      <c r="K701" s="10"/>
      <c r="L701" s="13"/>
      <c r="M701" s="7"/>
      <c r="N701" s="7"/>
      <c r="O701" s="7" t="s">
        <v>3270</v>
      </c>
      <c r="P701" s="7"/>
      <c r="Q701" s="7"/>
      <c r="R701" s="7"/>
      <c r="S701" s="141"/>
      <c r="T701" s="7"/>
    </row>
    <row r="702" spans="1:20" hidden="1">
      <c r="A702" s="38">
        <v>250212174510</v>
      </c>
      <c r="B702" s="147" t="s">
        <v>867</v>
      </c>
      <c r="C702" s="3" t="s">
        <v>515</v>
      </c>
      <c r="D702" s="3" t="s">
        <v>3264</v>
      </c>
      <c r="E702" s="2" t="s">
        <v>3271</v>
      </c>
      <c r="F702" s="2" t="s">
        <v>1699</v>
      </c>
      <c r="G702" s="148"/>
      <c r="H702" s="148"/>
      <c r="J702" s="1" t="s">
        <v>3272</v>
      </c>
      <c r="K702" s="14"/>
      <c r="L702" s="13"/>
      <c r="M702" s="7"/>
      <c r="N702" s="7"/>
      <c r="O702" s="7"/>
      <c r="P702" s="7"/>
      <c r="Q702" s="7"/>
      <c r="R702" s="7"/>
      <c r="S702" s="141"/>
      <c r="T702" s="7"/>
    </row>
    <row r="703" spans="1:20" hidden="1">
      <c r="A703" s="38">
        <v>250213180601</v>
      </c>
      <c r="B703" s="147" t="s">
        <v>867</v>
      </c>
      <c r="C703" s="3" t="s">
        <v>515</v>
      </c>
      <c r="D703" s="3" t="s">
        <v>3264</v>
      </c>
      <c r="E703" s="2" t="s">
        <v>3273</v>
      </c>
      <c r="F703" s="2" t="s">
        <v>3274</v>
      </c>
      <c r="G703" s="148"/>
      <c r="H703" s="148"/>
      <c r="J703" s="1" t="s">
        <v>3275</v>
      </c>
      <c r="K703" s="14"/>
      <c r="L703" s="13" t="s">
        <v>3276</v>
      </c>
      <c r="M703" s="7"/>
      <c r="N703" s="7"/>
      <c r="O703" s="7"/>
      <c r="P703" s="7"/>
      <c r="Q703" s="7"/>
      <c r="R703" s="7"/>
      <c r="S703" s="141"/>
      <c r="T703" s="7"/>
    </row>
    <row r="704" spans="1:20" hidden="1">
      <c r="A704" s="38">
        <v>250218114507</v>
      </c>
      <c r="B704" s="147" t="s">
        <v>867</v>
      </c>
      <c r="C704" s="3" t="s">
        <v>515</v>
      </c>
      <c r="D704" s="3" t="s">
        <v>3264</v>
      </c>
      <c r="E704" s="2" t="s">
        <v>3277</v>
      </c>
      <c r="F704" s="2" t="s">
        <v>3274</v>
      </c>
      <c r="G704" s="148"/>
      <c r="H704" s="148"/>
      <c r="J704" s="1" t="s">
        <v>3278</v>
      </c>
      <c r="K704" s="14"/>
      <c r="L704" s="13"/>
      <c r="M704" s="7"/>
      <c r="N704" s="7"/>
      <c r="O704" s="7"/>
      <c r="P704" s="7"/>
      <c r="Q704" s="7"/>
      <c r="R704" s="7"/>
      <c r="S704" s="141"/>
      <c r="T704" s="7"/>
    </row>
    <row r="705" spans="1:20" hidden="1">
      <c r="A705" s="38">
        <v>250213180603</v>
      </c>
      <c r="B705" s="147" t="s">
        <v>867</v>
      </c>
      <c r="C705" s="3" t="s">
        <v>515</v>
      </c>
      <c r="D705" s="3" t="s">
        <v>3264</v>
      </c>
      <c r="E705" s="2" t="s">
        <v>3279</v>
      </c>
      <c r="F705" s="2" t="s">
        <v>1694</v>
      </c>
      <c r="G705" s="148"/>
      <c r="H705" s="148"/>
      <c r="J705" s="1" t="s">
        <v>3280</v>
      </c>
      <c r="K705" s="14"/>
      <c r="L705" s="13" t="s">
        <v>3281</v>
      </c>
      <c r="M705" s="7"/>
      <c r="N705" s="7"/>
      <c r="O705" s="7"/>
      <c r="P705" s="7"/>
      <c r="Q705" s="7"/>
      <c r="R705" s="7"/>
      <c r="S705" s="141"/>
      <c r="T705" s="7"/>
    </row>
    <row r="706" spans="1:20" hidden="1">
      <c r="A706" s="38">
        <v>250212174505</v>
      </c>
      <c r="B706" s="147" t="s">
        <v>867</v>
      </c>
      <c r="C706" s="3" t="s">
        <v>515</v>
      </c>
      <c r="D706" s="3" t="s">
        <v>3264</v>
      </c>
      <c r="E706" s="2" t="s">
        <v>3282</v>
      </c>
      <c r="F706" s="2" t="s">
        <v>1699</v>
      </c>
      <c r="G706" s="148"/>
      <c r="H706" s="148"/>
      <c r="J706" s="1" t="s">
        <v>3283</v>
      </c>
      <c r="K706" s="14"/>
      <c r="L706" s="13"/>
      <c r="M706" s="7"/>
      <c r="N706" s="7"/>
      <c r="O706" s="7"/>
      <c r="P706" s="7"/>
      <c r="Q706" s="7"/>
      <c r="R706" s="7"/>
      <c r="S706" s="141"/>
      <c r="T706" s="7"/>
    </row>
    <row r="707" spans="1:20" hidden="1">
      <c r="A707" s="38">
        <v>250212174515</v>
      </c>
      <c r="B707" s="147" t="s">
        <v>867</v>
      </c>
      <c r="C707" s="3" t="s">
        <v>515</v>
      </c>
      <c r="D707" s="3" t="s">
        <v>3264</v>
      </c>
      <c r="E707" s="2" t="s">
        <v>1644</v>
      </c>
      <c r="F707" s="2" t="s">
        <v>1645</v>
      </c>
      <c r="G707" s="148"/>
      <c r="H707" s="148"/>
      <c r="J707" s="1" t="s">
        <v>3284</v>
      </c>
      <c r="K707" s="14"/>
      <c r="L707" s="13" t="s">
        <v>3285</v>
      </c>
      <c r="M707" s="7"/>
      <c r="N707" s="7"/>
      <c r="O707" s="7"/>
      <c r="P707" s="7"/>
      <c r="Q707" s="7"/>
      <c r="R707" s="7"/>
      <c r="S707" s="141"/>
      <c r="T707" s="7"/>
    </row>
    <row r="708" spans="1:20" hidden="1">
      <c r="A708" s="38">
        <v>250409080001</v>
      </c>
      <c r="B708" s="147" t="s">
        <v>867</v>
      </c>
      <c r="C708" s="3" t="s">
        <v>515</v>
      </c>
      <c r="D708" s="3" t="s">
        <v>3264</v>
      </c>
      <c r="E708" s="2" t="s">
        <v>3286</v>
      </c>
      <c r="F708" s="2" t="s">
        <v>1699</v>
      </c>
      <c r="G708" s="148"/>
      <c r="H708" s="148"/>
      <c r="J708" s="1" t="s">
        <v>3287</v>
      </c>
      <c r="K708" s="10"/>
      <c r="L708" s="13"/>
      <c r="M708" s="7"/>
      <c r="N708" s="7"/>
      <c r="O708" s="7"/>
      <c r="P708" s="7"/>
      <c r="Q708" s="7"/>
      <c r="R708" s="7"/>
      <c r="S708" s="141"/>
      <c r="T708" s="7"/>
    </row>
    <row r="709" spans="1:20" hidden="1">
      <c r="A709" s="38">
        <v>250409080002</v>
      </c>
      <c r="B709" s="147" t="s">
        <v>867</v>
      </c>
      <c r="C709" s="3" t="s">
        <v>515</v>
      </c>
      <c r="D709" s="3" t="s">
        <v>3264</v>
      </c>
      <c r="E709" s="2" t="s">
        <v>3288</v>
      </c>
      <c r="F709" s="2" t="s">
        <v>3289</v>
      </c>
      <c r="G709" s="148"/>
      <c r="H709" s="148"/>
      <c r="J709" s="1" t="s">
        <v>3290</v>
      </c>
      <c r="K709" s="10"/>
      <c r="L709" s="13"/>
      <c r="M709" s="7"/>
      <c r="N709" s="7"/>
      <c r="O709" s="7"/>
      <c r="P709" s="7"/>
      <c r="Q709" s="7"/>
      <c r="R709" s="7"/>
      <c r="S709" s="141"/>
      <c r="T709" s="7"/>
    </row>
    <row r="710" spans="1:20" hidden="1">
      <c r="A710" s="38">
        <v>250203163500</v>
      </c>
      <c r="B710" s="147" t="s">
        <v>867</v>
      </c>
      <c r="C710" s="3" t="s">
        <v>515</v>
      </c>
      <c r="D710" s="3" t="s">
        <v>3264</v>
      </c>
      <c r="E710" s="2" t="s">
        <v>3291</v>
      </c>
      <c r="F710" s="2" t="s">
        <v>3292</v>
      </c>
      <c r="G710" s="148"/>
      <c r="H710" s="148"/>
      <c r="J710" s="14" t="s">
        <v>3293</v>
      </c>
      <c r="K710" s="14"/>
      <c r="L710" s="13"/>
      <c r="M710" s="7" t="s">
        <v>3080</v>
      </c>
      <c r="N710" s="7"/>
      <c r="O710" s="7"/>
      <c r="P710" s="7"/>
      <c r="Q710" s="7"/>
      <c r="R710" s="7"/>
      <c r="S710" s="141"/>
      <c r="T710" s="7"/>
    </row>
    <row r="711" spans="1:20" ht="55.15" hidden="1">
      <c r="A711" s="38">
        <v>250212174506</v>
      </c>
      <c r="B711" s="147" t="s">
        <v>867</v>
      </c>
      <c r="C711" s="3" t="s">
        <v>515</v>
      </c>
      <c r="D711" s="3" t="s">
        <v>3264</v>
      </c>
      <c r="E711" s="2" t="s">
        <v>3294</v>
      </c>
      <c r="F711" s="2" t="s">
        <v>1019</v>
      </c>
      <c r="G711" s="148"/>
      <c r="H711" s="148"/>
      <c r="J711" s="11" t="s">
        <v>3295</v>
      </c>
      <c r="K711" s="11" t="s">
        <v>3296</v>
      </c>
      <c r="L711" s="13" t="s">
        <v>3297</v>
      </c>
      <c r="M711" s="7"/>
      <c r="N711" s="7"/>
      <c r="O711" s="7"/>
      <c r="P711" s="7"/>
      <c r="Q711" s="7"/>
      <c r="R711" s="7"/>
      <c r="S711" s="141"/>
      <c r="T711" s="7"/>
    </row>
    <row r="712" spans="1:20" hidden="1">
      <c r="A712" s="38">
        <v>250212174514</v>
      </c>
      <c r="B712" s="147" t="s">
        <v>867</v>
      </c>
      <c r="C712" s="3" t="s">
        <v>515</v>
      </c>
      <c r="D712" s="3" t="s">
        <v>3264</v>
      </c>
      <c r="E712" s="2" t="s">
        <v>1702</v>
      </c>
      <c r="F712" s="2" t="s">
        <v>3298</v>
      </c>
      <c r="G712" s="148"/>
      <c r="H712" s="148"/>
      <c r="J712" s="11" t="s">
        <v>3299</v>
      </c>
      <c r="K712" s="14"/>
      <c r="L712" s="13" t="s">
        <v>3300</v>
      </c>
      <c r="M712" s="7"/>
      <c r="N712" s="7"/>
      <c r="O712" s="7"/>
      <c r="P712" s="7"/>
      <c r="Q712" s="7"/>
      <c r="R712" s="7"/>
      <c r="S712" s="141"/>
      <c r="T712" s="7"/>
    </row>
    <row r="713" spans="1:20" hidden="1">
      <c r="A713" s="38">
        <v>250213180605</v>
      </c>
      <c r="B713" s="147" t="s">
        <v>867</v>
      </c>
      <c r="C713" s="3" t="s">
        <v>515</v>
      </c>
      <c r="D713" s="3" t="s">
        <v>3264</v>
      </c>
      <c r="E713" s="2" t="s">
        <v>3301</v>
      </c>
      <c r="F713" s="2" t="s">
        <v>1222</v>
      </c>
      <c r="G713" s="148"/>
      <c r="H713" s="148"/>
      <c r="J713" s="11" t="s">
        <v>3302</v>
      </c>
      <c r="K713" s="14"/>
      <c r="L713" s="13" t="s">
        <v>3303</v>
      </c>
      <c r="M713" s="7"/>
      <c r="N713" s="7"/>
      <c r="O713" s="7"/>
      <c r="P713" s="7"/>
      <c r="Q713" s="7"/>
      <c r="R713" s="7"/>
      <c r="S713" s="141"/>
      <c r="T713" s="7"/>
    </row>
    <row r="714" spans="1:20" hidden="1">
      <c r="A714" s="38">
        <v>250213180600</v>
      </c>
      <c r="B714" s="147" t="s">
        <v>867</v>
      </c>
      <c r="C714" s="3" t="s">
        <v>515</v>
      </c>
      <c r="D714" s="3" t="s">
        <v>3264</v>
      </c>
      <c r="E714" s="2" t="s">
        <v>3304</v>
      </c>
      <c r="F714" s="2" t="s">
        <v>1699</v>
      </c>
      <c r="G714" s="148"/>
      <c r="H714" s="148"/>
      <c r="J714" s="14" t="s">
        <v>3305</v>
      </c>
      <c r="K714" s="14"/>
      <c r="L714" s="13"/>
      <c r="M714" s="7"/>
      <c r="N714" s="7"/>
      <c r="O714" s="7"/>
      <c r="P714" s="7"/>
      <c r="Q714" s="7"/>
      <c r="R714" s="7"/>
      <c r="S714" s="141"/>
      <c r="T714" s="7"/>
    </row>
    <row r="715" spans="1:20" hidden="1">
      <c r="A715" s="38">
        <v>250213180604</v>
      </c>
      <c r="B715" s="147" t="s">
        <v>867</v>
      </c>
      <c r="C715" s="3" t="s">
        <v>515</v>
      </c>
      <c r="D715" s="3" t="s">
        <v>3264</v>
      </c>
      <c r="E715" s="2" t="s">
        <v>3306</v>
      </c>
      <c r="F715" s="2" t="s">
        <v>1222</v>
      </c>
      <c r="G715" s="148"/>
      <c r="H715" s="148"/>
      <c r="J715" s="11" t="s">
        <v>3307</v>
      </c>
      <c r="K715" s="14"/>
      <c r="L715" s="13" t="s">
        <v>3308</v>
      </c>
      <c r="M715" s="7"/>
      <c r="N715" s="7"/>
      <c r="O715" s="7"/>
      <c r="P715" s="7"/>
      <c r="Q715" s="7"/>
      <c r="R715" s="7"/>
      <c r="S715" s="141"/>
      <c r="T715" s="7"/>
    </row>
    <row r="716" spans="1:20" hidden="1">
      <c r="A716" s="38">
        <v>250212174200</v>
      </c>
      <c r="B716" s="147" t="s">
        <v>867</v>
      </c>
      <c r="C716" s="3" t="s">
        <v>515</v>
      </c>
      <c r="D716" s="3" t="s">
        <v>3264</v>
      </c>
      <c r="E716" s="2" t="s">
        <v>3309</v>
      </c>
      <c r="F716" s="2" t="s">
        <v>3310</v>
      </c>
      <c r="G716" s="148"/>
      <c r="H716" s="148"/>
      <c r="J716" s="10" t="s">
        <v>3311</v>
      </c>
      <c r="K716" s="14"/>
      <c r="L716" s="13" t="s">
        <v>3312</v>
      </c>
      <c r="M716" s="7" t="s">
        <v>3313</v>
      </c>
      <c r="N716" s="7"/>
      <c r="O716" s="7"/>
      <c r="P716" s="7"/>
      <c r="Q716" s="7"/>
      <c r="R716" s="7"/>
      <c r="S716" s="141"/>
      <c r="T716" s="7"/>
    </row>
    <row r="717" spans="1:20" hidden="1">
      <c r="A717" s="38">
        <v>250218114504</v>
      </c>
      <c r="B717" s="147" t="s">
        <v>867</v>
      </c>
      <c r="C717" s="3" t="s">
        <v>515</v>
      </c>
      <c r="D717" s="87" t="s">
        <v>3264</v>
      </c>
      <c r="E717" s="90" t="s">
        <v>3314</v>
      </c>
      <c r="F717" s="88" t="s">
        <v>3315</v>
      </c>
      <c r="G717" s="148"/>
      <c r="H717" s="148"/>
      <c r="J717" s="89" t="s">
        <v>3316</v>
      </c>
      <c r="K717" s="14"/>
      <c r="L717" s="13"/>
      <c r="M717" s="7"/>
      <c r="N717" s="7"/>
      <c r="O717" s="7"/>
      <c r="P717" s="7"/>
      <c r="Q717" s="7"/>
      <c r="R717" s="7"/>
      <c r="S717" s="141"/>
      <c r="T717" s="7"/>
    </row>
    <row r="718" spans="1:20" hidden="1">
      <c r="A718" s="38">
        <v>250213180602</v>
      </c>
      <c r="B718" s="147" t="s">
        <v>867</v>
      </c>
      <c r="C718" s="3" t="s">
        <v>515</v>
      </c>
      <c r="D718" s="3" t="s">
        <v>3264</v>
      </c>
      <c r="E718" s="2" t="s">
        <v>3317</v>
      </c>
      <c r="F718" s="2" t="s">
        <v>1222</v>
      </c>
      <c r="G718" s="148"/>
      <c r="H718" s="148"/>
      <c r="J718" s="14" t="s">
        <v>3318</v>
      </c>
      <c r="K718" s="14"/>
      <c r="L718" s="13" t="s">
        <v>3319</v>
      </c>
      <c r="M718" s="7"/>
      <c r="N718" s="7"/>
      <c r="O718" s="7"/>
      <c r="P718" s="7"/>
      <c r="Q718" s="7"/>
      <c r="R718" s="7"/>
      <c r="S718" s="141"/>
      <c r="T718" s="7"/>
    </row>
    <row r="719" spans="1:20" hidden="1">
      <c r="A719" s="38">
        <v>250307142400</v>
      </c>
      <c r="B719" s="147" t="s">
        <v>867</v>
      </c>
      <c r="C719" s="3" t="s">
        <v>515</v>
      </c>
      <c r="D719" s="3" t="s">
        <v>3264</v>
      </c>
      <c r="E719" s="2" t="s">
        <v>3320</v>
      </c>
      <c r="F719" s="2" t="s">
        <v>3321</v>
      </c>
      <c r="G719" s="148"/>
      <c r="H719" s="148"/>
      <c r="J719" s="1" t="s">
        <v>3322</v>
      </c>
      <c r="K719" s="14"/>
      <c r="L719" s="13"/>
      <c r="M719" s="7"/>
      <c r="N719" s="7"/>
      <c r="O719" s="7"/>
      <c r="P719" s="7"/>
      <c r="Q719" s="7"/>
      <c r="R719" s="7"/>
      <c r="S719" s="141"/>
      <c r="T719" s="7"/>
    </row>
    <row r="720" spans="1:20" hidden="1">
      <c r="A720" s="38">
        <v>250307142401</v>
      </c>
      <c r="B720" s="147" t="s">
        <v>867</v>
      </c>
      <c r="C720" s="3" t="s">
        <v>515</v>
      </c>
      <c r="D720" s="3" t="s">
        <v>3264</v>
      </c>
      <c r="E720" s="2" t="s">
        <v>3323</v>
      </c>
      <c r="F720" s="2" t="s">
        <v>1535</v>
      </c>
      <c r="G720" s="148"/>
      <c r="H720" s="148"/>
      <c r="J720" s="1" t="s">
        <v>3324</v>
      </c>
      <c r="K720" s="14"/>
      <c r="L720" s="13"/>
      <c r="M720" s="7"/>
      <c r="N720" s="7"/>
      <c r="O720" s="7"/>
      <c r="P720" s="7"/>
      <c r="Q720" s="7"/>
      <c r="R720" s="7"/>
      <c r="S720" s="141"/>
      <c r="T720" s="7"/>
    </row>
    <row r="721" spans="1:20" hidden="1">
      <c r="A721" s="38">
        <v>250325134506</v>
      </c>
      <c r="B721" s="147" t="s">
        <v>867</v>
      </c>
      <c r="C721" s="3" t="s">
        <v>515</v>
      </c>
      <c r="D721" s="3" t="s">
        <v>3264</v>
      </c>
      <c r="E721" s="2" t="s">
        <v>3325</v>
      </c>
      <c r="F721" s="2" t="s">
        <v>3326</v>
      </c>
      <c r="G721" s="148"/>
      <c r="H721" s="148"/>
      <c r="J721" s="10" t="s">
        <v>3327</v>
      </c>
      <c r="K721" s="14"/>
      <c r="L721" s="13"/>
      <c r="M721" s="7"/>
      <c r="N721" s="7"/>
      <c r="O721" s="7" t="s">
        <v>3328</v>
      </c>
      <c r="P721" s="7"/>
      <c r="Q721" s="7"/>
      <c r="R721" s="7"/>
      <c r="S721" s="141"/>
      <c r="T721" s="7"/>
    </row>
    <row r="722" spans="1:20" hidden="1">
      <c r="A722" s="38">
        <v>241112000070</v>
      </c>
      <c r="B722" s="147" t="s">
        <v>867</v>
      </c>
      <c r="C722" s="3" t="s">
        <v>515</v>
      </c>
      <c r="D722" s="3" t="s">
        <v>3264</v>
      </c>
      <c r="E722" s="2" t="s">
        <v>3329</v>
      </c>
      <c r="F722" s="2" t="s">
        <v>3330</v>
      </c>
      <c r="G722" s="148"/>
      <c r="H722" s="148"/>
      <c r="J722" s="1" t="s">
        <v>3331</v>
      </c>
      <c r="K722" s="14" t="s">
        <v>3332</v>
      </c>
      <c r="L722" s="13" t="s">
        <v>3333</v>
      </c>
      <c r="M722" s="7"/>
      <c r="N722" s="7"/>
      <c r="O722" s="7"/>
      <c r="P722" s="7"/>
      <c r="Q722" s="7"/>
      <c r="R722" s="7"/>
      <c r="S722" s="141"/>
      <c r="T722" s="7"/>
    </row>
    <row r="723" spans="1:20" hidden="1">
      <c r="A723" s="38">
        <v>250328145000</v>
      </c>
      <c r="B723" s="147" t="s">
        <v>867</v>
      </c>
      <c r="C723" s="3" t="s">
        <v>515</v>
      </c>
      <c r="D723" s="3" t="s">
        <v>3264</v>
      </c>
      <c r="E723" s="2" t="s">
        <v>3334</v>
      </c>
      <c r="F723" s="2" t="s">
        <v>3335</v>
      </c>
      <c r="G723" s="148"/>
      <c r="H723" s="148"/>
      <c r="J723" s="1" t="s">
        <v>3336</v>
      </c>
      <c r="K723" s="14"/>
      <c r="L723" s="13" t="s">
        <v>3337</v>
      </c>
      <c r="M723" s="7"/>
      <c r="N723" s="7"/>
      <c r="O723" s="7" t="s">
        <v>3338</v>
      </c>
      <c r="P723" s="7"/>
      <c r="Q723" s="7"/>
      <c r="R723" s="7"/>
      <c r="S723" s="141"/>
      <c r="T723" s="7"/>
    </row>
    <row r="724" spans="1:20" hidden="1">
      <c r="A724" s="38">
        <v>250218114505</v>
      </c>
      <c r="B724" s="147" t="s">
        <v>867</v>
      </c>
      <c r="C724" s="3" t="s">
        <v>515</v>
      </c>
      <c r="D724" s="87" t="s">
        <v>3264</v>
      </c>
      <c r="E724" s="91" t="s">
        <v>3339</v>
      </c>
      <c r="F724" s="88" t="s">
        <v>946</v>
      </c>
      <c r="G724" s="148"/>
      <c r="H724" s="148"/>
      <c r="J724" s="89" t="s">
        <v>3340</v>
      </c>
      <c r="K724" s="14"/>
      <c r="L724" s="13"/>
      <c r="M724" s="7"/>
      <c r="N724" s="7"/>
      <c r="O724" s="7"/>
      <c r="P724" s="7"/>
      <c r="Q724" s="7"/>
      <c r="R724" s="7"/>
      <c r="S724" s="141"/>
      <c r="T724" s="7"/>
    </row>
    <row r="725" spans="1:20" hidden="1">
      <c r="A725" s="38">
        <v>250212174517</v>
      </c>
      <c r="B725" s="147" t="s">
        <v>867</v>
      </c>
      <c r="C725" s="3" t="s">
        <v>515</v>
      </c>
      <c r="D725" s="3" t="s">
        <v>3264</v>
      </c>
      <c r="E725" s="2" t="s">
        <v>3341</v>
      </c>
      <c r="F725" s="2" t="s">
        <v>1699</v>
      </c>
      <c r="G725" s="148"/>
      <c r="H725" s="148"/>
      <c r="J725" s="11" t="s">
        <v>3342</v>
      </c>
      <c r="K725" s="14"/>
      <c r="L725" s="13"/>
      <c r="M725" s="7"/>
      <c r="N725" s="7"/>
      <c r="O725" s="7"/>
      <c r="P725" s="7"/>
      <c r="Q725" s="7"/>
      <c r="R725" s="7"/>
      <c r="S725" s="141"/>
      <c r="T725" s="7"/>
    </row>
    <row r="726" spans="1:20" hidden="1">
      <c r="A726" s="38">
        <v>250218114506</v>
      </c>
      <c r="B726" s="147" t="s">
        <v>867</v>
      </c>
      <c r="C726" s="3" t="s">
        <v>515</v>
      </c>
      <c r="D726" s="87" t="s">
        <v>3264</v>
      </c>
      <c r="E726" s="91" t="s">
        <v>3343</v>
      </c>
      <c r="F726" s="88" t="s">
        <v>3344</v>
      </c>
      <c r="G726" s="148"/>
      <c r="H726" s="148"/>
      <c r="J726" s="89" t="s">
        <v>3345</v>
      </c>
      <c r="K726" s="14"/>
      <c r="L726" s="13"/>
      <c r="M726" s="7"/>
      <c r="N726" s="7"/>
      <c r="O726" s="7"/>
      <c r="P726" s="7"/>
      <c r="Q726" s="7"/>
      <c r="R726" s="7"/>
      <c r="S726" s="141"/>
      <c r="T726" s="7"/>
    </row>
    <row r="727" spans="1:20" hidden="1">
      <c r="A727" s="38">
        <v>250218114502</v>
      </c>
      <c r="B727" s="147" t="s">
        <v>867</v>
      </c>
      <c r="C727" s="3" t="s">
        <v>515</v>
      </c>
      <c r="D727" s="87" t="s">
        <v>3264</v>
      </c>
      <c r="E727" s="91" t="s">
        <v>3346</v>
      </c>
      <c r="F727" s="88" t="s">
        <v>3347</v>
      </c>
      <c r="G727" s="148"/>
      <c r="H727" s="148"/>
      <c r="J727" s="89" t="s">
        <v>3348</v>
      </c>
      <c r="R727" s="7"/>
      <c r="S727" s="141"/>
      <c r="T727" s="7"/>
    </row>
    <row r="728" spans="1:20" hidden="1">
      <c r="A728" s="38">
        <v>250218114503</v>
      </c>
      <c r="B728" s="147" t="s">
        <v>867</v>
      </c>
      <c r="C728" s="3" t="s">
        <v>515</v>
      </c>
      <c r="D728" s="3" t="s">
        <v>3264</v>
      </c>
      <c r="E728" s="2" t="s">
        <v>3349</v>
      </c>
      <c r="F728" s="2" t="s">
        <v>3350</v>
      </c>
      <c r="G728" s="148"/>
      <c r="H728" s="148"/>
      <c r="J728" s="14" t="s">
        <v>3351</v>
      </c>
      <c r="R728" s="7"/>
      <c r="S728" s="141"/>
      <c r="T728" s="7"/>
    </row>
    <row r="729" spans="1:20" hidden="1">
      <c r="A729" s="38">
        <v>250218114501</v>
      </c>
      <c r="B729" s="147" t="s">
        <v>867</v>
      </c>
      <c r="C729" s="3" t="s">
        <v>515</v>
      </c>
      <c r="D729" s="3" t="s">
        <v>3264</v>
      </c>
      <c r="E729" s="2" t="s">
        <v>3352</v>
      </c>
      <c r="F729" s="2" t="s">
        <v>1699</v>
      </c>
      <c r="G729" s="148"/>
      <c r="H729" s="148"/>
      <c r="J729" s="10" t="s">
        <v>3353</v>
      </c>
      <c r="R729" s="7"/>
      <c r="S729" s="141"/>
      <c r="T729" s="7"/>
    </row>
    <row r="730" spans="1:20" hidden="1">
      <c r="A730" s="38">
        <v>250212174511</v>
      </c>
      <c r="B730" s="147" t="s">
        <v>867</v>
      </c>
      <c r="C730" s="3" t="s">
        <v>515</v>
      </c>
      <c r="D730" s="3" t="s">
        <v>3264</v>
      </c>
      <c r="E730" s="2" t="s">
        <v>3354</v>
      </c>
      <c r="F730" s="2" t="s">
        <v>1699</v>
      </c>
      <c r="G730" s="148"/>
      <c r="H730" s="148"/>
      <c r="J730" s="1" t="s">
        <v>3355</v>
      </c>
      <c r="K730" s="14"/>
      <c r="L730" s="13"/>
      <c r="M730" s="7"/>
      <c r="N730" s="7"/>
      <c r="O730" s="7"/>
      <c r="P730" s="7"/>
      <c r="Q730" s="7"/>
      <c r="R730" s="7"/>
      <c r="S730" s="141"/>
      <c r="T730" s="7"/>
    </row>
    <row r="731" spans="1:20" ht="110.45" hidden="1">
      <c r="A731" s="38">
        <v>250212174509</v>
      </c>
      <c r="B731" s="147" t="s">
        <v>867</v>
      </c>
      <c r="C731" s="3" t="s">
        <v>515</v>
      </c>
      <c r="D731" s="3" t="s">
        <v>3264</v>
      </c>
      <c r="E731" s="2" t="s">
        <v>3356</v>
      </c>
      <c r="F731" s="2" t="s">
        <v>3357</v>
      </c>
      <c r="G731" s="148"/>
      <c r="H731" s="148"/>
      <c r="J731" s="11" t="s">
        <v>3358</v>
      </c>
      <c r="K731" s="11" t="s">
        <v>3359</v>
      </c>
      <c r="L731" s="13" t="s">
        <v>3360</v>
      </c>
      <c r="M731" s="7"/>
      <c r="N731" s="7"/>
      <c r="O731" s="7"/>
      <c r="P731" s="7"/>
      <c r="Q731" s="7"/>
      <c r="R731" s="7"/>
      <c r="S731" s="141"/>
      <c r="T731" s="7"/>
    </row>
    <row r="732" spans="1:20" hidden="1">
      <c r="A732" s="38">
        <v>250212174512</v>
      </c>
      <c r="B732" s="147" t="s">
        <v>867</v>
      </c>
      <c r="C732" s="3" t="s">
        <v>515</v>
      </c>
      <c r="D732" s="3" t="s">
        <v>3264</v>
      </c>
      <c r="E732" s="2" t="s">
        <v>3361</v>
      </c>
      <c r="F732" s="2" t="s">
        <v>3362</v>
      </c>
      <c r="G732" s="148"/>
      <c r="H732" s="148"/>
      <c r="J732" s="11" t="s">
        <v>3363</v>
      </c>
      <c r="K732" s="14"/>
      <c r="L732" s="13" t="s">
        <v>3364</v>
      </c>
      <c r="M732" s="7"/>
      <c r="N732" s="7"/>
      <c r="O732" s="7"/>
      <c r="P732" s="7"/>
      <c r="Q732" s="7"/>
      <c r="R732" s="7"/>
      <c r="S732" s="141"/>
      <c r="T732" s="7"/>
    </row>
    <row r="733" spans="1:20" ht="55.15" hidden="1">
      <c r="A733" s="38">
        <v>250212174507</v>
      </c>
      <c r="B733" s="147" t="s">
        <v>867</v>
      </c>
      <c r="C733" s="3" t="s">
        <v>515</v>
      </c>
      <c r="D733" s="3" t="s">
        <v>3264</v>
      </c>
      <c r="E733" s="2" t="s">
        <v>3365</v>
      </c>
      <c r="F733" s="2" t="s">
        <v>1338</v>
      </c>
      <c r="G733" s="148"/>
      <c r="H733" s="148"/>
      <c r="J733" s="11" t="s">
        <v>3366</v>
      </c>
      <c r="K733" s="11" t="s">
        <v>3367</v>
      </c>
      <c r="L733" s="13" t="s">
        <v>3368</v>
      </c>
      <c r="M733" s="7"/>
      <c r="N733" s="7"/>
      <c r="O733" s="7"/>
      <c r="P733" s="7"/>
      <c r="Q733" s="7"/>
      <c r="R733" s="7"/>
      <c r="S733" s="141"/>
      <c r="T733" s="7"/>
    </row>
    <row r="734" spans="1:20" ht="69" hidden="1">
      <c r="A734" s="38">
        <v>250212174508</v>
      </c>
      <c r="B734" s="147" t="s">
        <v>867</v>
      </c>
      <c r="C734" s="3" t="s">
        <v>515</v>
      </c>
      <c r="D734" s="3" t="s">
        <v>3264</v>
      </c>
      <c r="E734" s="2" t="s">
        <v>3369</v>
      </c>
      <c r="F734" s="2" t="s">
        <v>932</v>
      </c>
      <c r="G734" s="148"/>
      <c r="H734" s="148"/>
      <c r="J734" s="11" t="s">
        <v>3370</v>
      </c>
      <c r="K734" s="11" t="s">
        <v>3371</v>
      </c>
      <c r="L734" s="13" t="s">
        <v>3372</v>
      </c>
      <c r="M734" s="7"/>
      <c r="N734" s="7"/>
      <c r="O734" s="7"/>
      <c r="P734" s="7"/>
      <c r="Q734" s="7"/>
      <c r="R734" s="7"/>
      <c r="S734" s="141"/>
      <c r="T734" s="7"/>
    </row>
    <row r="735" spans="1:20" hidden="1">
      <c r="A735" s="38">
        <v>241112000157</v>
      </c>
      <c r="B735" s="147" t="s">
        <v>867</v>
      </c>
      <c r="C735" s="3" t="s">
        <v>515</v>
      </c>
      <c r="D735" s="3" t="s">
        <v>3373</v>
      </c>
      <c r="E735" s="2" t="s">
        <v>3374</v>
      </c>
      <c r="F735" s="2" t="s">
        <v>3375</v>
      </c>
      <c r="G735" s="148"/>
      <c r="H735" s="148"/>
      <c r="J735" s="1" t="s">
        <v>3376</v>
      </c>
      <c r="K735" s="10"/>
      <c r="L735" s="13" t="s">
        <v>3377</v>
      </c>
      <c r="M735" s="7" t="s">
        <v>3378</v>
      </c>
      <c r="N735" s="7" t="s">
        <v>3379</v>
      </c>
      <c r="O735" s="7"/>
      <c r="P735" s="7"/>
      <c r="Q735" s="7"/>
      <c r="R735" s="7"/>
      <c r="S735" s="141"/>
      <c r="T735" s="7"/>
    </row>
    <row r="736" spans="1:20" hidden="1">
      <c r="A736" s="38">
        <v>241112000158</v>
      </c>
      <c r="B736" s="147" t="s">
        <v>867</v>
      </c>
      <c r="C736" s="3" t="s">
        <v>515</v>
      </c>
      <c r="D736" s="3" t="s">
        <v>3373</v>
      </c>
      <c r="E736" s="2" t="s">
        <v>3380</v>
      </c>
      <c r="F736" s="2" t="s">
        <v>899</v>
      </c>
      <c r="G736" s="148"/>
      <c r="H736" s="148"/>
      <c r="J736" s="1" t="s">
        <v>3381</v>
      </c>
      <c r="K736" s="10"/>
      <c r="L736" s="13" t="s">
        <v>3382</v>
      </c>
      <c r="M736" s="7" t="s">
        <v>3383</v>
      </c>
      <c r="N736" s="7"/>
      <c r="O736" s="7"/>
      <c r="P736" s="7"/>
      <c r="Q736" s="7"/>
      <c r="R736" s="7"/>
      <c r="S736" s="141"/>
      <c r="T736" s="7"/>
    </row>
    <row r="737" spans="1:20" hidden="1">
      <c r="A737" s="38">
        <v>250212174203</v>
      </c>
      <c r="B737" s="147" t="s">
        <v>867</v>
      </c>
      <c r="C737" s="3" t="s">
        <v>515</v>
      </c>
      <c r="D737" s="3" t="s">
        <v>3373</v>
      </c>
      <c r="E737" s="2" t="s">
        <v>3384</v>
      </c>
      <c r="F737" s="2" t="s">
        <v>3385</v>
      </c>
      <c r="G737" s="148"/>
      <c r="H737" s="148"/>
      <c r="J737" s="10" t="s">
        <v>3386</v>
      </c>
      <c r="K737" s="14" t="s">
        <v>1501</v>
      </c>
      <c r="L737" s="13" t="s">
        <v>3387</v>
      </c>
      <c r="M737" s="7" t="s">
        <v>3388</v>
      </c>
      <c r="N737" s="7"/>
      <c r="O737" s="7"/>
      <c r="P737" s="7" t="s">
        <v>3389</v>
      </c>
      <c r="Q737" s="7"/>
      <c r="R737" s="7"/>
      <c r="S737" s="141"/>
      <c r="T737" s="7"/>
    </row>
    <row r="738" spans="1:20" hidden="1">
      <c r="A738" s="38">
        <v>250414121806</v>
      </c>
      <c r="B738" s="147" t="s">
        <v>867</v>
      </c>
      <c r="C738" s="3" t="s">
        <v>515</v>
      </c>
      <c r="D738" s="3" t="s">
        <v>3373</v>
      </c>
      <c r="E738" s="2" t="s">
        <v>3390</v>
      </c>
      <c r="F738" s="2" t="s">
        <v>3391</v>
      </c>
      <c r="G738" s="148"/>
      <c r="H738" s="148"/>
      <c r="J738" s="10" t="s">
        <v>3392</v>
      </c>
      <c r="K738" s="14"/>
      <c r="L738" s="13"/>
      <c r="M738" s="7"/>
      <c r="N738" s="7" t="s">
        <v>3393</v>
      </c>
      <c r="O738" s="7"/>
      <c r="P738" s="7"/>
      <c r="Q738" s="7"/>
      <c r="R738" s="7"/>
      <c r="S738" s="141"/>
      <c r="T738" s="7"/>
    </row>
    <row r="739" spans="1:20" hidden="1">
      <c r="A739" s="38">
        <v>241112000160</v>
      </c>
      <c r="B739" s="147" t="s">
        <v>867</v>
      </c>
      <c r="C739" s="3" t="s">
        <v>515</v>
      </c>
      <c r="D739" s="3" t="s">
        <v>3373</v>
      </c>
      <c r="E739" s="2" t="s">
        <v>3167</v>
      </c>
      <c r="F739" s="2" t="s">
        <v>3168</v>
      </c>
      <c r="G739" s="148"/>
      <c r="H739" s="148"/>
      <c r="J739" s="1" t="s">
        <v>3394</v>
      </c>
      <c r="K739" s="10"/>
      <c r="L739" s="13" t="s">
        <v>3395</v>
      </c>
      <c r="M739" s="7" t="s">
        <v>3396</v>
      </c>
      <c r="N739" s="7"/>
      <c r="O739" s="7"/>
      <c r="P739" s="7"/>
      <c r="Q739" s="7"/>
      <c r="R739" s="7"/>
      <c r="S739" s="141"/>
      <c r="T739" s="7"/>
    </row>
    <row r="740" spans="1:20" hidden="1">
      <c r="A740" s="38">
        <v>241112000161</v>
      </c>
      <c r="B740" s="147" t="s">
        <v>867</v>
      </c>
      <c r="C740" s="3" t="s">
        <v>515</v>
      </c>
      <c r="D740" s="3" t="s">
        <v>3373</v>
      </c>
      <c r="E740" s="2" t="s">
        <v>3397</v>
      </c>
      <c r="F740" s="2" t="s">
        <v>3398</v>
      </c>
      <c r="G740" s="148"/>
      <c r="H740" s="148"/>
      <c r="J740" s="1" t="s">
        <v>3399</v>
      </c>
      <c r="K740" s="10"/>
      <c r="L740" s="13" t="s">
        <v>3400</v>
      </c>
      <c r="M740" s="7" t="s">
        <v>3401</v>
      </c>
      <c r="N740" s="7"/>
      <c r="O740" s="7"/>
      <c r="P740" s="7"/>
      <c r="Q740" s="7"/>
      <c r="R740" s="7"/>
      <c r="S740" s="141"/>
      <c r="T740" s="7"/>
    </row>
    <row r="741" spans="1:20" hidden="1">
      <c r="A741" s="38">
        <v>241112000162</v>
      </c>
      <c r="B741" s="147" t="s">
        <v>867</v>
      </c>
      <c r="C741" s="3" t="s">
        <v>515</v>
      </c>
      <c r="D741" s="3" t="s">
        <v>3373</v>
      </c>
      <c r="E741" s="2" t="s">
        <v>3402</v>
      </c>
      <c r="F741" s="2" t="s">
        <v>1338</v>
      </c>
      <c r="G741" s="148"/>
      <c r="H741" s="148"/>
      <c r="J741" s="1" t="s">
        <v>3403</v>
      </c>
      <c r="K741" s="10" t="s">
        <v>3404</v>
      </c>
      <c r="L741" s="13" t="s">
        <v>3405</v>
      </c>
      <c r="M741" s="7" t="s">
        <v>3406</v>
      </c>
      <c r="N741" s="7"/>
      <c r="O741" s="7"/>
      <c r="P741" s="7"/>
      <c r="Q741" s="7"/>
      <c r="R741" s="7"/>
      <c r="S741" s="141"/>
      <c r="T741" s="7"/>
    </row>
    <row r="742" spans="1:20" hidden="1">
      <c r="A742" s="38">
        <v>241112000163</v>
      </c>
      <c r="B742" s="147" t="s">
        <v>867</v>
      </c>
      <c r="C742" s="3" t="s">
        <v>515</v>
      </c>
      <c r="D742" s="3" t="s">
        <v>3373</v>
      </c>
      <c r="E742" s="2" t="s">
        <v>3407</v>
      </c>
      <c r="F742" s="2" t="s">
        <v>1713</v>
      </c>
      <c r="G742" s="148"/>
      <c r="H742" s="148"/>
      <c r="J742" s="1" t="s">
        <v>3408</v>
      </c>
      <c r="K742" s="10" t="s">
        <v>3404</v>
      </c>
      <c r="L742" s="13" t="s">
        <v>3409</v>
      </c>
      <c r="M742" s="7" t="s">
        <v>3410</v>
      </c>
      <c r="N742" s="7"/>
      <c r="O742" s="7"/>
      <c r="P742" s="7"/>
      <c r="Q742" s="7"/>
      <c r="R742" s="7"/>
      <c r="S742" s="141"/>
      <c r="T742" s="7"/>
    </row>
    <row r="743" spans="1:20" hidden="1">
      <c r="A743" s="38">
        <v>241112000164</v>
      </c>
      <c r="B743" s="147" t="s">
        <v>867</v>
      </c>
      <c r="C743" s="3" t="s">
        <v>515</v>
      </c>
      <c r="D743" s="3" t="s">
        <v>3373</v>
      </c>
      <c r="E743" s="2" t="s">
        <v>3411</v>
      </c>
      <c r="F743" s="2" t="s">
        <v>1880</v>
      </c>
      <c r="G743" s="148"/>
      <c r="H743" s="148"/>
      <c r="J743" s="1" t="s">
        <v>3412</v>
      </c>
      <c r="K743" s="10"/>
      <c r="L743" s="13" t="s">
        <v>3413</v>
      </c>
      <c r="M743" s="7" t="s">
        <v>3414</v>
      </c>
      <c r="N743" s="7"/>
      <c r="O743" s="7"/>
      <c r="P743" s="7"/>
      <c r="Q743" s="7"/>
      <c r="R743" s="7"/>
      <c r="S743" s="141"/>
      <c r="T743" s="7"/>
    </row>
    <row r="744" spans="1:20" hidden="1">
      <c r="A744" s="38">
        <v>241112000165</v>
      </c>
      <c r="B744" s="147" t="s">
        <v>867</v>
      </c>
      <c r="C744" s="3" t="s">
        <v>515</v>
      </c>
      <c r="D744" s="3" t="s">
        <v>3373</v>
      </c>
      <c r="E744" s="2" t="s">
        <v>3415</v>
      </c>
      <c r="F744" s="2" t="s">
        <v>946</v>
      </c>
      <c r="G744" s="148"/>
      <c r="H744" s="148"/>
      <c r="J744" s="1" t="s">
        <v>3416</v>
      </c>
      <c r="K744" s="10"/>
      <c r="L744" s="13" t="s">
        <v>3417</v>
      </c>
      <c r="M744" s="7" t="s">
        <v>3418</v>
      </c>
      <c r="N744" s="7"/>
      <c r="O744" s="7"/>
      <c r="P744" s="7"/>
      <c r="Q744" s="7"/>
      <c r="R744" s="7"/>
      <c r="S744" s="141"/>
      <c r="T744" s="7"/>
    </row>
    <row r="745" spans="1:20" hidden="1">
      <c r="A745" s="38">
        <v>241112000166</v>
      </c>
      <c r="B745" s="147" t="s">
        <v>867</v>
      </c>
      <c r="C745" s="3" t="s">
        <v>515</v>
      </c>
      <c r="D745" s="3" t="s">
        <v>3373</v>
      </c>
      <c r="E745" s="2" t="s">
        <v>3419</v>
      </c>
      <c r="F745" s="2" t="s">
        <v>946</v>
      </c>
      <c r="G745" s="148"/>
      <c r="H745" s="148"/>
      <c r="J745" s="1" t="s">
        <v>3420</v>
      </c>
      <c r="K745" s="10"/>
      <c r="L745" s="13" t="s">
        <v>3421</v>
      </c>
      <c r="M745" s="7" t="s">
        <v>3422</v>
      </c>
      <c r="N745" s="7"/>
      <c r="O745" s="7"/>
      <c r="P745" s="7"/>
      <c r="Q745" s="7"/>
      <c r="R745" s="7"/>
      <c r="S745" s="141"/>
      <c r="T745" s="7"/>
    </row>
    <row r="746" spans="1:20" hidden="1">
      <c r="A746" s="38">
        <v>250425100305</v>
      </c>
      <c r="B746" s="149"/>
      <c r="C746" s="3" t="s">
        <v>515</v>
      </c>
      <c r="D746" s="3" t="s">
        <v>3423</v>
      </c>
      <c r="E746" s="2" t="s">
        <v>3424</v>
      </c>
      <c r="F746" s="2" t="s">
        <v>1328</v>
      </c>
      <c r="G746" s="48"/>
      <c r="H746" s="150"/>
      <c r="J746" s="10" t="s">
        <v>3425</v>
      </c>
      <c r="K746" s="14"/>
      <c r="L746" s="13"/>
      <c r="M746" s="7"/>
      <c r="N746" s="7" t="s">
        <v>3426</v>
      </c>
      <c r="O746" s="7"/>
      <c r="P746" s="7"/>
      <c r="Q746" s="7"/>
      <c r="R746" s="7"/>
      <c r="S746" s="141"/>
      <c r="T746" s="7"/>
    </row>
    <row r="747" spans="1:20" hidden="1">
      <c r="A747" s="38">
        <v>250425100300</v>
      </c>
      <c r="B747" s="149"/>
      <c r="C747" s="3" t="s">
        <v>515</v>
      </c>
      <c r="D747" s="3" t="s">
        <v>3423</v>
      </c>
      <c r="E747" s="2" t="s">
        <v>3427</v>
      </c>
      <c r="F747" s="2" t="s">
        <v>1954</v>
      </c>
      <c r="G747" s="48"/>
      <c r="H747" s="150"/>
      <c r="J747" s="10" t="s">
        <v>3428</v>
      </c>
      <c r="K747" s="14"/>
      <c r="L747" s="13"/>
      <c r="M747" s="7"/>
      <c r="N747" s="7" t="s">
        <v>3429</v>
      </c>
      <c r="O747" s="7"/>
      <c r="P747" s="7"/>
      <c r="Q747" s="7"/>
      <c r="R747" s="7"/>
      <c r="S747" s="141"/>
      <c r="T747" s="7"/>
    </row>
    <row r="748" spans="1:20" hidden="1">
      <c r="A748" s="38">
        <v>250414115103</v>
      </c>
      <c r="B748" s="147" t="s">
        <v>867</v>
      </c>
      <c r="C748" s="3" t="s">
        <v>515</v>
      </c>
      <c r="D748" s="3" t="s">
        <v>3423</v>
      </c>
      <c r="E748" s="2" t="s">
        <v>3430</v>
      </c>
      <c r="F748" s="2" t="s">
        <v>1014</v>
      </c>
      <c r="G748" s="148"/>
      <c r="H748" s="148"/>
      <c r="J748" s="10" t="s">
        <v>3431</v>
      </c>
      <c r="K748" s="14"/>
      <c r="L748" s="13"/>
      <c r="M748" s="7" t="s">
        <v>3432</v>
      </c>
      <c r="N748" s="7"/>
      <c r="O748" s="7"/>
      <c r="P748" s="7"/>
      <c r="Q748" s="7"/>
      <c r="R748" s="7"/>
      <c r="S748" s="141"/>
      <c r="T748" s="7"/>
    </row>
    <row r="749" spans="1:20" hidden="1">
      <c r="A749" s="38">
        <v>241112000188</v>
      </c>
      <c r="B749" s="147" t="s">
        <v>867</v>
      </c>
      <c r="C749" s="3" t="s">
        <v>515</v>
      </c>
      <c r="D749" s="3" t="s">
        <v>3423</v>
      </c>
      <c r="E749" s="2" t="s">
        <v>3433</v>
      </c>
      <c r="F749" s="2" t="s">
        <v>3434</v>
      </c>
      <c r="G749" s="148"/>
      <c r="H749" s="148"/>
      <c r="J749" s="1" t="s">
        <v>3435</v>
      </c>
      <c r="K749" s="10"/>
      <c r="L749" s="13" t="s">
        <v>3436</v>
      </c>
      <c r="M749" s="7" t="s">
        <v>3437</v>
      </c>
      <c r="N749" s="7"/>
      <c r="O749" s="7" t="s">
        <v>3437</v>
      </c>
      <c r="P749" s="7"/>
      <c r="Q749" s="7"/>
      <c r="R749" s="7"/>
      <c r="S749" s="141"/>
      <c r="T749" s="7"/>
    </row>
    <row r="750" spans="1:20" hidden="1">
      <c r="A750" s="38">
        <v>241112000189</v>
      </c>
      <c r="B750" s="147" t="s">
        <v>867</v>
      </c>
      <c r="C750" s="3" t="s">
        <v>515</v>
      </c>
      <c r="D750" s="3" t="s">
        <v>3423</v>
      </c>
      <c r="E750" s="2" t="s">
        <v>3438</v>
      </c>
      <c r="F750" s="2" t="s">
        <v>3434</v>
      </c>
      <c r="G750" s="148"/>
      <c r="H750" s="148"/>
      <c r="J750" s="1" t="s">
        <v>3439</v>
      </c>
      <c r="K750" s="10"/>
      <c r="L750" s="13" t="s">
        <v>3440</v>
      </c>
      <c r="M750" s="7" t="s">
        <v>3441</v>
      </c>
      <c r="N750" s="7"/>
      <c r="O750" s="7" t="s">
        <v>3441</v>
      </c>
      <c r="P750" s="7"/>
      <c r="Q750" s="7"/>
      <c r="R750" s="7"/>
      <c r="S750" s="141"/>
      <c r="T750" s="7"/>
    </row>
    <row r="751" spans="1:20" hidden="1">
      <c r="A751" s="38">
        <v>241112000190</v>
      </c>
      <c r="B751" s="147" t="s">
        <v>867</v>
      </c>
      <c r="C751" s="3" t="s">
        <v>515</v>
      </c>
      <c r="D751" s="3" t="s">
        <v>3423</v>
      </c>
      <c r="E751" s="2" t="s">
        <v>3442</v>
      </c>
      <c r="F751" s="2" t="s">
        <v>3434</v>
      </c>
      <c r="G751" s="148"/>
      <c r="H751" s="148"/>
      <c r="J751" s="1" t="s">
        <v>3443</v>
      </c>
      <c r="K751" s="10" t="s">
        <v>3444</v>
      </c>
      <c r="L751" s="13" t="s">
        <v>3445</v>
      </c>
      <c r="M751" s="7">
        <v>54</v>
      </c>
      <c r="N751" s="7"/>
      <c r="O751" s="7"/>
      <c r="P751" s="7"/>
      <c r="Q751" s="7"/>
      <c r="R751" s="7"/>
      <c r="S751" s="141"/>
      <c r="T751" s="7"/>
    </row>
    <row r="752" spans="1:20" hidden="1">
      <c r="A752" s="38">
        <v>241112000191</v>
      </c>
      <c r="B752" s="147" t="s">
        <v>867</v>
      </c>
      <c r="C752" s="3" t="s">
        <v>515</v>
      </c>
      <c r="D752" s="3" t="s">
        <v>3423</v>
      </c>
      <c r="E752" s="2" t="s">
        <v>3446</v>
      </c>
      <c r="F752" s="2" t="s">
        <v>1014</v>
      </c>
      <c r="G752" s="148"/>
      <c r="H752" s="148"/>
      <c r="J752" s="1" t="s">
        <v>3447</v>
      </c>
      <c r="K752" s="10" t="s">
        <v>3444</v>
      </c>
      <c r="L752" s="13" t="s">
        <v>3445</v>
      </c>
      <c r="M752" s="7">
        <v>54</v>
      </c>
      <c r="N752" s="7"/>
      <c r="O752" s="7"/>
      <c r="P752" s="7"/>
      <c r="Q752" s="7"/>
      <c r="R752" s="7"/>
      <c r="S752" s="141"/>
      <c r="T752" s="7"/>
    </row>
    <row r="753" spans="1:20" hidden="1">
      <c r="A753" s="38">
        <v>250414115107</v>
      </c>
      <c r="B753" s="147" t="s">
        <v>867</v>
      </c>
      <c r="C753" s="3" t="s">
        <v>515</v>
      </c>
      <c r="D753" s="3" t="s">
        <v>3423</v>
      </c>
      <c r="E753" s="2" t="s">
        <v>3448</v>
      </c>
      <c r="F753" s="2" t="s">
        <v>1014</v>
      </c>
      <c r="G753" s="148"/>
      <c r="H753" s="148"/>
      <c r="J753" s="10" t="s">
        <v>3449</v>
      </c>
      <c r="K753" s="14"/>
      <c r="L753" s="13"/>
      <c r="M753" s="7" t="s">
        <v>3450</v>
      </c>
      <c r="N753" s="7"/>
      <c r="O753" s="7"/>
      <c r="P753" s="7"/>
      <c r="Q753" s="7"/>
      <c r="R753" s="7"/>
      <c r="S753" s="141"/>
      <c r="T753" s="7"/>
    </row>
    <row r="754" spans="1:20" hidden="1">
      <c r="A754" s="38">
        <v>250414115108</v>
      </c>
      <c r="B754" s="147" t="s">
        <v>867</v>
      </c>
      <c r="C754" s="3" t="s">
        <v>515</v>
      </c>
      <c r="D754" s="3" t="s">
        <v>3423</v>
      </c>
      <c r="E754" s="2" t="s">
        <v>3451</v>
      </c>
      <c r="F754" s="2" t="s">
        <v>1014</v>
      </c>
      <c r="G754" s="148"/>
      <c r="H754" s="148"/>
      <c r="J754" s="10" t="s">
        <v>3452</v>
      </c>
      <c r="K754" s="14"/>
      <c r="L754" s="13"/>
      <c r="M754" s="7" t="s">
        <v>3453</v>
      </c>
      <c r="N754" s="7"/>
      <c r="O754" s="7"/>
      <c r="P754" s="7"/>
      <c r="Q754" s="7"/>
      <c r="R754" s="7"/>
      <c r="S754" s="141"/>
      <c r="T754" s="7"/>
    </row>
    <row r="755" spans="1:20" hidden="1">
      <c r="A755" s="38">
        <v>250331151802</v>
      </c>
      <c r="B755" s="147" t="s">
        <v>867</v>
      </c>
      <c r="C755" s="3" t="s">
        <v>515</v>
      </c>
      <c r="D755" s="3" t="s">
        <v>3423</v>
      </c>
      <c r="E755" s="2" t="s">
        <v>3454</v>
      </c>
      <c r="F755" s="2" t="s">
        <v>3455</v>
      </c>
      <c r="G755" s="148"/>
      <c r="H755" s="148"/>
      <c r="J755" s="10" t="s">
        <v>3456</v>
      </c>
      <c r="K755" s="14"/>
      <c r="L755" s="13"/>
      <c r="M755" s="7"/>
      <c r="N755" s="7" t="s">
        <v>3457</v>
      </c>
      <c r="O755" s="7"/>
      <c r="P755" s="7"/>
      <c r="Q755" s="7"/>
      <c r="R755" s="7"/>
      <c r="S755" s="141"/>
      <c r="T755" s="7"/>
    </row>
    <row r="756" spans="1:20" hidden="1">
      <c r="A756" s="38">
        <v>250214095200</v>
      </c>
      <c r="B756" s="147" t="s">
        <v>867</v>
      </c>
      <c r="C756" s="3" t="s">
        <v>515</v>
      </c>
      <c r="D756" s="3" t="s">
        <v>3423</v>
      </c>
      <c r="E756" s="2" t="s">
        <v>3458</v>
      </c>
      <c r="F756" s="2" t="s">
        <v>1209</v>
      </c>
      <c r="G756" s="148"/>
      <c r="H756" s="148"/>
      <c r="J756" s="10" t="s">
        <v>3459</v>
      </c>
      <c r="K756" s="14"/>
      <c r="L756" s="13"/>
      <c r="M756" s="7"/>
      <c r="N756" s="7"/>
      <c r="O756" s="7"/>
      <c r="P756" s="7"/>
      <c r="Q756" s="7"/>
      <c r="R756" s="7"/>
      <c r="S756" s="141"/>
      <c r="T756" s="7"/>
    </row>
    <row r="757" spans="1:20" hidden="1">
      <c r="A757" s="38">
        <v>250425100306</v>
      </c>
      <c r="B757" s="149"/>
      <c r="C757" s="3" t="s">
        <v>515</v>
      </c>
      <c r="D757" s="3" t="s">
        <v>3423</v>
      </c>
      <c r="E757" s="2" t="s">
        <v>3460</v>
      </c>
      <c r="F757" s="2" t="s">
        <v>1014</v>
      </c>
      <c r="G757" s="48"/>
      <c r="H757" s="150"/>
      <c r="J757" s="10" t="s">
        <v>3461</v>
      </c>
      <c r="K757" s="14"/>
      <c r="L757" s="13"/>
      <c r="M757" s="7"/>
      <c r="N757" s="7" t="s">
        <v>3462</v>
      </c>
      <c r="O757" s="7"/>
      <c r="P757" s="7"/>
      <c r="Q757" s="7"/>
      <c r="R757" s="7"/>
      <c r="S757" s="141"/>
      <c r="T757" s="7"/>
    </row>
    <row r="758" spans="1:20" hidden="1">
      <c r="A758" s="38">
        <v>241112000193</v>
      </c>
      <c r="B758" s="147" t="s">
        <v>867</v>
      </c>
      <c r="C758" s="3" t="s">
        <v>515</v>
      </c>
      <c r="D758" s="3" t="s">
        <v>3423</v>
      </c>
      <c r="E758" s="2" t="s">
        <v>3463</v>
      </c>
      <c r="F758" s="2" t="s">
        <v>1511</v>
      </c>
      <c r="G758" s="148"/>
      <c r="H758" s="148"/>
      <c r="J758" s="10" t="s">
        <v>3464</v>
      </c>
      <c r="K758" s="10"/>
      <c r="L758" s="13" t="s">
        <v>3465</v>
      </c>
      <c r="M758" s="7" t="s">
        <v>3466</v>
      </c>
      <c r="N758" s="7" t="s">
        <v>3467</v>
      </c>
      <c r="O758" s="7"/>
      <c r="P758" s="7"/>
      <c r="Q758" s="7"/>
      <c r="R758" s="7"/>
      <c r="S758" s="141"/>
      <c r="T758" s="7"/>
    </row>
    <row r="759" spans="1:20" hidden="1">
      <c r="A759" s="38">
        <v>250414110800</v>
      </c>
      <c r="B759" s="147" t="s">
        <v>867</v>
      </c>
      <c r="C759" s="3" t="s">
        <v>515</v>
      </c>
      <c r="D759" s="3" t="s">
        <v>3423</v>
      </c>
      <c r="E759" s="2" t="s">
        <v>3468</v>
      </c>
      <c r="F759" s="2" t="s">
        <v>3469</v>
      </c>
      <c r="G759" s="148"/>
      <c r="H759" s="148"/>
      <c r="J759" s="10" t="s">
        <v>3470</v>
      </c>
      <c r="K759" s="14"/>
      <c r="L759" s="13"/>
      <c r="M759" s="7"/>
      <c r="N759" s="7" t="s">
        <v>3471</v>
      </c>
      <c r="O759" s="7"/>
      <c r="P759" s="7"/>
      <c r="Q759" s="7"/>
      <c r="R759" s="7"/>
      <c r="S759" s="141"/>
      <c r="T759" s="7"/>
    </row>
    <row r="760" spans="1:20" hidden="1">
      <c r="A760" s="38">
        <v>241112000194</v>
      </c>
      <c r="B760" s="147" t="s">
        <v>867</v>
      </c>
      <c r="C760" s="3" t="s">
        <v>515</v>
      </c>
      <c r="D760" s="3" t="s">
        <v>3423</v>
      </c>
      <c r="E760" s="2" t="s">
        <v>3472</v>
      </c>
      <c r="F760" s="2" t="s">
        <v>1014</v>
      </c>
      <c r="G760" s="148"/>
      <c r="H760" s="148"/>
      <c r="J760" s="1" t="s">
        <v>3473</v>
      </c>
      <c r="K760" s="10"/>
      <c r="L760" s="13" t="s">
        <v>3474</v>
      </c>
      <c r="M760" s="7" t="s">
        <v>3475</v>
      </c>
      <c r="N760" s="7" t="s">
        <v>3476</v>
      </c>
      <c r="O760" s="7"/>
      <c r="P760" s="7"/>
      <c r="Q760" s="7"/>
      <c r="R760" s="7"/>
      <c r="S760" s="141"/>
      <c r="T760" s="7"/>
    </row>
    <row r="761" spans="1:20" hidden="1">
      <c r="A761" s="38">
        <v>250414110600</v>
      </c>
      <c r="B761" s="147" t="s">
        <v>867</v>
      </c>
      <c r="C761" s="3" t="s">
        <v>515</v>
      </c>
      <c r="D761" s="3" t="s">
        <v>3423</v>
      </c>
      <c r="E761" s="2" t="s">
        <v>3477</v>
      </c>
      <c r="F761" s="2" t="s">
        <v>1394</v>
      </c>
      <c r="G761" s="148"/>
      <c r="H761" s="148"/>
      <c r="J761" s="10" t="s">
        <v>3478</v>
      </c>
      <c r="K761" s="14"/>
      <c r="L761" s="13"/>
      <c r="M761" s="7"/>
      <c r="N761" s="7" t="s">
        <v>3479</v>
      </c>
      <c r="O761" s="7"/>
      <c r="P761" s="7"/>
      <c r="Q761" s="7"/>
      <c r="R761" s="7"/>
      <c r="S761" s="141"/>
      <c r="T761" s="7"/>
    </row>
    <row r="762" spans="1:20" hidden="1">
      <c r="A762" s="38">
        <v>241112000196</v>
      </c>
      <c r="B762" s="147" t="s">
        <v>867</v>
      </c>
      <c r="C762" s="3" t="s">
        <v>515</v>
      </c>
      <c r="D762" s="3" t="s">
        <v>3423</v>
      </c>
      <c r="E762" s="2" t="s">
        <v>3480</v>
      </c>
      <c r="F762" s="2" t="s">
        <v>1014</v>
      </c>
      <c r="G762" s="148"/>
      <c r="H762" s="148"/>
      <c r="J762" s="1" t="s">
        <v>3481</v>
      </c>
      <c r="K762" s="10"/>
      <c r="L762" s="13" t="s">
        <v>3482</v>
      </c>
      <c r="M762" s="7" t="s">
        <v>3483</v>
      </c>
      <c r="N762" s="7"/>
      <c r="O762" s="7"/>
      <c r="P762" s="7"/>
      <c r="Q762" s="7"/>
      <c r="R762" s="7"/>
      <c r="S762" s="141"/>
      <c r="T762" s="7"/>
    </row>
    <row r="763" spans="1:20" hidden="1">
      <c r="A763" s="38">
        <v>241112000197</v>
      </c>
      <c r="B763" s="147" t="s">
        <v>867</v>
      </c>
      <c r="C763" s="3" t="s">
        <v>515</v>
      </c>
      <c r="D763" s="3" t="s">
        <v>3423</v>
      </c>
      <c r="E763" s="2" t="s">
        <v>3484</v>
      </c>
      <c r="F763" s="2" t="s">
        <v>1097</v>
      </c>
      <c r="G763" s="148"/>
      <c r="H763" s="148"/>
      <c r="J763" s="1" t="s">
        <v>3485</v>
      </c>
      <c r="K763" s="10"/>
      <c r="L763" s="13" t="s">
        <v>3486</v>
      </c>
      <c r="M763" s="7" t="s">
        <v>3487</v>
      </c>
      <c r="N763" s="7"/>
      <c r="O763" s="7"/>
      <c r="P763" s="7"/>
      <c r="Q763" s="7"/>
      <c r="R763" s="7"/>
      <c r="S763" s="141"/>
      <c r="T763" s="7"/>
    </row>
    <row r="764" spans="1:20" hidden="1">
      <c r="A764" s="38">
        <v>250331112000</v>
      </c>
      <c r="B764" s="147" t="s">
        <v>867</v>
      </c>
      <c r="C764" s="3" t="s">
        <v>515</v>
      </c>
      <c r="D764" s="3" t="s">
        <v>3423</v>
      </c>
      <c r="E764" s="2" t="s">
        <v>3488</v>
      </c>
      <c r="F764" s="2" t="s">
        <v>912</v>
      </c>
      <c r="G764" s="148"/>
      <c r="H764" s="148"/>
      <c r="J764" s="1" t="s">
        <v>3489</v>
      </c>
      <c r="K764" s="10" t="s">
        <v>3490</v>
      </c>
      <c r="L764" s="13"/>
      <c r="M764" s="7"/>
      <c r="N764" s="7"/>
      <c r="O764" s="7"/>
      <c r="P764" s="7"/>
      <c r="Q764" s="7"/>
      <c r="R764" s="7"/>
      <c r="S764" s="141"/>
      <c r="T764" s="7"/>
    </row>
    <row r="765" spans="1:20" hidden="1">
      <c r="A765" s="38">
        <v>241112000198</v>
      </c>
      <c r="B765" s="147" t="s">
        <v>867</v>
      </c>
      <c r="C765" s="3" t="s">
        <v>515</v>
      </c>
      <c r="D765" s="3" t="s">
        <v>3423</v>
      </c>
      <c r="E765" s="2" t="s">
        <v>3103</v>
      </c>
      <c r="F765" s="2" t="s">
        <v>3104</v>
      </c>
      <c r="G765" s="148"/>
      <c r="H765" s="148"/>
      <c r="J765" s="1" t="s">
        <v>3491</v>
      </c>
      <c r="K765" s="10" t="s">
        <v>3492</v>
      </c>
      <c r="L765" s="13" t="s">
        <v>3106</v>
      </c>
      <c r="M765" s="7" t="s">
        <v>3493</v>
      </c>
      <c r="N765" s="7"/>
      <c r="O765" s="7"/>
      <c r="P765" s="7"/>
      <c r="Q765" s="7"/>
      <c r="R765" s="7"/>
      <c r="S765" s="141"/>
      <c r="T765" s="7"/>
    </row>
    <row r="766" spans="1:20" hidden="1">
      <c r="A766" s="38">
        <v>250414115104</v>
      </c>
      <c r="B766" s="147" t="s">
        <v>867</v>
      </c>
      <c r="C766" s="3" t="s">
        <v>515</v>
      </c>
      <c r="D766" s="3" t="s">
        <v>3423</v>
      </c>
      <c r="E766" s="2" t="s">
        <v>3494</v>
      </c>
      <c r="F766" s="2" t="s">
        <v>1014</v>
      </c>
      <c r="G766" s="148"/>
      <c r="H766" s="148"/>
      <c r="J766" s="10" t="s">
        <v>3495</v>
      </c>
      <c r="K766" s="14"/>
      <c r="L766" s="13"/>
      <c r="M766" s="7" t="s">
        <v>3496</v>
      </c>
      <c r="N766" s="7"/>
      <c r="O766" s="7"/>
      <c r="P766" s="7"/>
      <c r="Q766" s="7"/>
      <c r="R766" s="7"/>
      <c r="S766" s="141"/>
      <c r="T766" s="7"/>
    </row>
    <row r="767" spans="1:20" hidden="1">
      <c r="A767" s="38">
        <v>241112000199</v>
      </c>
      <c r="B767" s="147" t="s">
        <v>867</v>
      </c>
      <c r="C767" s="3" t="s">
        <v>515</v>
      </c>
      <c r="D767" s="3" t="s">
        <v>3423</v>
      </c>
      <c r="E767" s="2" t="s">
        <v>3497</v>
      </c>
      <c r="F767" s="2" t="s">
        <v>1014</v>
      </c>
      <c r="G767" s="148"/>
      <c r="H767" s="148"/>
      <c r="J767" s="1" t="s">
        <v>3498</v>
      </c>
      <c r="K767" s="10"/>
      <c r="L767" s="13" t="s">
        <v>3499</v>
      </c>
      <c r="M767" s="7" t="s">
        <v>3500</v>
      </c>
      <c r="N767" s="7"/>
      <c r="O767" s="7"/>
      <c r="P767" s="7"/>
      <c r="Q767" s="7"/>
      <c r="R767" s="7"/>
      <c r="S767" s="141"/>
      <c r="T767" s="7"/>
    </row>
    <row r="768" spans="1:20" hidden="1">
      <c r="A768" s="38">
        <v>250425100310</v>
      </c>
      <c r="B768" s="149"/>
      <c r="C768" s="3" t="s">
        <v>515</v>
      </c>
      <c r="D768" s="3" t="s">
        <v>3423</v>
      </c>
      <c r="E768" s="2" t="s">
        <v>3501</v>
      </c>
      <c r="F768" s="2" t="s">
        <v>1511</v>
      </c>
      <c r="G768" s="48"/>
      <c r="H768" s="150"/>
      <c r="J768" s="10" t="s">
        <v>3502</v>
      </c>
      <c r="K768" s="14"/>
      <c r="L768" s="13"/>
      <c r="M768" s="7"/>
      <c r="N768" s="7" t="s">
        <v>3503</v>
      </c>
      <c r="O768" s="7"/>
      <c r="P768" s="7"/>
      <c r="Q768" s="7"/>
      <c r="R768" s="7"/>
      <c r="S768" s="141"/>
      <c r="T768" s="7"/>
    </row>
    <row r="769" spans="1:20" hidden="1">
      <c r="A769" s="38">
        <v>241112000200</v>
      </c>
      <c r="B769" s="147" t="s">
        <v>867</v>
      </c>
      <c r="C769" s="3" t="s">
        <v>515</v>
      </c>
      <c r="D769" s="3" t="s">
        <v>3423</v>
      </c>
      <c r="E769" s="2" t="s">
        <v>3504</v>
      </c>
      <c r="F769" s="2" t="s">
        <v>2562</v>
      </c>
      <c r="G769" s="148"/>
      <c r="H769" s="148"/>
      <c r="J769" s="1" t="s">
        <v>3505</v>
      </c>
      <c r="K769" s="10"/>
      <c r="L769" s="13" t="s">
        <v>3506</v>
      </c>
      <c r="M769" s="7"/>
      <c r="N769" s="7" t="s">
        <v>3507</v>
      </c>
      <c r="O769" s="7"/>
      <c r="P769" s="7"/>
      <c r="Q769" s="7"/>
      <c r="R769" s="7"/>
      <c r="S769" s="141"/>
      <c r="T769" s="7"/>
    </row>
    <row r="770" spans="1:20" hidden="1">
      <c r="A770" s="38">
        <v>241112000201</v>
      </c>
      <c r="B770" s="147" t="s">
        <v>867</v>
      </c>
      <c r="C770" s="3" t="s">
        <v>515</v>
      </c>
      <c r="D770" s="3" t="s">
        <v>3423</v>
      </c>
      <c r="E770" s="2" t="s">
        <v>3508</v>
      </c>
      <c r="F770" s="2" t="s">
        <v>3509</v>
      </c>
      <c r="G770" s="148"/>
      <c r="H770" s="148"/>
      <c r="J770" s="1" t="s">
        <v>3510</v>
      </c>
      <c r="K770" s="10"/>
      <c r="L770" s="13" t="s">
        <v>3511</v>
      </c>
      <c r="M770" s="7" t="s">
        <v>3512</v>
      </c>
      <c r="N770" s="7"/>
      <c r="O770" s="7"/>
      <c r="P770" s="7"/>
      <c r="Q770" s="7"/>
      <c r="R770" s="7"/>
      <c r="S770" s="141"/>
      <c r="T770" s="7"/>
    </row>
    <row r="771" spans="1:20" hidden="1">
      <c r="A771" s="38">
        <v>241112000202</v>
      </c>
      <c r="B771" s="147" t="s">
        <v>867</v>
      </c>
      <c r="C771" s="3" t="s">
        <v>515</v>
      </c>
      <c r="D771" s="3" t="s">
        <v>3423</v>
      </c>
      <c r="E771" s="2" t="s">
        <v>3513</v>
      </c>
      <c r="F771" s="2" t="s">
        <v>951</v>
      </c>
      <c r="G771" s="148"/>
      <c r="H771" s="148"/>
      <c r="J771" s="1" t="s">
        <v>3514</v>
      </c>
      <c r="K771" s="10"/>
      <c r="L771" s="13" t="s">
        <v>3515</v>
      </c>
      <c r="M771" s="7" t="s">
        <v>3516</v>
      </c>
      <c r="N771" s="7"/>
      <c r="O771" s="7"/>
      <c r="P771" s="7"/>
      <c r="Q771" s="7"/>
      <c r="R771" s="7"/>
      <c r="S771" s="141"/>
      <c r="T771" s="7"/>
    </row>
    <row r="772" spans="1:20" hidden="1">
      <c r="A772" s="38">
        <v>250414115105</v>
      </c>
      <c r="B772" s="147" t="s">
        <v>867</v>
      </c>
      <c r="C772" s="3" t="s">
        <v>515</v>
      </c>
      <c r="D772" s="3" t="s">
        <v>3423</v>
      </c>
      <c r="E772" s="2" t="s">
        <v>3517</v>
      </c>
      <c r="F772" s="2" t="s">
        <v>1014</v>
      </c>
      <c r="G772" s="148"/>
      <c r="H772" s="148"/>
      <c r="J772" s="10" t="s">
        <v>3518</v>
      </c>
      <c r="K772" s="14"/>
      <c r="L772" s="13"/>
      <c r="M772" s="7" t="s">
        <v>3519</v>
      </c>
      <c r="N772" s="7"/>
      <c r="O772" s="7"/>
      <c r="P772" s="7"/>
      <c r="Q772" s="7"/>
      <c r="R772" s="7"/>
      <c r="S772" s="141"/>
      <c r="T772" s="7"/>
    </row>
    <row r="773" spans="1:20" hidden="1">
      <c r="A773" s="38">
        <v>241112000203</v>
      </c>
      <c r="B773" s="147" t="s">
        <v>867</v>
      </c>
      <c r="C773" s="3" t="s">
        <v>515</v>
      </c>
      <c r="D773" s="3" t="s">
        <v>3423</v>
      </c>
      <c r="E773" s="2" t="s">
        <v>3520</v>
      </c>
      <c r="F773" s="2" t="s">
        <v>2059</v>
      </c>
      <c r="G773" s="148"/>
      <c r="H773" s="148"/>
      <c r="J773" s="1" t="s">
        <v>3521</v>
      </c>
      <c r="K773" s="10" t="s">
        <v>3522</v>
      </c>
      <c r="L773" s="13" t="s">
        <v>3523</v>
      </c>
      <c r="M773" s="7" t="s">
        <v>3524</v>
      </c>
      <c r="N773" s="7"/>
      <c r="O773" s="7"/>
      <c r="P773" s="7"/>
      <c r="Q773" s="7"/>
      <c r="R773" s="7"/>
      <c r="S773" s="141"/>
      <c r="T773" s="7"/>
    </row>
    <row r="774" spans="1:20" hidden="1">
      <c r="A774" s="38">
        <v>250425153900</v>
      </c>
      <c r="B774" s="149"/>
      <c r="C774" s="3" t="s">
        <v>515</v>
      </c>
      <c r="D774" s="3" t="s">
        <v>3423</v>
      </c>
      <c r="E774" s="2" t="s">
        <v>3525</v>
      </c>
      <c r="F774" s="2" t="s">
        <v>3526</v>
      </c>
      <c r="G774" s="48"/>
      <c r="H774" s="150"/>
      <c r="J774" s="10" t="s">
        <v>3527</v>
      </c>
      <c r="K774" s="14"/>
      <c r="L774" s="13"/>
      <c r="M774" s="7"/>
      <c r="N774" s="7" t="s">
        <v>3528</v>
      </c>
      <c r="O774" s="7"/>
      <c r="P774" s="7"/>
      <c r="Q774" s="7"/>
      <c r="R774" s="7"/>
      <c r="S774" s="141"/>
      <c r="T774" s="7"/>
    </row>
    <row r="775" spans="1:20" hidden="1">
      <c r="A775" s="38">
        <v>250414113902</v>
      </c>
      <c r="B775" s="147" t="s">
        <v>867</v>
      </c>
      <c r="C775" s="3" t="s">
        <v>515</v>
      </c>
      <c r="D775" s="3" t="s">
        <v>3423</v>
      </c>
      <c r="E775" s="2" t="s">
        <v>3529</v>
      </c>
      <c r="F775" s="2" t="s">
        <v>1014</v>
      </c>
      <c r="G775" s="148"/>
      <c r="H775" s="148"/>
      <c r="J775" s="10" t="s">
        <v>3530</v>
      </c>
      <c r="K775" s="14"/>
      <c r="L775" s="13"/>
      <c r="M775" s="7"/>
      <c r="N775" s="7" t="s">
        <v>3531</v>
      </c>
      <c r="O775" s="7"/>
      <c r="P775" s="7"/>
      <c r="Q775" s="7"/>
      <c r="R775" s="7"/>
      <c r="S775" s="141"/>
      <c r="T775" s="7"/>
    </row>
    <row r="776" spans="1:20" hidden="1">
      <c r="A776" s="38">
        <v>250408142401</v>
      </c>
      <c r="B776" s="147" t="s">
        <v>867</v>
      </c>
      <c r="C776" s="3" t="s">
        <v>515</v>
      </c>
      <c r="D776" s="3" t="s">
        <v>3423</v>
      </c>
      <c r="E776" s="2" t="s">
        <v>3532</v>
      </c>
      <c r="F776" s="2" t="s">
        <v>1014</v>
      </c>
      <c r="G776" s="148"/>
      <c r="H776" s="148"/>
      <c r="J776" s="10" t="s">
        <v>3533</v>
      </c>
      <c r="K776" s="14"/>
      <c r="L776" s="13"/>
      <c r="M776" s="7"/>
      <c r="N776" s="7"/>
      <c r="O776" s="7" t="s">
        <v>3534</v>
      </c>
      <c r="P776" s="7"/>
      <c r="Q776" s="7"/>
      <c r="R776" s="7"/>
      <c r="S776" s="141"/>
      <c r="T776" s="7"/>
    </row>
    <row r="777" spans="1:20" hidden="1">
      <c r="A777" s="38">
        <v>250317176906</v>
      </c>
      <c r="B777" s="147" t="s">
        <v>867</v>
      </c>
      <c r="C777" s="3" t="s">
        <v>515</v>
      </c>
      <c r="D777" s="3" t="s">
        <v>3423</v>
      </c>
      <c r="E777" s="2" t="s">
        <v>3535</v>
      </c>
      <c r="F777" s="2" t="s">
        <v>912</v>
      </c>
      <c r="G777" s="148"/>
      <c r="H777" s="148"/>
      <c r="J777" s="10" t="s">
        <v>3536</v>
      </c>
      <c r="K777" s="14"/>
      <c r="L777" s="13"/>
      <c r="M777" s="7"/>
      <c r="N777" s="7"/>
      <c r="O777" s="7"/>
      <c r="P777" s="7"/>
      <c r="Q777" s="7"/>
      <c r="R777" s="7"/>
      <c r="S777" s="141"/>
      <c r="T777" s="7"/>
    </row>
    <row r="778" spans="1:20" hidden="1">
      <c r="A778" s="38">
        <v>250317176905</v>
      </c>
      <c r="B778" s="147" t="s">
        <v>867</v>
      </c>
      <c r="C778" s="3" t="s">
        <v>515</v>
      </c>
      <c r="D778" s="3" t="s">
        <v>3423</v>
      </c>
      <c r="E778" s="2" t="s">
        <v>3537</v>
      </c>
      <c r="F778" s="101" t="s">
        <v>2083</v>
      </c>
      <c r="G778" s="148"/>
      <c r="H778" s="148"/>
      <c r="J778" s="10" t="s">
        <v>3538</v>
      </c>
      <c r="K778" s="14"/>
      <c r="L778" s="13"/>
      <c r="M778" s="7"/>
      <c r="N778" s="7"/>
      <c r="O778" s="7"/>
      <c r="P778" s="7"/>
      <c r="Q778" s="7"/>
      <c r="R778" s="7"/>
      <c r="S778" s="141"/>
      <c r="T778" s="7"/>
    </row>
    <row r="779" spans="1:20" hidden="1">
      <c r="A779" s="38">
        <v>250414114701</v>
      </c>
      <c r="B779" s="147" t="s">
        <v>867</v>
      </c>
      <c r="C779" s="3" t="s">
        <v>515</v>
      </c>
      <c r="D779" s="3" t="s">
        <v>3423</v>
      </c>
      <c r="E779" s="2" t="s">
        <v>3539</v>
      </c>
      <c r="F779" s="2" t="s">
        <v>1014</v>
      </c>
      <c r="G779" s="148"/>
      <c r="H779" s="148"/>
      <c r="J779" s="10" t="s">
        <v>3540</v>
      </c>
      <c r="K779" s="14"/>
      <c r="L779" s="13"/>
      <c r="M779" s="7"/>
      <c r="N779" s="7" t="s">
        <v>3541</v>
      </c>
      <c r="O779" s="7"/>
      <c r="P779" s="7"/>
      <c r="Q779" s="7"/>
      <c r="R779" s="7"/>
      <c r="S779" s="141"/>
      <c r="T779" s="7"/>
    </row>
    <row r="780" spans="1:20" hidden="1">
      <c r="A780" s="38">
        <v>250331112002</v>
      </c>
      <c r="B780" s="147" t="s">
        <v>867</v>
      </c>
      <c r="C780" s="3" t="s">
        <v>515</v>
      </c>
      <c r="D780" s="3" t="s">
        <v>3423</v>
      </c>
      <c r="E780" s="2" t="s">
        <v>3542</v>
      </c>
      <c r="F780" s="2" t="s">
        <v>912</v>
      </c>
      <c r="G780" s="148"/>
      <c r="H780" s="148"/>
      <c r="J780" s="1" t="s">
        <v>3543</v>
      </c>
      <c r="K780" s="10" t="s">
        <v>3490</v>
      </c>
      <c r="L780" s="13"/>
      <c r="M780" s="7"/>
      <c r="N780" s="7"/>
      <c r="O780" s="7"/>
      <c r="P780" s="7"/>
      <c r="Q780" s="7"/>
      <c r="R780" s="7"/>
      <c r="S780" s="141"/>
      <c r="T780" s="7"/>
    </row>
    <row r="781" spans="1:20" hidden="1">
      <c r="A781" s="38">
        <v>241112000205</v>
      </c>
      <c r="B781" s="147" t="s">
        <v>867</v>
      </c>
      <c r="C781" s="3" t="s">
        <v>515</v>
      </c>
      <c r="D781" s="3" t="s">
        <v>3423</v>
      </c>
      <c r="E781" s="2" t="s">
        <v>3544</v>
      </c>
      <c r="F781" s="2" t="s">
        <v>1694</v>
      </c>
      <c r="G781" s="148"/>
      <c r="H781" s="148"/>
      <c r="J781" s="1" t="s">
        <v>3545</v>
      </c>
      <c r="K781" s="10"/>
      <c r="L781" s="13" t="s">
        <v>3546</v>
      </c>
      <c r="M781" s="7" t="s">
        <v>3547</v>
      </c>
      <c r="N781" s="7"/>
      <c r="O781" s="7"/>
      <c r="P781" s="7"/>
      <c r="Q781" s="7"/>
      <c r="R781" s="7"/>
      <c r="S781" s="141"/>
      <c r="T781" s="7"/>
    </row>
    <row r="782" spans="1:20" hidden="1">
      <c r="A782" s="38">
        <v>250414113900</v>
      </c>
      <c r="B782" s="147" t="s">
        <v>867</v>
      </c>
      <c r="C782" s="3" t="s">
        <v>515</v>
      </c>
      <c r="D782" s="3" t="s">
        <v>3423</v>
      </c>
      <c r="E782" s="2" t="s">
        <v>3548</v>
      </c>
      <c r="F782" s="2" t="s">
        <v>1014</v>
      </c>
      <c r="G782" s="148"/>
      <c r="H782" s="148"/>
      <c r="J782" s="10" t="s">
        <v>3549</v>
      </c>
      <c r="K782" s="14"/>
      <c r="L782" s="13"/>
      <c r="M782" s="7"/>
      <c r="N782" s="7" t="s">
        <v>3550</v>
      </c>
      <c r="O782" s="7"/>
      <c r="P782" s="7"/>
      <c r="Q782" s="7"/>
      <c r="R782" s="7"/>
      <c r="S782" s="141"/>
      <c r="T782" s="7"/>
    </row>
    <row r="783" spans="1:20" hidden="1">
      <c r="A783" s="38">
        <v>250212174206</v>
      </c>
      <c r="B783" s="147" t="s">
        <v>867</v>
      </c>
      <c r="C783" s="3" t="s">
        <v>515</v>
      </c>
      <c r="D783" s="3" t="s">
        <v>3423</v>
      </c>
      <c r="E783" s="2" t="s">
        <v>3551</v>
      </c>
      <c r="F783" s="2" t="s">
        <v>3552</v>
      </c>
      <c r="G783" s="148"/>
      <c r="H783" s="148"/>
      <c r="J783" s="10" t="s">
        <v>3553</v>
      </c>
      <c r="K783" s="14" t="s">
        <v>3554</v>
      </c>
      <c r="L783" s="13" t="s">
        <v>3555</v>
      </c>
      <c r="M783" s="7" t="s">
        <v>3556</v>
      </c>
      <c r="N783" s="7"/>
      <c r="O783" s="7"/>
      <c r="P783" s="7" t="s">
        <v>3557</v>
      </c>
      <c r="Q783" s="7"/>
      <c r="R783" s="7"/>
      <c r="S783" s="141"/>
      <c r="T783" s="7"/>
    </row>
    <row r="784" spans="1:20" hidden="1">
      <c r="A784" s="38">
        <v>241112000206</v>
      </c>
      <c r="B784" s="147" t="s">
        <v>867</v>
      </c>
      <c r="C784" s="3" t="s">
        <v>515</v>
      </c>
      <c r="D784" s="3" t="s">
        <v>3423</v>
      </c>
      <c r="E784" s="2" t="s">
        <v>3558</v>
      </c>
      <c r="F784" s="2" t="s">
        <v>3559</v>
      </c>
      <c r="G784" s="148"/>
      <c r="H784" s="148"/>
      <c r="J784" s="10" t="s">
        <v>3560</v>
      </c>
      <c r="K784" s="10" t="s">
        <v>3561</v>
      </c>
      <c r="L784" s="13" t="s">
        <v>3562</v>
      </c>
      <c r="M784" s="7" t="s">
        <v>3563</v>
      </c>
      <c r="N784" s="7" t="s">
        <v>3564</v>
      </c>
      <c r="O784" s="7"/>
      <c r="P784" s="7"/>
      <c r="Q784" s="7"/>
      <c r="R784" s="7"/>
      <c r="S784" s="141"/>
      <c r="T784" s="7"/>
    </row>
    <row r="785" spans="1:20" hidden="1">
      <c r="A785" s="38">
        <v>250331151800</v>
      </c>
      <c r="B785" s="147" t="s">
        <v>867</v>
      </c>
      <c r="C785" s="3" t="s">
        <v>515</v>
      </c>
      <c r="D785" s="3" t="s">
        <v>3423</v>
      </c>
      <c r="E785" s="2" t="s">
        <v>3565</v>
      </c>
      <c r="F785" s="2" t="s">
        <v>3566</v>
      </c>
      <c r="G785" s="148"/>
      <c r="H785" s="148"/>
      <c r="J785" s="10" t="s">
        <v>3567</v>
      </c>
      <c r="K785" s="14"/>
      <c r="L785" s="13"/>
      <c r="M785" s="7"/>
      <c r="N785" s="7" t="s">
        <v>3568</v>
      </c>
      <c r="O785" s="7"/>
      <c r="P785" s="7"/>
      <c r="Q785" s="7"/>
      <c r="R785" s="7"/>
      <c r="S785" s="141"/>
      <c r="T785" s="7"/>
    </row>
    <row r="786" spans="1:20" hidden="1">
      <c r="A786" s="38">
        <v>250414121300</v>
      </c>
      <c r="B786" s="147" t="s">
        <v>867</v>
      </c>
      <c r="C786" s="3" t="s">
        <v>515</v>
      </c>
      <c r="D786" s="3" t="s">
        <v>3423</v>
      </c>
      <c r="E786" s="2" t="s">
        <v>3569</v>
      </c>
      <c r="F786" s="2" t="s">
        <v>3570</v>
      </c>
      <c r="G786" s="148"/>
      <c r="H786" s="148"/>
      <c r="J786" s="10" t="s">
        <v>3571</v>
      </c>
      <c r="K786" s="14"/>
      <c r="L786" s="13"/>
      <c r="M786" s="7"/>
      <c r="N786" s="7" t="s">
        <v>3572</v>
      </c>
      <c r="O786" s="7"/>
      <c r="P786" s="7"/>
      <c r="Q786" s="7"/>
      <c r="R786" s="7"/>
      <c r="S786" s="141"/>
      <c r="T786" s="7"/>
    </row>
    <row r="787" spans="1:20" hidden="1">
      <c r="A787" s="38">
        <v>250414121302</v>
      </c>
      <c r="B787" s="147" t="s">
        <v>867</v>
      </c>
      <c r="C787" s="3" t="s">
        <v>515</v>
      </c>
      <c r="D787" s="3" t="s">
        <v>3423</v>
      </c>
      <c r="E787" s="2" t="s">
        <v>3573</v>
      </c>
      <c r="F787" s="2" t="s">
        <v>3570</v>
      </c>
      <c r="G787" s="148"/>
      <c r="H787" s="148"/>
      <c r="J787" s="10" t="s">
        <v>3574</v>
      </c>
      <c r="K787" s="14"/>
      <c r="L787" s="13"/>
      <c r="M787" s="7"/>
      <c r="N787" s="7" t="s">
        <v>3575</v>
      </c>
      <c r="O787" s="7"/>
      <c r="P787" s="7"/>
      <c r="Q787" s="7"/>
      <c r="R787" s="7"/>
      <c r="S787" s="141"/>
      <c r="T787" s="7"/>
    </row>
    <row r="788" spans="1:20" hidden="1">
      <c r="A788" s="38">
        <v>241112000207</v>
      </c>
      <c r="B788" s="147" t="s">
        <v>867</v>
      </c>
      <c r="C788" s="3" t="s">
        <v>515</v>
      </c>
      <c r="D788" s="3" t="s">
        <v>3423</v>
      </c>
      <c r="E788" s="2" t="s">
        <v>3576</v>
      </c>
      <c r="F788" s="2" t="s">
        <v>1394</v>
      </c>
      <c r="G788" s="148"/>
      <c r="H788" s="148"/>
      <c r="J788" s="1" t="s">
        <v>3577</v>
      </c>
      <c r="K788" s="10"/>
      <c r="L788" s="13" t="s">
        <v>3578</v>
      </c>
      <c r="M788" s="7"/>
      <c r="N788" s="7"/>
      <c r="O788" s="7"/>
      <c r="P788" s="7"/>
      <c r="Q788" s="7"/>
      <c r="R788" s="7"/>
      <c r="S788" s="141"/>
      <c r="T788" s="7"/>
    </row>
    <row r="789" spans="1:20" hidden="1">
      <c r="A789" s="38">
        <v>250212174207</v>
      </c>
      <c r="B789" s="147" t="s">
        <v>867</v>
      </c>
      <c r="C789" s="3" t="s">
        <v>515</v>
      </c>
      <c r="D789" s="3" t="s">
        <v>3423</v>
      </c>
      <c r="E789" s="2" t="s">
        <v>3579</v>
      </c>
      <c r="F789" s="2" t="s">
        <v>1147</v>
      </c>
      <c r="G789" s="148"/>
      <c r="H789" s="148"/>
      <c r="J789" s="10" t="s">
        <v>3580</v>
      </c>
      <c r="K789" s="14" t="s">
        <v>3581</v>
      </c>
      <c r="L789" s="13" t="s">
        <v>3582</v>
      </c>
      <c r="M789" s="7" t="s">
        <v>3583</v>
      </c>
      <c r="N789" s="7"/>
      <c r="O789" s="7"/>
      <c r="P789" s="7" t="s">
        <v>3584</v>
      </c>
      <c r="Q789" s="7"/>
      <c r="R789" s="7"/>
      <c r="S789" s="141"/>
      <c r="T789" s="7"/>
    </row>
    <row r="790" spans="1:20" hidden="1">
      <c r="A790" s="38">
        <v>241112000208</v>
      </c>
      <c r="B790" s="147" t="s">
        <v>867</v>
      </c>
      <c r="C790" s="3" t="s">
        <v>515</v>
      </c>
      <c r="D790" s="3" t="s">
        <v>3423</v>
      </c>
      <c r="E790" s="2" t="s">
        <v>3585</v>
      </c>
      <c r="F790" s="2" t="s">
        <v>2985</v>
      </c>
      <c r="G790" s="148"/>
      <c r="H790" s="148"/>
      <c r="J790" s="1" t="s">
        <v>3586</v>
      </c>
      <c r="K790" s="10"/>
      <c r="L790" s="13" t="s">
        <v>3587</v>
      </c>
      <c r="M790" s="7" t="s">
        <v>3588</v>
      </c>
      <c r="N790" s="7"/>
      <c r="O790" s="7"/>
      <c r="P790" s="7"/>
      <c r="Q790" s="7"/>
      <c r="R790" s="7"/>
      <c r="S790" s="141"/>
      <c r="T790" s="7"/>
    </row>
    <row r="791" spans="1:20" hidden="1">
      <c r="A791" s="38">
        <v>241112000209</v>
      </c>
      <c r="B791" s="147" t="s">
        <v>867</v>
      </c>
      <c r="C791" s="3" t="s">
        <v>515</v>
      </c>
      <c r="D791" s="3" t="s">
        <v>3423</v>
      </c>
      <c r="E791" s="2" t="s">
        <v>3589</v>
      </c>
      <c r="F791" s="2" t="s">
        <v>899</v>
      </c>
      <c r="G791" s="148"/>
      <c r="H791" s="148"/>
      <c r="J791" s="1" t="s">
        <v>3590</v>
      </c>
      <c r="K791" s="10" t="s">
        <v>3591</v>
      </c>
      <c r="L791" s="13" t="s">
        <v>3592</v>
      </c>
      <c r="M791" s="7" t="s">
        <v>3593</v>
      </c>
      <c r="N791" s="7"/>
      <c r="O791" s="7"/>
      <c r="P791" s="7"/>
      <c r="Q791" s="7"/>
      <c r="R791" s="7"/>
      <c r="S791" s="141"/>
      <c r="T791" s="7"/>
    </row>
    <row r="792" spans="1:20" hidden="1">
      <c r="A792" s="38">
        <v>241112000210</v>
      </c>
      <c r="B792" s="147" t="s">
        <v>867</v>
      </c>
      <c r="C792" s="3" t="s">
        <v>515</v>
      </c>
      <c r="D792" s="3" t="s">
        <v>3423</v>
      </c>
      <c r="E792" s="2" t="s">
        <v>3594</v>
      </c>
      <c r="F792" s="2" t="s">
        <v>946</v>
      </c>
      <c r="G792" s="148"/>
      <c r="H792" s="148"/>
      <c r="J792" s="1" t="s">
        <v>3595</v>
      </c>
      <c r="K792" s="15" t="s">
        <v>3596</v>
      </c>
      <c r="L792" s="13" t="s">
        <v>3597</v>
      </c>
      <c r="M792" s="7" t="s">
        <v>3598</v>
      </c>
      <c r="N792" s="7"/>
      <c r="O792" s="7"/>
      <c r="P792" s="7"/>
      <c r="Q792" s="7"/>
      <c r="R792" s="7"/>
      <c r="S792" s="141"/>
      <c r="T792" s="7"/>
    </row>
    <row r="793" spans="1:20" hidden="1">
      <c r="A793" s="38">
        <v>241112000211</v>
      </c>
      <c r="B793" s="147" t="s">
        <v>867</v>
      </c>
      <c r="C793" s="3" t="s">
        <v>515</v>
      </c>
      <c r="D793" s="3" t="s">
        <v>3423</v>
      </c>
      <c r="E793" s="2" t="s">
        <v>3599</v>
      </c>
      <c r="F793" s="2" t="s">
        <v>2943</v>
      </c>
      <c r="G793" s="148"/>
      <c r="H793" s="148"/>
      <c r="J793" s="1" t="s">
        <v>3600</v>
      </c>
      <c r="K793" s="10" t="s">
        <v>3601</v>
      </c>
      <c r="L793" s="13" t="s">
        <v>3602</v>
      </c>
      <c r="M793" s="7" t="s">
        <v>3603</v>
      </c>
      <c r="N793" s="7"/>
      <c r="O793" s="7"/>
      <c r="P793" s="7"/>
      <c r="Q793" s="7"/>
      <c r="R793" s="7"/>
      <c r="S793" s="141"/>
      <c r="T793" s="7"/>
    </row>
    <row r="794" spans="1:20" hidden="1">
      <c r="A794" s="38">
        <v>250331151801</v>
      </c>
      <c r="B794" s="147" t="s">
        <v>867</v>
      </c>
      <c r="C794" s="3" t="s">
        <v>515</v>
      </c>
      <c r="D794" s="3" t="s">
        <v>3423</v>
      </c>
      <c r="E794" s="2" t="s">
        <v>3604</v>
      </c>
      <c r="F794" s="2" t="s">
        <v>3605</v>
      </c>
      <c r="G794" s="148"/>
      <c r="H794" s="148"/>
      <c r="J794" s="10" t="s">
        <v>3606</v>
      </c>
      <c r="K794" s="14"/>
      <c r="L794" s="13"/>
      <c r="M794" s="7"/>
      <c r="N794" s="7" t="s">
        <v>3607</v>
      </c>
      <c r="O794" s="7"/>
      <c r="P794" s="7"/>
      <c r="Q794" s="7"/>
      <c r="R794" s="7"/>
      <c r="S794" s="141"/>
      <c r="T794" s="7"/>
    </row>
    <row r="795" spans="1:20" hidden="1">
      <c r="A795" s="38">
        <v>250324131111</v>
      </c>
      <c r="B795" s="147" t="s">
        <v>867</v>
      </c>
      <c r="C795" s="3" t="s">
        <v>515</v>
      </c>
      <c r="D795" s="3" t="s">
        <v>3423</v>
      </c>
      <c r="E795" s="2" t="s">
        <v>3608</v>
      </c>
      <c r="F795" s="2" t="s">
        <v>1526</v>
      </c>
      <c r="G795" s="148"/>
      <c r="H795" s="148"/>
      <c r="J795" s="10" t="s">
        <v>3609</v>
      </c>
      <c r="K795" s="14"/>
      <c r="L795" s="13"/>
      <c r="M795" s="7"/>
      <c r="N795" s="7"/>
      <c r="O795" s="7"/>
      <c r="P795" s="7"/>
      <c r="Q795" s="7"/>
      <c r="R795" s="7"/>
      <c r="S795" s="141"/>
      <c r="T795" s="7"/>
    </row>
    <row r="796" spans="1:20" hidden="1">
      <c r="A796" s="38">
        <v>241112000213</v>
      </c>
      <c r="B796" s="147" t="s">
        <v>867</v>
      </c>
      <c r="C796" s="3" t="s">
        <v>515</v>
      </c>
      <c r="D796" s="3" t="s">
        <v>3423</v>
      </c>
      <c r="E796" s="2" t="s">
        <v>3140</v>
      </c>
      <c r="F796" s="2" t="s">
        <v>1699</v>
      </c>
      <c r="G796" s="148"/>
      <c r="H796" s="148"/>
      <c r="J796" s="1" t="s">
        <v>3610</v>
      </c>
      <c r="K796" s="10"/>
      <c r="L796" s="13" t="s">
        <v>3611</v>
      </c>
      <c r="M796" s="7" t="s">
        <v>3612</v>
      </c>
      <c r="N796" s="7" t="s">
        <v>3613</v>
      </c>
      <c r="O796" s="7"/>
      <c r="P796" s="7"/>
      <c r="Q796" s="7"/>
      <c r="R796" s="7"/>
      <c r="S796" s="141"/>
      <c r="T796" s="7"/>
    </row>
    <row r="797" spans="1:20" hidden="1">
      <c r="A797" s="38">
        <v>250414115102</v>
      </c>
      <c r="B797" s="147" t="s">
        <v>867</v>
      </c>
      <c r="C797" s="3" t="s">
        <v>515</v>
      </c>
      <c r="D797" s="3" t="s">
        <v>3423</v>
      </c>
      <c r="E797" s="2" t="s">
        <v>3614</v>
      </c>
      <c r="F797" s="2" t="s">
        <v>1014</v>
      </c>
      <c r="G797" s="148"/>
      <c r="H797" s="148"/>
      <c r="J797" s="10" t="s">
        <v>3615</v>
      </c>
      <c r="K797" s="14"/>
      <c r="L797" s="13"/>
      <c r="M797" s="7"/>
      <c r="N797" s="7" t="s">
        <v>3616</v>
      </c>
      <c r="O797" s="7"/>
      <c r="P797" s="7"/>
      <c r="Q797" s="7"/>
      <c r="R797" s="7"/>
      <c r="S797" s="141"/>
      <c r="T797" s="7"/>
    </row>
    <row r="798" spans="1:20" hidden="1">
      <c r="A798" s="38">
        <v>250414115100</v>
      </c>
      <c r="B798" s="147" t="s">
        <v>867</v>
      </c>
      <c r="C798" s="3" t="s">
        <v>515</v>
      </c>
      <c r="D798" s="3" t="s">
        <v>3423</v>
      </c>
      <c r="E798" s="2" t="s">
        <v>3617</v>
      </c>
      <c r="F798" s="2" t="s">
        <v>1014</v>
      </c>
      <c r="G798" s="148"/>
      <c r="H798" s="148"/>
      <c r="J798" s="10" t="s">
        <v>3618</v>
      </c>
      <c r="K798" s="14"/>
      <c r="L798" s="13"/>
      <c r="M798" s="7"/>
      <c r="N798" s="7" t="s">
        <v>3619</v>
      </c>
      <c r="O798" s="7"/>
      <c r="P798" s="7"/>
      <c r="Q798" s="7"/>
      <c r="R798" s="7"/>
      <c r="S798" s="141"/>
      <c r="T798" s="7"/>
    </row>
    <row r="799" spans="1:20" hidden="1">
      <c r="A799" s="38">
        <v>250422133703</v>
      </c>
      <c r="B799" s="147" t="s">
        <v>867</v>
      </c>
      <c r="C799" s="3" t="s">
        <v>515</v>
      </c>
      <c r="D799" s="3" t="s">
        <v>3423</v>
      </c>
      <c r="E799" s="2" t="s">
        <v>3620</v>
      </c>
      <c r="F799" s="2" t="s">
        <v>1279</v>
      </c>
      <c r="G799" s="148"/>
      <c r="H799" s="148"/>
      <c r="J799" s="10" t="s">
        <v>3621</v>
      </c>
      <c r="K799" s="14"/>
      <c r="L799" s="13"/>
      <c r="M799" s="7"/>
      <c r="N799" s="7" t="s">
        <v>3622</v>
      </c>
      <c r="O799" s="7"/>
      <c r="P799" s="7"/>
      <c r="Q799" s="7"/>
      <c r="R799" s="7"/>
      <c r="S799" s="141"/>
      <c r="T799" s="7"/>
    </row>
    <row r="800" spans="1:20" hidden="1">
      <c r="A800" s="38">
        <v>250414115101</v>
      </c>
      <c r="B800" s="147" t="s">
        <v>867</v>
      </c>
      <c r="C800" s="3" t="s">
        <v>515</v>
      </c>
      <c r="D800" s="3" t="s">
        <v>3423</v>
      </c>
      <c r="E800" s="2" t="s">
        <v>3623</v>
      </c>
      <c r="F800" s="2" t="s">
        <v>1014</v>
      </c>
      <c r="G800" s="148"/>
      <c r="H800" s="148"/>
      <c r="J800" s="10" t="s">
        <v>3624</v>
      </c>
      <c r="K800" s="14"/>
      <c r="L800" s="13"/>
      <c r="M800" s="7"/>
      <c r="N800" s="7" t="s">
        <v>3625</v>
      </c>
      <c r="O800" s="7"/>
      <c r="P800" s="7"/>
      <c r="Q800" s="7"/>
      <c r="R800" s="7"/>
      <c r="S800" s="141"/>
      <c r="T800" s="7"/>
    </row>
    <row r="801" spans="1:20" hidden="1">
      <c r="A801" s="38">
        <v>250327121303</v>
      </c>
      <c r="B801" s="147" t="s">
        <v>867</v>
      </c>
      <c r="C801" s="3" t="s">
        <v>515</v>
      </c>
      <c r="D801" s="3" t="s">
        <v>3423</v>
      </c>
      <c r="E801" s="2" t="s">
        <v>3626</v>
      </c>
      <c r="F801" s="2" t="s">
        <v>1126</v>
      </c>
      <c r="G801" s="148"/>
      <c r="H801" s="148"/>
      <c r="J801" s="10" t="s">
        <v>3627</v>
      </c>
      <c r="K801" s="14"/>
      <c r="L801" s="13"/>
      <c r="M801" s="7"/>
      <c r="N801" s="7"/>
      <c r="O801" s="7"/>
      <c r="P801" s="7"/>
      <c r="Q801" s="7"/>
      <c r="R801" s="7"/>
      <c r="S801" s="141"/>
      <c r="T801" s="7"/>
    </row>
    <row r="802" spans="1:20" hidden="1">
      <c r="A802" s="38">
        <v>250425100308</v>
      </c>
      <c r="B802" s="149"/>
      <c r="C802" s="3" t="s">
        <v>515</v>
      </c>
      <c r="D802" s="3" t="s">
        <v>3423</v>
      </c>
      <c r="E802" s="2" t="s">
        <v>3628</v>
      </c>
      <c r="F802" s="2" t="s">
        <v>1014</v>
      </c>
      <c r="G802" s="48"/>
      <c r="H802" s="150"/>
      <c r="J802" s="10" t="s">
        <v>3629</v>
      </c>
      <c r="K802" s="14"/>
      <c r="L802" s="13"/>
      <c r="M802" s="7"/>
      <c r="N802" s="7" t="s">
        <v>3630</v>
      </c>
      <c r="O802" s="7"/>
      <c r="P802" s="7"/>
      <c r="Q802" s="7"/>
      <c r="R802" s="7"/>
      <c r="S802" s="141"/>
      <c r="T802" s="7"/>
    </row>
    <row r="803" spans="1:20" hidden="1">
      <c r="A803" s="38">
        <v>250331112001</v>
      </c>
      <c r="B803" s="147" t="s">
        <v>867</v>
      </c>
      <c r="C803" s="3" t="s">
        <v>515</v>
      </c>
      <c r="D803" s="3" t="s">
        <v>3423</v>
      </c>
      <c r="E803" s="2" t="s">
        <v>3631</v>
      </c>
      <c r="F803" s="2" t="s">
        <v>3632</v>
      </c>
      <c r="G803" s="148"/>
      <c r="H803" s="148"/>
      <c r="J803" s="1" t="s">
        <v>3633</v>
      </c>
      <c r="K803" s="10" t="s">
        <v>3490</v>
      </c>
      <c r="L803" s="13"/>
      <c r="M803" s="7"/>
      <c r="N803" s="7"/>
      <c r="O803" s="7"/>
      <c r="P803" s="7"/>
      <c r="Q803" s="7"/>
      <c r="R803" s="7"/>
      <c r="S803" s="141"/>
      <c r="T803" s="7"/>
    </row>
    <row r="804" spans="1:20" hidden="1">
      <c r="A804" s="38">
        <v>241112000216</v>
      </c>
      <c r="B804" s="147" t="s">
        <v>867</v>
      </c>
      <c r="C804" s="3" t="s">
        <v>515</v>
      </c>
      <c r="D804" s="3" t="s">
        <v>3423</v>
      </c>
      <c r="E804" s="2" t="s">
        <v>3634</v>
      </c>
      <c r="F804" s="2" t="s">
        <v>946</v>
      </c>
      <c r="G804" s="148"/>
      <c r="H804" s="148"/>
      <c r="J804" s="1" t="s">
        <v>3635</v>
      </c>
      <c r="K804" s="10"/>
      <c r="L804" s="13" t="s">
        <v>3636</v>
      </c>
      <c r="M804" s="7" t="s">
        <v>3637</v>
      </c>
      <c r="N804" s="7"/>
      <c r="O804" s="7"/>
      <c r="P804" s="7"/>
      <c r="Q804" s="7"/>
      <c r="R804" s="7"/>
      <c r="S804" s="141"/>
      <c r="T804" s="7"/>
    </row>
    <row r="805" spans="1:20" hidden="1">
      <c r="A805" s="38">
        <v>250213171805</v>
      </c>
      <c r="B805" s="147" t="s">
        <v>867</v>
      </c>
      <c r="C805" s="3" t="s">
        <v>515</v>
      </c>
      <c r="D805" s="5" t="s">
        <v>3423</v>
      </c>
      <c r="E805" t="s">
        <v>3638</v>
      </c>
      <c r="F805" s="2" t="s">
        <v>1622</v>
      </c>
      <c r="G805" s="148"/>
      <c r="H805" s="148"/>
      <c r="J805" s="10" t="s">
        <v>3639</v>
      </c>
      <c r="K805" s="10"/>
      <c r="L805" s="13" t="s">
        <v>3640</v>
      </c>
      <c r="M805" s="7"/>
      <c r="N805" s="7"/>
      <c r="O805" s="7"/>
      <c r="P805" s="7"/>
      <c r="Q805" s="7"/>
      <c r="R805" s="7"/>
      <c r="S805" s="141"/>
      <c r="T805" s="7"/>
    </row>
    <row r="806" spans="1:20" hidden="1">
      <c r="A806" s="38">
        <v>250324131112</v>
      </c>
      <c r="B806" s="147" t="s">
        <v>867</v>
      </c>
      <c r="C806" s="3" t="s">
        <v>515</v>
      </c>
      <c r="D806" s="3" t="s">
        <v>3423</v>
      </c>
      <c r="E806" s="2" t="s">
        <v>3641</v>
      </c>
      <c r="F806" s="2" t="s">
        <v>3642</v>
      </c>
      <c r="G806" s="148"/>
      <c r="H806" s="148"/>
      <c r="J806" s="10" t="s">
        <v>3643</v>
      </c>
      <c r="K806" s="14"/>
      <c r="L806" s="13"/>
      <c r="M806" s="7"/>
      <c r="N806" s="7"/>
      <c r="O806" s="7"/>
      <c r="P806" s="7"/>
      <c r="Q806" s="7"/>
      <c r="R806" s="7"/>
      <c r="S806" s="141"/>
      <c r="T806" s="7"/>
    </row>
    <row r="807" spans="1:20" hidden="1">
      <c r="A807" s="38">
        <v>250324131110</v>
      </c>
      <c r="B807" s="147" t="s">
        <v>867</v>
      </c>
      <c r="C807" s="3" t="s">
        <v>515</v>
      </c>
      <c r="D807" s="3" t="s">
        <v>3423</v>
      </c>
      <c r="E807" s="2" t="s">
        <v>3644</v>
      </c>
      <c r="F807" s="2" t="s">
        <v>912</v>
      </c>
      <c r="G807" s="148"/>
      <c r="H807" s="148"/>
      <c r="J807" s="10" t="s">
        <v>3645</v>
      </c>
      <c r="K807" s="14"/>
      <c r="L807" s="13"/>
      <c r="M807" s="7"/>
      <c r="N807" s="7"/>
      <c r="O807" s="7"/>
      <c r="P807" s="7"/>
      <c r="Q807" s="7"/>
      <c r="R807" s="7"/>
      <c r="S807" s="141"/>
      <c r="T807" s="7"/>
    </row>
    <row r="808" spans="1:20" hidden="1">
      <c r="A808" s="38">
        <v>250324131115</v>
      </c>
      <c r="B808" s="147" t="s">
        <v>867</v>
      </c>
      <c r="C808" s="3" t="s">
        <v>515</v>
      </c>
      <c r="D808" s="3" t="s">
        <v>3423</v>
      </c>
      <c r="E808" s="2" t="s">
        <v>3646</v>
      </c>
      <c r="F808" s="2" t="s">
        <v>3647</v>
      </c>
      <c r="G808" s="148"/>
      <c r="H808" s="148"/>
      <c r="J808" s="10" t="s">
        <v>3648</v>
      </c>
      <c r="K808" s="14"/>
      <c r="L808" s="13"/>
      <c r="M808" s="7"/>
      <c r="N808" s="7"/>
      <c r="O808" s="7"/>
      <c r="P808" s="7"/>
      <c r="Q808" s="7"/>
      <c r="R808" s="7"/>
      <c r="S808" s="141"/>
      <c r="T808" s="7"/>
    </row>
    <row r="809" spans="1:20" hidden="1">
      <c r="A809" s="38">
        <v>250408142400</v>
      </c>
      <c r="B809" s="147" t="s">
        <v>867</v>
      </c>
      <c r="C809" s="3" t="s">
        <v>515</v>
      </c>
      <c r="D809" s="3" t="s">
        <v>3423</v>
      </c>
      <c r="E809" s="2" t="s">
        <v>3649</v>
      </c>
      <c r="F809" s="2" t="s">
        <v>1014</v>
      </c>
      <c r="G809" s="148"/>
      <c r="H809" s="148"/>
      <c r="J809" s="10" t="s">
        <v>3650</v>
      </c>
      <c r="K809" s="14"/>
      <c r="L809" s="13" t="s">
        <v>3651</v>
      </c>
      <c r="M809" s="7"/>
      <c r="N809" s="7"/>
      <c r="O809" s="7">
        <v>95</v>
      </c>
      <c r="P809" s="7"/>
      <c r="Q809" s="7"/>
      <c r="R809" s="7"/>
      <c r="S809" s="141"/>
      <c r="T809" s="7"/>
    </row>
    <row r="810" spans="1:20" hidden="1">
      <c r="A810" s="38">
        <v>241112000263</v>
      </c>
      <c r="B810" s="147" t="s">
        <v>867</v>
      </c>
      <c r="C810" s="3" t="s">
        <v>515</v>
      </c>
      <c r="D810" s="3" t="s">
        <v>3423</v>
      </c>
      <c r="E810" s="2" t="s">
        <v>3252</v>
      </c>
      <c r="F810" s="2" t="s">
        <v>3253</v>
      </c>
      <c r="G810" s="148"/>
      <c r="H810" s="148"/>
      <c r="J810" s="1" t="s">
        <v>3254</v>
      </c>
      <c r="K810" s="10"/>
      <c r="L810" s="13" t="s">
        <v>3248</v>
      </c>
      <c r="M810" s="7"/>
      <c r="N810" s="7"/>
      <c r="O810" s="7">
        <v>39</v>
      </c>
      <c r="P810" s="7"/>
      <c r="Q810" s="7"/>
      <c r="R810" s="7"/>
      <c r="S810" s="141"/>
      <c r="T810" s="7"/>
    </row>
    <row r="811" spans="1:20" hidden="1">
      <c r="A811" s="38">
        <v>241112000217</v>
      </c>
      <c r="B811" s="147" t="s">
        <v>867</v>
      </c>
      <c r="C811" s="3" t="s">
        <v>515</v>
      </c>
      <c r="D811" s="3" t="s">
        <v>3423</v>
      </c>
      <c r="E811" s="2" t="s">
        <v>3652</v>
      </c>
      <c r="F811" s="2" t="s">
        <v>1029</v>
      </c>
      <c r="G811" s="148"/>
      <c r="H811" s="148"/>
      <c r="J811" s="1" t="s">
        <v>3653</v>
      </c>
      <c r="K811" s="10"/>
      <c r="L811" s="13" t="s">
        <v>3654</v>
      </c>
      <c r="M811" s="7" t="s">
        <v>3655</v>
      </c>
      <c r="N811" s="7"/>
      <c r="O811" s="7"/>
      <c r="P811" s="7"/>
      <c r="Q811" s="7"/>
      <c r="R811" s="7"/>
      <c r="S811" s="141"/>
      <c r="T811" s="7"/>
    </row>
    <row r="812" spans="1:20" hidden="1">
      <c r="A812" s="38">
        <v>241112000218</v>
      </c>
      <c r="B812" s="147" t="s">
        <v>867</v>
      </c>
      <c r="C812" s="3" t="s">
        <v>515</v>
      </c>
      <c r="D812" s="3" t="s">
        <v>3423</v>
      </c>
      <c r="E812" s="2" t="s">
        <v>3656</v>
      </c>
      <c r="F812" s="2" t="s">
        <v>2943</v>
      </c>
      <c r="G812" s="148"/>
      <c r="H812" s="148"/>
      <c r="J812" s="1" t="s">
        <v>3657</v>
      </c>
      <c r="K812" s="10"/>
      <c r="L812" s="13" t="s">
        <v>3658</v>
      </c>
      <c r="M812" s="7" t="s">
        <v>3659</v>
      </c>
      <c r="N812" s="7"/>
      <c r="O812" s="7"/>
      <c r="P812" s="7"/>
      <c r="Q812" s="7"/>
      <c r="R812" s="7"/>
      <c r="S812" s="141"/>
      <c r="T812" s="7"/>
    </row>
    <row r="813" spans="1:20" hidden="1">
      <c r="A813" s="38">
        <v>250425084000</v>
      </c>
      <c r="B813" s="149"/>
      <c r="C813" s="3" t="s">
        <v>515</v>
      </c>
      <c r="D813" s="3" t="s">
        <v>3423</v>
      </c>
      <c r="E813" s="2" t="s">
        <v>3660</v>
      </c>
      <c r="F813" s="2" t="s">
        <v>1014</v>
      </c>
      <c r="G813" s="148"/>
      <c r="H813" s="148"/>
      <c r="J813" s="1" t="s">
        <v>3661</v>
      </c>
      <c r="K813" s="14"/>
      <c r="L813" s="13"/>
      <c r="M813" s="7"/>
      <c r="N813" s="7"/>
      <c r="O813" s="7"/>
      <c r="P813" s="7"/>
      <c r="Q813" s="7"/>
      <c r="R813" s="7"/>
      <c r="S813" s="141"/>
      <c r="T813" s="7"/>
    </row>
    <row r="814" spans="1:20" hidden="1">
      <c r="A814" s="38">
        <v>241112000219</v>
      </c>
      <c r="B814" s="147" t="s">
        <v>867</v>
      </c>
      <c r="C814" s="3" t="s">
        <v>515</v>
      </c>
      <c r="D814" s="3" t="s">
        <v>3423</v>
      </c>
      <c r="E814" s="2" t="s">
        <v>3662</v>
      </c>
      <c r="F814" s="2" t="s">
        <v>946</v>
      </c>
      <c r="G814" s="148"/>
      <c r="H814" s="148"/>
      <c r="J814" s="1" t="s">
        <v>3663</v>
      </c>
      <c r="K814" s="10" t="s">
        <v>3664</v>
      </c>
      <c r="L814" s="13" t="s">
        <v>3665</v>
      </c>
      <c r="M814" s="7" t="s">
        <v>3666</v>
      </c>
      <c r="N814" s="7"/>
      <c r="O814" s="7"/>
      <c r="P814" s="7"/>
      <c r="Q814" s="7"/>
      <c r="R814" s="7"/>
      <c r="S814" s="141"/>
      <c r="T814" s="7"/>
    </row>
    <row r="815" spans="1:20" hidden="1">
      <c r="A815" s="38">
        <v>241112000220</v>
      </c>
      <c r="B815" s="147" t="s">
        <v>867</v>
      </c>
      <c r="C815" s="3" t="s">
        <v>515</v>
      </c>
      <c r="D815" s="3" t="s">
        <v>3423</v>
      </c>
      <c r="E815" s="2" t="s">
        <v>3667</v>
      </c>
      <c r="F815" s="2" t="s">
        <v>946</v>
      </c>
      <c r="G815" s="148"/>
      <c r="H815" s="148"/>
      <c r="J815" s="1" t="s">
        <v>3668</v>
      </c>
      <c r="K815" s="10" t="s">
        <v>3664</v>
      </c>
      <c r="L815" s="13" t="s">
        <v>3669</v>
      </c>
      <c r="M815" s="7" t="s">
        <v>3670</v>
      </c>
      <c r="N815" s="7"/>
      <c r="O815" s="7"/>
      <c r="P815" s="7"/>
      <c r="Q815" s="7"/>
      <c r="R815" s="7"/>
      <c r="S815" s="141"/>
      <c r="T815" s="7"/>
    </row>
    <row r="816" spans="1:20" hidden="1">
      <c r="A816" s="38">
        <v>250324131113</v>
      </c>
      <c r="B816" s="147" t="s">
        <v>867</v>
      </c>
      <c r="C816" s="3" t="s">
        <v>515</v>
      </c>
      <c r="D816" s="3" t="s">
        <v>3423</v>
      </c>
      <c r="E816" s="2" t="s">
        <v>2926</v>
      </c>
      <c r="F816" s="2" t="s">
        <v>2927</v>
      </c>
      <c r="G816" s="148"/>
      <c r="H816" s="148"/>
      <c r="J816" s="10" t="s">
        <v>2928</v>
      </c>
      <c r="K816" s="14"/>
      <c r="L816" s="13"/>
      <c r="M816" s="7"/>
      <c r="N816" s="7"/>
      <c r="O816" s="7"/>
      <c r="P816" s="7"/>
      <c r="Q816" s="7"/>
      <c r="R816" s="7"/>
      <c r="S816" s="141"/>
      <c r="T816" s="7"/>
    </row>
    <row r="817" spans="1:20" hidden="1">
      <c r="A817" s="38">
        <v>250324131114</v>
      </c>
      <c r="B817" s="147" t="s">
        <v>867</v>
      </c>
      <c r="C817" s="3" t="s">
        <v>515</v>
      </c>
      <c r="D817" s="3" t="s">
        <v>3423</v>
      </c>
      <c r="E817" s="2" t="s">
        <v>2929</v>
      </c>
      <c r="F817" s="2" t="s">
        <v>1526</v>
      </c>
      <c r="G817" s="148"/>
      <c r="H817" s="148"/>
      <c r="J817" s="10" t="s">
        <v>2930</v>
      </c>
      <c r="K817" s="14"/>
      <c r="L817" s="13"/>
      <c r="M817" s="7"/>
      <c r="N817" s="7"/>
      <c r="O817" s="7"/>
      <c r="P817" s="7"/>
      <c r="Q817" s="7"/>
      <c r="R817" s="7"/>
      <c r="S817" s="141"/>
      <c r="T817" s="7"/>
    </row>
    <row r="818" spans="1:20" hidden="1">
      <c r="A818" s="38">
        <v>250317124401</v>
      </c>
      <c r="B818" s="147" t="s">
        <v>867</v>
      </c>
      <c r="C818" s="3" t="s">
        <v>515</v>
      </c>
      <c r="D818" s="3" t="s">
        <v>3423</v>
      </c>
      <c r="E818" s="2" t="s">
        <v>3671</v>
      </c>
      <c r="F818" s="2" t="s">
        <v>3274</v>
      </c>
      <c r="G818" s="148"/>
      <c r="H818" s="148"/>
      <c r="J818" s="10" t="s">
        <v>3672</v>
      </c>
      <c r="K818" s="14"/>
      <c r="L818" s="13"/>
      <c r="M818" s="7"/>
      <c r="N818" s="7"/>
      <c r="O818" s="7"/>
      <c r="P818" s="7"/>
      <c r="Q818" s="7"/>
      <c r="R818" s="7"/>
      <c r="S818" s="141"/>
      <c r="T818" s="7"/>
    </row>
    <row r="819" spans="1:20" hidden="1">
      <c r="A819" s="38">
        <v>250425200811</v>
      </c>
      <c r="B819" s="149"/>
      <c r="C819" s="3" t="s">
        <v>515</v>
      </c>
      <c r="D819" s="3" t="s">
        <v>3423</v>
      </c>
      <c r="E819" s="2" t="s">
        <v>3673</v>
      </c>
      <c r="F819" s="2" t="s">
        <v>1363</v>
      </c>
      <c r="G819" s="48"/>
      <c r="H819" s="150"/>
      <c r="J819" s="10" t="s">
        <v>3674</v>
      </c>
      <c r="K819" s="14"/>
      <c r="L819" s="13"/>
      <c r="M819" s="7"/>
      <c r="N819" s="7" t="s">
        <v>3675</v>
      </c>
      <c r="O819" s="7"/>
      <c r="P819" s="7"/>
      <c r="Q819" s="7"/>
      <c r="R819" s="7"/>
      <c r="S819" s="141" t="s">
        <v>949</v>
      </c>
      <c r="T819" s="7"/>
    </row>
    <row r="820" spans="1:20" hidden="1">
      <c r="A820" s="38">
        <v>250423100402</v>
      </c>
      <c r="B820" s="147" t="s">
        <v>867</v>
      </c>
      <c r="C820" s="3" t="s">
        <v>515</v>
      </c>
      <c r="D820" s="3" t="s">
        <v>3423</v>
      </c>
      <c r="E820" s="2" t="s">
        <v>3676</v>
      </c>
      <c r="F820" s="2" t="s">
        <v>946</v>
      </c>
      <c r="G820" s="148"/>
      <c r="H820" s="148"/>
      <c r="J820" s="10" t="s">
        <v>3677</v>
      </c>
      <c r="K820" s="14"/>
      <c r="L820" s="13"/>
      <c r="M820" s="7"/>
      <c r="N820" s="7" t="s">
        <v>2997</v>
      </c>
      <c r="O820" s="7"/>
      <c r="P820" s="7"/>
      <c r="Q820" s="7"/>
      <c r="R820" s="7"/>
      <c r="S820" s="141" t="s">
        <v>949</v>
      </c>
      <c r="T820" s="7"/>
    </row>
    <row r="821" spans="1:20" hidden="1">
      <c r="A821" s="38">
        <v>250423093002</v>
      </c>
      <c r="B821" s="147" t="s">
        <v>867</v>
      </c>
      <c r="C821" s="3" t="s">
        <v>515</v>
      </c>
      <c r="D821" s="3" t="s">
        <v>3423</v>
      </c>
      <c r="E821" s="2" t="s">
        <v>3678</v>
      </c>
      <c r="F821" s="2" t="s">
        <v>1507</v>
      </c>
      <c r="G821" s="148"/>
      <c r="H821" s="148"/>
      <c r="J821" s="10" t="s">
        <v>3679</v>
      </c>
      <c r="K821" s="14"/>
      <c r="L821" s="13"/>
      <c r="M821" s="7"/>
      <c r="N821" s="7" t="s">
        <v>1509</v>
      </c>
      <c r="O821" s="7"/>
      <c r="P821" s="7"/>
      <c r="Q821" s="7"/>
      <c r="R821" s="7"/>
      <c r="S821" s="141" t="s">
        <v>949</v>
      </c>
      <c r="T821" s="7"/>
    </row>
    <row r="822" spans="1:20" hidden="1">
      <c r="A822" s="38">
        <v>250425200802</v>
      </c>
      <c r="B822" s="149"/>
      <c r="C822" s="3" t="s">
        <v>515</v>
      </c>
      <c r="D822" s="3" t="s">
        <v>3423</v>
      </c>
      <c r="E822" s="2" t="s">
        <v>3680</v>
      </c>
      <c r="F822" s="2" t="s">
        <v>969</v>
      </c>
      <c r="G822" s="48"/>
      <c r="H822" s="150"/>
      <c r="J822" s="10" t="s">
        <v>3681</v>
      </c>
      <c r="K822" s="14"/>
      <c r="L822" s="13"/>
      <c r="M822" s="7"/>
      <c r="N822" s="7" t="s">
        <v>3682</v>
      </c>
      <c r="O822" s="7"/>
      <c r="P822" s="7"/>
      <c r="Q822" s="7"/>
      <c r="R822" s="7"/>
      <c r="S822" s="141" t="s">
        <v>949</v>
      </c>
      <c r="T822" s="7"/>
    </row>
    <row r="823" spans="1:20" hidden="1">
      <c r="A823" s="38">
        <v>250425200804</v>
      </c>
      <c r="B823" s="149"/>
      <c r="C823" s="3" t="s">
        <v>515</v>
      </c>
      <c r="D823" s="3" t="s">
        <v>3423</v>
      </c>
      <c r="E823" s="2" t="s">
        <v>3683</v>
      </c>
      <c r="F823" s="2" t="s">
        <v>1363</v>
      </c>
      <c r="G823" s="48"/>
      <c r="H823" s="150"/>
      <c r="J823" s="10" t="s">
        <v>3684</v>
      </c>
      <c r="K823" s="14"/>
      <c r="L823" s="13"/>
      <c r="M823" s="7"/>
      <c r="N823" s="7" t="s">
        <v>3685</v>
      </c>
      <c r="O823" s="7"/>
      <c r="P823" s="7"/>
      <c r="Q823" s="7"/>
      <c r="R823" s="7"/>
      <c r="S823" s="141" t="s">
        <v>949</v>
      </c>
      <c r="T823" s="7"/>
    </row>
    <row r="824" spans="1:20" hidden="1">
      <c r="A824" s="38">
        <v>250418220167</v>
      </c>
      <c r="B824" s="147" t="s">
        <v>867</v>
      </c>
      <c r="C824" s="3" t="s">
        <v>515</v>
      </c>
      <c r="D824" s="3" t="s">
        <v>3423</v>
      </c>
      <c r="E824" s="2" t="s">
        <v>3686</v>
      </c>
      <c r="F824" s="2" t="s">
        <v>1014</v>
      </c>
      <c r="G824" s="148"/>
      <c r="H824" s="148"/>
      <c r="J824" s="10" t="s">
        <v>3687</v>
      </c>
      <c r="K824" s="14"/>
      <c r="L824" s="13"/>
      <c r="M824" s="7"/>
      <c r="N824" s="7"/>
      <c r="O824" s="7"/>
      <c r="P824" s="7"/>
      <c r="Q824" s="7"/>
      <c r="R824" s="7" t="s">
        <v>3688</v>
      </c>
      <c r="S824" s="141" t="s">
        <v>949</v>
      </c>
      <c r="T824" s="7" t="s">
        <v>2127</v>
      </c>
    </row>
    <row r="825" spans="1:20" hidden="1">
      <c r="A825" s="38">
        <v>250425151301</v>
      </c>
      <c r="B825" s="147" t="s">
        <v>867</v>
      </c>
      <c r="C825" s="3" t="s">
        <v>515</v>
      </c>
      <c r="D825" s="3" t="s">
        <v>3423</v>
      </c>
      <c r="E825" s="2" t="s">
        <v>3689</v>
      </c>
      <c r="F825" s="2" t="s">
        <v>2943</v>
      </c>
      <c r="G825" s="148"/>
      <c r="H825" s="148"/>
      <c r="J825" s="10" t="s">
        <v>3690</v>
      </c>
      <c r="K825" s="14"/>
      <c r="L825" s="13"/>
      <c r="M825" s="7"/>
      <c r="N825" s="7"/>
      <c r="O825" s="7"/>
      <c r="P825" s="7"/>
      <c r="Q825" s="7"/>
      <c r="R825" s="7"/>
      <c r="S825" s="141"/>
      <c r="T825" s="7"/>
    </row>
    <row r="826" spans="1:20" hidden="1">
      <c r="A826" s="38">
        <v>250425200801</v>
      </c>
      <c r="B826" s="149"/>
      <c r="C826" s="3" t="s">
        <v>515</v>
      </c>
      <c r="D826" s="3" t="s">
        <v>3423</v>
      </c>
      <c r="E826" s="2" t="s">
        <v>3691</v>
      </c>
      <c r="F826" s="2" t="s">
        <v>946</v>
      </c>
      <c r="G826" s="48"/>
      <c r="H826" s="150"/>
      <c r="J826" s="10" t="s">
        <v>3692</v>
      </c>
      <c r="K826" s="14"/>
      <c r="L826" s="13"/>
      <c r="M826" s="7"/>
      <c r="N826" s="7" t="s">
        <v>3693</v>
      </c>
      <c r="O826" s="7"/>
      <c r="P826" s="7"/>
      <c r="Q826" s="7"/>
      <c r="R826" s="7"/>
      <c r="S826" s="141" t="s">
        <v>949</v>
      </c>
      <c r="T826" s="7"/>
    </row>
    <row r="827" spans="1:20" hidden="1">
      <c r="A827" s="38">
        <v>250418220165</v>
      </c>
      <c r="B827" s="147" t="s">
        <v>867</v>
      </c>
      <c r="C827" s="3" t="s">
        <v>515</v>
      </c>
      <c r="D827" s="3" t="s">
        <v>3423</v>
      </c>
      <c r="E827" s="2" t="s">
        <v>3694</v>
      </c>
      <c r="F827" s="2" t="s">
        <v>2302</v>
      </c>
      <c r="G827" s="148"/>
      <c r="H827" s="148"/>
      <c r="J827" s="10" t="s">
        <v>3695</v>
      </c>
      <c r="K827" s="14"/>
      <c r="L827" s="13"/>
      <c r="M827" s="7"/>
      <c r="N827" s="7"/>
      <c r="O827" s="7"/>
      <c r="P827" s="7"/>
      <c r="Q827" s="7"/>
      <c r="R827" s="7" t="s">
        <v>2395</v>
      </c>
      <c r="S827" s="141" t="s">
        <v>949</v>
      </c>
      <c r="T827" s="7" t="s">
        <v>1145</v>
      </c>
    </row>
    <row r="828" spans="1:20" hidden="1">
      <c r="A828" s="38">
        <v>250423110203</v>
      </c>
      <c r="B828" s="147" t="s">
        <v>867</v>
      </c>
      <c r="C828" s="3" t="s">
        <v>515</v>
      </c>
      <c r="D828" s="3" t="s">
        <v>3423</v>
      </c>
      <c r="E828" s="2" t="s">
        <v>3696</v>
      </c>
      <c r="F828" s="2" t="s">
        <v>3292</v>
      </c>
      <c r="G828" s="148"/>
      <c r="H828" s="148"/>
      <c r="J828" s="10" t="s">
        <v>3697</v>
      </c>
      <c r="K828" s="14"/>
      <c r="L828" s="13"/>
      <c r="M828" s="7"/>
      <c r="N828" s="7" t="s">
        <v>3698</v>
      </c>
      <c r="O828" s="7"/>
      <c r="P828" s="7"/>
      <c r="Q828" s="7"/>
      <c r="R828" s="7"/>
      <c r="S828" s="141" t="s">
        <v>949</v>
      </c>
      <c r="T828" s="7"/>
    </row>
    <row r="829" spans="1:20" hidden="1">
      <c r="A829" s="38">
        <v>250425201610</v>
      </c>
      <c r="B829" s="149"/>
      <c r="C829" s="3" t="s">
        <v>515</v>
      </c>
      <c r="D829" s="3" t="s">
        <v>3423</v>
      </c>
      <c r="E829" s="2" t="s">
        <v>3699</v>
      </c>
      <c r="F829" s="2" t="s">
        <v>1324</v>
      </c>
      <c r="G829" s="48"/>
      <c r="H829" s="150"/>
      <c r="J829" s="10" t="s">
        <v>3700</v>
      </c>
      <c r="K829" s="14"/>
      <c r="L829" s="13"/>
      <c r="M829" s="7"/>
      <c r="N829" s="7" t="s">
        <v>3701</v>
      </c>
      <c r="O829" s="7"/>
      <c r="P829" s="7"/>
      <c r="Q829" s="7"/>
      <c r="R829" s="7"/>
      <c r="S829" s="141" t="s">
        <v>949</v>
      </c>
      <c r="T829" s="7"/>
    </row>
    <row r="830" spans="1:20" hidden="1">
      <c r="A830" s="38">
        <v>250425201605</v>
      </c>
      <c r="B830" s="149"/>
      <c r="C830" s="3" t="s">
        <v>515</v>
      </c>
      <c r="D830" s="3" t="s">
        <v>3423</v>
      </c>
      <c r="E830" s="2" t="s">
        <v>3702</v>
      </c>
      <c r="F830" s="2" t="s">
        <v>883</v>
      </c>
      <c r="G830" s="48"/>
      <c r="H830" s="150"/>
      <c r="J830" s="10" t="s">
        <v>3703</v>
      </c>
      <c r="K830" s="14"/>
      <c r="L830" s="13"/>
      <c r="M830" s="7"/>
      <c r="N830" s="7" t="s">
        <v>3704</v>
      </c>
      <c r="O830" s="7"/>
      <c r="P830" s="7"/>
      <c r="Q830" s="7"/>
      <c r="R830" s="7"/>
      <c r="S830" s="141" t="s">
        <v>949</v>
      </c>
      <c r="T830" s="7"/>
    </row>
    <row r="831" spans="1:20" hidden="1">
      <c r="A831" s="38">
        <v>250425201603</v>
      </c>
      <c r="B831" s="149"/>
      <c r="C831" s="3" t="s">
        <v>515</v>
      </c>
      <c r="D831" s="3" t="s">
        <v>3423</v>
      </c>
      <c r="E831" s="2" t="s">
        <v>3705</v>
      </c>
      <c r="F831" s="2" t="s">
        <v>899</v>
      </c>
      <c r="G831" s="48"/>
      <c r="H831" s="150"/>
      <c r="J831" s="10" t="s">
        <v>3706</v>
      </c>
      <c r="K831" s="14"/>
      <c r="L831" s="13"/>
      <c r="M831" s="7"/>
      <c r="N831" s="7" t="s">
        <v>3707</v>
      </c>
      <c r="O831" s="7"/>
      <c r="P831" s="7"/>
      <c r="Q831" s="7"/>
      <c r="R831" s="7"/>
      <c r="S831" s="141" t="s">
        <v>949</v>
      </c>
      <c r="T831" s="7"/>
    </row>
    <row r="832" spans="1:20" hidden="1">
      <c r="A832" s="38">
        <v>250425201524</v>
      </c>
      <c r="B832" s="149"/>
      <c r="C832" s="3" t="s">
        <v>515</v>
      </c>
      <c r="D832" s="3" t="s">
        <v>3423</v>
      </c>
      <c r="E832" s="2" t="s">
        <v>3708</v>
      </c>
      <c r="F832" s="2" t="s">
        <v>883</v>
      </c>
      <c r="G832" s="48"/>
      <c r="H832" s="150"/>
      <c r="J832" s="10" t="s">
        <v>3709</v>
      </c>
      <c r="K832" s="14"/>
      <c r="L832" s="13"/>
      <c r="M832" s="7"/>
      <c r="N832" s="7" t="s">
        <v>3710</v>
      </c>
      <c r="O832" s="7"/>
      <c r="P832" s="7"/>
      <c r="Q832" s="7"/>
      <c r="R832" s="7"/>
      <c r="S832" s="141" t="s">
        <v>949</v>
      </c>
      <c r="T832" s="7"/>
    </row>
    <row r="833" spans="1:20" hidden="1">
      <c r="A833" s="38">
        <v>250418220168</v>
      </c>
      <c r="B833" s="147" t="s">
        <v>867</v>
      </c>
      <c r="C833" s="3" t="s">
        <v>515</v>
      </c>
      <c r="D833" s="3" t="s">
        <v>3423</v>
      </c>
      <c r="E833" s="2" t="s">
        <v>3711</v>
      </c>
      <c r="F833" s="2" t="s">
        <v>3712</v>
      </c>
      <c r="G833" s="148"/>
      <c r="H833" s="148"/>
      <c r="J833" s="10" t="s">
        <v>3713</v>
      </c>
      <c r="K833" s="14"/>
      <c r="L833" s="13"/>
      <c r="M833" s="7"/>
      <c r="N833" s="7"/>
      <c r="O833" s="7"/>
      <c r="P833" s="7"/>
      <c r="Q833" s="7"/>
      <c r="R833" s="7" t="s">
        <v>3714</v>
      </c>
      <c r="S833" s="141" t="s">
        <v>949</v>
      </c>
      <c r="T833" s="7" t="s">
        <v>1945</v>
      </c>
    </row>
    <row r="834" spans="1:20" hidden="1">
      <c r="A834" s="38">
        <v>250425200810</v>
      </c>
      <c r="B834" s="149"/>
      <c r="C834" s="3" t="s">
        <v>515</v>
      </c>
      <c r="D834" s="3" t="s">
        <v>3423</v>
      </c>
      <c r="E834" s="2" t="s">
        <v>3715</v>
      </c>
      <c r="F834" s="2" t="s">
        <v>3716</v>
      </c>
      <c r="G834" s="48"/>
      <c r="H834" s="150"/>
      <c r="J834" s="10" t="s">
        <v>3717</v>
      </c>
      <c r="K834" s="14"/>
      <c r="L834" s="13"/>
      <c r="M834" s="7"/>
      <c r="N834" s="7" t="s">
        <v>3718</v>
      </c>
      <c r="O834" s="7"/>
      <c r="P834" s="7"/>
      <c r="Q834" s="7"/>
      <c r="R834" s="7"/>
      <c r="S834" s="141" t="s">
        <v>949</v>
      </c>
      <c r="T834" s="7"/>
    </row>
    <row r="835" spans="1:20" hidden="1">
      <c r="A835" s="38">
        <v>250425201006</v>
      </c>
      <c r="B835" s="149"/>
      <c r="C835" s="3" t="s">
        <v>515</v>
      </c>
      <c r="D835" s="3" t="s">
        <v>3423</v>
      </c>
      <c r="E835" s="2" t="s">
        <v>3719</v>
      </c>
      <c r="F835" s="2" t="s">
        <v>2065</v>
      </c>
      <c r="G835" s="48"/>
      <c r="H835" s="150"/>
      <c r="J835" s="10" t="s">
        <v>3720</v>
      </c>
      <c r="K835" s="14"/>
      <c r="L835" s="13"/>
      <c r="M835" s="7"/>
      <c r="N835" s="7" t="s">
        <v>3721</v>
      </c>
      <c r="O835" s="7"/>
      <c r="P835" s="7"/>
      <c r="Q835" s="7"/>
      <c r="R835" s="7"/>
      <c r="S835" s="141" t="s">
        <v>949</v>
      </c>
      <c r="T835" s="7"/>
    </row>
    <row r="836" spans="1:20" hidden="1">
      <c r="A836" s="38">
        <v>250423100400</v>
      </c>
      <c r="B836" s="147" t="s">
        <v>867</v>
      </c>
      <c r="C836" s="3" t="s">
        <v>515</v>
      </c>
      <c r="D836" s="3" t="s">
        <v>3423</v>
      </c>
      <c r="E836" s="2" t="s">
        <v>3722</v>
      </c>
      <c r="F836" s="2" t="s">
        <v>2562</v>
      </c>
      <c r="G836" s="148"/>
      <c r="H836" s="148"/>
      <c r="J836" s="10" t="s">
        <v>3723</v>
      </c>
      <c r="K836" s="14"/>
      <c r="L836" s="13"/>
      <c r="M836" s="7"/>
      <c r="N836" s="7" t="s">
        <v>3000</v>
      </c>
      <c r="O836" s="7"/>
      <c r="P836" s="7"/>
      <c r="Q836" s="7"/>
      <c r="R836" s="7"/>
      <c r="S836" s="141" t="s">
        <v>949</v>
      </c>
      <c r="T836" s="7"/>
    </row>
    <row r="837" spans="1:20" hidden="1">
      <c r="A837" s="38">
        <v>250425201516</v>
      </c>
      <c r="B837" s="149"/>
      <c r="C837" s="3" t="s">
        <v>515</v>
      </c>
      <c r="D837" s="3" t="s">
        <v>3423</v>
      </c>
      <c r="E837" s="2" t="s">
        <v>3724</v>
      </c>
      <c r="F837" s="2" t="s">
        <v>3725</v>
      </c>
      <c r="G837" s="48"/>
      <c r="H837" s="150"/>
      <c r="J837" s="10" t="s">
        <v>3726</v>
      </c>
      <c r="K837" s="14"/>
      <c r="L837" s="13"/>
      <c r="M837" s="7"/>
      <c r="N837" s="7" t="s">
        <v>3727</v>
      </c>
      <c r="O837" s="7"/>
      <c r="P837" s="7"/>
      <c r="Q837" s="7"/>
      <c r="R837" s="7"/>
      <c r="S837" s="141" t="s">
        <v>949</v>
      </c>
      <c r="T837" s="7"/>
    </row>
    <row r="838" spans="1:20" hidden="1">
      <c r="A838" s="38">
        <v>250423104500</v>
      </c>
      <c r="B838" s="147" t="s">
        <v>867</v>
      </c>
      <c r="C838" s="3" t="s">
        <v>515</v>
      </c>
      <c r="D838" s="3" t="s">
        <v>3423</v>
      </c>
      <c r="E838" s="2" t="s">
        <v>3728</v>
      </c>
      <c r="F838" s="2" t="s">
        <v>3729</v>
      </c>
      <c r="G838" s="148"/>
      <c r="H838" s="148"/>
      <c r="J838" s="10" t="s">
        <v>3730</v>
      </c>
      <c r="K838" s="14"/>
      <c r="L838" s="13"/>
      <c r="M838" s="7"/>
      <c r="N838" s="7" t="s">
        <v>2997</v>
      </c>
      <c r="O838" s="7"/>
      <c r="P838" s="7"/>
      <c r="Q838" s="7"/>
      <c r="R838" s="7"/>
      <c r="S838" s="141" t="s">
        <v>949</v>
      </c>
      <c r="T838" s="7"/>
    </row>
    <row r="839" spans="1:20" hidden="1">
      <c r="A839" s="38">
        <v>250423093005</v>
      </c>
      <c r="B839" s="147" t="s">
        <v>867</v>
      </c>
      <c r="C839" s="3" t="s">
        <v>515</v>
      </c>
      <c r="D839" s="3" t="s">
        <v>3423</v>
      </c>
      <c r="E839" s="2" t="s">
        <v>3731</v>
      </c>
      <c r="F839" s="2" t="s">
        <v>1511</v>
      </c>
      <c r="G839" s="148"/>
      <c r="H839" s="148"/>
      <c r="J839" s="10" t="s">
        <v>3732</v>
      </c>
      <c r="K839" s="14"/>
      <c r="L839" s="13"/>
      <c r="M839" s="7"/>
      <c r="N839" s="7" t="s">
        <v>3000</v>
      </c>
      <c r="O839" s="7"/>
      <c r="P839" s="7"/>
      <c r="Q839" s="7"/>
      <c r="R839" s="7"/>
      <c r="S839" s="141" t="s">
        <v>949</v>
      </c>
      <c r="T839" s="7"/>
    </row>
    <row r="840" spans="1:20" hidden="1">
      <c r="A840" s="38">
        <v>250418220169</v>
      </c>
      <c r="B840" s="147" t="s">
        <v>867</v>
      </c>
      <c r="C840" s="3" t="s">
        <v>515</v>
      </c>
      <c r="D840" s="3" t="s">
        <v>3423</v>
      </c>
      <c r="E840" s="2" t="s">
        <v>3733</v>
      </c>
      <c r="F840" s="2" t="s">
        <v>1846</v>
      </c>
      <c r="G840" s="148"/>
      <c r="H840" s="148"/>
      <c r="J840" s="10" t="s">
        <v>3734</v>
      </c>
      <c r="K840" s="14"/>
      <c r="L840" s="13"/>
      <c r="M840" s="7"/>
      <c r="N840" s="7"/>
      <c r="O840" s="7"/>
      <c r="P840" s="7"/>
      <c r="Q840" s="7"/>
      <c r="R840" s="7" t="s">
        <v>3735</v>
      </c>
      <c r="S840" s="141" t="s">
        <v>949</v>
      </c>
      <c r="T840" s="7" t="s">
        <v>2127</v>
      </c>
    </row>
    <row r="841" spans="1:20" hidden="1">
      <c r="A841" s="38">
        <v>250425200809</v>
      </c>
      <c r="B841" s="149"/>
      <c r="C841" s="3" t="s">
        <v>515</v>
      </c>
      <c r="D841" s="3" t="s">
        <v>3423</v>
      </c>
      <c r="E841" s="2" t="s">
        <v>3736</v>
      </c>
      <c r="F841" s="2" t="s">
        <v>946</v>
      </c>
      <c r="G841" s="48"/>
      <c r="H841" s="150"/>
      <c r="J841" s="10" t="s">
        <v>3737</v>
      </c>
      <c r="K841" s="14"/>
      <c r="L841" s="13"/>
      <c r="M841" s="7"/>
      <c r="N841" s="7" t="s">
        <v>3738</v>
      </c>
      <c r="O841" s="7"/>
      <c r="P841" s="7"/>
      <c r="Q841" s="7"/>
      <c r="R841" s="7"/>
      <c r="S841" s="141" t="s">
        <v>949</v>
      </c>
      <c r="T841" s="7"/>
    </row>
    <row r="842" spans="1:20" hidden="1">
      <c r="A842" s="38">
        <v>250425200807</v>
      </c>
      <c r="B842" s="149"/>
      <c r="C842" s="3" t="s">
        <v>515</v>
      </c>
      <c r="D842" s="3" t="s">
        <v>3423</v>
      </c>
      <c r="E842" s="2" t="s">
        <v>3739</v>
      </c>
      <c r="F842" s="2" t="s">
        <v>946</v>
      </c>
      <c r="G842" s="48"/>
      <c r="H842" s="150"/>
      <c r="J842" s="10" t="s">
        <v>3740</v>
      </c>
      <c r="K842" s="14"/>
      <c r="L842" s="13"/>
      <c r="M842" s="7"/>
      <c r="N842" s="7" t="s">
        <v>3741</v>
      </c>
      <c r="O842" s="7"/>
      <c r="P842" s="7"/>
      <c r="Q842" s="7"/>
      <c r="R842" s="7"/>
      <c r="S842" s="141" t="s">
        <v>949</v>
      </c>
      <c r="T842" s="7"/>
    </row>
    <row r="843" spans="1:20" hidden="1">
      <c r="A843" s="38">
        <v>250423100401</v>
      </c>
      <c r="B843" s="147" t="s">
        <v>867</v>
      </c>
      <c r="C843" s="3" t="s">
        <v>515</v>
      </c>
      <c r="D843" s="3" t="s">
        <v>3423</v>
      </c>
      <c r="E843" s="2" t="s">
        <v>3742</v>
      </c>
      <c r="F843" s="2" t="s">
        <v>1511</v>
      </c>
      <c r="G843" s="148"/>
      <c r="H843" s="148"/>
      <c r="J843" s="10" t="s">
        <v>3743</v>
      </c>
      <c r="K843" s="14"/>
      <c r="L843" s="13"/>
      <c r="M843" s="7"/>
      <c r="N843" s="7" t="s">
        <v>3000</v>
      </c>
      <c r="O843" s="7"/>
      <c r="P843" s="7"/>
      <c r="Q843" s="7"/>
      <c r="R843" s="7"/>
      <c r="S843" s="141" t="s">
        <v>949</v>
      </c>
      <c r="T843" s="7"/>
    </row>
    <row r="844" spans="1:20" hidden="1">
      <c r="A844" s="38">
        <v>250425201005</v>
      </c>
      <c r="B844" s="149"/>
      <c r="C844" s="3" t="s">
        <v>515</v>
      </c>
      <c r="D844" s="3" t="s">
        <v>3423</v>
      </c>
      <c r="E844" s="2" t="s">
        <v>3744</v>
      </c>
      <c r="F844" s="2" t="s">
        <v>2065</v>
      </c>
      <c r="G844" s="48"/>
      <c r="H844" s="150"/>
      <c r="J844" s="10" t="s">
        <v>3745</v>
      </c>
      <c r="K844" s="14"/>
      <c r="L844" s="13"/>
      <c r="M844" s="7"/>
      <c r="N844" s="7" t="s">
        <v>3746</v>
      </c>
      <c r="O844" s="7"/>
      <c r="P844" s="7"/>
      <c r="Q844" s="7"/>
      <c r="R844" s="7"/>
      <c r="S844" s="141" t="s">
        <v>949</v>
      </c>
      <c r="T844" s="7"/>
    </row>
    <row r="845" spans="1:20" hidden="1">
      <c r="A845" s="38">
        <v>250418220170</v>
      </c>
      <c r="B845" s="147" t="s">
        <v>867</v>
      </c>
      <c r="C845" s="3" t="s">
        <v>515</v>
      </c>
      <c r="D845" s="3" t="s">
        <v>3423</v>
      </c>
      <c r="E845" s="2" t="s">
        <v>3747</v>
      </c>
      <c r="F845" s="2" t="s">
        <v>3748</v>
      </c>
      <c r="G845" s="148"/>
      <c r="H845" s="148"/>
      <c r="J845" s="10" t="s">
        <v>3749</v>
      </c>
      <c r="K845" s="14"/>
      <c r="L845" s="13"/>
      <c r="M845" s="7"/>
      <c r="N845" s="7"/>
      <c r="O845" s="7"/>
      <c r="P845" s="7"/>
      <c r="Q845" s="7"/>
      <c r="R845" s="7"/>
      <c r="S845" s="141" t="s">
        <v>949</v>
      </c>
      <c r="T845" s="7" t="s">
        <v>1834</v>
      </c>
    </row>
    <row r="846" spans="1:20" hidden="1">
      <c r="A846" s="38">
        <v>250425201007</v>
      </c>
      <c r="B846" s="149"/>
      <c r="C846" s="3" t="s">
        <v>515</v>
      </c>
      <c r="D846" s="3" t="s">
        <v>3423</v>
      </c>
      <c r="E846" s="2" t="s">
        <v>3750</v>
      </c>
      <c r="F846" s="2" t="s">
        <v>3751</v>
      </c>
      <c r="G846" s="48"/>
      <c r="H846" s="150"/>
      <c r="J846" s="10" t="s">
        <v>3752</v>
      </c>
      <c r="K846" s="14"/>
      <c r="L846" s="13"/>
      <c r="M846" s="7"/>
      <c r="N846" s="7" t="s">
        <v>3753</v>
      </c>
      <c r="O846" s="7"/>
      <c r="P846" s="7"/>
      <c r="Q846" s="7"/>
      <c r="R846" s="7"/>
      <c r="S846" s="141" t="s">
        <v>949</v>
      </c>
      <c r="T846" s="7"/>
    </row>
    <row r="847" spans="1:20" hidden="1">
      <c r="A847" s="38">
        <v>250425200813</v>
      </c>
      <c r="B847" s="149"/>
      <c r="C847" s="3" t="s">
        <v>515</v>
      </c>
      <c r="D847" s="3" t="s">
        <v>3423</v>
      </c>
      <c r="E847" s="2" t="s">
        <v>3754</v>
      </c>
      <c r="F847" s="2" t="s">
        <v>3292</v>
      </c>
      <c r="G847" s="48"/>
      <c r="H847" s="150"/>
      <c r="J847" s="10" t="s">
        <v>3755</v>
      </c>
      <c r="K847" s="14"/>
      <c r="L847" s="13"/>
      <c r="M847" s="7"/>
      <c r="N847" s="7" t="s">
        <v>3756</v>
      </c>
      <c r="O847" s="7"/>
      <c r="P847" s="7"/>
      <c r="Q847" s="7"/>
      <c r="R847" s="7"/>
      <c r="S847" s="141" t="s">
        <v>949</v>
      </c>
      <c r="T847" s="7"/>
    </row>
    <row r="848" spans="1:20" hidden="1">
      <c r="A848" s="38">
        <v>2504252007010</v>
      </c>
      <c r="B848" s="149"/>
      <c r="C848" s="3" t="s">
        <v>515</v>
      </c>
      <c r="D848" s="3" t="s">
        <v>3423</v>
      </c>
      <c r="E848" s="2" t="s">
        <v>3757</v>
      </c>
      <c r="F848" s="2" t="s">
        <v>3758</v>
      </c>
      <c r="G848" s="48"/>
      <c r="H848" s="150"/>
      <c r="J848" s="10" t="s">
        <v>3759</v>
      </c>
      <c r="K848" s="14"/>
      <c r="L848" s="13"/>
      <c r="M848" s="7"/>
      <c r="N848" s="7" t="s">
        <v>3760</v>
      </c>
      <c r="O848" s="7"/>
      <c r="P848" s="7"/>
      <c r="Q848" s="7"/>
      <c r="R848" s="7"/>
      <c r="S848" s="141" t="s">
        <v>949</v>
      </c>
      <c r="T848" s="7"/>
    </row>
    <row r="849" spans="1:20" hidden="1">
      <c r="A849" s="38">
        <v>250425201008</v>
      </c>
      <c r="B849" s="149"/>
      <c r="C849" s="3" t="s">
        <v>515</v>
      </c>
      <c r="D849" s="3" t="s">
        <v>3423</v>
      </c>
      <c r="E849" s="2" t="s">
        <v>3761</v>
      </c>
      <c r="F849" s="2" t="s">
        <v>1507</v>
      </c>
      <c r="G849" s="48"/>
      <c r="H849" s="150"/>
      <c r="J849" s="10" t="s">
        <v>3762</v>
      </c>
      <c r="K849" s="14"/>
      <c r="L849" s="13"/>
      <c r="M849" s="7"/>
      <c r="N849" s="7" t="s">
        <v>3763</v>
      </c>
      <c r="O849" s="7"/>
      <c r="P849" s="7"/>
      <c r="Q849" s="7"/>
      <c r="R849" s="7"/>
      <c r="S849" s="141" t="s">
        <v>949</v>
      </c>
      <c r="T849" s="7"/>
    </row>
    <row r="850" spans="1:20" hidden="1">
      <c r="A850" s="38">
        <v>250425201601</v>
      </c>
      <c r="B850" s="149"/>
      <c r="C850" s="3" t="s">
        <v>515</v>
      </c>
      <c r="D850" s="3" t="s">
        <v>3423</v>
      </c>
      <c r="E850" s="2" t="s">
        <v>3764</v>
      </c>
      <c r="F850" s="2" t="s">
        <v>1014</v>
      </c>
      <c r="G850" s="48"/>
      <c r="H850" s="150"/>
      <c r="J850" s="10" t="s">
        <v>3765</v>
      </c>
      <c r="K850" s="14"/>
      <c r="L850" s="13"/>
      <c r="M850" s="7"/>
      <c r="N850" s="7" t="s">
        <v>3766</v>
      </c>
      <c r="O850" s="7"/>
      <c r="P850" s="7"/>
      <c r="Q850" s="7"/>
      <c r="R850" s="7"/>
      <c r="S850" s="141" t="s">
        <v>949</v>
      </c>
      <c r="T850" s="7"/>
    </row>
    <row r="851" spans="1:20" hidden="1">
      <c r="A851" s="38">
        <v>250425201602</v>
      </c>
      <c r="B851" s="149"/>
      <c r="C851" s="3" t="s">
        <v>515</v>
      </c>
      <c r="D851" s="3" t="s">
        <v>3423</v>
      </c>
      <c r="E851" s="2" t="s">
        <v>3767</v>
      </c>
      <c r="F851" s="2" t="s">
        <v>1014</v>
      </c>
      <c r="G851" s="48"/>
      <c r="H851" s="150"/>
      <c r="J851" s="10" t="s">
        <v>3768</v>
      </c>
      <c r="K851" s="14"/>
      <c r="L851" s="13"/>
      <c r="M851" s="7"/>
      <c r="N851" s="7" t="s">
        <v>3769</v>
      </c>
      <c r="O851" s="7"/>
      <c r="P851" s="7"/>
      <c r="Q851" s="7"/>
      <c r="R851" s="7"/>
      <c r="S851" s="141" t="s">
        <v>949</v>
      </c>
      <c r="T851" s="7"/>
    </row>
    <row r="852" spans="1:20" hidden="1">
      <c r="A852" s="38">
        <v>250425200803</v>
      </c>
      <c r="B852" s="149"/>
      <c r="C852" s="3" t="s">
        <v>515</v>
      </c>
      <c r="D852" s="3" t="s">
        <v>3423</v>
      </c>
      <c r="E852" s="2" t="s">
        <v>3770</v>
      </c>
      <c r="F852" s="2" t="s">
        <v>946</v>
      </c>
      <c r="G852" s="48"/>
      <c r="H852" s="150"/>
      <c r="J852" s="10" t="s">
        <v>3771</v>
      </c>
      <c r="K852" s="14"/>
      <c r="L852" s="13"/>
      <c r="M852" s="7"/>
      <c r="N852" s="7" t="s">
        <v>3772</v>
      </c>
      <c r="O852" s="7"/>
      <c r="P852" s="7"/>
      <c r="Q852" s="7"/>
      <c r="R852" s="7"/>
      <c r="S852" s="141" t="s">
        <v>949</v>
      </c>
      <c r="T852" s="7"/>
    </row>
    <row r="853" spans="1:20" hidden="1">
      <c r="A853" s="38">
        <v>250425201525</v>
      </c>
      <c r="B853" s="149"/>
      <c r="C853" s="3" t="s">
        <v>515</v>
      </c>
      <c r="D853" s="3" t="s">
        <v>3423</v>
      </c>
      <c r="E853" s="2" t="s">
        <v>3773</v>
      </c>
      <c r="F853" s="2" t="s">
        <v>1014</v>
      </c>
      <c r="G853" s="48"/>
      <c r="H853" s="150"/>
      <c r="J853" s="10" t="s">
        <v>3774</v>
      </c>
      <c r="K853" s="14"/>
      <c r="L853" s="13"/>
      <c r="M853" s="7"/>
      <c r="N853" s="7" t="s">
        <v>3775</v>
      </c>
      <c r="O853" s="7"/>
      <c r="P853" s="7"/>
      <c r="Q853" s="7"/>
      <c r="R853" s="7"/>
      <c r="S853" s="141" t="s">
        <v>949</v>
      </c>
      <c r="T853" s="7"/>
    </row>
    <row r="854" spans="1:20" hidden="1">
      <c r="A854" s="38">
        <v>250425201606</v>
      </c>
      <c r="B854" s="149"/>
      <c r="C854" s="3" t="s">
        <v>515</v>
      </c>
      <c r="D854" s="3" t="s">
        <v>3423</v>
      </c>
      <c r="E854" s="2" t="s">
        <v>1350</v>
      </c>
      <c r="F854" s="2" t="s">
        <v>883</v>
      </c>
      <c r="G854" s="48"/>
      <c r="H854" s="150"/>
      <c r="J854" s="10" t="s">
        <v>1351</v>
      </c>
      <c r="K854" s="14"/>
      <c r="L854" s="13"/>
      <c r="M854" s="7"/>
      <c r="N854" s="7" t="s">
        <v>3776</v>
      </c>
      <c r="O854" s="7"/>
      <c r="P854" s="7"/>
      <c r="Q854" s="7"/>
      <c r="R854" s="7"/>
      <c r="S854" s="141" t="s">
        <v>949</v>
      </c>
      <c r="T854" s="7"/>
    </row>
    <row r="855" spans="1:20" hidden="1">
      <c r="A855" s="38">
        <v>250425201600</v>
      </c>
      <c r="B855" s="149"/>
      <c r="C855" s="3" t="s">
        <v>515</v>
      </c>
      <c r="D855" s="3" t="s">
        <v>3423</v>
      </c>
      <c r="E855" s="2" t="s">
        <v>3777</v>
      </c>
      <c r="F855" s="2" t="s">
        <v>1014</v>
      </c>
      <c r="G855" s="48"/>
      <c r="H855" s="150"/>
      <c r="J855" s="10" t="s">
        <v>3778</v>
      </c>
      <c r="K855" s="14"/>
      <c r="L855" s="13"/>
      <c r="M855" s="7"/>
      <c r="N855" s="7" t="s">
        <v>3779</v>
      </c>
      <c r="O855" s="7"/>
      <c r="P855" s="7"/>
      <c r="Q855" s="7"/>
      <c r="R855" s="7"/>
      <c r="S855" s="141" t="s">
        <v>949</v>
      </c>
      <c r="T855" s="7"/>
    </row>
    <row r="856" spans="1:20" hidden="1">
      <c r="A856" s="38">
        <v>250418220166</v>
      </c>
      <c r="B856" s="147" t="s">
        <v>867</v>
      </c>
      <c r="C856" s="3" t="s">
        <v>515</v>
      </c>
      <c r="D856" s="3" t="s">
        <v>3423</v>
      </c>
      <c r="E856" s="2" t="s">
        <v>3780</v>
      </c>
      <c r="F856" s="2" t="s">
        <v>2345</v>
      </c>
      <c r="G856" s="148"/>
      <c r="H856" s="148"/>
      <c r="J856" s="10" t="s">
        <v>3781</v>
      </c>
      <c r="K856" s="14"/>
      <c r="L856" s="13"/>
      <c r="M856" s="7"/>
      <c r="N856" s="7"/>
      <c r="O856" s="7"/>
      <c r="P856" s="7"/>
      <c r="Q856" s="7"/>
      <c r="R856" s="7" t="s">
        <v>3782</v>
      </c>
      <c r="S856" s="141" t="s">
        <v>949</v>
      </c>
      <c r="T856" s="7" t="s">
        <v>1145</v>
      </c>
    </row>
    <row r="857" spans="1:20" hidden="1">
      <c r="A857" s="38">
        <v>250418220171</v>
      </c>
      <c r="B857" s="147" t="s">
        <v>867</v>
      </c>
      <c r="C857" s="3" t="s">
        <v>515</v>
      </c>
      <c r="D857" s="3" t="s">
        <v>3423</v>
      </c>
      <c r="E857" s="2" t="s">
        <v>3783</v>
      </c>
      <c r="F857" s="2" t="s">
        <v>1135</v>
      </c>
      <c r="G857" s="148"/>
      <c r="H857" s="148"/>
      <c r="J857" s="10" t="s">
        <v>3784</v>
      </c>
      <c r="K857" s="14"/>
      <c r="L857" s="13"/>
      <c r="M857" s="7"/>
      <c r="N857" s="7"/>
      <c r="O857" s="7"/>
      <c r="P857" s="7"/>
      <c r="Q857" s="7"/>
      <c r="R857" s="7" t="s">
        <v>3785</v>
      </c>
      <c r="S857" s="141" t="s">
        <v>949</v>
      </c>
      <c r="T857" s="7" t="s">
        <v>1945</v>
      </c>
    </row>
    <row r="858" spans="1:20" hidden="1">
      <c r="A858" s="38">
        <v>250418220172</v>
      </c>
      <c r="B858" s="147" t="s">
        <v>867</v>
      </c>
      <c r="C858" s="3" t="s">
        <v>515</v>
      </c>
      <c r="D858" s="3" t="s">
        <v>3423</v>
      </c>
      <c r="E858" s="2" t="s">
        <v>3786</v>
      </c>
      <c r="F858" s="2" t="s">
        <v>1699</v>
      </c>
      <c r="G858" s="148"/>
      <c r="H858" s="148"/>
      <c r="J858" s="10" t="s">
        <v>3787</v>
      </c>
      <c r="K858" s="14"/>
      <c r="L858" s="13"/>
      <c r="M858" s="7"/>
      <c r="N858" s="7"/>
      <c r="O858" s="7"/>
      <c r="P858" s="7"/>
      <c r="Q858" s="7"/>
      <c r="R858" s="7" t="s">
        <v>3788</v>
      </c>
      <c r="S858" s="141" t="s">
        <v>949</v>
      </c>
      <c r="T858" s="7" t="s">
        <v>1945</v>
      </c>
    </row>
    <row r="859" spans="1:20" hidden="1">
      <c r="A859" s="38">
        <v>250425201004</v>
      </c>
      <c r="B859" s="149"/>
      <c r="C859" s="3" t="s">
        <v>515</v>
      </c>
      <c r="D859" s="3" t="s">
        <v>3423</v>
      </c>
      <c r="E859" s="2" t="s">
        <v>3789</v>
      </c>
      <c r="F859" s="2" t="s">
        <v>1507</v>
      </c>
      <c r="G859" s="48"/>
      <c r="H859" s="150"/>
      <c r="J859" s="10" t="s">
        <v>3790</v>
      </c>
      <c r="K859" s="14"/>
      <c r="L859" s="13"/>
      <c r="M859" s="7"/>
      <c r="N859" s="7" t="s">
        <v>3791</v>
      </c>
      <c r="O859" s="7"/>
      <c r="P859" s="7"/>
      <c r="Q859" s="7"/>
      <c r="R859" s="7"/>
      <c r="S859" s="141" t="s">
        <v>949</v>
      </c>
      <c r="T859" s="7"/>
    </row>
    <row r="860" spans="1:20" hidden="1">
      <c r="A860" s="38">
        <v>250423093003</v>
      </c>
      <c r="B860" s="147" t="s">
        <v>867</v>
      </c>
      <c r="C860" s="3" t="s">
        <v>515</v>
      </c>
      <c r="D860" s="3" t="s">
        <v>3423</v>
      </c>
      <c r="E860" s="2" t="s">
        <v>3792</v>
      </c>
      <c r="F860" s="2" t="s">
        <v>1507</v>
      </c>
      <c r="G860" s="148"/>
      <c r="H860" s="148"/>
      <c r="J860" s="10" t="s">
        <v>3793</v>
      </c>
      <c r="K860" s="14"/>
      <c r="L860" s="13"/>
      <c r="M860" s="7"/>
      <c r="N860" s="7" t="s">
        <v>1509</v>
      </c>
      <c r="O860" s="7"/>
      <c r="P860" s="7"/>
      <c r="Q860" s="7"/>
      <c r="R860" s="7"/>
      <c r="S860" s="141" t="s">
        <v>949</v>
      </c>
      <c r="T860" s="7"/>
    </row>
    <row r="861" spans="1:20" hidden="1">
      <c r="A861" s="38">
        <v>250425200806</v>
      </c>
      <c r="B861" s="149"/>
      <c r="C861" s="3" t="s">
        <v>515</v>
      </c>
      <c r="D861" s="3" t="s">
        <v>3423</v>
      </c>
      <c r="E861" s="2" t="s">
        <v>3794</v>
      </c>
      <c r="F861" s="2" t="s">
        <v>3716</v>
      </c>
      <c r="G861" s="48"/>
      <c r="H861" s="150"/>
      <c r="J861" s="10" t="s">
        <v>3795</v>
      </c>
      <c r="K861" s="14"/>
      <c r="L861" s="13"/>
      <c r="M861" s="7"/>
      <c r="N861" s="7" t="s">
        <v>3796</v>
      </c>
      <c r="O861" s="7"/>
      <c r="P861" s="7"/>
      <c r="Q861" s="7"/>
      <c r="R861" s="7"/>
      <c r="S861" s="141" t="s">
        <v>949</v>
      </c>
      <c r="T861" s="7"/>
    </row>
    <row r="862" spans="1:20" hidden="1">
      <c r="A862" s="38">
        <v>250425200805</v>
      </c>
      <c r="B862" s="149"/>
      <c r="C862" s="3" t="s">
        <v>515</v>
      </c>
      <c r="D862" s="3" t="s">
        <v>3423</v>
      </c>
      <c r="E862" s="2" t="s">
        <v>3797</v>
      </c>
      <c r="F862" s="2" t="s">
        <v>946</v>
      </c>
      <c r="G862" s="48"/>
      <c r="H862" s="150"/>
      <c r="J862" s="10" t="s">
        <v>3798</v>
      </c>
      <c r="K862" s="14"/>
      <c r="L862" s="13"/>
      <c r="M862" s="7"/>
      <c r="N862" s="7" t="s">
        <v>3799</v>
      </c>
      <c r="O862" s="7"/>
      <c r="P862" s="7"/>
      <c r="Q862" s="7"/>
      <c r="R862" s="7"/>
      <c r="S862" s="141" t="s">
        <v>949</v>
      </c>
      <c r="T862" s="7"/>
    </row>
    <row r="863" spans="1:20" hidden="1">
      <c r="A863" s="38">
        <v>250423104501</v>
      </c>
      <c r="B863" s="147" t="s">
        <v>867</v>
      </c>
      <c r="C863" s="3" t="s">
        <v>515</v>
      </c>
      <c r="D863" s="3" t="s">
        <v>3423</v>
      </c>
      <c r="E863" s="2" t="s">
        <v>3800</v>
      </c>
      <c r="F863" s="2" t="s">
        <v>951</v>
      </c>
      <c r="G863" s="148"/>
      <c r="H863" s="148"/>
      <c r="J863" s="10" t="s">
        <v>3801</v>
      </c>
      <c r="K863" s="14"/>
      <c r="L863" s="13"/>
      <c r="M863" s="7"/>
      <c r="N863" s="7" t="s">
        <v>2997</v>
      </c>
      <c r="O863" s="7"/>
      <c r="P863" s="7"/>
      <c r="Q863" s="7"/>
      <c r="R863" s="7"/>
      <c r="S863" s="141" t="s">
        <v>949</v>
      </c>
      <c r="T863" s="7"/>
    </row>
    <row r="864" spans="1:20" hidden="1">
      <c r="A864" s="38">
        <v>250418220173</v>
      </c>
      <c r="B864" s="147" t="s">
        <v>867</v>
      </c>
      <c r="C864" s="3" t="s">
        <v>515</v>
      </c>
      <c r="D864" s="3" t="s">
        <v>3423</v>
      </c>
      <c r="E864" s="2" t="s">
        <v>3802</v>
      </c>
      <c r="F864" s="2" t="s">
        <v>912</v>
      </c>
      <c r="G864" s="148"/>
      <c r="H864" s="148"/>
      <c r="J864" s="10" t="s">
        <v>3803</v>
      </c>
      <c r="K864" s="14"/>
      <c r="L864" s="13"/>
      <c r="M864" s="7"/>
      <c r="N864" s="7"/>
      <c r="O864" s="7"/>
      <c r="P864" s="7"/>
      <c r="Q864" s="7"/>
      <c r="R864" s="7"/>
      <c r="S864" s="141" t="s">
        <v>949</v>
      </c>
      <c r="T864" s="7" t="s">
        <v>1834</v>
      </c>
    </row>
    <row r="865" spans="1:20" hidden="1">
      <c r="A865" s="38">
        <v>250418220174</v>
      </c>
      <c r="B865" s="147" t="s">
        <v>867</v>
      </c>
      <c r="C865" s="3" t="s">
        <v>515</v>
      </c>
      <c r="D865" s="3" t="s">
        <v>3423</v>
      </c>
      <c r="E865" s="2" t="s">
        <v>3804</v>
      </c>
      <c r="F865" s="2" t="s">
        <v>1394</v>
      </c>
      <c r="G865" s="148"/>
      <c r="H865" s="148"/>
      <c r="J865" s="10" t="s">
        <v>3805</v>
      </c>
      <c r="K865" s="14"/>
      <c r="L865" s="13"/>
      <c r="M865" s="7"/>
      <c r="N865" s="7"/>
      <c r="O865" s="7"/>
      <c r="P865" s="7"/>
      <c r="Q865" s="7"/>
      <c r="R865" s="7" t="s">
        <v>3806</v>
      </c>
      <c r="S865" s="141" t="s">
        <v>949</v>
      </c>
      <c r="T865" s="7" t="s">
        <v>1945</v>
      </c>
    </row>
    <row r="866" spans="1:20" hidden="1">
      <c r="A866" s="38">
        <v>250418220175</v>
      </c>
      <c r="B866" s="147" t="s">
        <v>867</v>
      </c>
      <c r="C866" s="3" t="s">
        <v>515</v>
      </c>
      <c r="D866" s="3" t="s">
        <v>3423</v>
      </c>
      <c r="E866" s="2" t="s">
        <v>3807</v>
      </c>
      <c r="F866" s="2" t="s">
        <v>3808</v>
      </c>
      <c r="G866" s="148"/>
      <c r="H866" s="148"/>
      <c r="J866" s="10" t="s">
        <v>3809</v>
      </c>
      <c r="K866" s="14"/>
      <c r="L866" s="13"/>
      <c r="M866" s="7"/>
      <c r="N866" s="7"/>
      <c r="O866" s="7"/>
      <c r="P866" s="7"/>
      <c r="Q866" s="7"/>
      <c r="R866" s="7" t="s">
        <v>3810</v>
      </c>
      <c r="S866" s="141" t="s">
        <v>949</v>
      </c>
      <c r="T866" s="7" t="s">
        <v>1945</v>
      </c>
    </row>
    <row r="867" spans="1:20" hidden="1">
      <c r="A867" s="38">
        <v>250418220176</v>
      </c>
      <c r="B867" s="147" t="s">
        <v>867</v>
      </c>
      <c r="C867" s="3" t="s">
        <v>515</v>
      </c>
      <c r="D867" s="3" t="s">
        <v>3423</v>
      </c>
      <c r="E867" s="2" t="s">
        <v>3811</v>
      </c>
      <c r="F867" s="2" t="s">
        <v>1118</v>
      </c>
      <c r="G867" s="148"/>
      <c r="H867" s="148"/>
      <c r="J867" s="10" t="s">
        <v>3812</v>
      </c>
      <c r="K867" s="14"/>
      <c r="L867" s="13"/>
      <c r="M867" s="7"/>
      <c r="N867" s="7"/>
      <c r="O867" s="7"/>
      <c r="P867" s="7"/>
      <c r="Q867" s="7"/>
      <c r="R867" s="7" t="s">
        <v>3813</v>
      </c>
      <c r="S867" s="141" t="s">
        <v>949</v>
      </c>
      <c r="T867" s="7" t="s">
        <v>1945</v>
      </c>
    </row>
    <row r="868" spans="1:20" hidden="1">
      <c r="A868" s="38">
        <v>250418220177</v>
      </c>
      <c r="B868" s="147" t="s">
        <v>867</v>
      </c>
      <c r="C868" s="3" t="s">
        <v>515</v>
      </c>
      <c r="D868" s="3" t="s">
        <v>3423</v>
      </c>
      <c r="E868" s="2" t="s">
        <v>3814</v>
      </c>
      <c r="F868" s="2" t="s">
        <v>1699</v>
      </c>
      <c r="G868" s="148"/>
      <c r="H868" s="148"/>
      <c r="J868" s="10" t="s">
        <v>3815</v>
      </c>
      <c r="K868" s="14"/>
      <c r="L868" s="13"/>
      <c r="M868" s="7"/>
      <c r="N868" s="7"/>
      <c r="O868" s="7"/>
      <c r="P868" s="7"/>
      <c r="Q868" s="7"/>
      <c r="R868" s="7" t="s">
        <v>3816</v>
      </c>
      <c r="S868" s="141" t="s">
        <v>949</v>
      </c>
      <c r="T868" s="7" t="s">
        <v>1945</v>
      </c>
    </row>
    <row r="869" spans="1:20" hidden="1">
      <c r="A869" s="38">
        <v>250418220178</v>
      </c>
      <c r="B869" s="147" t="s">
        <v>867</v>
      </c>
      <c r="C869" s="3" t="s">
        <v>515</v>
      </c>
      <c r="D869" s="3" t="s">
        <v>3423</v>
      </c>
      <c r="E869" s="2" t="s">
        <v>3817</v>
      </c>
      <c r="F869" s="2" t="s">
        <v>1328</v>
      </c>
      <c r="G869" s="148"/>
      <c r="H869" s="148"/>
      <c r="J869" s="10" t="s">
        <v>3220</v>
      </c>
      <c r="K869" s="14"/>
      <c r="L869" s="13"/>
      <c r="M869" s="7"/>
      <c r="N869" s="7"/>
      <c r="O869" s="7"/>
      <c r="P869" s="7"/>
      <c r="Q869" s="7"/>
      <c r="R869" s="7" t="s">
        <v>3818</v>
      </c>
      <c r="S869" s="141" t="s">
        <v>949</v>
      </c>
      <c r="T869" s="7" t="s">
        <v>1834</v>
      </c>
    </row>
    <row r="870" spans="1:20" hidden="1">
      <c r="A870" s="38">
        <v>250418220179</v>
      </c>
      <c r="B870" s="147" t="s">
        <v>867</v>
      </c>
      <c r="C870" s="3" t="s">
        <v>515</v>
      </c>
      <c r="D870" s="3" t="s">
        <v>3423</v>
      </c>
      <c r="E870" s="2" t="s">
        <v>3819</v>
      </c>
      <c r="F870" s="2" t="s">
        <v>2285</v>
      </c>
      <c r="G870" s="148"/>
      <c r="H870" s="148"/>
      <c r="J870" s="10" t="s">
        <v>3820</v>
      </c>
      <c r="K870" s="14"/>
      <c r="L870" s="13"/>
      <c r="M870" s="7"/>
      <c r="N870" s="7"/>
      <c r="O870" s="7"/>
      <c r="P870" s="7"/>
      <c r="Q870" s="7"/>
      <c r="R870" s="7" t="s">
        <v>3821</v>
      </c>
      <c r="S870" s="141" t="s">
        <v>949</v>
      </c>
      <c r="T870" s="7" t="s">
        <v>1945</v>
      </c>
    </row>
    <row r="871" spans="1:20" hidden="1">
      <c r="A871" s="38">
        <v>250418220180</v>
      </c>
      <c r="B871" s="147" t="s">
        <v>867</v>
      </c>
      <c r="C871" s="3" t="s">
        <v>515</v>
      </c>
      <c r="D871" s="3" t="s">
        <v>3423</v>
      </c>
      <c r="E871" s="2" t="s">
        <v>3822</v>
      </c>
      <c r="F871" s="2" t="s">
        <v>1846</v>
      </c>
      <c r="G871" s="148"/>
      <c r="H871" s="148"/>
      <c r="J871" s="10" t="s">
        <v>3823</v>
      </c>
      <c r="K871" s="14"/>
      <c r="L871" s="13"/>
      <c r="M871" s="7"/>
      <c r="N871" s="7"/>
      <c r="O871" s="7"/>
      <c r="P871" s="7"/>
      <c r="Q871" s="7"/>
      <c r="R871" s="7" t="s">
        <v>3735</v>
      </c>
      <c r="S871" s="141" t="s">
        <v>949</v>
      </c>
      <c r="T871" s="7" t="s">
        <v>2127</v>
      </c>
    </row>
    <row r="872" spans="1:20" hidden="1">
      <c r="A872" s="38">
        <v>250418220181</v>
      </c>
      <c r="B872" s="147" t="s">
        <v>867</v>
      </c>
      <c r="C872" s="3" t="s">
        <v>515</v>
      </c>
      <c r="D872" s="3" t="s">
        <v>3423</v>
      </c>
      <c r="E872" s="2" t="s">
        <v>3222</v>
      </c>
      <c r="F872" s="2" t="s">
        <v>1984</v>
      </c>
      <c r="G872" s="148"/>
      <c r="H872" s="148"/>
      <c r="J872" s="10" t="s">
        <v>3824</v>
      </c>
      <c r="K872" s="14"/>
      <c r="L872" s="13"/>
      <c r="M872" s="7"/>
      <c r="N872" s="7"/>
      <c r="O872" s="7"/>
      <c r="P872" s="7"/>
      <c r="Q872" s="7"/>
      <c r="R872" s="7" t="s">
        <v>3825</v>
      </c>
      <c r="S872" s="141" t="s">
        <v>949</v>
      </c>
      <c r="T872" s="7" t="s">
        <v>1945</v>
      </c>
    </row>
    <row r="873" spans="1:20" hidden="1">
      <c r="A873" s="38">
        <v>250425200812</v>
      </c>
      <c r="B873" s="149"/>
      <c r="C873" s="3" t="s">
        <v>515</v>
      </c>
      <c r="D873" s="3" t="s">
        <v>3423</v>
      </c>
      <c r="E873" s="2" t="s">
        <v>3826</v>
      </c>
      <c r="F873" s="2" t="s">
        <v>946</v>
      </c>
      <c r="G873" s="48"/>
      <c r="H873" s="150"/>
      <c r="J873" s="10" t="s">
        <v>3827</v>
      </c>
      <c r="K873" s="14"/>
      <c r="L873" s="13"/>
      <c r="M873" s="7"/>
      <c r="N873" s="7" t="s">
        <v>3828</v>
      </c>
      <c r="O873" s="7"/>
      <c r="P873" s="7"/>
      <c r="Q873" s="7"/>
      <c r="R873" s="7"/>
      <c r="S873" s="141" t="s">
        <v>949</v>
      </c>
      <c r="T873" s="7"/>
    </row>
    <row r="874" spans="1:20" hidden="1">
      <c r="A874" s="38">
        <v>250425200808</v>
      </c>
      <c r="B874" s="149"/>
      <c r="C874" s="3" t="s">
        <v>515</v>
      </c>
      <c r="D874" s="3" t="s">
        <v>3423</v>
      </c>
      <c r="E874" s="2" t="s">
        <v>3829</v>
      </c>
      <c r="F874" s="2" t="s">
        <v>3716</v>
      </c>
      <c r="G874" s="48"/>
      <c r="H874" s="150"/>
      <c r="J874" s="10" t="s">
        <v>3830</v>
      </c>
      <c r="K874" s="14"/>
      <c r="L874" s="13"/>
      <c r="M874" s="7"/>
      <c r="N874" s="7" t="s">
        <v>3831</v>
      </c>
      <c r="O874" s="7"/>
      <c r="P874" s="7"/>
      <c r="Q874" s="7"/>
      <c r="R874" s="7"/>
      <c r="S874" s="141" t="s">
        <v>949</v>
      </c>
      <c r="T874" s="7"/>
    </row>
    <row r="875" spans="1:20" hidden="1">
      <c r="A875" s="38">
        <v>250418220182</v>
      </c>
      <c r="B875" s="147" t="s">
        <v>867</v>
      </c>
      <c r="C875" s="3" t="s">
        <v>515</v>
      </c>
      <c r="D875" s="3" t="s">
        <v>3423</v>
      </c>
      <c r="E875" s="2" t="s">
        <v>3832</v>
      </c>
      <c r="F875" s="2" t="s">
        <v>2927</v>
      </c>
      <c r="G875" s="148"/>
      <c r="H875" s="148"/>
      <c r="J875" s="10" t="s">
        <v>3833</v>
      </c>
      <c r="K875" s="14"/>
      <c r="L875" s="13"/>
      <c r="M875" s="7"/>
      <c r="N875" s="7"/>
      <c r="O875" s="7"/>
      <c r="P875" s="7"/>
      <c r="Q875" s="7"/>
      <c r="R875" s="7" t="s">
        <v>3834</v>
      </c>
      <c r="S875" s="141" t="s">
        <v>949</v>
      </c>
      <c r="T875" s="7" t="s">
        <v>1945</v>
      </c>
    </row>
    <row r="876" spans="1:20" hidden="1">
      <c r="A876" s="38">
        <v>250425201604</v>
      </c>
      <c r="B876" s="149"/>
      <c r="C876" s="3" t="s">
        <v>515</v>
      </c>
      <c r="D876" s="3" t="s">
        <v>3423</v>
      </c>
      <c r="E876" s="2" t="s">
        <v>3835</v>
      </c>
      <c r="F876" s="2" t="s">
        <v>951</v>
      </c>
      <c r="G876" s="48"/>
      <c r="H876" s="150"/>
      <c r="J876" s="10" t="s">
        <v>3836</v>
      </c>
      <c r="K876" s="14"/>
      <c r="L876" s="13"/>
      <c r="M876" s="7"/>
      <c r="N876" s="7" t="s">
        <v>3837</v>
      </c>
      <c r="O876" s="7"/>
      <c r="P876" s="7"/>
      <c r="Q876" s="7"/>
      <c r="R876" s="7"/>
      <c r="S876" s="141" t="s">
        <v>949</v>
      </c>
      <c r="T876" s="7"/>
    </row>
    <row r="877" spans="1:20" hidden="1">
      <c r="A877" s="38">
        <v>250425201515</v>
      </c>
      <c r="B877" s="149"/>
      <c r="C877" s="3" t="s">
        <v>515</v>
      </c>
      <c r="D877" s="3" t="s">
        <v>3423</v>
      </c>
      <c r="E877" s="2" t="s">
        <v>3838</v>
      </c>
      <c r="F877" s="2" t="s">
        <v>1324</v>
      </c>
      <c r="G877" s="48"/>
      <c r="H877" s="150"/>
      <c r="J877" s="10" t="s">
        <v>3839</v>
      </c>
      <c r="K877" s="14"/>
      <c r="L877" s="13"/>
      <c r="M877" s="7"/>
      <c r="N877" s="7" t="s">
        <v>3840</v>
      </c>
      <c r="O877" s="7"/>
      <c r="P877" s="7"/>
      <c r="Q877" s="7"/>
      <c r="R877" s="7"/>
      <c r="S877" s="141" t="s">
        <v>949</v>
      </c>
      <c r="T877" s="7"/>
    </row>
    <row r="878" spans="1:20" hidden="1">
      <c r="A878" s="38">
        <v>250423110202</v>
      </c>
      <c r="B878" s="147" t="s">
        <v>867</v>
      </c>
      <c r="C878" s="3" t="s">
        <v>515</v>
      </c>
      <c r="D878" s="3" t="s">
        <v>3423</v>
      </c>
      <c r="E878" s="2" t="s">
        <v>3841</v>
      </c>
      <c r="F878" s="2" t="s">
        <v>2059</v>
      </c>
      <c r="G878" s="148"/>
      <c r="H878" s="148"/>
      <c r="J878" s="10" t="s">
        <v>3842</v>
      </c>
      <c r="K878" s="14"/>
      <c r="L878" s="13"/>
      <c r="M878" s="7"/>
      <c r="N878" s="7" t="s">
        <v>3843</v>
      </c>
      <c r="O878" s="7"/>
      <c r="P878" s="7"/>
      <c r="Q878" s="7"/>
      <c r="R878" s="7"/>
      <c r="S878" s="141" t="s">
        <v>949</v>
      </c>
      <c r="T878" s="7"/>
    </row>
    <row r="879" spans="1:20" hidden="1">
      <c r="A879" s="38">
        <v>250423110200</v>
      </c>
      <c r="B879" s="147" t="s">
        <v>867</v>
      </c>
      <c r="C879" s="3" t="s">
        <v>515</v>
      </c>
      <c r="D879" s="3" t="s">
        <v>3423</v>
      </c>
      <c r="E879" s="2" t="s">
        <v>3844</v>
      </c>
      <c r="F879" s="2" t="s">
        <v>2059</v>
      </c>
      <c r="G879" s="148"/>
      <c r="H879" s="148"/>
      <c r="J879" s="10" t="s">
        <v>3845</v>
      </c>
      <c r="K879" s="14"/>
      <c r="L879" s="13"/>
      <c r="M879" s="7"/>
      <c r="N879" s="7" t="s">
        <v>3843</v>
      </c>
      <c r="O879" s="7"/>
      <c r="P879" s="7"/>
      <c r="Q879" s="7"/>
      <c r="R879" s="7"/>
      <c r="S879" s="141" t="s">
        <v>949</v>
      </c>
      <c r="T879" s="7"/>
    </row>
    <row r="880" spans="1:20" hidden="1">
      <c r="A880" s="38">
        <v>250423110201</v>
      </c>
      <c r="B880" s="147" t="s">
        <v>867</v>
      </c>
      <c r="C880" s="3" t="s">
        <v>515</v>
      </c>
      <c r="D880" s="3" t="s">
        <v>3423</v>
      </c>
      <c r="E880" s="2" t="s">
        <v>3846</v>
      </c>
      <c r="F880" s="2" t="s">
        <v>2059</v>
      </c>
      <c r="G880" s="148"/>
      <c r="H880" s="148"/>
      <c r="J880" s="10" t="s">
        <v>3847</v>
      </c>
      <c r="K880" s="14"/>
      <c r="L880" s="13"/>
      <c r="M880" s="7"/>
      <c r="N880" s="7" t="s">
        <v>3843</v>
      </c>
      <c r="O880" s="7"/>
      <c r="P880" s="7"/>
      <c r="Q880" s="7"/>
      <c r="R880" s="7"/>
      <c r="S880" s="141" t="s">
        <v>949</v>
      </c>
      <c r="T880" s="7"/>
    </row>
    <row r="881" spans="1:20" hidden="1">
      <c r="A881" s="38">
        <v>250423110204</v>
      </c>
      <c r="B881" s="147" t="s">
        <v>867</v>
      </c>
      <c r="C881" s="3" t="s">
        <v>515</v>
      </c>
      <c r="D881" s="3" t="s">
        <v>3423</v>
      </c>
      <c r="E881" s="2" t="s">
        <v>3848</v>
      </c>
      <c r="F881" s="2" t="s">
        <v>1511</v>
      </c>
      <c r="G881" s="148"/>
      <c r="H881" s="148"/>
      <c r="J881" s="10" t="s">
        <v>3849</v>
      </c>
      <c r="K881" s="14"/>
      <c r="L881" s="13"/>
      <c r="M881" s="7"/>
      <c r="N881" s="7" t="s">
        <v>3698</v>
      </c>
      <c r="O881" s="7"/>
      <c r="P881" s="7"/>
      <c r="Q881" s="7"/>
      <c r="R881" s="7"/>
      <c r="S881" s="141" t="s">
        <v>949</v>
      </c>
      <c r="T881" s="7"/>
    </row>
    <row r="882" spans="1:20" hidden="1">
      <c r="A882" s="38">
        <v>250423110205</v>
      </c>
      <c r="B882" s="147" t="s">
        <v>867</v>
      </c>
      <c r="C882" s="3" t="s">
        <v>515</v>
      </c>
      <c r="D882" s="3" t="s">
        <v>3423</v>
      </c>
      <c r="E882" s="2" t="s">
        <v>3850</v>
      </c>
      <c r="F882" s="2" t="s">
        <v>951</v>
      </c>
      <c r="G882" s="148"/>
      <c r="H882" s="148"/>
      <c r="J882" s="10" t="s">
        <v>3851</v>
      </c>
      <c r="K882" s="14"/>
      <c r="L882" s="13"/>
      <c r="M882" s="7"/>
      <c r="N882" s="7" t="s">
        <v>3698</v>
      </c>
      <c r="O882" s="7"/>
      <c r="P882" s="7"/>
      <c r="Q882" s="7"/>
      <c r="R882" s="7"/>
      <c r="S882" s="141" t="s">
        <v>949</v>
      </c>
      <c r="T882" s="7"/>
    </row>
    <row r="883" spans="1:20" hidden="1">
      <c r="A883" s="38">
        <v>250423110206</v>
      </c>
      <c r="B883" s="147" t="s">
        <v>867</v>
      </c>
      <c r="C883" s="3" t="s">
        <v>515</v>
      </c>
      <c r="D883" s="3" t="s">
        <v>3423</v>
      </c>
      <c r="E883" s="2" t="s">
        <v>3852</v>
      </c>
      <c r="F883" s="2" t="s">
        <v>3853</v>
      </c>
      <c r="G883" s="148"/>
      <c r="H883" s="148"/>
      <c r="J883" s="10" t="s">
        <v>3854</v>
      </c>
      <c r="K883" s="14"/>
      <c r="L883" s="13"/>
      <c r="M883" s="7"/>
      <c r="N883" s="7" t="s">
        <v>3698</v>
      </c>
      <c r="O883" s="7"/>
      <c r="P883" s="7"/>
      <c r="Q883" s="7"/>
      <c r="R883" s="7"/>
      <c r="S883" s="141" t="s">
        <v>949</v>
      </c>
      <c r="T883" s="7"/>
    </row>
    <row r="884" spans="1:20" hidden="1">
      <c r="A884" s="38">
        <v>241112000221</v>
      </c>
      <c r="B884" s="147" t="s">
        <v>867</v>
      </c>
      <c r="C884" s="3" t="s">
        <v>515</v>
      </c>
      <c r="D884" s="3" t="s">
        <v>3423</v>
      </c>
      <c r="E884" s="2" t="s">
        <v>3855</v>
      </c>
      <c r="F884" s="2" t="s">
        <v>2991</v>
      </c>
      <c r="G884" s="148"/>
      <c r="H884" s="148"/>
      <c r="J884" s="1" t="s">
        <v>3856</v>
      </c>
      <c r="K884" s="15" t="s">
        <v>3857</v>
      </c>
      <c r="L884" s="13" t="s">
        <v>3858</v>
      </c>
      <c r="M884" s="7" t="s">
        <v>3859</v>
      </c>
      <c r="N884" s="7"/>
      <c r="O884" s="7"/>
      <c r="P884" s="7"/>
      <c r="Q884" s="7"/>
      <c r="R884" s="7"/>
      <c r="S884" s="141"/>
      <c r="T884" s="7"/>
    </row>
    <row r="885" spans="1:20" hidden="1">
      <c r="A885" s="38">
        <v>250414114700</v>
      </c>
      <c r="B885" s="147" t="s">
        <v>867</v>
      </c>
      <c r="C885" s="3" t="s">
        <v>515</v>
      </c>
      <c r="D885" s="3" t="s">
        <v>3423</v>
      </c>
      <c r="E885" s="2" t="s">
        <v>3860</v>
      </c>
      <c r="F885" s="2" t="s">
        <v>1014</v>
      </c>
      <c r="G885" s="148"/>
      <c r="H885" s="148"/>
      <c r="J885" s="10" t="s">
        <v>3861</v>
      </c>
      <c r="K885" s="14"/>
      <c r="L885" s="13"/>
      <c r="M885" s="7"/>
      <c r="N885" s="7" t="s">
        <v>3862</v>
      </c>
      <c r="O885" s="7"/>
      <c r="P885" s="7"/>
      <c r="Q885" s="7"/>
      <c r="R885" s="7"/>
      <c r="S885" s="141"/>
      <c r="T885" s="7"/>
    </row>
    <row r="886" spans="1:20" hidden="1">
      <c r="A886" s="38">
        <v>241112000222</v>
      </c>
      <c r="B886" s="147" t="s">
        <v>867</v>
      </c>
      <c r="C886" s="3" t="s">
        <v>515</v>
      </c>
      <c r="D886" s="3" t="s">
        <v>3423</v>
      </c>
      <c r="E886" s="2" t="s">
        <v>3863</v>
      </c>
      <c r="F886" s="2" t="s">
        <v>3104</v>
      </c>
      <c r="G886" s="148"/>
      <c r="H886" s="148"/>
      <c r="J886" s="1" t="s">
        <v>3864</v>
      </c>
      <c r="K886" s="10"/>
      <c r="L886" s="13" t="s">
        <v>3865</v>
      </c>
      <c r="M886" s="7" t="s">
        <v>3866</v>
      </c>
      <c r="N886" s="7"/>
      <c r="O886" s="7"/>
      <c r="P886" s="7"/>
      <c r="Q886" s="7"/>
      <c r="R886" s="7"/>
      <c r="S886" s="141"/>
      <c r="T886" s="7"/>
    </row>
    <row r="887" spans="1:20" hidden="1">
      <c r="A887" s="38">
        <v>241112000224</v>
      </c>
      <c r="B887" s="147" t="s">
        <v>867</v>
      </c>
      <c r="C887" s="3" t="s">
        <v>515</v>
      </c>
      <c r="D887" s="3" t="s">
        <v>3423</v>
      </c>
      <c r="E887" s="2" t="s">
        <v>2935</v>
      </c>
      <c r="F887" s="2" t="s">
        <v>1014</v>
      </c>
      <c r="G887" s="148"/>
      <c r="H887" s="148"/>
      <c r="J887" s="1" t="s">
        <v>3867</v>
      </c>
      <c r="K887" s="10"/>
      <c r="L887" s="13" t="s">
        <v>3868</v>
      </c>
      <c r="M887" s="7" t="s">
        <v>3869</v>
      </c>
      <c r="N887" s="7" t="s">
        <v>3870</v>
      </c>
      <c r="O887" s="7"/>
      <c r="P887" s="7"/>
      <c r="Q887" s="7"/>
      <c r="R887" s="7"/>
      <c r="S887" s="141"/>
      <c r="T887" s="7"/>
    </row>
    <row r="888" spans="1:20" hidden="1">
      <c r="A888" s="38">
        <v>250414115106</v>
      </c>
      <c r="B888" s="147" t="s">
        <v>867</v>
      </c>
      <c r="C888" s="3" t="s">
        <v>515</v>
      </c>
      <c r="D888" s="3" t="s">
        <v>3423</v>
      </c>
      <c r="E888" s="2" t="s">
        <v>3871</v>
      </c>
      <c r="F888" s="2" t="s">
        <v>1014</v>
      </c>
      <c r="G888" s="148"/>
      <c r="H888" s="148"/>
      <c r="J888" s="10" t="s">
        <v>3872</v>
      </c>
      <c r="K888" s="14"/>
      <c r="L888" s="13"/>
      <c r="M888" s="7" t="s">
        <v>3873</v>
      </c>
      <c r="N888" s="7"/>
      <c r="O888" s="7"/>
      <c r="P888" s="7"/>
      <c r="Q888" s="7"/>
      <c r="R888" s="7"/>
      <c r="S888" s="141"/>
      <c r="T888" s="7"/>
    </row>
    <row r="889" spans="1:20" hidden="1">
      <c r="A889" s="38">
        <v>250317176903</v>
      </c>
      <c r="B889" s="147" t="s">
        <v>867</v>
      </c>
      <c r="C889" s="3" t="s">
        <v>515</v>
      </c>
      <c r="D889" s="3" t="s">
        <v>3423</v>
      </c>
      <c r="E889" s="2" t="s">
        <v>3874</v>
      </c>
      <c r="F889" s="101" t="s">
        <v>2404</v>
      </c>
      <c r="G889" s="148"/>
      <c r="H889" s="148"/>
      <c r="J889" s="10" t="s">
        <v>3875</v>
      </c>
      <c r="K889" s="14"/>
      <c r="L889" s="13"/>
      <c r="M889" s="7"/>
      <c r="N889" s="7"/>
      <c r="O889" s="7"/>
      <c r="P889" s="7"/>
      <c r="Q889" s="7"/>
      <c r="R889" s="7"/>
      <c r="S889" s="141"/>
      <c r="T889" s="7"/>
    </row>
    <row r="890" spans="1:20" hidden="1">
      <c r="A890" s="38">
        <v>241112000226</v>
      </c>
      <c r="B890" s="147" t="s">
        <v>867</v>
      </c>
      <c r="C890" s="3" t="s">
        <v>515</v>
      </c>
      <c r="D890" s="3" t="s">
        <v>3876</v>
      </c>
      <c r="E890" s="2" t="s">
        <v>3877</v>
      </c>
      <c r="F890" s="2" t="s">
        <v>1394</v>
      </c>
      <c r="G890" s="148"/>
      <c r="H890" s="148"/>
      <c r="J890" s="1" t="s">
        <v>3878</v>
      </c>
      <c r="K890" s="10"/>
      <c r="L890" s="13" t="s">
        <v>3879</v>
      </c>
      <c r="M890" s="7" t="s">
        <v>3880</v>
      </c>
      <c r="N890" s="7"/>
      <c r="O890" s="7"/>
      <c r="P890" s="7"/>
      <c r="Q890" s="7"/>
      <c r="R890" s="7"/>
      <c r="S890" s="141"/>
      <c r="T890" s="7"/>
    </row>
    <row r="891" spans="1:20" hidden="1">
      <c r="A891" s="38">
        <v>241112000227</v>
      </c>
      <c r="B891" s="147" t="s">
        <v>867</v>
      </c>
      <c r="C891" s="3" t="s">
        <v>515</v>
      </c>
      <c r="D891" s="3" t="s">
        <v>3876</v>
      </c>
      <c r="E891" s="2" t="s">
        <v>3881</v>
      </c>
      <c r="F891" s="2" t="s">
        <v>3104</v>
      </c>
      <c r="G891" s="148"/>
      <c r="H891" s="148"/>
      <c r="J891" s="1" t="s">
        <v>3882</v>
      </c>
      <c r="K891" s="10" t="s">
        <v>3883</v>
      </c>
      <c r="L891" s="13" t="s">
        <v>3884</v>
      </c>
      <c r="M891" s="130" t="s">
        <v>3885</v>
      </c>
      <c r="N891" s="7"/>
      <c r="O891" s="7"/>
      <c r="P891" s="7"/>
      <c r="Q891" s="7"/>
      <c r="R891" s="7"/>
      <c r="S891" s="141"/>
      <c r="T891" s="7"/>
    </row>
    <row r="892" spans="1:20" hidden="1">
      <c r="A892" s="38">
        <v>241112000228</v>
      </c>
      <c r="B892" s="147" t="s">
        <v>867</v>
      </c>
      <c r="C892" s="3" t="s">
        <v>515</v>
      </c>
      <c r="D892" s="3" t="s">
        <v>3876</v>
      </c>
      <c r="E892" s="2" t="s">
        <v>2916</v>
      </c>
      <c r="F892" s="2" t="s">
        <v>1394</v>
      </c>
      <c r="G892" s="148"/>
      <c r="H892" s="148"/>
      <c r="J892" s="1" t="s">
        <v>2917</v>
      </c>
      <c r="K892" s="10"/>
      <c r="L892" s="13" t="s">
        <v>3886</v>
      </c>
      <c r="M892" s="7" t="s">
        <v>3887</v>
      </c>
      <c r="N892" s="7" t="s">
        <v>3888</v>
      </c>
      <c r="O892" s="7"/>
      <c r="P892" s="7"/>
      <c r="Q892" s="7"/>
      <c r="R892" s="7"/>
      <c r="S892" s="141"/>
      <c r="T892" s="7"/>
    </row>
    <row r="893" spans="1:20" hidden="1">
      <c r="A893" s="38">
        <v>250418220184</v>
      </c>
      <c r="B893" s="147" t="s">
        <v>867</v>
      </c>
      <c r="C893" s="3" t="s">
        <v>515</v>
      </c>
      <c r="D893" s="3" t="s">
        <v>3876</v>
      </c>
      <c r="E893" s="2" t="s">
        <v>3064</v>
      </c>
      <c r="F893" s="2" t="s">
        <v>2909</v>
      </c>
      <c r="G893" s="148"/>
      <c r="H893" s="148"/>
      <c r="J893" s="10" t="s">
        <v>3889</v>
      </c>
      <c r="K893" s="14"/>
      <c r="L893" s="13"/>
      <c r="M893" s="7"/>
      <c r="N893" s="7"/>
      <c r="O893" s="7"/>
      <c r="P893" s="7"/>
      <c r="Q893" s="7"/>
      <c r="R893" s="7" t="s">
        <v>3890</v>
      </c>
      <c r="S893" s="141" t="s">
        <v>949</v>
      </c>
      <c r="T893" s="7" t="s">
        <v>1945</v>
      </c>
    </row>
    <row r="894" spans="1:20" hidden="1">
      <c r="A894" s="38">
        <v>250418220183</v>
      </c>
      <c r="B894" s="147" t="s">
        <v>867</v>
      </c>
      <c r="C894" s="3" t="s">
        <v>515</v>
      </c>
      <c r="D894" s="3" t="s">
        <v>3876</v>
      </c>
      <c r="E894" s="2" t="s">
        <v>3891</v>
      </c>
      <c r="F894" s="2" t="s">
        <v>2909</v>
      </c>
      <c r="G894" s="148"/>
      <c r="H894" s="148"/>
      <c r="J894" s="10" t="s">
        <v>3892</v>
      </c>
      <c r="K894" s="14"/>
      <c r="L894" s="13"/>
      <c r="M894" s="7"/>
      <c r="N894" s="7"/>
      <c r="O894" s="7"/>
      <c r="P894" s="7"/>
      <c r="Q894" s="7"/>
      <c r="R894" s="7" t="s">
        <v>3890</v>
      </c>
      <c r="S894" s="141" t="s">
        <v>949</v>
      </c>
      <c r="T894" s="7" t="s">
        <v>1834</v>
      </c>
    </row>
    <row r="895" spans="1:20" hidden="1">
      <c r="A895" s="38">
        <v>241112000229</v>
      </c>
      <c r="B895" s="147" t="s">
        <v>867</v>
      </c>
      <c r="C895" s="3" t="s">
        <v>515</v>
      </c>
      <c r="D895" s="3" t="s">
        <v>3876</v>
      </c>
      <c r="E895" s="2" t="s">
        <v>3173</v>
      </c>
      <c r="F895" s="2" t="s">
        <v>1029</v>
      </c>
      <c r="G895" s="148"/>
      <c r="H895" s="148"/>
      <c r="J895" s="1" t="s">
        <v>3893</v>
      </c>
      <c r="K895" s="10"/>
      <c r="L895" s="13" t="s">
        <v>3894</v>
      </c>
      <c r="M895" s="130" t="s">
        <v>3895</v>
      </c>
      <c r="N895" s="7"/>
      <c r="O895" s="7"/>
      <c r="P895" s="7"/>
      <c r="Q895" s="7"/>
      <c r="R895" s="7"/>
      <c r="S895" s="141"/>
      <c r="T895" s="7"/>
    </row>
    <row r="896" spans="1:20" hidden="1">
      <c r="A896" s="38">
        <v>241112000230</v>
      </c>
      <c r="B896" s="147" t="s">
        <v>867</v>
      </c>
      <c r="C896" s="3" t="s">
        <v>515</v>
      </c>
      <c r="D896" s="3" t="s">
        <v>3876</v>
      </c>
      <c r="E896" s="2" t="s">
        <v>3177</v>
      </c>
      <c r="F896" s="2" t="s">
        <v>1394</v>
      </c>
      <c r="G896" s="148"/>
      <c r="H896" s="148"/>
      <c r="J896" s="1" t="s">
        <v>3896</v>
      </c>
      <c r="K896" s="10"/>
      <c r="L896" s="13" t="s">
        <v>3897</v>
      </c>
      <c r="M896" s="7" t="s">
        <v>3898</v>
      </c>
      <c r="N896" s="7"/>
      <c r="O896" s="7"/>
      <c r="P896" s="7"/>
      <c r="Q896" s="7"/>
      <c r="R896" s="7"/>
      <c r="S896" s="141"/>
      <c r="T896" s="7"/>
    </row>
    <row r="897" spans="1:20">
      <c r="A897" s="38"/>
      <c r="B897" s="149"/>
      <c r="C897" s="3"/>
      <c r="D897" s="3"/>
      <c r="F897" s="2"/>
      <c r="G897" s="48"/>
      <c r="H897" s="150"/>
      <c r="J897" s="10"/>
      <c r="K897" s="14"/>
      <c r="L897" s="13"/>
      <c r="M897" s="7"/>
      <c r="N897" s="7"/>
      <c r="O897" s="7"/>
      <c r="P897" s="7"/>
      <c r="Q897" s="7"/>
      <c r="R897" s="7"/>
      <c r="S897" s="141"/>
      <c r="T897" s="7"/>
    </row>
    <row r="898" spans="1:20">
      <c r="A898" s="38"/>
      <c r="B898" s="149"/>
      <c r="C898" s="3"/>
      <c r="D898" s="3"/>
      <c r="F898" s="2"/>
      <c r="G898" s="48"/>
      <c r="H898" s="150"/>
      <c r="J898" s="10"/>
      <c r="K898" s="14"/>
      <c r="L898" s="13"/>
      <c r="M898" s="7"/>
      <c r="N898" s="7"/>
      <c r="O898" s="7"/>
      <c r="P898" s="7"/>
      <c r="Q898" s="7"/>
      <c r="R898" s="7"/>
      <c r="S898" s="141"/>
      <c r="T898" s="7"/>
    </row>
    <row r="899" spans="1:20">
      <c r="A899" s="38"/>
      <c r="B899" s="149"/>
      <c r="C899" s="3"/>
      <c r="D899" s="3"/>
      <c r="F899" s="2"/>
      <c r="G899" s="48"/>
      <c r="H899" s="150"/>
      <c r="J899" s="10"/>
      <c r="K899" s="14"/>
      <c r="L899" s="13"/>
      <c r="M899" s="7"/>
      <c r="N899" s="7"/>
      <c r="O899" s="7"/>
      <c r="P899" s="7"/>
      <c r="Q899" s="7"/>
      <c r="R899" s="7"/>
      <c r="S899" s="141"/>
      <c r="T899" s="7"/>
    </row>
    <row r="900" spans="1:20">
      <c r="A900" s="38"/>
      <c r="B900" s="149"/>
      <c r="C900" s="3"/>
      <c r="D900" s="3"/>
      <c r="F900" s="2"/>
      <c r="G900" s="48"/>
      <c r="H900" s="150"/>
      <c r="J900" s="10"/>
      <c r="K900" s="14"/>
      <c r="L900" s="13"/>
      <c r="M900" s="7"/>
      <c r="N900" s="7"/>
      <c r="O900" s="7"/>
      <c r="P900" s="7"/>
      <c r="Q900" s="7"/>
      <c r="R900" s="7"/>
      <c r="S900" s="141"/>
      <c r="T900" s="7"/>
    </row>
    <row r="901" spans="1:20">
      <c r="A901" s="155"/>
      <c r="B901" s="156"/>
      <c r="C901" s="3"/>
      <c r="D901" s="2"/>
      <c r="F901" s="2"/>
      <c r="G901" s="48"/>
      <c r="J901" s="2"/>
      <c r="L901" s="157"/>
      <c r="M901" s="157"/>
      <c r="N901" s="157"/>
      <c r="O901" s="157"/>
      <c r="P901" s="157"/>
      <c r="Q901" s="157"/>
      <c r="R901" s="157"/>
      <c r="S901" s="158"/>
      <c r="T901" s="157"/>
    </row>
    <row r="902" spans="1:20">
      <c r="A902" s="38"/>
      <c r="B902" s="149"/>
      <c r="C902" s="51"/>
      <c r="D902" s="1"/>
      <c r="E902" s="1"/>
      <c r="F902" s="2"/>
      <c r="G902" s="48"/>
      <c r="H902" s="150"/>
      <c r="J902" s="10"/>
      <c r="K902" s="14"/>
      <c r="L902" s="13"/>
      <c r="M902" s="7"/>
      <c r="N902" s="7"/>
      <c r="O902" s="7"/>
      <c r="P902" s="7"/>
      <c r="Q902" s="7"/>
      <c r="R902" s="7"/>
      <c r="S902" s="141"/>
      <c r="T902" s="7"/>
    </row>
    <row r="903" spans="1:20">
      <c r="A903" s="38"/>
      <c r="B903" s="149"/>
      <c r="C903" s="51"/>
      <c r="D903" s="1"/>
      <c r="E903" s="1"/>
      <c r="F903" s="2"/>
      <c r="G903" s="48"/>
      <c r="H903" s="150"/>
      <c r="J903" s="10"/>
      <c r="K903" s="14"/>
      <c r="L903" s="13"/>
      <c r="M903" s="7"/>
      <c r="N903" s="7"/>
      <c r="O903" s="7"/>
      <c r="P903" s="7"/>
      <c r="Q903" s="7"/>
      <c r="R903" s="7"/>
      <c r="S903" s="141"/>
      <c r="T903" s="7"/>
    </row>
    <row r="904" spans="1:20">
      <c r="A904" s="38"/>
      <c r="B904" s="149"/>
      <c r="C904" s="51"/>
      <c r="D904" s="1"/>
      <c r="E904" s="1"/>
      <c r="F904" s="2"/>
      <c r="G904" s="48"/>
      <c r="H904" s="150"/>
      <c r="J904" s="10"/>
      <c r="K904" s="14"/>
      <c r="L904" s="13"/>
      <c r="M904" s="7"/>
      <c r="N904" s="7"/>
      <c r="O904" s="7"/>
      <c r="P904" s="7"/>
      <c r="Q904" s="7"/>
      <c r="R904" s="7"/>
      <c r="S904" s="141"/>
      <c r="T904" s="7"/>
    </row>
    <row r="905" spans="1:20">
      <c r="A905" s="38"/>
      <c r="B905" s="149"/>
      <c r="C905" s="51"/>
      <c r="D905" s="1"/>
      <c r="E905" s="1"/>
      <c r="F905" s="2"/>
      <c r="G905" s="48"/>
      <c r="H905" s="150"/>
      <c r="J905" s="10"/>
      <c r="K905" s="14"/>
      <c r="L905" s="13"/>
      <c r="M905" s="7"/>
      <c r="N905" s="7"/>
      <c r="O905" s="7"/>
      <c r="P905" s="7"/>
      <c r="Q905" s="7"/>
      <c r="R905" s="7"/>
      <c r="S905" s="141"/>
      <c r="T905" s="7"/>
    </row>
    <row r="906" spans="1:20">
      <c r="A906" s="38"/>
      <c r="B906" s="149"/>
      <c r="C906" s="51"/>
      <c r="D906" s="1"/>
      <c r="E906" s="1"/>
      <c r="F906" s="2"/>
      <c r="G906" s="48"/>
      <c r="H906" s="150"/>
      <c r="J906" s="10"/>
      <c r="K906" s="14"/>
      <c r="L906" s="13"/>
      <c r="M906" s="7"/>
      <c r="N906" s="7"/>
      <c r="O906" s="7"/>
      <c r="P906" s="7"/>
      <c r="Q906" s="7"/>
      <c r="R906" s="7"/>
      <c r="S906" s="141"/>
      <c r="T906" s="7"/>
    </row>
    <row r="907" spans="1:20">
      <c r="A907" s="38"/>
      <c r="B907" s="149"/>
      <c r="C907" s="51"/>
      <c r="D907" s="1"/>
      <c r="E907" s="1"/>
      <c r="F907" s="2"/>
      <c r="G907" s="48"/>
      <c r="H907" s="150"/>
      <c r="J907" s="10"/>
      <c r="K907" s="14"/>
      <c r="L907" s="13"/>
      <c r="M907" s="7"/>
      <c r="N907" s="7"/>
      <c r="O907" s="7"/>
      <c r="P907" s="7"/>
      <c r="Q907" s="7"/>
      <c r="R907" s="7"/>
      <c r="S907" s="141"/>
      <c r="T907" s="7"/>
    </row>
    <row r="908" spans="1:20">
      <c r="A908" s="38"/>
      <c r="B908" s="149"/>
      <c r="C908" s="51"/>
      <c r="D908" s="1"/>
      <c r="E908" s="1"/>
      <c r="F908" s="2"/>
      <c r="G908" s="48"/>
      <c r="H908" s="150"/>
      <c r="J908" s="10"/>
      <c r="K908" s="14"/>
      <c r="L908" s="13"/>
      <c r="M908" s="7"/>
      <c r="N908" s="7"/>
      <c r="O908" s="7"/>
      <c r="P908" s="7"/>
      <c r="Q908" s="7"/>
      <c r="R908" s="7"/>
      <c r="S908" s="141"/>
      <c r="T908" s="7"/>
    </row>
    <row r="909" spans="1:20">
      <c r="A909" s="38"/>
      <c r="B909" s="149"/>
      <c r="C909" s="51"/>
      <c r="D909" s="1"/>
      <c r="E909" s="1"/>
      <c r="F909" s="2"/>
      <c r="G909" s="48"/>
      <c r="H909" s="150"/>
      <c r="J909" s="10"/>
      <c r="K909" s="14"/>
      <c r="L909" s="13"/>
      <c r="M909" s="7"/>
      <c r="N909" s="7"/>
      <c r="O909" s="7"/>
      <c r="P909" s="7"/>
      <c r="Q909" s="7"/>
      <c r="R909" s="7"/>
      <c r="S909" s="141"/>
      <c r="T909" s="7"/>
    </row>
    <row r="910" spans="1:20">
      <c r="A910" s="38"/>
      <c r="B910" s="149"/>
      <c r="C910" s="51"/>
      <c r="D910" s="1"/>
      <c r="E910" s="1"/>
      <c r="F910" s="2"/>
      <c r="G910" s="48"/>
      <c r="H910" s="150"/>
      <c r="J910" s="10"/>
      <c r="K910" s="14"/>
      <c r="L910" s="13"/>
      <c r="M910" s="7"/>
      <c r="N910" s="7"/>
      <c r="O910" s="7"/>
      <c r="P910" s="7"/>
      <c r="Q910" s="7"/>
      <c r="R910" s="7"/>
      <c r="S910" s="141"/>
      <c r="T910" s="7"/>
    </row>
    <row r="911" spans="1:20">
      <c r="A911" s="38"/>
      <c r="B911" s="149"/>
      <c r="C911" s="51"/>
      <c r="D911" s="1"/>
      <c r="E911" s="1"/>
      <c r="F911" s="2"/>
      <c r="G911" s="48"/>
      <c r="H911" s="150"/>
      <c r="J911" s="10"/>
      <c r="K911" s="14"/>
      <c r="L911" s="13"/>
      <c r="M911" s="7"/>
      <c r="N911" s="7"/>
      <c r="O911" s="7"/>
      <c r="P911" s="7"/>
      <c r="Q911" s="7"/>
      <c r="R911" s="7"/>
      <c r="S911" s="141"/>
      <c r="T911" s="7"/>
    </row>
    <row r="912" spans="1:20">
      <c r="A912" s="38"/>
      <c r="B912" s="149"/>
      <c r="C912" s="51"/>
      <c r="D912" s="1"/>
      <c r="E912" s="1"/>
      <c r="F912" s="2"/>
      <c r="G912" s="48"/>
      <c r="H912" s="150"/>
      <c r="J912" s="10"/>
      <c r="K912" s="14"/>
      <c r="L912" s="13"/>
      <c r="M912" s="7"/>
      <c r="N912" s="7"/>
      <c r="O912" s="7"/>
      <c r="P912" s="7"/>
      <c r="Q912" s="7"/>
      <c r="R912" s="7"/>
      <c r="S912" s="141"/>
      <c r="T912" s="7"/>
    </row>
    <row r="913" spans="1:20">
      <c r="A913" s="38"/>
      <c r="B913" s="149"/>
      <c r="C913" s="51"/>
      <c r="D913" s="1"/>
      <c r="E913" s="1"/>
      <c r="F913" s="2"/>
      <c r="G913" s="48"/>
      <c r="H913" s="150"/>
      <c r="J913" s="10"/>
      <c r="K913" s="14"/>
      <c r="L913" s="13"/>
      <c r="M913" s="7"/>
      <c r="N913" s="7"/>
      <c r="O913" s="7"/>
      <c r="P913" s="7"/>
      <c r="Q913" s="7"/>
      <c r="R913" s="7"/>
      <c r="S913" s="141"/>
      <c r="T913" s="7"/>
    </row>
    <row r="914" spans="1:20">
      <c r="A914" s="38"/>
      <c r="B914" s="149"/>
      <c r="C914" s="51"/>
      <c r="D914" s="1"/>
      <c r="E914" s="1"/>
      <c r="F914" s="2"/>
      <c r="G914" s="48"/>
      <c r="H914" s="150"/>
      <c r="J914" s="10"/>
      <c r="K914" s="14"/>
      <c r="L914" s="13"/>
      <c r="M914" s="7"/>
      <c r="N914" s="7"/>
      <c r="O914" s="7"/>
      <c r="P914" s="7"/>
      <c r="Q914" s="7"/>
      <c r="R914" s="7"/>
      <c r="S914" s="141"/>
      <c r="T914" s="7"/>
    </row>
    <row r="915" spans="1:20">
      <c r="A915" s="38"/>
      <c r="B915" s="149"/>
      <c r="C915" s="51"/>
      <c r="D915" s="1"/>
      <c r="E915" s="1"/>
      <c r="F915" s="2"/>
      <c r="G915" s="48"/>
      <c r="H915" s="150"/>
      <c r="J915" s="10"/>
      <c r="K915" s="14"/>
      <c r="L915" s="13"/>
      <c r="M915" s="7"/>
      <c r="N915" s="7"/>
      <c r="O915" s="7"/>
      <c r="P915" s="7"/>
      <c r="Q915" s="7"/>
      <c r="R915" s="7"/>
      <c r="S915" s="141"/>
      <c r="T915" s="7"/>
    </row>
    <row r="916" spans="1:20">
      <c r="A916" s="38"/>
      <c r="B916" s="149"/>
      <c r="C916" s="51"/>
      <c r="D916" s="1"/>
      <c r="E916" s="1"/>
      <c r="F916" s="2"/>
      <c r="G916" s="48"/>
      <c r="H916" s="150"/>
      <c r="J916" s="10"/>
      <c r="K916" s="14"/>
      <c r="L916" s="13"/>
      <c r="M916" s="7"/>
      <c r="N916" s="7"/>
      <c r="O916" s="7"/>
      <c r="P916" s="7"/>
      <c r="Q916" s="7"/>
      <c r="R916" s="7"/>
      <c r="S916" s="141"/>
      <c r="T916" s="7"/>
    </row>
    <row r="917" spans="1:20">
      <c r="A917" s="38"/>
      <c r="B917" s="149"/>
      <c r="C917" s="51"/>
      <c r="D917" s="1"/>
      <c r="E917" s="1"/>
      <c r="F917" s="2"/>
      <c r="G917" s="48"/>
      <c r="H917" s="150"/>
      <c r="J917" s="10"/>
      <c r="K917" s="14"/>
      <c r="L917" s="13"/>
      <c r="M917" s="7"/>
      <c r="N917" s="7"/>
      <c r="O917" s="7"/>
      <c r="P917" s="7"/>
      <c r="Q917" s="7"/>
      <c r="R917" s="7"/>
      <c r="S917" s="141"/>
      <c r="T917" s="7"/>
    </row>
    <row r="918" spans="1:20">
      <c r="A918" s="38"/>
      <c r="B918" s="149"/>
      <c r="C918" s="51"/>
      <c r="D918" s="1"/>
      <c r="E918" s="1"/>
      <c r="F918" s="2"/>
      <c r="G918" s="48"/>
      <c r="H918" s="150"/>
      <c r="J918" s="10"/>
      <c r="K918" s="14"/>
      <c r="L918" s="13"/>
      <c r="M918" s="7"/>
      <c r="N918" s="7"/>
      <c r="O918" s="7"/>
      <c r="P918" s="7"/>
      <c r="Q918" s="7"/>
      <c r="R918" s="7"/>
      <c r="S918" s="141"/>
      <c r="T918" s="7"/>
    </row>
    <row r="919" spans="1:20">
      <c r="A919" s="38"/>
      <c r="B919" s="149"/>
      <c r="C919" s="51"/>
      <c r="D919" s="1"/>
      <c r="E919" s="1"/>
      <c r="F919" s="2"/>
      <c r="G919" s="48"/>
      <c r="H919" s="150"/>
      <c r="J919" s="10"/>
      <c r="K919" s="14"/>
      <c r="L919" s="13"/>
      <c r="M919" s="7"/>
      <c r="N919" s="7"/>
      <c r="O919" s="7"/>
      <c r="P919" s="7"/>
      <c r="Q919" s="7"/>
      <c r="R919" s="7"/>
      <c r="S919" s="141"/>
      <c r="T919" s="7"/>
    </row>
    <row r="920" spans="1:20">
      <c r="A920" s="38"/>
      <c r="B920" s="149"/>
      <c r="C920" s="51"/>
      <c r="D920" s="1"/>
      <c r="E920" s="1"/>
      <c r="F920" s="2"/>
      <c r="G920" s="48"/>
      <c r="H920" s="150"/>
      <c r="J920" s="10"/>
      <c r="K920" s="14"/>
      <c r="L920" s="13"/>
      <c r="M920" s="7"/>
      <c r="N920" s="7"/>
      <c r="O920" s="7"/>
      <c r="P920" s="7"/>
      <c r="Q920" s="7"/>
      <c r="R920" s="7"/>
      <c r="S920" s="141"/>
      <c r="T920" s="7"/>
    </row>
    <row r="921" spans="1:20">
      <c r="A921" s="38"/>
      <c r="B921" s="149"/>
      <c r="C921" s="51"/>
      <c r="D921" s="1"/>
      <c r="E921" s="1"/>
      <c r="F921" s="2"/>
      <c r="G921" s="48"/>
      <c r="H921" s="150"/>
      <c r="J921" s="10"/>
      <c r="K921" s="14"/>
      <c r="L921" s="13"/>
      <c r="M921" s="7"/>
      <c r="N921" s="7"/>
      <c r="O921" s="7"/>
      <c r="P921" s="7"/>
      <c r="Q921" s="7"/>
      <c r="R921" s="7"/>
      <c r="S921" s="141"/>
      <c r="T921" s="7"/>
    </row>
    <row r="922" spans="1:20">
      <c r="A922" s="38"/>
      <c r="B922" s="149"/>
      <c r="C922" s="51"/>
      <c r="D922" s="1"/>
      <c r="E922" s="1"/>
      <c r="F922" s="2"/>
      <c r="G922" s="48"/>
      <c r="H922" s="150"/>
      <c r="J922" s="10"/>
      <c r="K922" s="14"/>
      <c r="L922" s="13"/>
      <c r="M922" s="7"/>
      <c r="N922" s="7"/>
      <c r="O922" s="7"/>
      <c r="P922" s="7"/>
      <c r="Q922" s="7"/>
      <c r="R922" s="7"/>
      <c r="S922" s="141"/>
      <c r="T922" s="7"/>
    </row>
    <row r="923" spans="1:20">
      <c r="A923" s="38"/>
      <c r="B923" s="149"/>
      <c r="C923" s="3"/>
      <c r="D923" s="3"/>
      <c r="F923" s="2"/>
      <c r="G923" s="48"/>
      <c r="H923" s="150"/>
      <c r="J923" s="10"/>
      <c r="K923" s="14"/>
      <c r="L923" s="13"/>
      <c r="M923" s="7"/>
      <c r="N923" s="7"/>
      <c r="O923" s="7"/>
      <c r="P923" s="7"/>
      <c r="Q923" s="7"/>
      <c r="R923" s="7"/>
      <c r="S923" s="141"/>
      <c r="T923" s="7"/>
    </row>
    <row r="924" spans="1:20">
      <c r="A924" s="38"/>
      <c r="B924" s="149"/>
      <c r="C924" s="3"/>
      <c r="D924" s="3"/>
      <c r="F924" s="2"/>
      <c r="G924" s="48"/>
      <c r="H924" s="150"/>
      <c r="J924" s="10"/>
      <c r="K924" s="14"/>
      <c r="L924" s="13"/>
      <c r="M924" s="7"/>
      <c r="N924" s="7"/>
      <c r="O924" s="7"/>
      <c r="P924" s="7"/>
      <c r="Q924" s="7"/>
      <c r="R924" s="7"/>
      <c r="S924" s="141"/>
      <c r="T924" s="7"/>
    </row>
    <row r="925" spans="1:20">
      <c r="A925" s="38"/>
      <c r="B925" s="149"/>
      <c r="C925" s="3"/>
      <c r="D925" s="3"/>
      <c r="F925" s="2"/>
      <c r="G925" s="48"/>
      <c r="H925" s="150"/>
      <c r="J925" s="10"/>
      <c r="K925" s="14"/>
      <c r="L925" s="13"/>
      <c r="M925" s="7"/>
      <c r="N925" s="7"/>
      <c r="O925" s="7"/>
      <c r="P925" s="7"/>
      <c r="Q925" s="7"/>
      <c r="R925" s="7"/>
      <c r="S925" s="141"/>
      <c r="T925" s="7"/>
    </row>
    <row r="926" spans="1:20">
      <c r="A926" s="38"/>
      <c r="B926" s="149"/>
      <c r="C926" s="3"/>
      <c r="D926" s="3"/>
      <c r="F926" s="2"/>
      <c r="G926" s="48"/>
      <c r="H926" s="150"/>
      <c r="J926" s="10"/>
      <c r="K926" s="14"/>
      <c r="L926" s="13"/>
      <c r="M926" s="7"/>
      <c r="N926" s="7"/>
      <c r="O926" s="7"/>
      <c r="P926" s="7"/>
      <c r="Q926" s="7"/>
      <c r="R926" s="7"/>
      <c r="S926" s="141"/>
      <c r="T926" s="7"/>
    </row>
    <row r="927" spans="1:20">
      <c r="A927" s="38"/>
      <c r="B927" s="149"/>
      <c r="C927" s="3"/>
      <c r="D927" s="3"/>
      <c r="F927" s="2"/>
      <c r="G927" s="48"/>
      <c r="H927" s="150"/>
      <c r="J927" s="10"/>
      <c r="K927" s="14"/>
      <c r="L927" s="13"/>
      <c r="M927" s="7"/>
      <c r="N927" s="7"/>
      <c r="O927" s="7"/>
      <c r="P927" s="7"/>
      <c r="Q927" s="7"/>
      <c r="R927" s="7"/>
      <c r="S927" s="141"/>
      <c r="T927" s="7"/>
    </row>
    <row r="928" spans="1:20">
      <c r="A928" s="38"/>
      <c r="B928" s="149"/>
      <c r="C928" s="3"/>
      <c r="D928" s="3"/>
      <c r="F928" s="2"/>
      <c r="G928" s="48"/>
      <c r="H928" s="150"/>
      <c r="J928" s="10"/>
      <c r="K928" s="14"/>
      <c r="L928" s="13"/>
      <c r="M928" s="7"/>
      <c r="N928" s="7"/>
      <c r="O928" s="7"/>
      <c r="P928" s="7"/>
      <c r="Q928" s="7"/>
      <c r="R928" s="7"/>
      <c r="S928" s="141"/>
      <c r="T928" s="7"/>
    </row>
    <row r="929" spans="1:20">
      <c r="A929" s="38"/>
      <c r="B929" s="149"/>
      <c r="C929" s="3"/>
      <c r="D929" s="3"/>
      <c r="F929" s="2"/>
      <c r="G929" s="48"/>
      <c r="H929" s="150"/>
      <c r="J929" s="10"/>
      <c r="K929" s="14"/>
      <c r="L929" s="13"/>
      <c r="M929" s="7"/>
      <c r="N929" s="7"/>
      <c r="O929" s="7"/>
      <c r="P929" s="7"/>
      <c r="Q929" s="7"/>
      <c r="R929" s="7"/>
      <c r="S929" s="141"/>
      <c r="T929" s="7"/>
    </row>
    <row r="930" spans="1:20">
      <c r="C930" s="3"/>
      <c r="D930" s="3"/>
      <c r="F930" s="2"/>
      <c r="G930" s="48"/>
    </row>
    <row r="931" spans="1:20">
      <c r="C931" s="3"/>
      <c r="D931" s="3"/>
      <c r="F931" s="2"/>
      <c r="G931" s="48"/>
    </row>
    <row r="932" spans="1:20">
      <c r="C932" s="3"/>
      <c r="D932" s="3"/>
      <c r="F932" s="2"/>
      <c r="G932" s="48"/>
    </row>
    <row r="933" spans="1:20">
      <c r="C933" s="3"/>
      <c r="D933" s="3"/>
      <c r="F933" s="2"/>
      <c r="G933" s="48"/>
    </row>
    <row r="934" spans="1:20">
      <c r="C934" s="3"/>
      <c r="D934" s="3"/>
      <c r="F934" s="2"/>
      <c r="G934" s="48"/>
    </row>
    <row r="935" spans="1:20">
      <c r="C935" s="3"/>
      <c r="D935" s="3"/>
      <c r="F935" s="2"/>
      <c r="G935" s="48"/>
    </row>
    <row r="936" spans="1:20">
      <c r="C936" s="3"/>
      <c r="D936" s="3"/>
      <c r="F936" s="2"/>
      <c r="G936" s="48"/>
    </row>
    <row r="937" spans="1:20">
      <c r="C937" s="3"/>
      <c r="D937" s="3"/>
      <c r="F937" s="2"/>
      <c r="G937" s="48"/>
    </row>
    <row r="938" spans="1:20">
      <c r="C938" s="3"/>
      <c r="D938" s="3"/>
      <c r="F938" s="2"/>
      <c r="G938" s="48"/>
    </row>
    <row r="939" spans="1:20">
      <c r="C939" s="3"/>
      <c r="D939" s="3"/>
      <c r="F939" s="2"/>
      <c r="G939" s="48"/>
    </row>
    <row r="940" spans="1:20">
      <c r="C940" s="3"/>
      <c r="D940" s="3"/>
      <c r="F940" s="2"/>
      <c r="G940" s="48"/>
    </row>
    <row r="941" spans="1:20">
      <c r="C941" s="3"/>
      <c r="D941" s="3"/>
      <c r="F941" s="2"/>
      <c r="G941" s="48"/>
    </row>
    <row r="942" spans="1:20">
      <c r="C942" s="3"/>
      <c r="D942" s="3"/>
      <c r="F942" s="2"/>
      <c r="G942" s="48"/>
    </row>
    <row r="943" spans="1:20">
      <c r="C943" s="3"/>
      <c r="D943" s="3"/>
      <c r="F943" s="2"/>
      <c r="G943" s="48"/>
    </row>
    <row r="944" spans="1:20">
      <c r="C944" s="3"/>
      <c r="D944" s="3"/>
      <c r="F944" s="2"/>
      <c r="G944" s="48"/>
    </row>
    <row r="945" spans="3:7">
      <c r="C945" s="3"/>
      <c r="D945" s="3"/>
      <c r="F945" s="2"/>
      <c r="G945" s="48"/>
    </row>
    <row r="946" spans="3:7">
      <c r="C946" s="3"/>
      <c r="D946" s="3"/>
      <c r="F946" s="2"/>
      <c r="G946" s="48"/>
    </row>
    <row r="947" spans="3:7">
      <c r="C947" s="3"/>
      <c r="D947" s="3"/>
      <c r="F947" s="2"/>
      <c r="G947" s="48"/>
    </row>
    <row r="948" spans="3:7">
      <c r="C948" s="3"/>
      <c r="D948" s="3"/>
      <c r="F948" s="2"/>
      <c r="G948" s="48"/>
    </row>
    <row r="949" spans="3:7">
      <c r="C949" s="3"/>
      <c r="D949" s="3"/>
      <c r="F949" s="2"/>
      <c r="G949" s="48"/>
    </row>
    <row r="950" spans="3:7">
      <c r="C950" s="3"/>
      <c r="D950" s="3"/>
      <c r="F950" s="2"/>
      <c r="G950" s="48"/>
    </row>
    <row r="951" spans="3:7">
      <c r="C951" s="3"/>
      <c r="D951" s="3"/>
      <c r="F951" s="2"/>
      <c r="G951" s="48"/>
    </row>
    <row r="952" spans="3:7">
      <c r="C952" s="3"/>
      <c r="D952" s="3"/>
      <c r="F952" s="2"/>
      <c r="G952" s="48"/>
    </row>
    <row r="953" spans="3:7">
      <c r="C953" s="3"/>
      <c r="D953" s="3"/>
      <c r="F953" s="2"/>
      <c r="G953" s="48"/>
    </row>
    <row r="954" spans="3:7">
      <c r="C954" s="3"/>
      <c r="D954" s="3"/>
      <c r="F954" s="2"/>
      <c r="G954" s="48"/>
    </row>
    <row r="955" spans="3:7">
      <c r="C955" s="3"/>
      <c r="D955" s="3"/>
      <c r="F955" s="2"/>
      <c r="G955" s="48"/>
    </row>
    <row r="956" spans="3:7">
      <c r="C956" s="3"/>
      <c r="D956" s="3"/>
      <c r="F956" s="2"/>
      <c r="G956" s="48"/>
    </row>
    <row r="957" spans="3:7">
      <c r="C957" s="3"/>
      <c r="D957" s="3"/>
      <c r="F957" s="2"/>
      <c r="G957" s="48"/>
    </row>
    <row r="958" spans="3:7">
      <c r="C958" s="3"/>
      <c r="D958" s="3"/>
      <c r="F958" s="2"/>
      <c r="G958" s="48"/>
    </row>
    <row r="959" spans="3:7">
      <c r="C959" s="3"/>
      <c r="D959" s="3"/>
      <c r="F959" s="2"/>
      <c r="G959" s="48"/>
    </row>
    <row r="960" spans="3:7">
      <c r="C960" s="3"/>
      <c r="D960" s="3"/>
      <c r="F960" s="2"/>
      <c r="G960" s="48"/>
    </row>
    <row r="961" spans="3:7">
      <c r="C961" s="3"/>
      <c r="D961" s="3"/>
      <c r="F961" s="2"/>
      <c r="G961" s="48"/>
    </row>
    <row r="962" spans="3:7">
      <c r="C962" s="3"/>
      <c r="D962" s="3"/>
      <c r="F962" s="2"/>
      <c r="G962" s="48"/>
    </row>
    <row r="963" spans="3:7">
      <c r="C963" s="3"/>
      <c r="D963" s="3"/>
      <c r="F963" s="2"/>
      <c r="G963" s="48"/>
    </row>
    <row r="964" spans="3:7">
      <c r="C964" s="3"/>
      <c r="D964" s="3"/>
      <c r="F964" s="2"/>
      <c r="G964" s="48"/>
    </row>
    <row r="965" spans="3:7">
      <c r="C965" s="3"/>
      <c r="D965" s="3"/>
      <c r="F965" s="2"/>
      <c r="G965" s="48"/>
    </row>
    <row r="966" spans="3:7">
      <c r="C966" s="3"/>
      <c r="D966" s="3"/>
      <c r="F966" s="2"/>
      <c r="G966" s="48"/>
    </row>
    <row r="967" spans="3:7">
      <c r="C967" s="3"/>
      <c r="D967" s="3"/>
      <c r="F967" s="2"/>
      <c r="G967" s="48"/>
    </row>
    <row r="968" spans="3:7">
      <c r="C968" s="3"/>
      <c r="D968" s="3"/>
      <c r="F968" s="2"/>
      <c r="G968" s="48"/>
    </row>
    <row r="969" spans="3:7">
      <c r="C969" s="3"/>
      <c r="D969" s="3"/>
      <c r="F969" s="2"/>
      <c r="G969" s="48"/>
    </row>
    <row r="970" spans="3:7">
      <c r="C970" s="3"/>
      <c r="D970" s="3"/>
      <c r="F970" s="2"/>
      <c r="G970" s="48"/>
    </row>
    <row r="971" spans="3:7">
      <c r="C971" s="3"/>
      <c r="D971" s="3"/>
      <c r="F971" s="2"/>
      <c r="G971" s="48"/>
    </row>
    <row r="972" spans="3:7">
      <c r="C972" s="3"/>
      <c r="D972" s="3"/>
      <c r="F972" s="2"/>
      <c r="G972" s="48"/>
    </row>
    <row r="973" spans="3:7">
      <c r="C973" s="3"/>
      <c r="D973" s="3"/>
      <c r="F973" s="2"/>
      <c r="G973" s="48"/>
    </row>
    <row r="974" spans="3:7">
      <c r="C974" s="3"/>
      <c r="D974" s="3"/>
      <c r="F974" s="2"/>
      <c r="G974" s="48"/>
    </row>
    <row r="975" spans="3:7">
      <c r="C975" s="3"/>
      <c r="D975" s="3"/>
      <c r="F975" s="2"/>
      <c r="G975" s="48"/>
    </row>
    <row r="976" spans="3:7">
      <c r="C976" s="3"/>
      <c r="D976" s="3"/>
      <c r="F976" s="2"/>
      <c r="G976" s="48"/>
    </row>
    <row r="977" spans="3:7">
      <c r="C977" s="3"/>
      <c r="D977" s="3"/>
      <c r="F977" s="2"/>
      <c r="G977" s="48"/>
    </row>
    <row r="978" spans="3:7">
      <c r="C978" s="3"/>
      <c r="D978" s="3"/>
      <c r="F978" s="2"/>
      <c r="G978" s="48"/>
    </row>
    <row r="979" spans="3:7">
      <c r="C979" s="3"/>
      <c r="D979" s="3"/>
      <c r="F979" s="2"/>
      <c r="G979" s="48"/>
    </row>
    <row r="980" spans="3:7">
      <c r="C980" s="3"/>
      <c r="D980" s="3"/>
      <c r="F980" s="2"/>
      <c r="G980" s="48"/>
    </row>
    <row r="981" spans="3:7">
      <c r="C981" s="3"/>
      <c r="D981" s="3"/>
      <c r="F981" s="2"/>
      <c r="G981" s="48"/>
    </row>
    <row r="982" spans="3:7">
      <c r="C982" s="3"/>
      <c r="D982" s="3"/>
      <c r="F982" s="2"/>
      <c r="G982" s="48"/>
    </row>
    <row r="983" spans="3:7">
      <c r="C983" s="3"/>
      <c r="D983" s="3"/>
      <c r="F983" s="2"/>
      <c r="G983" s="48"/>
    </row>
    <row r="984" spans="3:7">
      <c r="C984" s="3"/>
      <c r="D984" s="3"/>
      <c r="F984" s="2"/>
      <c r="G984" s="48"/>
    </row>
    <row r="985" spans="3:7">
      <c r="C985" s="3"/>
      <c r="D985" s="3"/>
      <c r="F985" s="2"/>
      <c r="G985" s="48"/>
    </row>
    <row r="986" spans="3:7">
      <c r="C986" s="3"/>
      <c r="D986" s="3"/>
      <c r="F986" s="2"/>
      <c r="G986" s="48"/>
    </row>
    <row r="987" spans="3:7">
      <c r="C987" s="3"/>
      <c r="D987" s="3"/>
      <c r="F987" s="2"/>
      <c r="G987" s="48"/>
    </row>
    <row r="988" spans="3:7">
      <c r="C988" s="3"/>
      <c r="D988" s="3"/>
      <c r="F988" s="2"/>
      <c r="G988" s="48"/>
    </row>
    <row r="989" spans="3:7">
      <c r="C989" s="3"/>
      <c r="D989" s="3"/>
      <c r="F989" s="2"/>
      <c r="G989" s="48"/>
    </row>
    <row r="990" spans="3:7">
      <c r="C990" s="3"/>
      <c r="D990" s="3"/>
      <c r="F990" s="2"/>
      <c r="G990" s="48"/>
    </row>
    <row r="991" spans="3:7">
      <c r="C991" s="3"/>
      <c r="D991" s="3"/>
      <c r="F991" s="2"/>
      <c r="G991" s="48"/>
    </row>
    <row r="992" spans="3:7">
      <c r="C992" s="3"/>
      <c r="D992" s="3"/>
      <c r="F992" s="2"/>
      <c r="G992" s="48"/>
    </row>
    <row r="993" spans="3:7">
      <c r="C993" s="3"/>
      <c r="D993" s="3"/>
      <c r="F993" s="2"/>
      <c r="G993" s="48"/>
    </row>
    <row r="994" spans="3:7">
      <c r="C994" s="3"/>
      <c r="D994" s="3"/>
      <c r="F994" s="2"/>
      <c r="G994" s="48"/>
    </row>
    <row r="995" spans="3:7">
      <c r="C995" s="3"/>
      <c r="D995" s="3"/>
      <c r="F995" s="2"/>
      <c r="G995" s="48"/>
    </row>
    <row r="996" spans="3:7">
      <c r="C996" s="3"/>
      <c r="D996" s="3"/>
      <c r="F996" s="2"/>
      <c r="G996" s="48"/>
    </row>
    <row r="997" spans="3:7">
      <c r="C997" s="3"/>
      <c r="D997" s="3"/>
      <c r="F997" s="2"/>
      <c r="G997" s="48"/>
    </row>
    <row r="998" spans="3:7">
      <c r="C998" s="3"/>
      <c r="D998" s="3"/>
      <c r="F998" s="2"/>
      <c r="G998" s="48"/>
    </row>
    <row r="999" spans="3:7">
      <c r="C999" s="3"/>
      <c r="D999" s="3"/>
      <c r="F999" s="2"/>
      <c r="G999" s="48"/>
    </row>
    <row r="1000" spans="3:7">
      <c r="C1000" s="3"/>
      <c r="D1000" s="3"/>
      <c r="F1000" s="2"/>
      <c r="G1000" s="48"/>
    </row>
    <row r="1001" spans="3:7">
      <c r="C1001" s="3"/>
      <c r="D1001" s="3"/>
      <c r="F1001" s="2"/>
      <c r="G1001" s="48"/>
    </row>
    <row r="1002" spans="3:7">
      <c r="C1002" s="3"/>
      <c r="D1002" s="3"/>
      <c r="F1002" s="2"/>
      <c r="G1002" s="48"/>
    </row>
    <row r="1003" spans="3:7">
      <c r="C1003" s="3"/>
      <c r="D1003" s="3"/>
      <c r="F1003" s="2"/>
      <c r="G1003" s="48"/>
    </row>
    <row r="1004" spans="3:7">
      <c r="C1004" s="3"/>
      <c r="D1004" s="3"/>
      <c r="F1004" s="2"/>
      <c r="G1004" s="48"/>
    </row>
    <row r="1005" spans="3:7">
      <c r="C1005" s="3"/>
      <c r="D1005" s="3"/>
      <c r="F1005" s="2"/>
      <c r="G1005" s="48"/>
    </row>
    <row r="1006" spans="3:7">
      <c r="C1006" s="3"/>
      <c r="D1006" s="3"/>
      <c r="F1006" s="2"/>
      <c r="G1006" s="48"/>
    </row>
    <row r="1007" spans="3:7">
      <c r="C1007" s="3"/>
      <c r="D1007" s="3"/>
      <c r="F1007" s="2"/>
      <c r="G1007" s="48"/>
    </row>
    <row r="1008" spans="3:7">
      <c r="C1008" s="3"/>
      <c r="D1008" s="3"/>
      <c r="F1008" s="2"/>
      <c r="G1008" s="48"/>
    </row>
    <row r="1009" spans="3:7">
      <c r="C1009" s="3"/>
      <c r="D1009" s="3"/>
      <c r="F1009" s="2"/>
      <c r="G1009" s="48"/>
    </row>
    <row r="1010" spans="3:7">
      <c r="C1010" s="3"/>
      <c r="D1010" s="3"/>
      <c r="F1010" s="2"/>
      <c r="G1010" s="48"/>
    </row>
    <row r="1011" spans="3:7">
      <c r="C1011" s="3"/>
      <c r="D1011" s="3"/>
      <c r="F1011" s="2"/>
      <c r="G1011" s="48"/>
    </row>
    <row r="1012" spans="3:7">
      <c r="C1012" s="3"/>
      <c r="D1012" s="3"/>
      <c r="F1012" s="2"/>
      <c r="G1012" s="48"/>
    </row>
    <row r="1013" spans="3:7">
      <c r="C1013" s="3"/>
      <c r="D1013" s="3"/>
      <c r="F1013" s="2"/>
      <c r="G1013" s="48"/>
    </row>
    <row r="1014" spans="3:7">
      <c r="C1014" s="3"/>
      <c r="D1014" s="3"/>
      <c r="F1014" s="2"/>
      <c r="G1014" s="48"/>
    </row>
    <row r="1015" spans="3:7">
      <c r="C1015" s="3"/>
      <c r="D1015" s="3"/>
      <c r="F1015" s="2"/>
      <c r="G1015" s="48"/>
    </row>
    <row r="1016" spans="3:7">
      <c r="C1016" s="3"/>
      <c r="D1016" s="3"/>
      <c r="F1016" s="2"/>
      <c r="G1016" s="48"/>
    </row>
    <row r="1017" spans="3:7">
      <c r="C1017" s="3"/>
      <c r="D1017" s="3"/>
      <c r="F1017" s="2"/>
      <c r="G1017" s="48"/>
    </row>
    <row r="1018" spans="3:7">
      <c r="C1018" s="3"/>
      <c r="D1018" s="3"/>
      <c r="F1018" s="2"/>
      <c r="G1018" s="48"/>
    </row>
    <row r="1019" spans="3:7">
      <c r="C1019" s="3"/>
      <c r="D1019" s="3"/>
      <c r="F1019" s="2"/>
      <c r="G1019" s="48"/>
    </row>
    <row r="1020" spans="3:7">
      <c r="C1020" s="3"/>
      <c r="D1020" s="3"/>
      <c r="F1020" s="2"/>
      <c r="G1020" s="48"/>
    </row>
    <row r="1021" spans="3:7">
      <c r="C1021" s="3"/>
      <c r="D1021" s="3"/>
      <c r="F1021" s="2"/>
      <c r="G1021" s="48"/>
    </row>
    <row r="1022" spans="3:7">
      <c r="C1022" s="3"/>
      <c r="D1022" s="3"/>
      <c r="F1022" s="2"/>
      <c r="G1022" s="48"/>
    </row>
    <row r="1023" spans="3:7">
      <c r="C1023" s="3"/>
      <c r="D1023" s="3"/>
      <c r="F1023" s="2"/>
      <c r="G1023" s="48"/>
    </row>
    <row r="1024" spans="3:7">
      <c r="C1024" s="3"/>
      <c r="D1024" s="3"/>
      <c r="F1024" s="2"/>
      <c r="G1024" s="48"/>
    </row>
    <row r="1025" spans="3:7">
      <c r="C1025" s="3"/>
      <c r="D1025" s="3"/>
      <c r="F1025" s="2"/>
      <c r="G1025" s="48"/>
    </row>
    <row r="1026" spans="3:7">
      <c r="C1026" s="3"/>
      <c r="D1026" s="3"/>
      <c r="F1026" s="2"/>
      <c r="G1026" s="48"/>
    </row>
    <row r="1027" spans="3:7">
      <c r="C1027" s="3"/>
      <c r="D1027" s="3"/>
      <c r="F1027" s="2"/>
      <c r="G1027" s="48"/>
    </row>
    <row r="1028" spans="3:7">
      <c r="C1028" s="3"/>
      <c r="D1028" s="3"/>
      <c r="F1028" s="2"/>
      <c r="G1028" s="48"/>
    </row>
    <row r="1029" spans="3:7">
      <c r="C1029" s="3"/>
      <c r="D1029" s="3"/>
      <c r="F1029" s="2"/>
      <c r="G1029" s="48"/>
    </row>
    <row r="1030" spans="3:7">
      <c r="C1030" s="3"/>
      <c r="D1030" s="3"/>
      <c r="F1030" s="2"/>
      <c r="G1030" s="48"/>
    </row>
    <row r="1031" spans="3:7">
      <c r="C1031" s="3"/>
      <c r="D1031" s="3"/>
      <c r="F1031" s="2"/>
      <c r="G1031" s="48"/>
    </row>
    <row r="1032" spans="3:7">
      <c r="C1032" s="3"/>
      <c r="D1032" s="3"/>
      <c r="F1032" s="2"/>
      <c r="G1032" s="48"/>
    </row>
    <row r="1033" spans="3:7">
      <c r="C1033" s="3"/>
      <c r="D1033" s="3"/>
      <c r="F1033" s="2"/>
      <c r="G1033" s="48"/>
    </row>
    <row r="1034" spans="3:7">
      <c r="C1034" s="3"/>
      <c r="D1034" s="3"/>
      <c r="F1034" s="2"/>
      <c r="G1034" s="48"/>
    </row>
    <row r="1035" spans="3:7">
      <c r="C1035" s="3"/>
      <c r="D1035" s="3"/>
      <c r="F1035" s="2"/>
      <c r="G1035" s="48"/>
    </row>
    <row r="1036" spans="3:7">
      <c r="C1036" s="3"/>
      <c r="D1036" s="3"/>
      <c r="F1036" s="2"/>
      <c r="G1036" s="48"/>
    </row>
    <row r="1037" spans="3:7">
      <c r="C1037" s="3"/>
      <c r="D1037" s="3"/>
      <c r="F1037" s="2"/>
      <c r="G1037" s="48"/>
    </row>
    <row r="1038" spans="3:7">
      <c r="C1038" s="3"/>
      <c r="D1038" s="3"/>
      <c r="F1038" s="2"/>
      <c r="G1038" s="48"/>
    </row>
    <row r="1039" spans="3:7">
      <c r="C1039" s="3"/>
      <c r="D1039" s="3"/>
      <c r="F1039" s="2"/>
      <c r="G1039" s="48"/>
    </row>
    <row r="1040" spans="3:7">
      <c r="C1040" s="3"/>
      <c r="D1040" s="3"/>
      <c r="F1040" s="2"/>
      <c r="G1040" s="48"/>
    </row>
    <row r="1041" spans="3:7">
      <c r="C1041" s="3"/>
      <c r="D1041" s="3"/>
      <c r="F1041" s="2"/>
      <c r="G1041" s="48"/>
    </row>
    <row r="1042" spans="3:7">
      <c r="C1042" s="3"/>
      <c r="D1042" s="3"/>
      <c r="F1042" s="2"/>
      <c r="G1042" s="48"/>
    </row>
    <row r="1043" spans="3:7">
      <c r="C1043" s="3"/>
      <c r="D1043" s="3"/>
      <c r="F1043" s="2"/>
      <c r="G1043" s="48"/>
    </row>
    <row r="1044" spans="3:7">
      <c r="C1044" s="3"/>
      <c r="D1044" s="3"/>
      <c r="F1044" s="2"/>
      <c r="G1044" s="48"/>
    </row>
    <row r="1045" spans="3:7">
      <c r="C1045" s="3"/>
      <c r="D1045" s="3"/>
      <c r="F1045" s="2"/>
      <c r="G1045" s="48"/>
    </row>
    <row r="1046" spans="3:7">
      <c r="C1046" s="3"/>
      <c r="D1046" s="3"/>
      <c r="F1046" s="2"/>
      <c r="G1046" s="48"/>
    </row>
    <row r="1047" spans="3:7">
      <c r="C1047" s="3"/>
      <c r="D1047" s="3"/>
      <c r="F1047" s="2"/>
      <c r="G1047" s="48"/>
    </row>
    <row r="1048" spans="3:7">
      <c r="C1048" s="3"/>
      <c r="D1048" s="3"/>
      <c r="F1048" s="2"/>
      <c r="G1048" s="48"/>
    </row>
    <row r="1049" spans="3:7">
      <c r="C1049" s="3"/>
      <c r="D1049" s="3"/>
      <c r="F1049" s="2"/>
      <c r="G1049" s="48"/>
    </row>
    <row r="1050" spans="3:7">
      <c r="C1050" s="3"/>
      <c r="D1050" s="3"/>
      <c r="F1050" s="2"/>
      <c r="G1050" s="48"/>
    </row>
    <row r="1051" spans="3:7">
      <c r="C1051" s="3"/>
      <c r="D1051" s="3"/>
      <c r="F1051" s="2"/>
      <c r="G1051" s="48"/>
    </row>
    <row r="1052" spans="3:7">
      <c r="C1052" s="3"/>
      <c r="D1052" s="3"/>
      <c r="F1052" s="2"/>
      <c r="G1052" s="48"/>
    </row>
    <row r="1053" spans="3:7">
      <c r="C1053" s="3"/>
      <c r="D1053" s="3"/>
      <c r="F1053" s="2"/>
      <c r="G1053" s="48"/>
    </row>
    <row r="1054" spans="3:7">
      <c r="C1054" s="3"/>
      <c r="D1054" s="3"/>
      <c r="F1054" s="2"/>
      <c r="G1054" s="48"/>
    </row>
    <row r="1055" spans="3:7">
      <c r="C1055" s="3"/>
      <c r="D1055" s="3"/>
      <c r="F1055" s="2"/>
      <c r="G1055" s="48"/>
    </row>
    <row r="1056" spans="3:7">
      <c r="C1056" s="3"/>
      <c r="D1056" s="3"/>
      <c r="F1056" s="2"/>
      <c r="G1056" s="48"/>
    </row>
    <row r="1057" spans="3:7">
      <c r="C1057" s="3"/>
      <c r="D1057" s="3"/>
      <c r="F1057" s="2"/>
      <c r="G1057" s="48"/>
    </row>
    <row r="1058" spans="3:7">
      <c r="C1058" s="3"/>
      <c r="D1058" s="3"/>
      <c r="F1058" s="2"/>
      <c r="G1058" s="48"/>
    </row>
    <row r="1059" spans="3:7">
      <c r="C1059" s="3"/>
      <c r="D1059" s="3"/>
      <c r="F1059" s="2"/>
      <c r="G1059" s="48"/>
    </row>
    <row r="1060" spans="3:7">
      <c r="C1060" s="3"/>
      <c r="D1060" s="3"/>
      <c r="F1060" s="2"/>
      <c r="G1060" s="48"/>
    </row>
    <row r="1061" spans="3:7">
      <c r="C1061" s="3"/>
      <c r="D1061" s="3"/>
      <c r="F1061" s="2"/>
      <c r="G1061" s="48"/>
    </row>
    <row r="1062" spans="3:7">
      <c r="C1062" s="3"/>
      <c r="D1062" s="3"/>
      <c r="F1062" s="2"/>
      <c r="G1062" s="48"/>
    </row>
    <row r="1063" spans="3:7">
      <c r="C1063" s="3"/>
      <c r="D1063" s="3"/>
      <c r="F1063" s="2"/>
      <c r="G1063" s="48"/>
    </row>
    <row r="1064" spans="3:7">
      <c r="C1064" s="3"/>
      <c r="D1064" s="3"/>
      <c r="F1064" s="2"/>
      <c r="G1064" s="48"/>
    </row>
    <row r="1065" spans="3:7">
      <c r="C1065" s="3"/>
      <c r="D1065" s="3"/>
      <c r="F1065" s="2"/>
      <c r="G1065" s="48"/>
    </row>
    <row r="1066" spans="3:7">
      <c r="C1066" s="3"/>
      <c r="D1066" s="3"/>
      <c r="F1066" s="2"/>
      <c r="G1066" s="48"/>
    </row>
    <row r="1067" spans="3:7">
      <c r="C1067" s="3"/>
      <c r="D1067" s="3"/>
      <c r="F1067" s="2"/>
      <c r="G1067" s="48"/>
    </row>
    <row r="1068" spans="3:7">
      <c r="C1068" s="3"/>
      <c r="D1068" s="3"/>
      <c r="F1068" s="2"/>
      <c r="G1068" s="48"/>
    </row>
    <row r="1069" spans="3:7">
      <c r="C1069" s="3"/>
      <c r="D1069" s="3"/>
      <c r="F1069" s="2"/>
      <c r="G1069" s="48"/>
    </row>
    <row r="1070" spans="3:7">
      <c r="C1070" s="3"/>
      <c r="D1070" s="3"/>
      <c r="F1070" s="2"/>
      <c r="G1070" s="48"/>
    </row>
    <row r="1071" spans="3:7">
      <c r="C1071" s="3"/>
      <c r="D1071" s="3"/>
      <c r="F1071" s="2"/>
      <c r="G1071" s="48"/>
    </row>
    <row r="1072" spans="3:7">
      <c r="C1072" s="3"/>
      <c r="D1072" s="3"/>
      <c r="F1072" s="2"/>
      <c r="G1072" s="48"/>
    </row>
    <row r="1073" spans="3:7">
      <c r="C1073" s="3"/>
      <c r="D1073" s="3"/>
      <c r="F1073" s="2"/>
      <c r="G1073" s="48"/>
    </row>
    <row r="1074" spans="3:7">
      <c r="C1074" s="3"/>
      <c r="D1074" s="3"/>
      <c r="F1074" s="2"/>
      <c r="G1074" s="48"/>
    </row>
    <row r="1075" spans="3:7">
      <c r="C1075" s="3"/>
      <c r="D1075" s="3"/>
      <c r="F1075" s="2"/>
      <c r="G1075" s="48"/>
    </row>
    <row r="1076" spans="3:7">
      <c r="C1076" s="3"/>
      <c r="D1076" s="3"/>
      <c r="F1076" s="2"/>
      <c r="G1076" s="48"/>
    </row>
    <row r="1077" spans="3:7">
      <c r="C1077" s="3"/>
      <c r="D1077" s="3"/>
      <c r="F1077" s="2"/>
      <c r="G1077" s="48"/>
    </row>
    <row r="1078" spans="3:7">
      <c r="C1078" s="3"/>
      <c r="D1078" s="3"/>
      <c r="F1078" s="2"/>
      <c r="G1078" s="48"/>
    </row>
    <row r="1079" spans="3:7">
      <c r="C1079" s="3"/>
      <c r="D1079" s="3"/>
      <c r="F1079" s="2"/>
      <c r="G1079" s="48"/>
    </row>
    <row r="1080" spans="3:7">
      <c r="C1080" s="3"/>
      <c r="D1080" s="3"/>
      <c r="F1080" s="2"/>
      <c r="G1080" s="48"/>
    </row>
    <row r="1081" spans="3:7">
      <c r="C1081" s="3"/>
      <c r="D1081" s="3"/>
      <c r="F1081" s="2"/>
      <c r="G1081" s="48"/>
    </row>
    <row r="1082" spans="3:7">
      <c r="C1082" s="3"/>
      <c r="D1082" s="3"/>
      <c r="F1082" s="2"/>
      <c r="G1082" s="48"/>
    </row>
    <row r="1083" spans="3:7">
      <c r="C1083" s="3"/>
      <c r="D1083" s="3"/>
      <c r="F1083" s="2"/>
      <c r="G1083" s="48"/>
    </row>
    <row r="1084" spans="3:7">
      <c r="C1084" s="3"/>
      <c r="D1084" s="3"/>
      <c r="F1084" s="2"/>
      <c r="G1084" s="48"/>
    </row>
    <row r="1085" spans="3:7">
      <c r="C1085" s="3"/>
      <c r="D1085" s="3"/>
      <c r="F1085" s="2"/>
      <c r="G1085" s="48"/>
    </row>
    <row r="1086" spans="3:7">
      <c r="C1086" s="3"/>
      <c r="D1086" s="3"/>
      <c r="F1086" s="2"/>
      <c r="G1086" s="48"/>
    </row>
    <row r="1087" spans="3:7">
      <c r="C1087" s="3"/>
      <c r="D1087" s="3"/>
      <c r="F1087" s="2"/>
      <c r="G1087" s="48"/>
    </row>
    <row r="1088" spans="3:7">
      <c r="C1088" s="3"/>
      <c r="D1088" s="3"/>
      <c r="F1088" s="2"/>
      <c r="G1088" s="48"/>
    </row>
    <row r="1089" spans="3:7">
      <c r="C1089" s="3"/>
      <c r="D1089" s="3"/>
      <c r="F1089" s="2"/>
      <c r="G1089" s="48"/>
    </row>
    <row r="1090" spans="3:7">
      <c r="C1090" s="3"/>
      <c r="D1090" s="3"/>
      <c r="F1090" s="2"/>
      <c r="G1090" s="48"/>
    </row>
    <row r="1091" spans="3:7">
      <c r="C1091" s="3"/>
      <c r="D1091" s="3"/>
      <c r="F1091" s="2"/>
      <c r="G1091" s="48"/>
    </row>
    <row r="1092" spans="3:7">
      <c r="C1092" s="3"/>
      <c r="D1092" s="3"/>
      <c r="F1092" s="2"/>
      <c r="G1092" s="48"/>
    </row>
    <row r="1093" spans="3:7">
      <c r="C1093" s="3"/>
      <c r="D1093" s="3"/>
      <c r="F1093" s="2"/>
      <c r="G1093" s="48"/>
    </row>
    <row r="1094" spans="3:7">
      <c r="C1094" s="3"/>
      <c r="D1094" s="3"/>
      <c r="F1094" s="2"/>
      <c r="G1094" s="48"/>
    </row>
    <row r="1095" spans="3:7">
      <c r="C1095" s="3"/>
      <c r="D1095" s="3"/>
      <c r="F1095" s="2"/>
      <c r="G1095" s="48"/>
    </row>
    <row r="1096" spans="3:7">
      <c r="C1096" s="3"/>
      <c r="D1096" s="3"/>
      <c r="F1096" s="2"/>
      <c r="G1096" s="48"/>
    </row>
    <row r="1097" spans="3:7">
      <c r="C1097" s="3"/>
      <c r="D1097" s="3"/>
      <c r="F1097" s="2"/>
      <c r="G1097" s="48"/>
    </row>
    <row r="1098" spans="3:7">
      <c r="C1098" s="3"/>
      <c r="D1098" s="3"/>
      <c r="F1098" s="2"/>
      <c r="G1098" s="48"/>
    </row>
    <row r="1099" spans="3:7">
      <c r="C1099" s="3"/>
      <c r="D1099" s="3"/>
      <c r="F1099" s="2"/>
      <c r="G1099" s="48"/>
    </row>
    <row r="1100" spans="3:7">
      <c r="C1100" s="3"/>
      <c r="D1100" s="3"/>
      <c r="F1100" s="2"/>
      <c r="G1100" s="48"/>
    </row>
    <row r="1101" spans="3:7">
      <c r="C1101" s="3"/>
      <c r="D1101" s="3"/>
      <c r="F1101" s="2"/>
      <c r="G1101" s="48"/>
    </row>
    <row r="1102" spans="3:7">
      <c r="C1102" s="3"/>
      <c r="D1102" s="3"/>
      <c r="F1102" s="2"/>
      <c r="G1102" s="48"/>
    </row>
    <row r="1103" spans="3:7">
      <c r="C1103" s="3"/>
      <c r="D1103" s="3"/>
      <c r="F1103" s="2"/>
      <c r="G1103" s="48"/>
    </row>
    <row r="1104" spans="3:7">
      <c r="C1104" s="3"/>
      <c r="D1104" s="3"/>
      <c r="F1104" s="2"/>
      <c r="G1104" s="48"/>
    </row>
    <row r="1105" spans="3:7">
      <c r="C1105" s="3"/>
      <c r="D1105" s="3"/>
      <c r="F1105" s="2"/>
      <c r="G1105" s="48"/>
    </row>
    <row r="1106" spans="3:7">
      <c r="C1106" s="3"/>
      <c r="D1106" s="3"/>
      <c r="F1106" s="2"/>
      <c r="G1106" s="48"/>
    </row>
    <row r="1107" spans="3:7">
      <c r="C1107" s="3"/>
      <c r="D1107" s="3"/>
      <c r="F1107" s="2"/>
      <c r="G1107" s="48"/>
    </row>
    <row r="1108" spans="3:7">
      <c r="C1108" s="3"/>
      <c r="D1108" s="3"/>
      <c r="F1108" s="2"/>
      <c r="G1108" s="48"/>
    </row>
    <row r="1109" spans="3:7">
      <c r="C1109" s="3"/>
      <c r="D1109" s="3"/>
      <c r="F1109" s="2"/>
      <c r="G1109" s="48"/>
    </row>
    <row r="1110" spans="3:7">
      <c r="C1110" s="3"/>
      <c r="D1110" s="3"/>
      <c r="F1110" s="2"/>
      <c r="G1110" s="48"/>
    </row>
    <row r="1111" spans="3:7">
      <c r="C1111" s="3"/>
      <c r="D1111" s="3"/>
      <c r="F1111" s="2"/>
      <c r="G1111" s="48"/>
    </row>
    <row r="1112" spans="3:7">
      <c r="C1112" s="3"/>
      <c r="D1112" s="3"/>
      <c r="F1112" s="2"/>
      <c r="G1112" s="48"/>
    </row>
    <row r="1113" spans="3:7">
      <c r="C1113" s="3"/>
      <c r="D1113" s="3"/>
      <c r="F1113" s="2"/>
      <c r="G1113" s="48"/>
    </row>
    <row r="1114" spans="3:7">
      <c r="C1114" s="3"/>
      <c r="D1114" s="3"/>
      <c r="F1114" s="2"/>
      <c r="G1114" s="48"/>
    </row>
    <row r="1115" spans="3:7">
      <c r="C1115" s="3"/>
      <c r="D1115" s="3"/>
      <c r="F1115" s="2"/>
      <c r="G1115" s="48"/>
    </row>
    <row r="1116" spans="3:7">
      <c r="C1116" s="3"/>
      <c r="D1116" s="3"/>
      <c r="F1116" s="2"/>
      <c r="G1116" s="48"/>
    </row>
    <row r="1117" spans="3:7">
      <c r="C1117" s="3"/>
      <c r="D1117" s="3"/>
      <c r="F1117" s="2"/>
      <c r="G1117" s="48"/>
    </row>
    <row r="1118" spans="3:7">
      <c r="C1118" s="3"/>
      <c r="D1118" s="3"/>
      <c r="F1118" s="2"/>
      <c r="G1118" s="48"/>
    </row>
    <row r="1119" spans="3:7">
      <c r="C1119" s="3"/>
      <c r="D1119" s="3"/>
      <c r="F1119" s="2"/>
      <c r="G1119" s="48"/>
    </row>
    <row r="1120" spans="3:7">
      <c r="C1120" s="3"/>
      <c r="D1120" s="3"/>
      <c r="F1120" s="2"/>
      <c r="G1120" s="48"/>
    </row>
    <row r="1121" spans="3:7">
      <c r="C1121" s="3"/>
      <c r="D1121" s="3"/>
      <c r="F1121" s="2"/>
      <c r="G1121" s="48"/>
    </row>
    <row r="1122" spans="3:7">
      <c r="C1122" s="3"/>
      <c r="D1122" s="3"/>
      <c r="F1122" s="2"/>
      <c r="G1122" s="48"/>
    </row>
    <row r="1123" spans="3:7">
      <c r="C1123" s="3"/>
      <c r="D1123" s="3"/>
      <c r="F1123" s="2"/>
      <c r="G1123" s="48"/>
    </row>
    <row r="1124" spans="3:7">
      <c r="C1124" s="3"/>
      <c r="D1124" s="3"/>
      <c r="F1124" s="2"/>
      <c r="G1124" s="48"/>
    </row>
    <row r="1125" spans="3:7">
      <c r="C1125" s="3"/>
      <c r="D1125" s="3"/>
      <c r="F1125" s="2"/>
      <c r="G1125" s="48"/>
    </row>
    <row r="1126" spans="3:7">
      <c r="C1126" s="3"/>
      <c r="D1126" s="3"/>
      <c r="F1126" s="2"/>
      <c r="G1126" s="48"/>
    </row>
    <row r="1127" spans="3:7">
      <c r="C1127" s="3"/>
      <c r="D1127" s="3"/>
      <c r="F1127" s="2"/>
      <c r="G1127" s="48"/>
    </row>
    <row r="1128" spans="3:7">
      <c r="C1128" s="3"/>
      <c r="D1128" s="3"/>
      <c r="F1128" s="2"/>
      <c r="G1128" s="48"/>
    </row>
    <row r="1129" spans="3:7">
      <c r="C1129" s="3"/>
      <c r="D1129" s="3"/>
      <c r="F1129" s="2"/>
      <c r="G1129" s="48"/>
    </row>
    <row r="1130" spans="3:7">
      <c r="C1130" s="3"/>
      <c r="D1130" s="3"/>
      <c r="F1130" s="2"/>
      <c r="G1130" s="48"/>
    </row>
    <row r="1131" spans="3:7">
      <c r="C1131" s="3"/>
      <c r="D1131" s="3"/>
      <c r="F1131" s="2"/>
      <c r="G1131" s="48"/>
    </row>
    <row r="1132" spans="3:7">
      <c r="C1132" s="3"/>
      <c r="D1132" s="3"/>
      <c r="F1132" s="2"/>
      <c r="G1132" s="48"/>
    </row>
    <row r="1133" spans="3:7">
      <c r="C1133" s="3"/>
      <c r="D1133" s="3"/>
      <c r="F1133" s="2"/>
      <c r="G1133" s="48"/>
    </row>
    <row r="1134" spans="3:7">
      <c r="C1134" s="3"/>
      <c r="D1134" s="3"/>
      <c r="F1134" s="2"/>
      <c r="G1134" s="48"/>
    </row>
    <row r="1135" spans="3:7">
      <c r="C1135" s="3"/>
      <c r="D1135" s="3"/>
      <c r="F1135" s="2"/>
      <c r="G1135" s="48"/>
    </row>
    <row r="1136" spans="3:7">
      <c r="C1136" s="3"/>
      <c r="D1136" s="3"/>
      <c r="F1136" s="2"/>
      <c r="G1136" s="48"/>
    </row>
    <row r="1137" spans="3:7">
      <c r="C1137" s="3"/>
      <c r="D1137" s="3"/>
      <c r="F1137" s="2"/>
      <c r="G1137" s="48"/>
    </row>
    <row r="1138" spans="3:7">
      <c r="C1138" s="3"/>
      <c r="D1138" s="3"/>
      <c r="F1138" s="2"/>
      <c r="G1138" s="48"/>
    </row>
    <row r="1139" spans="3:7">
      <c r="C1139" s="3"/>
      <c r="D1139" s="3"/>
      <c r="F1139" s="2"/>
      <c r="G1139" s="48"/>
    </row>
    <row r="1140" spans="3:7">
      <c r="C1140" s="3"/>
      <c r="D1140" s="3"/>
      <c r="F1140" s="2"/>
      <c r="G1140" s="48"/>
    </row>
    <row r="1141" spans="3:7">
      <c r="C1141" s="3"/>
      <c r="D1141" s="3"/>
      <c r="F1141" s="2"/>
      <c r="G1141" s="48"/>
    </row>
    <row r="1142" spans="3:7">
      <c r="C1142" s="3"/>
      <c r="D1142" s="3"/>
      <c r="F1142" s="2"/>
      <c r="G1142" s="48"/>
    </row>
    <row r="1143" spans="3:7">
      <c r="C1143" s="3"/>
      <c r="D1143" s="3"/>
      <c r="F1143" s="2"/>
      <c r="G1143" s="48"/>
    </row>
    <row r="1144" spans="3:7">
      <c r="C1144" s="3"/>
      <c r="D1144" s="3"/>
      <c r="F1144" s="2"/>
      <c r="G1144" s="48"/>
    </row>
    <row r="1145" spans="3:7">
      <c r="C1145" s="3"/>
      <c r="D1145" s="3"/>
      <c r="F1145" s="2"/>
      <c r="G1145" s="48"/>
    </row>
    <row r="1146" spans="3:7">
      <c r="C1146" s="3"/>
      <c r="D1146" s="3"/>
      <c r="F1146" s="2"/>
      <c r="G1146" s="48"/>
    </row>
    <row r="1147" spans="3:7">
      <c r="C1147" s="3"/>
      <c r="D1147" s="3"/>
      <c r="F1147" s="2"/>
      <c r="G1147" s="48"/>
    </row>
    <row r="1148" spans="3:7">
      <c r="C1148" s="3"/>
      <c r="D1148" s="3"/>
      <c r="F1148" s="2"/>
      <c r="G1148" s="48"/>
    </row>
    <row r="1149" spans="3:7">
      <c r="C1149" s="3"/>
      <c r="D1149" s="3"/>
      <c r="F1149" s="2"/>
      <c r="G1149" s="48"/>
    </row>
    <row r="1150" spans="3:7">
      <c r="C1150" s="3"/>
      <c r="D1150" s="3"/>
      <c r="F1150" s="2"/>
      <c r="G1150" s="48"/>
    </row>
    <row r="1151" spans="3:7">
      <c r="C1151" s="3"/>
      <c r="D1151" s="3"/>
      <c r="F1151" s="2"/>
      <c r="G1151" s="48"/>
    </row>
    <row r="1152" spans="3:7">
      <c r="C1152" s="3"/>
      <c r="D1152" s="3"/>
      <c r="F1152" s="2"/>
      <c r="G1152" s="48"/>
    </row>
    <row r="1153" spans="3:7">
      <c r="C1153" s="3"/>
      <c r="D1153" s="3"/>
      <c r="F1153" s="2"/>
      <c r="G1153" s="48"/>
    </row>
    <row r="1154" spans="3:7">
      <c r="C1154" s="3"/>
      <c r="D1154" s="3"/>
      <c r="F1154" s="2"/>
      <c r="G1154" s="48"/>
    </row>
    <row r="1155" spans="3:7">
      <c r="C1155" s="3"/>
      <c r="D1155" s="3"/>
      <c r="F1155" s="2"/>
      <c r="G1155" s="48"/>
    </row>
    <row r="1156" spans="3:7">
      <c r="C1156" s="3"/>
      <c r="D1156" s="3"/>
      <c r="F1156" s="2"/>
      <c r="G1156" s="48"/>
    </row>
    <row r="1157" spans="3:7">
      <c r="C1157" s="3"/>
      <c r="D1157" s="3"/>
      <c r="F1157" s="2"/>
      <c r="G1157" s="48"/>
    </row>
    <row r="1158" spans="3:7">
      <c r="C1158" s="3"/>
      <c r="D1158" s="3"/>
      <c r="F1158" s="2"/>
      <c r="G1158" s="48"/>
    </row>
    <row r="1159" spans="3:7">
      <c r="C1159" s="3"/>
      <c r="D1159" s="3"/>
      <c r="F1159" s="2"/>
      <c r="G1159" s="48"/>
    </row>
    <row r="1160" spans="3:7">
      <c r="C1160" s="3"/>
      <c r="D1160" s="3"/>
      <c r="F1160" s="2"/>
      <c r="G1160" s="48"/>
    </row>
    <row r="1161" spans="3:7">
      <c r="C1161" s="3"/>
      <c r="D1161" s="3"/>
      <c r="F1161" s="2"/>
      <c r="G1161" s="48"/>
    </row>
    <row r="1162" spans="3:7">
      <c r="C1162" s="3"/>
      <c r="D1162" s="3"/>
      <c r="F1162" s="2"/>
      <c r="G1162" s="48"/>
    </row>
    <row r="1163" spans="3:7">
      <c r="C1163" s="3"/>
      <c r="D1163" s="3"/>
      <c r="F1163" s="2"/>
      <c r="G1163" s="48"/>
    </row>
    <row r="1164" spans="3:7">
      <c r="C1164" s="3"/>
      <c r="D1164" s="3"/>
      <c r="F1164" s="2"/>
      <c r="G1164" s="48"/>
    </row>
    <row r="1165" spans="3:7">
      <c r="C1165" s="3"/>
      <c r="D1165" s="3"/>
      <c r="F1165" s="2"/>
      <c r="G1165" s="48"/>
    </row>
    <row r="1166" spans="3:7">
      <c r="C1166" s="3"/>
      <c r="D1166" s="3"/>
      <c r="F1166" s="2"/>
      <c r="G1166" s="48"/>
    </row>
    <row r="1167" spans="3:7">
      <c r="C1167" s="3"/>
      <c r="D1167" s="3"/>
      <c r="F1167" s="2"/>
      <c r="G1167" s="48"/>
    </row>
    <row r="1168" spans="3:7">
      <c r="C1168" s="3"/>
      <c r="D1168" s="3"/>
      <c r="F1168" s="2"/>
      <c r="G1168" s="48"/>
    </row>
    <row r="1169" spans="3:7">
      <c r="C1169" s="3"/>
      <c r="D1169" s="3"/>
      <c r="F1169" s="2"/>
      <c r="G1169" s="48"/>
    </row>
    <row r="1170" spans="3:7">
      <c r="C1170" s="3"/>
      <c r="D1170" s="3"/>
      <c r="F1170" s="2"/>
      <c r="G1170" s="48"/>
    </row>
    <row r="1171" spans="3:7">
      <c r="C1171" s="3"/>
      <c r="D1171" s="3"/>
      <c r="F1171" s="2"/>
      <c r="G1171" s="48"/>
    </row>
    <row r="1172" spans="3:7">
      <c r="C1172" s="3"/>
      <c r="D1172" s="3"/>
      <c r="F1172" s="2"/>
      <c r="G1172" s="48"/>
    </row>
    <row r="1173" spans="3:7">
      <c r="C1173" s="3"/>
      <c r="D1173" s="3"/>
      <c r="F1173" s="2"/>
      <c r="G1173" s="48"/>
    </row>
    <row r="1174" spans="3:7">
      <c r="C1174" s="3"/>
      <c r="D1174" s="3"/>
      <c r="F1174" s="2"/>
      <c r="G1174" s="48"/>
    </row>
    <row r="1175" spans="3:7">
      <c r="C1175" s="3"/>
      <c r="D1175" s="3"/>
      <c r="F1175" s="2"/>
      <c r="G1175" s="48"/>
    </row>
    <row r="1176" spans="3:7">
      <c r="C1176" s="3"/>
      <c r="D1176" s="3"/>
      <c r="F1176" s="2"/>
      <c r="G1176" s="48"/>
    </row>
    <row r="1177" spans="3:7">
      <c r="C1177" s="3"/>
      <c r="D1177" s="3"/>
      <c r="F1177" s="2"/>
      <c r="G1177" s="48"/>
    </row>
    <row r="1178" spans="3:7">
      <c r="C1178" s="3"/>
      <c r="D1178" s="3"/>
      <c r="F1178" s="2"/>
      <c r="G1178" s="48"/>
    </row>
    <row r="1179" spans="3:7">
      <c r="C1179" s="3"/>
      <c r="D1179" s="3"/>
      <c r="F1179" s="2"/>
      <c r="G1179" s="48"/>
    </row>
    <row r="1180" spans="3:7">
      <c r="C1180" s="3"/>
      <c r="D1180" s="3"/>
      <c r="F1180" s="2"/>
      <c r="G1180" s="48"/>
    </row>
    <row r="1181" spans="3:7">
      <c r="C1181" s="3"/>
      <c r="D1181" s="3"/>
      <c r="F1181" s="2"/>
      <c r="G1181" s="48"/>
    </row>
    <row r="1182" spans="3:7">
      <c r="C1182" s="3"/>
      <c r="D1182" s="3"/>
      <c r="F1182" s="2"/>
      <c r="G1182" s="48"/>
    </row>
    <row r="1183" spans="3:7">
      <c r="C1183" s="3"/>
      <c r="D1183" s="3"/>
      <c r="F1183" s="2"/>
      <c r="G1183" s="48"/>
    </row>
    <row r="1184" spans="3:7">
      <c r="C1184" s="3"/>
      <c r="D1184" s="3"/>
      <c r="F1184" s="2"/>
      <c r="G1184" s="48"/>
    </row>
    <row r="1185" spans="3:7">
      <c r="C1185" s="3"/>
      <c r="D1185" s="3"/>
      <c r="F1185" s="2"/>
      <c r="G1185" s="48"/>
    </row>
    <row r="1186" spans="3:7">
      <c r="C1186" s="3"/>
      <c r="D1186" s="3"/>
      <c r="F1186" s="2"/>
      <c r="G1186" s="48"/>
    </row>
    <row r="1187" spans="3:7">
      <c r="C1187" s="3"/>
      <c r="D1187" s="3"/>
      <c r="F1187" s="2"/>
      <c r="G1187" s="48"/>
    </row>
    <row r="1188" spans="3:7">
      <c r="C1188" s="3"/>
      <c r="D1188" s="3"/>
      <c r="F1188" s="2"/>
      <c r="G1188" s="48"/>
    </row>
    <row r="1189" spans="3:7">
      <c r="C1189" s="3"/>
      <c r="D1189" s="3"/>
      <c r="F1189" s="2"/>
      <c r="G1189" s="48"/>
    </row>
    <row r="1190" spans="3:7">
      <c r="C1190" s="3"/>
      <c r="D1190" s="3"/>
      <c r="F1190" s="2"/>
      <c r="G1190" s="48"/>
    </row>
    <row r="1191" spans="3:7">
      <c r="C1191" s="3"/>
      <c r="D1191" s="3"/>
      <c r="F1191" s="2"/>
      <c r="G1191" s="48"/>
    </row>
    <row r="1192" spans="3:7">
      <c r="C1192" s="3"/>
      <c r="D1192" s="3"/>
      <c r="F1192" s="2"/>
      <c r="G1192" s="48"/>
    </row>
    <row r="1193" spans="3:7">
      <c r="C1193" s="3"/>
      <c r="D1193" s="3"/>
      <c r="F1193" s="2"/>
      <c r="G1193" s="48"/>
    </row>
    <row r="1194" spans="3:7">
      <c r="C1194" s="3"/>
      <c r="D1194" s="3"/>
      <c r="F1194" s="2"/>
      <c r="G1194" s="48"/>
    </row>
    <row r="1195" spans="3:7">
      <c r="C1195" s="3"/>
      <c r="D1195" s="3"/>
      <c r="F1195" s="2"/>
      <c r="G1195" s="48"/>
    </row>
    <row r="1196" spans="3:7">
      <c r="C1196" s="3"/>
      <c r="D1196" s="3"/>
      <c r="F1196" s="2"/>
      <c r="G1196" s="48"/>
    </row>
    <row r="1197" spans="3:7">
      <c r="C1197" s="3"/>
      <c r="D1197" s="3"/>
      <c r="F1197" s="2"/>
      <c r="G1197" s="48"/>
    </row>
    <row r="1198" spans="3:7">
      <c r="C1198" s="3"/>
      <c r="D1198" s="3"/>
      <c r="F1198" s="2"/>
      <c r="G1198" s="48"/>
    </row>
    <row r="1199" spans="3:7">
      <c r="C1199" s="3"/>
      <c r="D1199" s="3"/>
      <c r="F1199" s="2"/>
      <c r="G1199" s="48"/>
    </row>
    <row r="1200" spans="3:7">
      <c r="C1200" s="3"/>
      <c r="D1200" s="3"/>
      <c r="F1200" s="2"/>
      <c r="G1200" s="48"/>
    </row>
    <row r="1201" spans="3:7">
      <c r="C1201" s="3"/>
      <c r="D1201" s="3"/>
      <c r="F1201" s="2"/>
      <c r="G1201" s="48"/>
    </row>
    <row r="1202" spans="3:7">
      <c r="C1202" s="3"/>
      <c r="D1202" s="3"/>
      <c r="F1202" s="2"/>
      <c r="G1202" s="48"/>
    </row>
    <row r="1203" spans="3:7">
      <c r="C1203" s="3"/>
      <c r="D1203" s="3"/>
      <c r="F1203" s="2"/>
      <c r="G1203" s="48"/>
    </row>
    <row r="1204" spans="3:7">
      <c r="C1204" s="3"/>
      <c r="D1204" s="3"/>
      <c r="F1204" s="2"/>
      <c r="G1204" s="48"/>
    </row>
    <row r="1205" spans="3:7">
      <c r="C1205" s="3"/>
      <c r="D1205" s="3"/>
      <c r="F1205" s="2"/>
      <c r="G1205" s="48"/>
    </row>
    <row r="1206" spans="3:7">
      <c r="C1206" s="3"/>
      <c r="D1206" s="3"/>
      <c r="F1206" s="2"/>
      <c r="G1206" s="48"/>
    </row>
    <row r="1207" spans="3:7">
      <c r="C1207" s="3"/>
      <c r="D1207" s="3"/>
      <c r="F1207" s="2"/>
      <c r="G1207" s="48"/>
    </row>
    <row r="1208" spans="3:7">
      <c r="C1208" s="3"/>
      <c r="D1208" s="3"/>
      <c r="F1208" s="2"/>
      <c r="G1208" s="48"/>
    </row>
    <row r="1209" spans="3:7">
      <c r="C1209" s="3"/>
      <c r="D1209" s="3"/>
      <c r="F1209" s="2"/>
      <c r="G1209" s="48"/>
    </row>
    <row r="1210" spans="3:7">
      <c r="C1210" s="3"/>
      <c r="D1210" s="3"/>
      <c r="F1210" s="2"/>
      <c r="G1210" s="48"/>
    </row>
    <row r="1211" spans="3:7">
      <c r="C1211" s="3"/>
      <c r="D1211" s="3"/>
      <c r="F1211" s="2"/>
      <c r="G1211" s="48"/>
    </row>
    <row r="1212" spans="3:7">
      <c r="C1212" s="3"/>
      <c r="D1212" s="3"/>
      <c r="F1212" s="2"/>
      <c r="G1212" s="48"/>
    </row>
    <row r="1213" spans="3:7">
      <c r="C1213" s="3"/>
      <c r="D1213" s="3"/>
      <c r="F1213" s="2"/>
      <c r="G1213" s="48"/>
    </row>
    <row r="1214" spans="3:7">
      <c r="C1214" s="3"/>
      <c r="D1214" s="3"/>
      <c r="F1214" s="2"/>
      <c r="G1214" s="48"/>
    </row>
    <row r="1215" spans="3:7">
      <c r="C1215" s="3"/>
      <c r="D1215" s="3"/>
      <c r="F1215" s="2"/>
      <c r="G1215" s="48"/>
    </row>
    <row r="1216" spans="3:7">
      <c r="C1216" s="3"/>
      <c r="D1216" s="3"/>
      <c r="F1216" s="2"/>
      <c r="G1216" s="48"/>
    </row>
    <row r="1217" spans="3:7">
      <c r="C1217" s="3"/>
      <c r="D1217" s="3"/>
      <c r="F1217" s="2"/>
      <c r="G1217" s="48"/>
    </row>
    <row r="1218" spans="3:7">
      <c r="C1218" s="3"/>
      <c r="D1218" s="3"/>
      <c r="F1218" s="2"/>
      <c r="G1218" s="48"/>
    </row>
    <row r="1219" spans="3:7">
      <c r="C1219" s="3"/>
      <c r="D1219" s="3"/>
      <c r="F1219" s="2"/>
      <c r="G1219" s="48"/>
    </row>
    <row r="1220" spans="3:7">
      <c r="C1220" s="3"/>
      <c r="D1220" s="3"/>
      <c r="F1220" s="2"/>
      <c r="G1220" s="48"/>
    </row>
    <row r="1221" spans="3:7">
      <c r="C1221" s="3"/>
      <c r="D1221" s="3"/>
      <c r="F1221" s="2"/>
      <c r="G1221" s="48"/>
    </row>
    <row r="1222" spans="3:7">
      <c r="C1222" s="3"/>
      <c r="D1222" s="3"/>
      <c r="F1222" s="2"/>
      <c r="G1222" s="48"/>
    </row>
    <row r="1223" spans="3:7">
      <c r="C1223" s="3"/>
      <c r="D1223" s="3"/>
      <c r="F1223" s="2"/>
      <c r="G1223" s="48"/>
    </row>
    <row r="1224" spans="3:7">
      <c r="C1224" s="3"/>
      <c r="D1224" s="3"/>
      <c r="F1224" s="2"/>
      <c r="G1224" s="48"/>
    </row>
    <row r="1225" spans="3:7">
      <c r="C1225" s="3"/>
      <c r="D1225" s="3"/>
      <c r="F1225" s="2"/>
      <c r="G1225" s="48"/>
    </row>
    <row r="1226" spans="3:7">
      <c r="C1226" s="3"/>
      <c r="D1226" s="3"/>
      <c r="F1226" s="2"/>
      <c r="G1226" s="48"/>
    </row>
    <row r="1227" spans="3:7">
      <c r="C1227" s="3"/>
      <c r="D1227" s="3"/>
      <c r="F1227" s="2"/>
      <c r="G1227" s="48"/>
    </row>
    <row r="1228" spans="3:7">
      <c r="C1228" s="3"/>
      <c r="D1228" s="3"/>
      <c r="F1228" s="2"/>
      <c r="G1228" s="48"/>
    </row>
    <row r="1229" spans="3:7">
      <c r="C1229" s="3"/>
      <c r="D1229" s="3"/>
      <c r="F1229" s="2"/>
      <c r="G1229" s="48"/>
    </row>
    <row r="1230" spans="3:7">
      <c r="C1230" s="3"/>
      <c r="D1230" s="3"/>
      <c r="F1230" s="2"/>
      <c r="G1230" s="48"/>
    </row>
    <row r="1231" spans="3:7">
      <c r="C1231" s="3"/>
      <c r="D1231" s="3"/>
      <c r="F1231" s="2"/>
      <c r="G1231" s="48"/>
    </row>
    <row r="1232" spans="3:7">
      <c r="C1232" s="3"/>
      <c r="D1232" s="3"/>
      <c r="F1232" s="2"/>
      <c r="G1232" s="48"/>
    </row>
    <row r="1233" spans="3:7">
      <c r="C1233" s="3"/>
      <c r="D1233" s="3"/>
      <c r="F1233" s="2"/>
      <c r="G1233" s="48"/>
    </row>
    <row r="1234" spans="3:7">
      <c r="C1234" s="3"/>
      <c r="D1234" s="3"/>
      <c r="F1234" s="2"/>
      <c r="G1234" s="48"/>
    </row>
    <row r="1235" spans="3:7">
      <c r="C1235" s="3"/>
      <c r="D1235" s="3"/>
      <c r="F1235" s="2"/>
      <c r="G1235" s="48"/>
    </row>
    <row r="1236" spans="3:7">
      <c r="C1236" s="3"/>
      <c r="D1236" s="3"/>
      <c r="F1236" s="2"/>
      <c r="G1236" s="48"/>
    </row>
    <row r="1237" spans="3:7">
      <c r="C1237" s="3"/>
      <c r="D1237" s="3"/>
      <c r="F1237" s="2"/>
      <c r="G1237" s="48"/>
    </row>
    <row r="1238" spans="3:7">
      <c r="C1238" s="3"/>
      <c r="D1238" s="3"/>
      <c r="F1238" s="2"/>
      <c r="G1238" s="48"/>
    </row>
    <row r="1239" spans="3:7">
      <c r="C1239" s="3"/>
      <c r="D1239" s="3"/>
      <c r="F1239" s="2"/>
      <c r="G1239" s="48"/>
    </row>
    <row r="1240" spans="3:7">
      <c r="C1240" s="3"/>
      <c r="D1240" s="3"/>
      <c r="F1240" s="2"/>
      <c r="G1240" s="48"/>
    </row>
    <row r="1241" spans="3:7">
      <c r="C1241" s="3"/>
      <c r="D1241" s="3"/>
      <c r="F1241" s="2"/>
      <c r="G1241" s="48"/>
    </row>
    <row r="1242" spans="3:7">
      <c r="C1242" s="3"/>
      <c r="D1242" s="3"/>
      <c r="F1242" s="2"/>
      <c r="G1242" s="48"/>
    </row>
    <row r="1243" spans="3:7">
      <c r="C1243" s="3"/>
      <c r="D1243" s="3"/>
      <c r="F1243" s="2"/>
      <c r="G1243" s="48"/>
    </row>
    <row r="1244" spans="3:7">
      <c r="C1244" s="3"/>
      <c r="D1244" s="3"/>
      <c r="F1244" s="2"/>
      <c r="G1244" s="48"/>
    </row>
    <row r="1245" spans="3:7">
      <c r="C1245" s="3"/>
      <c r="D1245" s="3"/>
      <c r="F1245" s="2"/>
      <c r="G1245" s="48"/>
    </row>
    <row r="1246" spans="3:7">
      <c r="C1246" s="3"/>
      <c r="D1246" s="3"/>
      <c r="F1246" s="2"/>
      <c r="G1246" s="48"/>
    </row>
    <row r="1247" spans="3:7">
      <c r="C1247" s="3"/>
      <c r="D1247" s="3"/>
      <c r="F1247" s="2"/>
      <c r="G1247" s="48"/>
    </row>
    <row r="1248" spans="3:7">
      <c r="C1248" s="3"/>
      <c r="D1248" s="3"/>
      <c r="F1248" s="2"/>
      <c r="G1248" s="48"/>
    </row>
    <row r="1249" spans="3:7">
      <c r="C1249" s="3"/>
      <c r="D1249" s="3"/>
      <c r="F1249" s="2"/>
      <c r="G1249" s="48"/>
    </row>
    <row r="1250" spans="3:7">
      <c r="C1250" s="3"/>
      <c r="D1250" s="3"/>
      <c r="F1250" s="2"/>
      <c r="G1250" s="48"/>
    </row>
    <row r="1251" spans="3:7">
      <c r="C1251" s="3"/>
      <c r="D1251" s="3"/>
      <c r="F1251" s="2"/>
      <c r="G1251" s="48"/>
    </row>
    <row r="1252" spans="3:7">
      <c r="C1252" s="3"/>
      <c r="D1252" s="3"/>
      <c r="F1252" s="2"/>
      <c r="G1252" s="48"/>
    </row>
    <row r="1253" spans="3:7">
      <c r="C1253" s="3"/>
      <c r="D1253" s="3"/>
      <c r="F1253" s="2"/>
      <c r="G1253" s="48"/>
    </row>
    <row r="1254" spans="3:7">
      <c r="C1254" s="3"/>
      <c r="D1254" s="3"/>
      <c r="F1254" s="2"/>
      <c r="G1254" s="48"/>
    </row>
    <row r="1255" spans="3:7">
      <c r="C1255" s="3"/>
      <c r="D1255" s="3"/>
      <c r="F1255" s="2"/>
      <c r="G1255" s="48"/>
    </row>
    <row r="1256" spans="3:7">
      <c r="C1256" s="3"/>
      <c r="D1256" s="3"/>
      <c r="F1256" s="2"/>
      <c r="G1256" s="48"/>
    </row>
    <row r="1257" spans="3:7">
      <c r="C1257" s="3"/>
      <c r="D1257" s="3"/>
      <c r="F1257" s="2"/>
      <c r="G1257" s="48"/>
    </row>
    <row r="1258" spans="3:7">
      <c r="C1258" s="3"/>
      <c r="D1258" s="3"/>
      <c r="F1258" s="2"/>
      <c r="G1258" s="48"/>
    </row>
    <row r="1259" spans="3:7">
      <c r="C1259" s="3"/>
      <c r="D1259" s="3"/>
      <c r="F1259" s="2"/>
      <c r="G1259" s="48"/>
    </row>
    <row r="1260" spans="3:7">
      <c r="C1260" s="3"/>
      <c r="D1260" s="3"/>
      <c r="F1260" s="2"/>
      <c r="G1260" s="48"/>
    </row>
    <row r="1261" spans="3:7">
      <c r="C1261" s="3"/>
      <c r="D1261" s="3"/>
      <c r="F1261" s="2"/>
      <c r="G1261" s="48"/>
    </row>
    <row r="1262" spans="3:7">
      <c r="C1262" s="3"/>
      <c r="D1262" s="3"/>
      <c r="F1262" s="2"/>
      <c r="G1262" s="48"/>
    </row>
    <row r="1263" spans="3:7">
      <c r="C1263" s="3"/>
      <c r="D1263" s="3"/>
      <c r="F1263" s="2"/>
      <c r="G1263" s="48"/>
    </row>
    <row r="1264" spans="3:7">
      <c r="C1264" s="3"/>
      <c r="D1264" s="3"/>
      <c r="F1264" s="2"/>
      <c r="G1264" s="48"/>
    </row>
    <row r="1265" spans="3:7">
      <c r="C1265" s="3"/>
      <c r="D1265" s="3"/>
      <c r="F1265" s="2"/>
      <c r="G1265" s="48"/>
    </row>
    <row r="1266" spans="3:7">
      <c r="C1266" s="3"/>
      <c r="D1266" s="3"/>
      <c r="F1266" s="2"/>
      <c r="G1266" s="48"/>
    </row>
    <row r="1267" spans="3:7">
      <c r="C1267" s="3"/>
      <c r="D1267" s="3"/>
      <c r="F1267" s="2"/>
      <c r="G1267" s="48"/>
    </row>
    <row r="1268" spans="3:7">
      <c r="C1268" s="3"/>
      <c r="D1268" s="3"/>
      <c r="F1268" s="2"/>
      <c r="G1268" s="48"/>
    </row>
    <row r="1269" spans="3:7">
      <c r="C1269" s="3"/>
      <c r="D1269" s="3"/>
      <c r="F1269" s="2"/>
      <c r="G1269" s="48"/>
    </row>
    <row r="1270" spans="3:7">
      <c r="C1270" s="3"/>
      <c r="D1270" s="3"/>
      <c r="F1270" s="2"/>
      <c r="G1270" s="48"/>
    </row>
    <row r="1271" spans="3:7">
      <c r="C1271" s="3"/>
      <c r="D1271" s="3"/>
      <c r="F1271" s="2"/>
      <c r="G1271" s="48"/>
    </row>
    <row r="1272" spans="3:7">
      <c r="C1272" s="3"/>
      <c r="D1272" s="3"/>
      <c r="F1272" s="2"/>
      <c r="G1272" s="48"/>
    </row>
    <row r="1273" spans="3:7">
      <c r="C1273" s="3"/>
      <c r="D1273" s="3"/>
      <c r="F1273" s="2"/>
      <c r="G1273" s="48"/>
    </row>
    <row r="1274" spans="3:7">
      <c r="C1274" s="3"/>
      <c r="D1274" s="3"/>
      <c r="F1274" s="2"/>
      <c r="G1274" s="48"/>
    </row>
    <row r="1275" spans="3:7">
      <c r="C1275" s="3"/>
      <c r="D1275" s="3"/>
      <c r="F1275" s="2"/>
      <c r="G1275" s="48"/>
    </row>
    <row r="1276" spans="3:7">
      <c r="C1276" s="3"/>
      <c r="D1276" s="3"/>
      <c r="F1276" s="2"/>
      <c r="G1276" s="48"/>
    </row>
    <row r="1277" spans="3:7">
      <c r="C1277" s="3"/>
      <c r="D1277" s="3"/>
      <c r="F1277" s="2"/>
      <c r="G1277" s="48"/>
    </row>
    <row r="1278" spans="3:7">
      <c r="C1278" s="3"/>
      <c r="D1278" s="3"/>
      <c r="F1278" s="2"/>
      <c r="G1278" s="48"/>
    </row>
    <row r="1279" spans="3:7">
      <c r="C1279" s="3"/>
      <c r="D1279" s="3"/>
      <c r="F1279" s="2"/>
      <c r="G1279" s="48"/>
    </row>
    <row r="1280" spans="3:7">
      <c r="C1280" s="3"/>
      <c r="D1280" s="3"/>
      <c r="F1280" s="2"/>
      <c r="G1280" s="48"/>
    </row>
    <row r="1281" spans="3:7">
      <c r="C1281" s="3"/>
      <c r="D1281" s="3"/>
      <c r="F1281" s="2"/>
      <c r="G1281" s="48"/>
    </row>
    <row r="1282" spans="3:7">
      <c r="C1282" s="3"/>
      <c r="D1282" s="3"/>
      <c r="F1282" s="2"/>
      <c r="G1282" s="48"/>
    </row>
    <row r="1283" spans="3:7">
      <c r="C1283" s="3"/>
      <c r="D1283" s="3"/>
      <c r="F1283" s="2"/>
      <c r="G1283" s="48"/>
    </row>
    <row r="1284" spans="3:7">
      <c r="C1284" s="3"/>
      <c r="D1284" s="3"/>
      <c r="F1284" s="2"/>
      <c r="G1284" s="48"/>
    </row>
    <row r="1285" spans="3:7">
      <c r="C1285" s="3"/>
      <c r="D1285" s="3"/>
      <c r="F1285" s="2"/>
      <c r="G1285" s="48"/>
    </row>
    <row r="1286" spans="3:7">
      <c r="C1286" s="3"/>
      <c r="D1286" s="3"/>
      <c r="F1286" s="2"/>
      <c r="G1286" s="48"/>
    </row>
    <row r="1287" spans="3:7">
      <c r="C1287" s="3"/>
      <c r="D1287" s="3"/>
      <c r="F1287" s="2"/>
      <c r="G1287" s="48"/>
    </row>
    <row r="1288" spans="3:7">
      <c r="C1288" s="3"/>
      <c r="D1288" s="3"/>
      <c r="F1288" s="2"/>
      <c r="G1288" s="48"/>
    </row>
    <row r="1289" spans="3:7">
      <c r="C1289" s="3"/>
      <c r="D1289" s="3"/>
      <c r="F1289" s="2"/>
      <c r="G1289" s="48"/>
    </row>
    <row r="1290" spans="3:7">
      <c r="C1290" s="3"/>
      <c r="D1290" s="3"/>
      <c r="F1290" s="2"/>
      <c r="G1290" s="48"/>
    </row>
    <row r="1291" spans="3:7">
      <c r="C1291" s="3"/>
      <c r="D1291" s="3"/>
      <c r="F1291" s="2"/>
      <c r="G1291" s="48"/>
    </row>
    <row r="1292" spans="3:7">
      <c r="C1292" s="3"/>
      <c r="D1292" s="3"/>
      <c r="F1292" s="2"/>
      <c r="G1292" s="48"/>
    </row>
    <row r="1293" spans="3:7">
      <c r="C1293" s="3"/>
      <c r="D1293" s="3"/>
      <c r="F1293" s="2"/>
      <c r="G1293" s="48"/>
    </row>
    <row r="1294" spans="3:7">
      <c r="C1294" s="3"/>
      <c r="D1294" s="3"/>
      <c r="F1294" s="2"/>
      <c r="G1294" s="48"/>
    </row>
    <row r="1295" spans="3:7">
      <c r="C1295" s="3"/>
      <c r="D1295" s="3"/>
      <c r="F1295" s="2"/>
      <c r="G1295" s="48"/>
    </row>
    <row r="1296" spans="3:7">
      <c r="C1296" s="3"/>
      <c r="D1296" s="3"/>
      <c r="F1296" s="2"/>
      <c r="G1296" s="48"/>
    </row>
    <row r="1297" spans="3:7">
      <c r="C1297" s="3"/>
      <c r="D1297" s="3"/>
      <c r="F1297" s="2"/>
      <c r="G1297" s="48"/>
    </row>
    <row r="1298" spans="3:7">
      <c r="C1298" s="3"/>
      <c r="D1298" s="3"/>
      <c r="F1298" s="2"/>
      <c r="G1298" s="48"/>
    </row>
    <row r="1299" spans="3:7">
      <c r="C1299" s="3"/>
      <c r="D1299" s="3"/>
      <c r="F1299" s="2"/>
      <c r="G1299" s="48"/>
    </row>
    <row r="1300" spans="3:7">
      <c r="C1300" s="3"/>
      <c r="D1300" s="3"/>
      <c r="F1300" s="2"/>
      <c r="G1300" s="48"/>
    </row>
    <row r="1301" spans="3:7">
      <c r="C1301" s="3"/>
      <c r="D1301" s="3"/>
      <c r="F1301" s="2"/>
      <c r="G1301" s="48"/>
    </row>
    <row r="1302" spans="3:7">
      <c r="C1302" s="3"/>
      <c r="D1302" s="3"/>
      <c r="F1302" s="2"/>
      <c r="G1302" s="48"/>
    </row>
    <row r="1303" spans="3:7">
      <c r="C1303" s="3"/>
      <c r="D1303" s="3"/>
      <c r="F1303" s="2"/>
      <c r="G1303" s="48"/>
    </row>
    <row r="1304" spans="3:7">
      <c r="C1304" s="3"/>
      <c r="D1304" s="3"/>
      <c r="F1304" s="2"/>
      <c r="G1304" s="48"/>
    </row>
    <row r="1305" spans="3:7">
      <c r="C1305" s="3"/>
      <c r="D1305" s="3"/>
      <c r="F1305" s="2"/>
      <c r="G1305" s="48"/>
    </row>
    <row r="1306" spans="3:7">
      <c r="C1306" s="3"/>
      <c r="D1306" s="3"/>
      <c r="F1306" s="2"/>
      <c r="G1306" s="48"/>
    </row>
    <row r="1307" spans="3:7">
      <c r="C1307" s="3"/>
      <c r="D1307" s="3"/>
      <c r="F1307" s="2"/>
      <c r="G1307" s="48"/>
    </row>
    <row r="1308" spans="3:7">
      <c r="C1308" s="3"/>
      <c r="D1308" s="3"/>
      <c r="F1308" s="2"/>
      <c r="G1308" s="48"/>
    </row>
    <row r="1309" spans="3:7">
      <c r="C1309" s="3"/>
      <c r="D1309" s="3"/>
      <c r="F1309" s="2"/>
      <c r="G1309" s="48"/>
    </row>
    <row r="1310" spans="3:7">
      <c r="C1310" s="3"/>
      <c r="D1310" s="3"/>
      <c r="F1310" s="2"/>
      <c r="G1310" s="48"/>
    </row>
    <row r="1311" spans="3:7">
      <c r="C1311" s="3"/>
      <c r="D1311" s="3"/>
      <c r="F1311" s="2"/>
      <c r="G1311" s="48"/>
    </row>
    <row r="1312" spans="3:7">
      <c r="C1312" s="3"/>
      <c r="D1312" s="3"/>
      <c r="F1312" s="2"/>
      <c r="G1312" s="48"/>
    </row>
    <row r="1313" spans="3:7">
      <c r="C1313" s="3"/>
      <c r="D1313" s="3"/>
      <c r="F1313" s="2"/>
      <c r="G1313" s="48"/>
    </row>
    <row r="1314" spans="3:7">
      <c r="C1314" s="3"/>
      <c r="D1314" s="3"/>
      <c r="F1314" s="2"/>
      <c r="G1314" s="48"/>
    </row>
    <row r="1315" spans="3:7">
      <c r="C1315" s="3"/>
      <c r="D1315" s="3"/>
      <c r="F1315" s="2"/>
      <c r="G1315" s="48"/>
    </row>
    <row r="1316" spans="3:7">
      <c r="C1316" s="3"/>
      <c r="D1316" s="3"/>
      <c r="F1316" s="2"/>
      <c r="G1316" s="48"/>
    </row>
    <row r="1317" spans="3:7">
      <c r="C1317" s="3"/>
      <c r="D1317" s="3"/>
      <c r="F1317" s="2"/>
      <c r="G1317" s="48"/>
    </row>
    <row r="1318" spans="3:7">
      <c r="C1318" s="3"/>
      <c r="D1318" s="3"/>
      <c r="F1318" s="2"/>
      <c r="G1318" s="48"/>
    </row>
    <row r="1319" spans="3:7">
      <c r="C1319" s="3"/>
      <c r="D1319" s="3"/>
      <c r="F1319" s="2"/>
      <c r="G1319" s="48"/>
    </row>
    <row r="1320" spans="3:7">
      <c r="C1320" s="3"/>
      <c r="D1320" s="3"/>
      <c r="F1320" s="2"/>
      <c r="G1320" s="48"/>
    </row>
    <row r="1321" spans="3:7">
      <c r="C1321" s="3"/>
      <c r="D1321" s="3"/>
      <c r="F1321" s="2"/>
      <c r="G1321" s="48"/>
    </row>
    <row r="1322" spans="3:7">
      <c r="C1322" s="3"/>
      <c r="D1322" s="3"/>
      <c r="F1322" s="2"/>
      <c r="G1322" s="48"/>
    </row>
    <row r="1323" spans="3:7">
      <c r="C1323" s="3"/>
      <c r="D1323" s="3"/>
      <c r="F1323" s="2"/>
      <c r="G1323" s="48"/>
    </row>
    <row r="1324" spans="3:7">
      <c r="C1324" s="3"/>
      <c r="D1324" s="3"/>
      <c r="F1324" s="2"/>
      <c r="G1324" s="48"/>
    </row>
    <row r="1325" spans="3:7">
      <c r="C1325" s="3"/>
      <c r="D1325" s="3"/>
      <c r="F1325" s="2"/>
      <c r="G1325" s="48"/>
    </row>
    <row r="1326" spans="3:7">
      <c r="C1326" s="3"/>
      <c r="D1326" s="3"/>
      <c r="F1326" s="2"/>
      <c r="G1326" s="48"/>
    </row>
    <row r="1327" spans="3:7">
      <c r="C1327" s="3"/>
      <c r="D1327" s="3"/>
      <c r="F1327" s="2"/>
      <c r="G1327" s="48"/>
    </row>
    <row r="1328" spans="3:7">
      <c r="C1328" s="3"/>
      <c r="D1328" s="3"/>
      <c r="F1328" s="2"/>
      <c r="G1328" s="48"/>
    </row>
    <row r="1329" spans="3:7">
      <c r="C1329" s="3"/>
      <c r="D1329" s="3"/>
      <c r="F1329" s="2"/>
      <c r="G1329" s="48"/>
    </row>
    <row r="1330" spans="3:7">
      <c r="C1330" s="3"/>
      <c r="D1330" s="3"/>
      <c r="F1330" s="2"/>
      <c r="G1330" s="48"/>
    </row>
    <row r="1331" spans="3:7">
      <c r="C1331" s="3"/>
      <c r="D1331" s="3"/>
      <c r="F1331" s="2"/>
      <c r="G1331" s="48"/>
    </row>
    <row r="1332" spans="3:7">
      <c r="C1332" s="3"/>
      <c r="D1332" s="3"/>
      <c r="F1332" s="2"/>
      <c r="G1332" s="48"/>
    </row>
    <row r="1333" spans="3:7">
      <c r="C1333" s="3"/>
      <c r="D1333" s="3"/>
      <c r="F1333" s="2"/>
      <c r="G1333" s="48"/>
    </row>
    <row r="1334" spans="3:7">
      <c r="C1334" s="3"/>
      <c r="D1334" s="3"/>
      <c r="F1334" s="2"/>
      <c r="G1334" s="48"/>
    </row>
    <row r="1335" spans="3:7">
      <c r="C1335" s="3"/>
      <c r="D1335" s="3"/>
      <c r="F1335" s="2"/>
      <c r="G1335" s="48"/>
    </row>
    <row r="1336" spans="3:7">
      <c r="C1336" s="3"/>
      <c r="D1336" s="3"/>
      <c r="F1336" s="2"/>
      <c r="G1336" s="48"/>
    </row>
    <row r="1337" spans="3:7">
      <c r="C1337" s="3"/>
      <c r="D1337" s="3"/>
      <c r="F1337" s="2"/>
      <c r="G1337" s="48"/>
    </row>
    <row r="1338" spans="3:7">
      <c r="C1338" s="3"/>
      <c r="D1338" s="3"/>
      <c r="F1338" s="2"/>
      <c r="G1338" s="48"/>
    </row>
    <row r="1339" spans="3:7">
      <c r="C1339" s="3"/>
      <c r="D1339" s="3"/>
      <c r="F1339" s="2"/>
      <c r="G1339" s="48"/>
    </row>
    <row r="1340" spans="3:7">
      <c r="C1340" s="3"/>
      <c r="D1340" s="3"/>
      <c r="F1340" s="2"/>
      <c r="G1340" s="48"/>
    </row>
    <row r="1341" spans="3:7">
      <c r="C1341" s="3"/>
      <c r="D1341" s="3"/>
      <c r="F1341" s="2"/>
      <c r="G1341" s="48"/>
    </row>
    <row r="1342" spans="3:7">
      <c r="C1342" s="3"/>
      <c r="D1342" s="3"/>
      <c r="F1342" s="2"/>
      <c r="G1342" s="48"/>
    </row>
    <row r="1343" spans="3:7">
      <c r="C1343" s="3"/>
      <c r="D1343" s="3"/>
      <c r="F1343" s="2"/>
      <c r="G1343" s="48"/>
    </row>
    <row r="1344" spans="3:7">
      <c r="C1344" s="3"/>
      <c r="D1344" s="3"/>
      <c r="F1344" s="2"/>
      <c r="G1344" s="48"/>
    </row>
    <row r="1345" spans="3:7">
      <c r="C1345" s="3"/>
      <c r="D1345" s="3"/>
      <c r="F1345" s="2"/>
      <c r="G1345" s="48"/>
    </row>
    <row r="1346" spans="3:7">
      <c r="C1346" s="3"/>
      <c r="D1346" s="3"/>
      <c r="F1346" s="2"/>
      <c r="G1346" s="48"/>
    </row>
    <row r="1347" spans="3:7">
      <c r="C1347" s="3"/>
      <c r="D1347" s="3"/>
      <c r="F1347" s="2"/>
      <c r="G1347" s="48"/>
    </row>
    <row r="1348" spans="3:7">
      <c r="C1348" s="3"/>
      <c r="D1348" s="3"/>
      <c r="F1348" s="2"/>
      <c r="G1348" s="48"/>
    </row>
    <row r="1349" spans="3:7">
      <c r="C1349" s="3"/>
      <c r="D1349" s="3"/>
      <c r="F1349" s="2"/>
      <c r="G1349" s="48"/>
    </row>
    <row r="1350" spans="3:7">
      <c r="C1350" s="3"/>
      <c r="D1350" s="3"/>
      <c r="F1350" s="2"/>
      <c r="G1350" s="48"/>
    </row>
    <row r="1351" spans="3:7">
      <c r="C1351" s="3"/>
      <c r="D1351" s="3"/>
      <c r="F1351" s="2"/>
      <c r="G1351" s="48"/>
    </row>
    <row r="1352" spans="3:7">
      <c r="C1352" s="3"/>
      <c r="D1352" s="3"/>
      <c r="F1352" s="2"/>
      <c r="G1352" s="48"/>
    </row>
    <row r="1353" spans="3:7">
      <c r="C1353" s="3"/>
      <c r="D1353" s="3"/>
      <c r="F1353" s="2"/>
      <c r="G1353" s="48"/>
    </row>
    <row r="1354" spans="3:7">
      <c r="C1354" s="3"/>
      <c r="D1354" s="3"/>
      <c r="F1354" s="2"/>
      <c r="G1354" s="48"/>
    </row>
    <row r="1355" spans="3:7">
      <c r="C1355" s="3"/>
      <c r="D1355" s="3"/>
      <c r="F1355" s="2"/>
      <c r="G1355" s="48"/>
    </row>
    <row r="1356" spans="3:7">
      <c r="C1356" s="3"/>
      <c r="D1356" s="3"/>
      <c r="F1356" s="2"/>
      <c r="G1356" s="48"/>
    </row>
    <row r="1357" spans="3:7">
      <c r="C1357" s="3"/>
      <c r="D1357" s="3"/>
      <c r="F1357" s="2"/>
      <c r="G1357" s="48"/>
    </row>
    <row r="1358" spans="3:7">
      <c r="C1358" s="3"/>
      <c r="D1358" s="3"/>
      <c r="F1358" s="2"/>
      <c r="G1358" s="48"/>
    </row>
    <row r="1359" spans="3:7">
      <c r="C1359" s="3"/>
      <c r="D1359" s="3"/>
      <c r="F1359" s="2"/>
      <c r="G1359" s="48"/>
    </row>
    <row r="1360" spans="3:7">
      <c r="C1360" s="3"/>
      <c r="D1360" s="3"/>
      <c r="F1360" s="2"/>
      <c r="G1360" s="48"/>
    </row>
    <row r="1361" spans="3:7">
      <c r="C1361" s="3"/>
      <c r="D1361" s="3"/>
      <c r="F1361" s="2"/>
      <c r="G1361" s="48"/>
    </row>
    <row r="1362" spans="3:7">
      <c r="C1362" s="3"/>
      <c r="D1362" s="3"/>
      <c r="F1362" s="2"/>
      <c r="G1362" s="48"/>
    </row>
    <row r="1363" spans="3:7">
      <c r="C1363" s="3"/>
      <c r="D1363" s="3"/>
      <c r="F1363" s="2"/>
      <c r="G1363" s="48"/>
    </row>
    <row r="1364" spans="3:7">
      <c r="C1364" s="3"/>
      <c r="D1364" s="3"/>
      <c r="F1364" s="2"/>
      <c r="G1364" s="48"/>
    </row>
    <row r="1365" spans="3:7">
      <c r="C1365" s="3"/>
      <c r="D1365" s="3"/>
      <c r="F1365" s="2"/>
      <c r="G1365" s="48"/>
    </row>
    <row r="1366" spans="3:7">
      <c r="C1366" s="3"/>
      <c r="D1366" s="3"/>
      <c r="F1366" s="2"/>
      <c r="G1366" s="48"/>
    </row>
    <row r="1367" spans="3:7">
      <c r="C1367" s="3"/>
      <c r="D1367" s="3"/>
      <c r="F1367" s="2"/>
      <c r="G1367" s="48"/>
    </row>
    <row r="1368" spans="3:7">
      <c r="C1368" s="3"/>
      <c r="D1368" s="3"/>
      <c r="F1368" s="2"/>
      <c r="G1368" s="48"/>
    </row>
    <row r="1369" spans="3:7">
      <c r="C1369" s="3"/>
      <c r="D1369" s="3"/>
      <c r="F1369" s="2"/>
      <c r="G1369" s="48"/>
    </row>
    <row r="1370" spans="3:7">
      <c r="C1370" s="3"/>
      <c r="D1370" s="3"/>
      <c r="F1370" s="2"/>
      <c r="G1370" s="48"/>
    </row>
    <row r="1371" spans="3:7">
      <c r="C1371" s="3"/>
      <c r="D1371" s="3"/>
      <c r="F1371" s="2"/>
      <c r="G1371" s="48"/>
    </row>
    <row r="1372" spans="3:7">
      <c r="C1372" s="3"/>
      <c r="D1372" s="3"/>
      <c r="F1372" s="2"/>
      <c r="G1372" s="48"/>
    </row>
    <row r="1373" spans="3:7">
      <c r="C1373" s="3"/>
      <c r="D1373" s="3"/>
      <c r="F1373" s="2"/>
      <c r="G1373" s="48"/>
    </row>
    <row r="1374" spans="3:7">
      <c r="C1374" s="3"/>
      <c r="D1374" s="3"/>
      <c r="F1374" s="2"/>
      <c r="G1374" s="48"/>
    </row>
    <row r="1375" spans="3:7">
      <c r="C1375" s="3"/>
      <c r="D1375" s="3"/>
      <c r="F1375" s="2"/>
      <c r="G1375" s="48"/>
    </row>
    <row r="1376" spans="3:7">
      <c r="C1376" s="3"/>
      <c r="D1376" s="3"/>
      <c r="F1376" s="2"/>
      <c r="G1376" s="48"/>
    </row>
    <row r="1377" spans="3:7">
      <c r="C1377" s="3"/>
      <c r="D1377" s="3"/>
      <c r="F1377" s="2"/>
      <c r="G1377" s="48"/>
    </row>
    <row r="1378" spans="3:7">
      <c r="C1378" s="3"/>
      <c r="D1378" s="3"/>
      <c r="F1378" s="2"/>
      <c r="G1378" s="48"/>
    </row>
    <row r="1379" spans="3:7">
      <c r="C1379" s="3"/>
      <c r="D1379" s="3"/>
      <c r="F1379" s="2"/>
      <c r="G1379" s="48"/>
    </row>
    <row r="1380" spans="3:7">
      <c r="C1380" s="3"/>
      <c r="D1380" s="3"/>
      <c r="F1380" s="2"/>
      <c r="G1380" s="48"/>
    </row>
    <row r="1381" spans="3:7">
      <c r="C1381" s="3"/>
      <c r="D1381" s="3"/>
      <c r="F1381" s="2"/>
      <c r="G1381" s="48"/>
    </row>
    <row r="1382" spans="3:7">
      <c r="C1382" s="3"/>
      <c r="D1382" s="3"/>
      <c r="F1382" s="2"/>
      <c r="G1382" s="48"/>
    </row>
    <row r="1383" spans="3:7">
      <c r="C1383" s="3"/>
      <c r="D1383" s="3"/>
      <c r="F1383" s="2"/>
      <c r="G1383" s="48"/>
    </row>
    <row r="1384" spans="3:7">
      <c r="C1384" s="3"/>
      <c r="D1384" s="3"/>
      <c r="F1384" s="2"/>
      <c r="G1384" s="48"/>
    </row>
    <row r="1385" spans="3:7">
      <c r="C1385" s="3"/>
      <c r="D1385" s="3"/>
      <c r="F1385" s="2"/>
      <c r="G1385" s="48"/>
    </row>
    <row r="1386" spans="3:7">
      <c r="C1386" s="3"/>
      <c r="D1386" s="3"/>
      <c r="F1386" s="2"/>
      <c r="G1386" s="48"/>
    </row>
    <row r="1387" spans="3:7">
      <c r="C1387" s="3"/>
      <c r="D1387" s="3"/>
      <c r="F1387" s="2"/>
      <c r="G1387" s="48"/>
    </row>
    <row r="1388" spans="3:7">
      <c r="C1388" s="3"/>
      <c r="D1388" s="3"/>
      <c r="F1388" s="2"/>
      <c r="G1388" s="48"/>
    </row>
    <row r="1389" spans="3:7">
      <c r="C1389" s="3"/>
      <c r="D1389" s="3"/>
      <c r="F1389" s="2"/>
      <c r="G1389" s="48"/>
    </row>
    <row r="1390" spans="3:7">
      <c r="C1390" s="3"/>
      <c r="D1390" s="3"/>
      <c r="F1390" s="2"/>
      <c r="G1390" s="48"/>
    </row>
    <row r="1391" spans="3:7">
      <c r="C1391" s="3"/>
      <c r="D1391" s="3"/>
      <c r="F1391" s="2"/>
      <c r="G1391" s="48"/>
    </row>
    <row r="1392" spans="3:7">
      <c r="C1392" s="3"/>
      <c r="D1392" s="3"/>
      <c r="F1392" s="2"/>
      <c r="G1392" s="48"/>
    </row>
    <row r="1393" spans="3:7">
      <c r="C1393" s="3"/>
      <c r="D1393" s="3"/>
      <c r="F1393" s="2"/>
      <c r="G1393" s="48"/>
    </row>
    <row r="1394" spans="3:7">
      <c r="C1394" s="3"/>
      <c r="D1394" s="3"/>
      <c r="F1394" s="2"/>
      <c r="G1394" s="48"/>
    </row>
    <row r="1395" spans="3:7">
      <c r="C1395" s="3"/>
      <c r="D1395" s="3"/>
      <c r="F1395" s="2"/>
      <c r="G1395" s="48"/>
    </row>
    <row r="1396" spans="3:7">
      <c r="C1396" s="3"/>
      <c r="D1396" s="3"/>
      <c r="F1396" s="2"/>
      <c r="G1396" s="48"/>
    </row>
    <row r="1397" spans="3:7">
      <c r="C1397" s="3"/>
      <c r="D1397" s="3"/>
      <c r="F1397" s="2"/>
      <c r="G1397" s="48"/>
    </row>
    <row r="1398" spans="3:7">
      <c r="C1398" s="3"/>
      <c r="D1398" s="3"/>
      <c r="F1398" s="2"/>
      <c r="G1398" s="48"/>
    </row>
    <row r="1399" spans="3:7">
      <c r="C1399" s="3"/>
      <c r="D1399" s="3"/>
      <c r="F1399" s="2"/>
      <c r="G1399" s="48"/>
    </row>
    <row r="1400" spans="3:7">
      <c r="C1400" s="3"/>
      <c r="D1400" s="3"/>
      <c r="F1400" s="2"/>
      <c r="G1400" s="48"/>
    </row>
    <row r="1401" spans="3:7">
      <c r="C1401" s="3"/>
      <c r="D1401" s="3"/>
      <c r="F1401" s="2"/>
      <c r="G1401" s="48"/>
    </row>
    <row r="1402" spans="3:7">
      <c r="C1402" s="3"/>
      <c r="D1402" s="3"/>
      <c r="F1402" s="2"/>
      <c r="G1402" s="48"/>
    </row>
    <row r="1403" spans="3:7">
      <c r="C1403" s="3"/>
      <c r="D1403" s="3"/>
      <c r="F1403" s="2"/>
      <c r="G1403" s="48"/>
    </row>
    <row r="1404" spans="3:7">
      <c r="C1404" s="3"/>
      <c r="D1404" s="3"/>
      <c r="F1404" s="2"/>
      <c r="G1404" s="48"/>
    </row>
    <row r="1405" spans="3:7">
      <c r="C1405" s="3"/>
      <c r="D1405" s="3"/>
      <c r="F1405" s="2"/>
      <c r="G1405" s="48"/>
    </row>
    <row r="1406" spans="3:7">
      <c r="C1406" s="3"/>
      <c r="D1406" s="3"/>
      <c r="F1406" s="2"/>
      <c r="G1406" s="48"/>
    </row>
    <row r="1407" spans="3:7">
      <c r="C1407" s="3"/>
      <c r="D1407" s="3"/>
      <c r="F1407" s="2"/>
      <c r="G1407" s="48"/>
    </row>
    <row r="1408" spans="3:7">
      <c r="C1408" s="3"/>
      <c r="D1408" s="3"/>
      <c r="F1408" s="2"/>
      <c r="G1408" s="48"/>
    </row>
    <row r="1409" spans="3:7">
      <c r="C1409" s="3"/>
      <c r="D1409" s="3"/>
      <c r="F1409" s="2"/>
      <c r="G1409" s="48"/>
    </row>
    <row r="1410" spans="3:7">
      <c r="C1410" s="3"/>
      <c r="D1410" s="3"/>
      <c r="F1410" s="2"/>
      <c r="G1410" s="48"/>
    </row>
    <row r="1411" spans="3:7">
      <c r="C1411" s="3"/>
      <c r="D1411" s="3"/>
      <c r="F1411" s="2"/>
      <c r="G1411" s="48"/>
    </row>
    <row r="1412" spans="3:7">
      <c r="C1412" s="3"/>
      <c r="D1412" s="3"/>
      <c r="F1412" s="2"/>
      <c r="G1412" s="48"/>
    </row>
    <row r="1413" spans="3:7">
      <c r="C1413" s="3"/>
      <c r="D1413" s="3"/>
      <c r="F1413" s="2"/>
      <c r="G1413" s="48"/>
    </row>
    <row r="1414" spans="3:7">
      <c r="C1414" s="3"/>
      <c r="D1414" s="3"/>
      <c r="F1414" s="2"/>
      <c r="G1414" s="48"/>
    </row>
    <row r="1415" spans="3:7">
      <c r="C1415" s="3"/>
      <c r="D1415" s="3"/>
      <c r="F1415" s="2"/>
      <c r="G1415" s="48"/>
    </row>
    <row r="1416" spans="3:7">
      <c r="C1416" s="3"/>
      <c r="D1416" s="3"/>
      <c r="F1416" s="2"/>
      <c r="G1416" s="48"/>
    </row>
    <row r="1417" spans="3:7">
      <c r="C1417" s="3"/>
      <c r="D1417" s="3"/>
      <c r="F1417" s="2"/>
      <c r="G1417" s="48"/>
    </row>
    <row r="1418" spans="3:7">
      <c r="C1418" s="3"/>
      <c r="D1418" s="3"/>
      <c r="F1418" s="2"/>
      <c r="G1418" s="48"/>
    </row>
    <row r="1419" spans="3:7">
      <c r="C1419" s="3"/>
      <c r="D1419" s="3"/>
      <c r="F1419" s="2"/>
      <c r="G1419" s="48"/>
    </row>
    <row r="1420" spans="3:7">
      <c r="C1420" s="3"/>
      <c r="D1420" s="3"/>
      <c r="F1420" s="2"/>
      <c r="G1420" s="48"/>
    </row>
    <row r="1421" spans="3:7">
      <c r="C1421" s="3"/>
      <c r="D1421" s="3"/>
      <c r="F1421" s="2"/>
      <c r="G1421" s="48"/>
    </row>
    <row r="1422" spans="3:7">
      <c r="C1422" s="3"/>
      <c r="D1422" s="3"/>
      <c r="F1422" s="2"/>
      <c r="G1422" s="48"/>
    </row>
    <row r="1423" spans="3:7">
      <c r="C1423" s="3"/>
      <c r="D1423" s="3"/>
      <c r="F1423" s="2"/>
      <c r="G1423" s="48"/>
    </row>
    <row r="1424" spans="3:7">
      <c r="C1424" s="3"/>
      <c r="D1424" s="3"/>
      <c r="F1424" s="2"/>
      <c r="G1424" s="48"/>
    </row>
    <row r="1425" spans="3:7">
      <c r="C1425" s="3"/>
      <c r="D1425" s="3"/>
      <c r="F1425" s="2"/>
      <c r="G1425" s="48"/>
    </row>
    <row r="1426" spans="3:7">
      <c r="C1426" s="3"/>
      <c r="D1426" s="3"/>
      <c r="F1426" s="2"/>
      <c r="G1426" s="48"/>
    </row>
    <row r="1427" spans="3:7">
      <c r="C1427" s="3"/>
      <c r="D1427" s="3"/>
      <c r="F1427" s="2"/>
      <c r="G1427" s="48"/>
    </row>
    <row r="1428" spans="3:7">
      <c r="C1428" s="3"/>
      <c r="D1428" s="3"/>
      <c r="F1428" s="2"/>
      <c r="G1428" s="48"/>
    </row>
    <row r="1429" spans="3:7">
      <c r="C1429" s="3"/>
      <c r="D1429" s="3"/>
      <c r="F1429" s="2"/>
      <c r="G1429" s="48"/>
    </row>
    <row r="1430" spans="3:7">
      <c r="C1430" s="3"/>
      <c r="D1430" s="3"/>
      <c r="F1430" s="2"/>
      <c r="G1430" s="48"/>
    </row>
    <row r="1431" spans="3:7">
      <c r="C1431" s="3"/>
      <c r="D1431" s="3"/>
      <c r="F1431" s="2"/>
      <c r="G1431" s="48"/>
    </row>
    <row r="1432" spans="3:7">
      <c r="C1432" s="3"/>
      <c r="D1432" s="3"/>
      <c r="F1432" s="2"/>
      <c r="G1432" s="48"/>
    </row>
    <row r="1433" spans="3:7">
      <c r="C1433" s="3"/>
      <c r="D1433" s="3"/>
      <c r="F1433" s="2"/>
      <c r="G1433" s="48"/>
    </row>
    <row r="1434" spans="3:7">
      <c r="C1434" s="3"/>
      <c r="D1434" s="3"/>
      <c r="F1434" s="2"/>
      <c r="G1434" s="48"/>
    </row>
    <row r="1435" spans="3:7">
      <c r="C1435" s="3"/>
      <c r="D1435" s="3"/>
      <c r="F1435" s="2"/>
      <c r="G1435" s="48"/>
    </row>
    <row r="1436" spans="3:7">
      <c r="C1436" s="3"/>
      <c r="D1436" s="3"/>
      <c r="F1436" s="2"/>
      <c r="G1436" s="48"/>
    </row>
    <row r="1437" spans="3:7">
      <c r="C1437" s="3"/>
      <c r="D1437" s="3"/>
      <c r="F1437" s="2"/>
      <c r="G1437" s="48"/>
    </row>
    <row r="1438" spans="3:7">
      <c r="C1438" s="3"/>
      <c r="D1438" s="3"/>
      <c r="F1438" s="2"/>
      <c r="G1438" s="48"/>
    </row>
    <row r="1439" spans="3:7">
      <c r="C1439" s="3"/>
      <c r="D1439" s="3"/>
      <c r="F1439" s="2"/>
      <c r="G1439" s="48"/>
    </row>
    <row r="1440" spans="3:7">
      <c r="C1440" s="3"/>
      <c r="D1440" s="3"/>
      <c r="F1440" s="2"/>
      <c r="G1440" s="48"/>
    </row>
    <row r="1441" spans="3:7">
      <c r="C1441" s="3"/>
      <c r="D1441" s="3"/>
      <c r="F1441" s="2"/>
      <c r="G1441" s="48"/>
    </row>
    <row r="1442" spans="3:7">
      <c r="C1442" s="3"/>
      <c r="D1442" s="3"/>
      <c r="F1442" s="2"/>
      <c r="G1442" s="48"/>
    </row>
    <row r="1443" spans="3:7">
      <c r="C1443" s="3"/>
      <c r="D1443" s="3"/>
      <c r="F1443" s="2"/>
      <c r="G1443" s="48"/>
    </row>
    <row r="1444" spans="3:7">
      <c r="C1444" s="3"/>
      <c r="D1444" s="3"/>
      <c r="F1444" s="2"/>
      <c r="G1444" s="48"/>
    </row>
    <row r="1445" spans="3:7">
      <c r="C1445" s="3"/>
      <c r="D1445" s="3"/>
      <c r="F1445" s="2"/>
      <c r="G1445" s="48"/>
    </row>
    <row r="1446" spans="3:7">
      <c r="C1446" s="3"/>
      <c r="D1446" s="3"/>
      <c r="F1446" s="2"/>
      <c r="G1446" s="48"/>
    </row>
    <row r="1447" spans="3:7">
      <c r="C1447" s="3"/>
      <c r="D1447" s="3"/>
      <c r="F1447" s="2"/>
      <c r="G1447" s="48"/>
    </row>
    <row r="1448" spans="3:7">
      <c r="C1448" s="3"/>
      <c r="D1448" s="3"/>
      <c r="F1448" s="2"/>
      <c r="G1448" s="48"/>
    </row>
    <row r="1449" spans="3:7">
      <c r="C1449" s="3"/>
      <c r="D1449" s="3"/>
      <c r="F1449" s="2"/>
      <c r="G1449" s="48"/>
    </row>
    <row r="1450" spans="3:7">
      <c r="C1450" s="3"/>
      <c r="D1450" s="3"/>
      <c r="F1450" s="2"/>
      <c r="G1450" s="48"/>
    </row>
    <row r="1451" spans="3:7">
      <c r="C1451" s="3"/>
      <c r="D1451" s="3"/>
      <c r="F1451" s="2"/>
      <c r="G1451" s="48"/>
    </row>
    <row r="1452" spans="3:7">
      <c r="C1452" s="3"/>
      <c r="D1452" s="3"/>
      <c r="F1452" s="2"/>
      <c r="G1452" s="48"/>
    </row>
    <row r="1453" spans="3:7">
      <c r="C1453" s="3"/>
      <c r="D1453" s="3"/>
      <c r="F1453" s="2"/>
      <c r="G1453" s="48"/>
    </row>
    <row r="1454" spans="3:7">
      <c r="C1454" s="3"/>
      <c r="D1454" s="3"/>
      <c r="F1454" s="2"/>
      <c r="G1454" s="48"/>
    </row>
    <row r="1455" spans="3:7">
      <c r="C1455" s="3"/>
      <c r="D1455" s="3"/>
      <c r="F1455" s="2"/>
      <c r="G1455" s="48"/>
    </row>
    <row r="1456" spans="3:7">
      <c r="C1456" s="3"/>
      <c r="D1456" s="3"/>
      <c r="F1456" s="2"/>
      <c r="G1456" s="48"/>
    </row>
    <row r="1457" spans="3:7">
      <c r="C1457" s="3"/>
      <c r="D1457" s="3"/>
      <c r="F1457" s="2"/>
      <c r="G1457" s="48"/>
    </row>
    <row r="1458" spans="3:7">
      <c r="C1458" s="3"/>
      <c r="D1458" s="3"/>
      <c r="F1458" s="2"/>
      <c r="G1458" s="48"/>
    </row>
    <row r="1459" spans="3:7">
      <c r="C1459" s="3"/>
      <c r="D1459" s="3"/>
      <c r="F1459" s="2"/>
      <c r="G1459" s="48"/>
    </row>
    <row r="1460" spans="3:7">
      <c r="C1460" s="3"/>
      <c r="D1460" s="3"/>
      <c r="F1460" s="2"/>
      <c r="G1460" s="48"/>
    </row>
    <row r="1461" spans="3:7">
      <c r="C1461" s="3"/>
      <c r="D1461" s="3"/>
      <c r="F1461" s="2"/>
      <c r="G1461" s="48"/>
    </row>
    <row r="1462" spans="3:7">
      <c r="C1462" s="3"/>
      <c r="D1462" s="3"/>
      <c r="F1462" s="2"/>
      <c r="G1462" s="48"/>
    </row>
    <row r="1463" spans="3:7">
      <c r="C1463" s="3"/>
      <c r="D1463" s="3"/>
      <c r="F1463" s="2"/>
      <c r="G1463" s="48"/>
    </row>
    <row r="1464" spans="3:7">
      <c r="C1464" s="3"/>
      <c r="D1464" s="3"/>
      <c r="F1464" s="2"/>
      <c r="G1464" s="48"/>
    </row>
    <row r="1465" spans="3:7">
      <c r="C1465" s="3"/>
      <c r="D1465" s="3"/>
      <c r="F1465" s="2"/>
      <c r="G1465" s="48"/>
    </row>
    <row r="1466" spans="3:7">
      <c r="C1466" s="3"/>
      <c r="D1466" s="3"/>
      <c r="F1466" s="2"/>
      <c r="G1466" s="48"/>
    </row>
    <row r="1467" spans="3:7">
      <c r="C1467" s="3"/>
      <c r="D1467" s="3"/>
      <c r="F1467" s="2"/>
      <c r="G1467" s="48"/>
    </row>
    <row r="1468" spans="3:7">
      <c r="C1468" s="3"/>
      <c r="D1468" s="3"/>
      <c r="F1468" s="2"/>
      <c r="G1468" s="48"/>
    </row>
    <row r="1469" spans="3:7">
      <c r="C1469" s="3"/>
      <c r="D1469" s="3"/>
      <c r="F1469" s="2"/>
      <c r="G1469" s="48"/>
    </row>
    <row r="1470" spans="3:7">
      <c r="C1470" s="3"/>
      <c r="D1470" s="3"/>
      <c r="F1470" s="2"/>
      <c r="G1470" s="48"/>
    </row>
    <row r="1471" spans="3:7">
      <c r="C1471" s="3"/>
      <c r="D1471" s="3"/>
      <c r="F1471" s="2"/>
      <c r="G1471" s="48"/>
    </row>
    <row r="1472" spans="3:7">
      <c r="C1472" s="3"/>
      <c r="D1472" s="3"/>
      <c r="F1472" s="2"/>
      <c r="G1472" s="48"/>
    </row>
    <row r="1473" spans="3:7">
      <c r="C1473" s="3"/>
      <c r="D1473" s="3"/>
      <c r="F1473" s="2"/>
      <c r="G1473" s="48"/>
    </row>
    <row r="1474" spans="3:7">
      <c r="C1474" s="3"/>
      <c r="D1474" s="3"/>
      <c r="F1474" s="2"/>
      <c r="G1474" s="48"/>
    </row>
    <row r="1475" spans="3:7">
      <c r="C1475" s="3"/>
      <c r="D1475" s="3"/>
      <c r="F1475" s="2"/>
      <c r="G1475" s="48"/>
    </row>
    <row r="1476" spans="3:7">
      <c r="C1476" s="3"/>
      <c r="D1476" s="3"/>
      <c r="F1476" s="2"/>
      <c r="G1476" s="48"/>
    </row>
    <row r="1477" spans="3:7">
      <c r="C1477" s="3"/>
      <c r="D1477" s="3"/>
      <c r="F1477" s="2"/>
      <c r="G1477" s="48"/>
    </row>
    <row r="1478" spans="3:7">
      <c r="C1478" s="3"/>
      <c r="D1478" s="3"/>
      <c r="F1478" s="2"/>
      <c r="G1478" s="48"/>
    </row>
    <row r="1479" spans="3:7">
      <c r="C1479" s="3"/>
      <c r="D1479" s="3"/>
      <c r="F1479" s="2"/>
      <c r="G1479" s="48"/>
    </row>
    <row r="1480" spans="3:7">
      <c r="C1480" s="3"/>
      <c r="D1480" s="3"/>
      <c r="F1480" s="2"/>
      <c r="G1480" s="48"/>
    </row>
    <row r="1481" spans="3:7">
      <c r="C1481" s="3"/>
      <c r="D1481" s="3"/>
      <c r="F1481" s="2"/>
      <c r="G1481" s="48"/>
    </row>
    <row r="1482" spans="3:7">
      <c r="C1482" s="3"/>
      <c r="D1482" s="3"/>
      <c r="F1482" s="2"/>
      <c r="G1482" s="48"/>
    </row>
    <row r="1483" spans="3:7">
      <c r="C1483" s="3"/>
      <c r="D1483" s="3"/>
      <c r="F1483" s="2"/>
      <c r="G1483" s="48"/>
    </row>
    <row r="1484" spans="3:7">
      <c r="C1484" s="3"/>
      <c r="D1484" s="3"/>
      <c r="F1484" s="2"/>
      <c r="G1484" s="48"/>
    </row>
    <row r="1485" spans="3:7">
      <c r="C1485" s="3"/>
      <c r="D1485" s="3"/>
      <c r="F1485" s="2"/>
      <c r="G1485" s="48"/>
    </row>
    <row r="1486" spans="3:7">
      <c r="C1486" s="3"/>
      <c r="D1486" s="3"/>
      <c r="F1486" s="2"/>
      <c r="G1486" s="48"/>
    </row>
    <row r="1487" spans="3:7">
      <c r="C1487" s="3"/>
      <c r="D1487" s="3"/>
      <c r="F1487" s="2"/>
      <c r="G1487" s="48"/>
    </row>
    <row r="1488" spans="3:7">
      <c r="C1488" s="3"/>
      <c r="D1488" s="3"/>
      <c r="F1488" s="2"/>
      <c r="G1488" s="48"/>
    </row>
    <row r="1489" spans="3:7">
      <c r="C1489" s="3"/>
      <c r="D1489" s="3"/>
      <c r="F1489" s="2"/>
      <c r="G1489" s="48"/>
    </row>
    <row r="1490" spans="3:7">
      <c r="C1490" s="3"/>
      <c r="D1490" s="3"/>
      <c r="F1490" s="2"/>
      <c r="G1490" s="48"/>
    </row>
    <row r="1491" spans="3:7">
      <c r="C1491" s="3"/>
      <c r="D1491" s="3"/>
      <c r="F1491" s="2"/>
      <c r="G1491" s="48"/>
    </row>
    <row r="1492" spans="3:7">
      <c r="C1492" s="3"/>
      <c r="D1492" s="3"/>
      <c r="F1492" s="2"/>
      <c r="G1492" s="48"/>
    </row>
    <row r="1493" spans="3:7">
      <c r="C1493" s="3"/>
      <c r="D1493" s="3"/>
      <c r="F1493" s="2"/>
      <c r="G1493" s="48"/>
    </row>
    <row r="1494" spans="3:7">
      <c r="C1494" s="3"/>
      <c r="D1494" s="3"/>
      <c r="F1494" s="2"/>
      <c r="G1494" s="48"/>
    </row>
    <row r="1495" spans="3:7">
      <c r="C1495" s="3"/>
      <c r="D1495" s="3"/>
      <c r="F1495" s="2"/>
      <c r="G1495" s="48"/>
    </row>
    <row r="1496" spans="3:7">
      <c r="C1496" s="3"/>
      <c r="D1496" s="3"/>
      <c r="F1496" s="2"/>
      <c r="G1496" s="48"/>
    </row>
    <row r="1497" spans="3:7">
      <c r="C1497" s="3"/>
      <c r="D1497" s="3"/>
      <c r="F1497" s="2"/>
      <c r="G1497" s="48"/>
    </row>
    <row r="1498" spans="3:7">
      <c r="C1498" s="3"/>
      <c r="D1498" s="3"/>
      <c r="F1498" s="2"/>
      <c r="G1498" s="48"/>
    </row>
    <row r="1499" spans="3:7">
      <c r="C1499" s="3"/>
      <c r="D1499" s="3"/>
      <c r="F1499" s="2"/>
      <c r="G1499" s="48"/>
    </row>
    <row r="1500" spans="3:7">
      <c r="C1500" s="3"/>
      <c r="D1500" s="3"/>
      <c r="F1500" s="2"/>
      <c r="G1500" s="48"/>
    </row>
    <row r="1501" spans="3:7">
      <c r="C1501" s="3"/>
      <c r="D1501" s="3"/>
      <c r="F1501" s="2"/>
      <c r="G1501" s="48"/>
    </row>
    <row r="1502" spans="3:7">
      <c r="C1502" s="3"/>
      <c r="D1502" s="3"/>
      <c r="F1502" s="2"/>
      <c r="G1502" s="48"/>
    </row>
    <row r="1503" spans="3:7">
      <c r="C1503" s="3"/>
      <c r="D1503" s="3"/>
      <c r="F1503" s="2"/>
      <c r="G1503" s="48"/>
    </row>
    <row r="1504" spans="3:7">
      <c r="C1504" s="3"/>
      <c r="D1504" s="3"/>
      <c r="F1504" s="2"/>
      <c r="G1504" s="48"/>
    </row>
    <row r="1505" spans="3:7">
      <c r="C1505" s="3"/>
      <c r="D1505" s="3"/>
      <c r="F1505" s="2"/>
      <c r="G1505" s="48"/>
    </row>
    <row r="1506" spans="3:7">
      <c r="C1506" s="3"/>
      <c r="D1506" s="3"/>
      <c r="F1506" s="2"/>
      <c r="G1506" s="48"/>
    </row>
    <row r="1507" spans="3:7">
      <c r="C1507" s="3"/>
      <c r="D1507" s="3"/>
      <c r="F1507" s="2"/>
      <c r="G1507" s="48"/>
    </row>
    <row r="1508" spans="3:7">
      <c r="C1508" s="3"/>
      <c r="D1508" s="3"/>
      <c r="F1508" s="2"/>
      <c r="G1508" s="48"/>
    </row>
    <row r="1509" spans="3:7">
      <c r="C1509" s="3"/>
      <c r="D1509" s="3"/>
      <c r="F1509" s="2"/>
      <c r="G1509" s="48"/>
    </row>
    <row r="1510" spans="3:7">
      <c r="C1510" s="3"/>
      <c r="D1510" s="3"/>
      <c r="F1510" s="2"/>
      <c r="G1510" s="48"/>
    </row>
    <row r="1511" spans="3:7">
      <c r="C1511" s="3"/>
      <c r="D1511" s="3"/>
      <c r="F1511" s="2"/>
      <c r="G1511" s="48"/>
    </row>
    <row r="1512" spans="3:7">
      <c r="C1512" s="3"/>
      <c r="D1512" s="3"/>
      <c r="F1512" s="2"/>
      <c r="G1512" s="48"/>
    </row>
    <row r="1513" spans="3:7">
      <c r="C1513" s="3"/>
      <c r="D1513" s="3"/>
      <c r="F1513" s="2"/>
      <c r="G1513" s="48"/>
    </row>
    <row r="1514" spans="3:7">
      <c r="C1514" s="3"/>
      <c r="D1514" s="3"/>
      <c r="F1514" s="2"/>
      <c r="G1514" s="48"/>
    </row>
    <row r="1515" spans="3:7">
      <c r="C1515" s="3"/>
      <c r="D1515" s="3"/>
      <c r="F1515" s="2"/>
      <c r="G1515" s="48"/>
    </row>
    <row r="1516" spans="3:7">
      <c r="C1516" s="3"/>
      <c r="D1516" s="3"/>
      <c r="F1516" s="2"/>
      <c r="G1516" s="48"/>
    </row>
    <row r="1517" spans="3:7">
      <c r="C1517" s="3"/>
      <c r="D1517" s="3"/>
      <c r="F1517" s="2"/>
      <c r="G1517" s="48"/>
    </row>
    <row r="1518" spans="3:7">
      <c r="C1518" s="3"/>
      <c r="D1518" s="3"/>
      <c r="F1518" s="2"/>
      <c r="G1518" s="48"/>
    </row>
    <row r="1519" spans="3:7">
      <c r="C1519" s="3"/>
      <c r="D1519" s="3"/>
      <c r="F1519" s="2"/>
      <c r="G1519" s="48"/>
    </row>
    <row r="1520" spans="3:7">
      <c r="C1520" s="3"/>
      <c r="D1520" s="3"/>
      <c r="F1520" s="2"/>
      <c r="G1520" s="48"/>
    </row>
    <row r="1521" spans="3:7">
      <c r="C1521" s="3"/>
      <c r="D1521" s="3"/>
      <c r="F1521" s="2"/>
      <c r="G1521" s="48"/>
    </row>
    <row r="1522" spans="3:7">
      <c r="C1522" s="3"/>
      <c r="D1522" s="3"/>
      <c r="F1522" s="2"/>
      <c r="G1522" s="48"/>
    </row>
    <row r="1523" spans="3:7">
      <c r="C1523" s="3"/>
      <c r="D1523" s="3"/>
      <c r="F1523" s="2"/>
      <c r="G1523" s="48"/>
    </row>
    <row r="1524" spans="3:7">
      <c r="C1524" s="3"/>
      <c r="D1524" s="3"/>
      <c r="F1524" s="2"/>
      <c r="G1524" s="48"/>
    </row>
    <row r="1525" spans="3:7">
      <c r="C1525" s="3"/>
      <c r="D1525" s="3"/>
      <c r="F1525" s="2"/>
      <c r="G1525" s="48"/>
    </row>
    <row r="1526" spans="3:7">
      <c r="C1526" s="3"/>
      <c r="D1526" s="3"/>
      <c r="F1526" s="2"/>
      <c r="G1526" s="48"/>
    </row>
    <row r="1527" spans="3:7">
      <c r="C1527" s="3"/>
      <c r="D1527" s="3"/>
      <c r="F1527" s="2"/>
      <c r="G1527" s="48"/>
    </row>
    <row r="1528" spans="3:7">
      <c r="C1528" s="3"/>
      <c r="D1528" s="3"/>
      <c r="F1528" s="2"/>
      <c r="G1528" s="48"/>
    </row>
    <row r="1529" spans="3:7">
      <c r="C1529" s="3"/>
      <c r="D1529" s="3"/>
      <c r="F1529" s="2"/>
      <c r="G1529" s="48"/>
    </row>
    <row r="1530" spans="3:7">
      <c r="C1530" s="3"/>
      <c r="D1530" s="3"/>
      <c r="F1530" s="2"/>
      <c r="G1530" s="48"/>
    </row>
    <row r="1531" spans="3:7">
      <c r="C1531" s="3"/>
      <c r="D1531" s="3"/>
      <c r="F1531" s="2"/>
      <c r="G1531" s="48"/>
    </row>
    <row r="1532" spans="3:7">
      <c r="C1532" s="3"/>
      <c r="D1532" s="3"/>
      <c r="F1532" s="2"/>
      <c r="G1532" s="48"/>
    </row>
    <row r="1533" spans="3:7">
      <c r="C1533" s="3"/>
      <c r="D1533" s="3"/>
      <c r="F1533" s="2"/>
      <c r="G1533" s="48"/>
    </row>
    <row r="1534" spans="3:7">
      <c r="C1534" s="3"/>
      <c r="D1534" s="3"/>
      <c r="F1534" s="2"/>
      <c r="G1534" s="48"/>
    </row>
    <row r="1535" spans="3:7">
      <c r="C1535" s="3"/>
      <c r="D1535" s="3"/>
      <c r="F1535" s="2"/>
      <c r="G1535" s="48"/>
    </row>
    <row r="1536" spans="3:7">
      <c r="C1536" s="3"/>
      <c r="D1536" s="3"/>
      <c r="F1536" s="2"/>
      <c r="G1536" s="48"/>
    </row>
    <row r="1537" spans="3:7">
      <c r="C1537" s="3"/>
      <c r="D1537" s="3"/>
      <c r="F1537" s="2"/>
      <c r="G1537" s="48"/>
    </row>
    <row r="1538" spans="3:7">
      <c r="C1538" s="3"/>
      <c r="D1538" s="3"/>
      <c r="F1538" s="2"/>
      <c r="G1538" s="48"/>
    </row>
    <row r="1539" spans="3:7">
      <c r="C1539" s="3"/>
      <c r="D1539" s="3"/>
      <c r="F1539" s="2"/>
      <c r="G1539" s="48"/>
    </row>
    <row r="1540" spans="3:7">
      <c r="C1540" s="3"/>
      <c r="D1540" s="3"/>
      <c r="F1540" s="2"/>
      <c r="G1540" s="48"/>
    </row>
    <row r="1541" spans="3:7">
      <c r="C1541" s="3"/>
      <c r="D1541" s="3"/>
      <c r="F1541" s="2"/>
      <c r="G1541" s="48"/>
    </row>
    <row r="1542" spans="3:7">
      <c r="C1542" s="3"/>
      <c r="D1542" s="3"/>
      <c r="F1542" s="2"/>
      <c r="G1542" s="48"/>
    </row>
    <row r="1543" spans="3:7">
      <c r="C1543" s="3"/>
      <c r="D1543" s="3"/>
      <c r="F1543" s="2"/>
      <c r="G1543" s="48"/>
    </row>
    <row r="1544" spans="3:7">
      <c r="C1544" s="3"/>
      <c r="D1544" s="3"/>
      <c r="F1544" s="2"/>
      <c r="G1544" s="48"/>
    </row>
    <row r="1545" spans="3:7">
      <c r="C1545" s="3"/>
      <c r="D1545" s="3"/>
      <c r="F1545" s="2"/>
      <c r="G1545" s="48"/>
    </row>
    <row r="1546" spans="3:7">
      <c r="C1546" s="3"/>
      <c r="D1546" s="3"/>
      <c r="F1546" s="2"/>
      <c r="G1546" s="48"/>
    </row>
    <row r="1547" spans="3:7">
      <c r="C1547" s="3"/>
      <c r="D1547" s="3"/>
      <c r="F1547" s="2"/>
      <c r="G1547" s="48"/>
    </row>
    <row r="1548" spans="3:7">
      <c r="C1548" s="3"/>
      <c r="D1548" s="3"/>
      <c r="F1548" s="2"/>
      <c r="G1548" s="48"/>
    </row>
    <row r="1549" spans="3:7">
      <c r="C1549" s="3"/>
      <c r="D1549" s="3"/>
      <c r="F1549" s="2"/>
      <c r="G1549" s="48"/>
    </row>
    <row r="1550" spans="3:7">
      <c r="C1550" s="3"/>
      <c r="D1550" s="3"/>
      <c r="F1550" s="2"/>
      <c r="G1550" s="48"/>
    </row>
    <row r="1551" spans="3:7">
      <c r="C1551" s="3"/>
      <c r="D1551" s="3"/>
      <c r="F1551" s="2"/>
      <c r="G1551" s="48"/>
    </row>
    <row r="1552" spans="3:7">
      <c r="C1552" s="3"/>
      <c r="D1552" s="3"/>
      <c r="F1552" s="2"/>
      <c r="G1552" s="48"/>
    </row>
    <row r="1553" spans="3:7">
      <c r="C1553" s="3"/>
      <c r="D1553" s="3"/>
      <c r="F1553" s="2"/>
      <c r="G1553" s="48"/>
    </row>
    <row r="1554" spans="3:7">
      <c r="C1554" s="3"/>
      <c r="D1554" s="3"/>
      <c r="F1554" s="2"/>
      <c r="G1554" s="48"/>
    </row>
    <row r="1555" spans="3:7">
      <c r="C1555" s="3"/>
      <c r="D1555" s="3"/>
      <c r="F1555" s="2"/>
      <c r="G1555" s="48"/>
    </row>
    <row r="1556" spans="3:7">
      <c r="C1556" s="3"/>
      <c r="D1556" s="3"/>
      <c r="F1556" s="2"/>
      <c r="G1556" s="48"/>
    </row>
    <row r="1557" spans="3:7">
      <c r="C1557" s="3"/>
      <c r="D1557" s="3"/>
      <c r="F1557" s="2"/>
      <c r="G1557" s="48"/>
    </row>
    <row r="1558" spans="3:7">
      <c r="C1558" s="3"/>
      <c r="D1558" s="3"/>
      <c r="F1558" s="2"/>
      <c r="G1558" s="48"/>
    </row>
    <row r="1559" spans="3:7">
      <c r="C1559" s="3"/>
      <c r="D1559" s="3"/>
      <c r="F1559" s="2"/>
      <c r="G1559" s="48"/>
    </row>
    <row r="1560" spans="3:7">
      <c r="C1560" s="3"/>
      <c r="D1560" s="3"/>
      <c r="F1560" s="2"/>
      <c r="G1560" s="48"/>
    </row>
    <row r="1561" spans="3:7">
      <c r="C1561" s="3"/>
      <c r="D1561" s="3"/>
      <c r="F1561" s="2"/>
      <c r="G1561" s="48"/>
    </row>
    <row r="1562" spans="3:7">
      <c r="C1562" s="3"/>
      <c r="D1562" s="3"/>
      <c r="F1562" s="2"/>
      <c r="G1562" s="48"/>
    </row>
    <row r="1563" spans="3:7">
      <c r="C1563" s="3"/>
      <c r="D1563" s="3"/>
      <c r="F1563" s="2"/>
      <c r="G1563" s="48"/>
    </row>
    <row r="1564" spans="3:7">
      <c r="C1564" s="3"/>
      <c r="D1564" s="3"/>
      <c r="F1564" s="2"/>
      <c r="G1564" s="48"/>
    </row>
    <row r="1565" spans="3:7">
      <c r="C1565" s="3"/>
      <c r="D1565" s="3"/>
      <c r="F1565" s="2"/>
      <c r="G1565" s="48"/>
    </row>
    <row r="1566" spans="3:7">
      <c r="C1566" s="3"/>
      <c r="D1566" s="3"/>
      <c r="F1566" s="2"/>
      <c r="G1566" s="48"/>
    </row>
    <row r="1567" spans="3:7">
      <c r="C1567" s="3"/>
      <c r="D1567" s="3"/>
      <c r="F1567" s="2"/>
      <c r="G1567" s="48"/>
    </row>
    <row r="1568" spans="3:7">
      <c r="C1568" s="3"/>
      <c r="D1568" s="3"/>
      <c r="F1568" s="2"/>
      <c r="G1568" s="48"/>
    </row>
    <row r="1569" spans="3:7">
      <c r="C1569" s="3"/>
      <c r="D1569" s="3"/>
      <c r="F1569" s="2"/>
      <c r="G1569" s="48"/>
    </row>
    <row r="1570" spans="3:7">
      <c r="C1570" s="3"/>
      <c r="D1570" s="3"/>
      <c r="F1570" s="2"/>
      <c r="G1570" s="48"/>
    </row>
    <row r="1571" spans="3:7">
      <c r="C1571" s="3"/>
      <c r="D1571" s="3"/>
      <c r="F1571" s="2"/>
      <c r="G1571" s="48"/>
    </row>
    <row r="1572" spans="3:7">
      <c r="C1572" s="3"/>
      <c r="D1572" s="3"/>
      <c r="F1572" s="2"/>
      <c r="G1572" s="48"/>
    </row>
    <row r="1573" spans="3:7">
      <c r="C1573" s="3"/>
      <c r="D1573" s="3"/>
      <c r="F1573" s="2"/>
      <c r="G1573" s="48"/>
    </row>
    <row r="1574" spans="3:7">
      <c r="C1574" s="3"/>
      <c r="D1574" s="3"/>
      <c r="F1574" s="2"/>
      <c r="G1574" s="48"/>
    </row>
    <row r="1575" spans="3:7">
      <c r="C1575" s="3"/>
      <c r="D1575" s="3"/>
      <c r="F1575" s="2"/>
      <c r="G1575" s="48"/>
    </row>
    <row r="1576" spans="3:7">
      <c r="C1576" s="3"/>
      <c r="D1576" s="3"/>
      <c r="F1576" s="2"/>
      <c r="G1576" s="48"/>
    </row>
    <row r="1577" spans="3:7">
      <c r="C1577" s="3"/>
      <c r="D1577" s="3"/>
      <c r="F1577" s="2"/>
      <c r="G1577" s="48"/>
    </row>
    <row r="1578" spans="3:7">
      <c r="C1578" s="3"/>
      <c r="D1578" s="3"/>
      <c r="F1578" s="2"/>
      <c r="G1578" s="48"/>
    </row>
    <row r="1579" spans="3:7">
      <c r="C1579" s="3"/>
      <c r="D1579" s="3"/>
      <c r="F1579" s="2"/>
      <c r="G1579" s="48"/>
    </row>
    <row r="1580" spans="3:7">
      <c r="C1580" s="3"/>
      <c r="D1580" s="3"/>
      <c r="F1580" s="2"/>
      <c r="G1580" s="48"/>
    </row>
    <row r="1581" spans="3:7">
      <c r="C1581" s="3"/>
      <c r="D1581" s="3"/>
      <c r="F1581" s="2"/>
      <c r="G1581" s="48"/>
    </row>
    <row r="1582" spans="3:7">
      <c r="C1582" s="3"/>
      <c r="D1582" s="3"/>
      <c r="F1582" s="2"/>
      <c r="G1582" s="48"/>
    </row>
    <row r="1583" spans="3:7">
      <c r="C1583" s="3"/>
      <c r="D1583" s="3"/>
      <c r="F1583" s="2"/>
      <c r="G1583" s="48"/>
    </row>
    <row r="1584" spans="3:7">
      <c r="C1584" s="3"/>
      <c r="D1584" s="3"/>
      <c r="F1584" s="2"/>
      <c r="G1584" s="48"/>
    </row>
    <row r="1585" spans="3:7">
      <c r="C1585" s="3"/>
      <c r="D1585" s="3"/>
      <c r="F1585" s="2"/>
      <c r="G1585" s="48"/>
    </row>
    <row r="1586" spans="3:7">
      <c r="C1586" s="3"/>
      <c r="D1586" s="3"/>
      <c r="F1586" s="2"/>
      <c r="G1586" s="48"/>
    </row>
    <row r="1587" spans="3:7">
      <c r="C1587" s="3"/>
      <c r="D1587" s="3"/>
      <c r="F1587" s="2"/>
      <c r="G1587" s="48"/>
    </row>
    <row r="1588" spans="3:7">
      <c r="C1588" s="3"/>
      <c r="D1588" s="3"/>
      <c r="F1588" s="2"/>
      <c r="G1588" s="48"/>
    </row>
    <row r="1589" spans="3:7">
      <c r="C1589" s="3"/>
      <c r="D1589" s="3"/>
      <c r="F1589" s="2"/>
      <c r="G1589" s="48"/>
    </row>
    <row r="1590" spans="3:7">
      <c r="C1590" s="3"/>
      <c r="D1590" s="3"/>
      <c r="F1590" s="2"/>
      <c r="G1590" s="48"/>
    </row>
    <row r="1591" spans="3:7">
      <c r="C1591" s="3"/>
      <c r="D1591" s="3"/>
      <c r="F1591" s="2"/>
      <c r="G1591" s="48"/>
    </row>
    <row r="1592" spans="3:7">
      <c r="C1592" s="3"/>
      <c r="D1592" s="3"/>
      <c r="F1592" s="2"/>
      <c r="G1592" s="48"/>
    </row>
    <row r="1593" spans="3:7">
      <c r="C1593" s="3"/>
      <c r="D1593" s="3"/>
      <c r="F1593" s="2"/>
      <c r="G1593" s="48"/>
    </row>
    <row r="1594" spans="3:7">
      <c r="C1594" s="3"/>
      <c r="D1594" s="3"/>
      <c r="F1594" s="2"/>
      <c r="G1594" s="48"/>
    </row>
    <row r="1595" spans="3:7">
      <c r="C1595" s="3"/>
      <c r="D1595" s="3"/>
      <c r="F1595" s="2"/>
      <c r="G1595" s="48"/>
    </row>
    <row r="1596" spans="3:7">
      <c r="C1596" s="3"/>
      <c r="D1596" s="3"/>
      <c r="F1596" s="2"/>
      <c r="G1596" s="48"/>
    </row>
    <row r="1597" spans="3:7">
      <c r="C1597" s="3"/>
      <c r="D1597" s="3"/>
      <c r="F1597" s="2"/>
      <c r="G1597" s="48"/>
    </row>
    <row r="1598" spans="3:7">
      <c r="C1598" s="3"/>
      <c r="D1598" s="3"/>
      <c r="F1598" s="2"/>
      <c r="G1598" s="48"/>
    </row>
    <row r="1599" spans="3:7">
      <c r="C1599" s="3"/>
      <c r="D1599" s="3"/>
      <c r="F1599" s="2"/>
      <c r="G1599" s="48"/>
    </row>
    <row r="1600" spans="3:7">
      <c r="C1600" s="3"/>
      <c r="D1600" s="3"/>
      <c r="F1600" s="2"/>
      <c r="G1600" s="48"/>
    </row>
    <row r="1601" spans="3:7">
      <c r="C1601" s="3"/>
      <c r="D1601" s="3"/>
      <c r="F1601" s="2"/>
      <c r="G1601" s="48"/>
    </row>
    <row r="1602" spans="3:7">
      <c r="C1602" s="3"/>
      <c r="D1602" s="3"/>
      <c r="F1602" s="2"/>
      <c r="G1602" s="48"/>
    </row>
    <row r="1603" spans="3:7">
      <c r="C1603" s="3"/>
      <c r="D1603" s="3"/>
      <c r="F1603" s="2"/>
      <c r="G1603" s="48"/>
    </row>
    <row r="1604" spans="3:7">
      <c r="C1604" s="3"/>
      <c r="D1604" s="3"/>
      <c r="F1604" s="2"/>
      <c r="G1604" s="48"/>
    </row>
    <row r="1605" spans="3:7">
      <c r="C1605" s="3"/>
      <c r="D1605" s="3"/>
      <c r="F1605" s="2"/>
      <c r="G1605" s="48"/>
    </row>
    <row r="1606" spans="3:7">
      <c r="C1606" s="3"/>
      <c r="D1606" s="3"/>
      <c r="F1606" s="2"/>
      <c r="G1606" s="48"/>
    </row>
    <row r="1607" spans="3:7">
      <c r="C1607" s="3"/>
      <c r="D1607" s="3"/>
      <c r="F1607" s="2"/>
      <c r="G1607" s="48"/>
    </row>
    <row r="1608" spans="3:7">
      <c r="C1608" s="3"/>
      <c r="D1608" s="3"/>
      <c r="F1608" s="2"/>
      <c r="G1608" s="48"/>
    </row>
    <row r="1609" spans="3:7">
      <c r="C1609" s="3"/>
      <c r="D1609" s="3"/>
      <c r="F1609" s="2"/>
      <c r="G1609" s="48"/>
    </row>
    <row r="1610" spans="3:7">
      <c r="C1610" s="3"/>
      <c r="D1610" s="3"/>
      <c r="F1610" s="2"/>
      <c r="G1610" s="48"/>
    </row>
    <row r="1611" spans="3:7">
      <c r="C1611" s="3"/>
      <c r="D1611" s="3"/>
      <c r="F1611" s="2"/>
      <c r="G1611" s="48"/>
    </row>
    <row r="1612" spans="3:7">
      <c r="C1612" s="3"/>
      <c r="D1612" s="3"/>
      <c r="F1612" s="2"/>
      <c r="G1612" s="48"/>
    </row>
    <row r="1613" spans="3:7">
      <c r="C1613" s="3"/>
      <c r="D1613" s="3"/>
      <c r="F1613" s="2"/>
      <c r="G1613" s="48"/>
    </row>
    <row r="1614" spans="3:7">
      <c r="C1614" s="3"/>
      <c r="D1614" s="3"/>
      <c r="F1614" s="2"/>
      <c r="G1614" s="48"/>
    </row>
    <row r="1615" spans="3:7">
      <c r="C1615" s="3"/>
      <c r="D1615" s="3"/>
      <c r="F1615" s="2"/>
      <c r="G1615" s="48"/>
    </row>
    <row r="1616" spans="3:7">
      <c r="C1616" s="3"/>
      <c r="D1616" s="3"/>
      <c r="F1616" s="2"/>
      <c r="G1616" s="48"/>
    </row>
    <row r="1617" spans="3:7">
      <c r="C1617" s="3"/>
      <c r="D1617" s="3"/>
      <c r="F1617" s="2"/>
      <c r="G1617" s="48"/>
    </row>
    <row r="1618" spans="3:7">
      <c r="C1618" s="3"/>
      <c r="D1618" s="3"/>
      <c r="F1618" s="2"/>
      <c r="G1618" s="48"/>
    </row>
    <row r="1619" spans="3:7">
      <c r="C1619" s="3"/>
      <c r="D1619" s="3"/>
      <c r="F1619" s="2"/>
      <c r="G1619" s="48"/>
    </row>
    <row r="1620" spans="3:7">
      <c r="C1620" s="3"/>
      <c r="D1620" s="3"/>
      <c r="F1620" s="2"/>
      <c r="G1620" s="48"/>
    </row>
    <row r="1621" spans="3:7">
      <c r="C1621" s="3"/>
      <c r="D1621" s="3"/>
      <c r="F1621" s="2"/>
      <c r="G1621" s="48"/>
    </row>
    <row r="1622" spans="3:7">
      <c r="C1622" s="3"/>
      <c r="D1622" s="3"/>
      <c r="F1622" s="2"/>
      <c r="G1622" s="48"/>
    </row>
    <row r="1623" spans="3:7">
      <c r="C1623" s="3"/>
      <c r="D1623" s="3"/>
      <c r="F1623" s="2"/>
      <c r="G1623" s="48"/>
    </row>
    <row r="1624" spans="3:7">
      <c r="C1624" s="3"/>
      <c r="D1624" s="3"/>
      <c r="F1624" s="2"/>
      <c r="G1624" s="48"/>
    </row>
    <row r="1625" spans="3:7">
      <c r="C1625" s="3"/>
      <c r="D1625" s="3"/>
      <c r="F1625" s="2"/>
      <c r="G1625" s="48"/>
    </row>
    <row r="1626" spans="3:7">
      <c r="C1626" s="3"/>
      <c r="D1626" s="3"/>
      <c r="F1626" s="2"/>
      <c r="G1626" s="48"/>
    </row>
    <row r="1627" spans="3:7">
      <c r="C1627" s="3"/>
      <c r="D1627" s="3"/>
      <c r="F1627" s="2"/>
      <c r="G1627" s="48"/>
    </row>
    <row r="1628" spans="3:7">
      <c r="C1628" s="3"/>
      <c r="D1628" s="3"/>
      <c r="F1628" s="2"/>
      <c r="G1628" s="48"/>
    </row>
    <row r="1629" spans="3:7">
      <c r="C1629" s="3"/>
      <c r="D1629" s="3"/>
      <c r="F1629" s="2"/>
      <c r="G1629" s="48"/>
    </row>
    <row r="1630" spans="3:7">
      <c r="C1630" s="3"/>
      <c r="D1630" s="3"/>
      <c r="F1630" s="2"/>
      <c r="G1630" s="48"/>
    </row>
    <row r="1631" spans="3:7">
      <c r="C1631" s="3"/>
      <c r="D1631" s="3"/>
      <c r="F1631" s="2"/>
      <c r="G1631" s="48"/>
    </row>
    <row r="1632" spans="3:7">
      <c r="C1632" s="3"/>
      <c r="D1632" s="3"/>
      <c r="F1632" s="2"/>
      <c r="G1632" s="48"/>
    </row>
    <row r="1633" spans="3:7">
      <c r="C1633" s="3"/>
      <c r="D1633" s="3"/>
      <c r="F1633" s="2"/>
      <c r="G1633" s="48"/>
    </row>
    <row r="1634" spans="3:7">
      <c r="C1634" s="3"/>
      <c r="D1634" s="3"/>
      <c r="F1634" s="2"/>
      <c r="G1634" s="48"/>
    </row>
    <row r="1635" spans="3:7">
      <c r="C1635" s="3"/>
      <c r="D1635" s="3"/>
      <c r="F1635" s="2"/>
      <c r="G1635" s="48"/>
    </row>
    <row r="1636" spans="3:7">
      <c r="C1636" s="3"/>
      <c r="D1636" s="3"/>
      <c r="F1636" s="2"/>
      <c r="G1636" s="48"/>
    </row>
    <row r="1637" spans="3:7">
      <c r="C1637" s="3"/>
      <c r="D1637" s="3"/>
      <c r="F1637" s="2"/>
      <c r="G1637" s="48"/>
    </row>
    <row r="1638" spans="3:7">
      <c r="C1638" s="3"/>
      <c r="D1638" s="3"/>
      <c r="F1638" s="2"/>
      <c r="G1638" s="48"/>
    </row>
    <row r="1639" spans="3:7">
      <c r="C1639" s="3"/>
      <c r="D1639" s="3"/>
      <c r="F1639" s="2"/>
      <c r="G1639" s="48"/>
    </row>
    <row r="1640" spans="3:7">
      <c r="C1640" s="3"/>
      <c r="D1640" s="3"/>
      <c r="F1640" s="2"/>
      <c r="G1640" s="48"/>
    </row>
    <row r="1641" spans="3:7">
      <c r="C1641" s="3"/>
      <c r="D1641" s="3"/>
      <c r="F1641" s="2"/>
      <c r="G1641" s="48"/>
    </row>
    <row r="1642" spans="3:7">
      <c r="C1642" s="3"/>
      <c r="D1642" s="3"/>
      <c r="F1642" s="2"/>
      <c r="G1642" s="48"/>
    </row>
    <row r="1643" spans="3:7">
      <c r="C1643" s="3"/>
      <c r="D1643" s="3"/>
      <c r="F1643" s="2"/>
      <c r="G1643" s="48"/>
    </row>
    <row r="1644" spans="3:7">
      <c r="C1644" s="3"/>
      <c r="D1644" s="3"/>
      <c r="F1644" s="2"/>
      <c r="G1644" s="48"/>
    </row>
    <row r="1645" spans="3:7">
      <c r="C1645" s="3"/>
      <c r="D1645" s="3"/>
      <c r="F1645" s="2"/>
      <c r="G1645" s="48"/>
    </row>
    <row r="1646" spans="3:7">
      <c r="C1646" s="3"/>
      <c r="D1646" s="3"/>
      <c r="F1646" s="2"/>
      <c r="G1646" s="48"/>
    </row>
    <row r="1647" spans="3:7">
      <c r="C1647" s="3"/>
      <c r="D1647" s="3"/>
      <c r="F1647" s="2"/>
      <c r="G1647" s="48"/>
    </row>
    <row r="1648" spans="3:7">
      <c r="C1648" s="3"/>
      <c r="D1648" s="3"/>
      <c r="F1648" s="2"/>
      <c r="G1648" s="48"/>
    </row>
    <row r="1649" spans="3:7">
      <c r="C1649" s="3"/>
      <c r="D1649" s="3"/>
      <c r="F1649" s="2"/>
      <c r="G1649" s="48"/>
    </row>
    <row r="1650" spans="3:7">
      <c r="C1650" s="3"/>
      <c r="D1650" s="3"/>
      <c r="F1650" s="2"/>
      <c r="G1650" s="48"/>
    </row>
    <row r="1651" spans="3:7">
      <c r="C1651" s="3"/>
      <c r="D1651" s="3"/>
      <c r="F1651" s="2"/>
      <c r="G1651" s="48"/>
    </row>
    <row r="1652" spans="3:7">
      <c r="C1652" s="3"/>
      <c r="D1652" s="3"/>
      <c r="F1652" s="2"/>
      <c r="G1652" s="48"/>
    </row>
    <row r="1653" spans="3:7">
      <c r="C1653" s="3"/>
      <c r="D1653" s="3"/>
      <c r="F1653" s="2"/>
      <c r="G1653" s="48"/>
    </row>
    <row r="1654" spans="3:7">
      <c r="C1654" s="3"/>
      <c r="D1654" s="3"/>
      <c r="F1654" s="2"/>
      <c r="G1654" s="48"/>
    </row>
    <row r="1655" spans="3:7">
      <c r="C1655" s="3"/>
      <c r="D1655" s="3"/>
      <c r="F1655" s="2"/>
      <c r="G1655" s="48"/>
    </row>
    <row r="1656" spans="3:7">
      <c r="C1656" s="3"/>
      <c r="D1656" s="3"/>
      <c r="F1656" s="2"/>
      <c r="G1656" s="48"/>
    </row>
    <row r="1657" spans="3:7">
      <c r="C1657" s="3"/>
      <c r="D1657" s="3"/>
      <c r="F1657" s="2"/>
      <c r="G1657" s="48"/>
    </row>
    <row r="1658" spans="3:7">
      <c r="C1658" s="3"/>
      <c r="D1658" s="3"/>
      <c r="F1658" s="2"/>
      <c r="G1658" s="48"/>
    </row>
    <row r="1659" spans="3:7">
      <c r="C1659" s="3"/>
      <c r="D1659" s="3"/>
      <c r="F1659" s="2"/>
      <c r="G1659" s="48"/>
    </row>
    <row r="1660" spans="3:7">
      <c r="C1660" s="3"/>
      <c r="D1660" s="3"/>
      <c r="F1660" s="2"/>
      <c r="G1660" s="48"/>
    </row>
    <row r="1661" spans="3:7">
      <c r="C1661" s="3"/>
      <c r="D1661" s="3"/>
      <c r="F1661" s="2"/>
      <c r="G1661" s="48"/>
    </row>
    <row r="1662" spans="3:7">
      <c r="C1662" s="3"/>
      <c r="D1662" s="3"/>
      <c r="F1662" s="2"/>
      <c r="G1662" s="48"/>
    </row>
    <row r="1663" spans="3:7">
      <c r="C1663" s="3"/>
      <c r="D1663" s="3"/>
      <c r="F1663" s="2"/>
      <c r="G1663" s="48"/>
    </row>
    <row r="1664" spans="3:7">
      <c r="C1664" s="3"/>
      <c r="D1664" s="3"/>
      <c r="F1664" s="2"/>
      <c r="G1664" s="48"/>
    </row>
    <row r="1665" spans="3:7">
      <c r="C1665" s="3"/>
      <c r="D1665" s="3"/>
      <c r="F1665" s="2"/>
      <c r="G1665" s="48"/>
    </row>
    <row r="1666" spans="3:7">
      <c r="C1666" s="3"/>
      <c r="D1666" s="3"/>
      <c r="F1666" s="2"/>
      <c r="G1666" s="48"/>
    </row>
    <row r="1667" spans="3:7">
      <c r="C1667" s="3"/>
      <c r="D1667" s="3"/>
      <c r="F1667" s="2"/>
      <c r="G1667" s="48"/>
    </row>
    <row r="1668" spans="3:7">
      <c r="C1668" s="3"/>
      <c r="D1668" s="3"/>
      <c r="F1668" s="2"/>
      <c r="G1668" s="48"/>
    </row>
    <row r="1669" spans="3:7">
      <c r="C1669" s="3"/>
      <c r="D1669" s="3"/>
      <c r="F1669" s="2"/>
      <c r="G1669" s="48"/>
    </row>
    <row r="1670" spans="3:7">
      <c r="C1670" s="3"/>
      <c r="D1670" s="3"/>
      <c r="F1670" s="2"/>
      <c r="G1670" s="48"/>
    </row>
    <row r="1671" spans="3:7">
      <c r="C1671" s="3"/>
      <c r="D1671" s="3"/>
      <c r="F1671" s="2"/>
      <c r="G1671" s="48"/>
    </row>
    <row r="1672" spans="3:7">
      <c r="C1672" s="3"/>
      <c r="D1672" s="3"/>
      <c r="F1672" s="2"/>
      <c r="G1672" s="48"/>
    </row>
    <row r="1673" spans="3:7">
      <c r="C1673" s="3"/>
      <c r="D1673" s="3"/>
      <c r="F1673" s="2"/>
      <c r="G1673" s="48"/>
    </row>
    <row r="1674" spans="3:7">
      <c r="C1674" s="3"/>
      <c r="D1674" s="3"/>
      <c r="F1674" s="2"/>
      <c r="G1674" s="48"/>
    </row>
    <row r="1675" spans="3:7">
      <c r="C1675" s="3"/>
      <c r="D1675" s="3"/>
      <c r="F1675" s="2"/>
      <c r="G1675" s="48"/>
    </row>
    <row r="1676" spans="3:7">
      <c r="C1676" s="3"/>
      <c r="D1676" s="3"/>
      <c r="F1676" s="2"/>
      <c r="G1676" s="48"/>
    </row>
    <row r="1677" spans="3:7">
      <c r="C1677" s="3"/>
      <c r="D1677" s="3"/>
      <c r="F1677" s="2"/>
      <c r="G1677" s="48"/>
    </row>
    <row r="1678" spans="3:7">
      <c r="C1678" s="3"/>
      <c r="D1678" s="3"/>
      <c r="F1678" s="2"/>
      <c r="G1678" s="48"/>
    </row>
    <row r="1679" spans="3:7">
      <c r="C1679" s="3"/>
      <c r="D1679" s="3"/>
      <c r="F1679" s="2"/>
      <c r="G1679" s="48"/>
    </row>
    <row r="1680" spans="3:7">
      <c r="C1680" s="3"/>
      <c r="D1680" s="3"/>
      <c r="F1680" s="2"/>
      <c r="G1680" s="48"/>
    </row>
    <row r="1681" spans="3:7">
      <c r="C1681" s="3"/>
      <c r="D1681" s="3"/>
      <c r="F1681" s="2"/>
      <c r="G1681" s="48"/>
    </row>
    <row r="1682" spans="3:7">
      <c r="C1682" s="3"/>
      <c r="D1682" s="3"/>
      <c r="F1682" s="2"/>
      <c r="G1682" s="48"/>
    </row>
    <row r="1683" spans="3:7">
      <c r="C1683" s="3"/>
      <c r="D1683" s="3"/>
      <c r="F1683" s="2"/>
      <c r="G1683" s="48"/>
    </row>
    <row r="1684" spans="3:7">
      <c r="C1684" s="3"/>
      <c r="D1684" s="3"/>
      <c r="F1684" s="2"/>
      <c r="G1684" s="48"/>
    </row>
    <row r="1685" spans="3:7">
      <c r="C1685" s="3"/>
      <c r="D1685" s="3"/>
      <c r="F1685" s="2"/>
      <c r="G1685" s="48"/>
    </row>
    <row r="1686" spans="3:7">
      <c r="C1686" s="3"/>
      <c r="D1686" s="3"/>
      <c r="F1686" s="2"/>
      <c r="G1686" s="48"/>
    </row>
    <row r="1687" spans="3:7">
      <c r="C1687" s="3"/>
      <c r="D1687" s="3"/>
      <c r="F1687" s="2"/>
      <c r="G1687" s="48"/>
    </row>
    <row r="1688" spans="3:7">
      <c r="C1688" s="3"/>
      <c r="D1688" s="3"/>
      <c r="F1688" s="2"/>
      <c r="G1688" s="48"/>
    </row>
    <row r="1689" spans="3:7">
      <c r="C1689" s="3"/>
      <c r="D1689" s="3"/>
      <c r="F1689" s="2"/>
      <c r="G1689" s="48"/>
    </row>
    <row r="1690" spans="3:7">
      <c r="C1690" s="3"/>
      <c r="D1690" s="3"/>
      <c r="F1690" s="2"/>
      <c r="G1690" s="48"/>
    </row>
    <row r="1691" spans="3:7">
      <c r="C1691" s="3"/>
      <c r="D1691" s="3"/>
      <c r="F1691" s="2"/>
      <c r="G1691" s="48"/>
    </row>
    <row r="1692" spans="3:7">
      <c r="C1692" s="3"/>
      <c r="D1692" s="3"/>
      <c r="F1692" s="2"/>
      <c r="G1692" s="48"/>
    </row>
    <row r="1693" spans="3:7">
      <c r="C1693" s="3"/>
      <c r="D1693" s="3"/>
      <c r="F1693" s="2"/>
      <c r="G1693" s="48"/>
    </row>
    <row r="1694" spans="3:7">
      <c r="C1694" s="3"/>
      <c r="D1694" s="3"/>
      <c r="F1694" s="2"/>
      <c r="G1694" s="48"/>
    </row>
    <row r="1695" spans="3:7">
      <c r="C1695" s="3"/>
      <c r="D1695" s="3"/>
      <c r="F1695" s="2"/>
      <c r="G1695" s="48"/>
    </row>
    <row r="1696" spans="3:7">
      <c r="C1696" s="3"/>
      <c r="D1696" s="3"/>
      <c r="F1696" s="2"/>
      <c r="G1696" s="48"/>
    </row>
    <row r="1697" spans="3:7">
      <c r="C1697" s="3"/>
      <c r="D1697" s="3"/>
      <c r="F1697" s="2"/>
      <c r="G1697" s="48"/>
    </row>
    <row r="1698" spans="3:7">
      <c r="C1698" s="3"/>
      <c r="D1698" s="3"/>
      <c r="F1698" s="2"/>
      <c r="G1698" s="48"/>
    </row>
    <row r="1699" spans="3:7">
      <c r="C1699" s="3"/>
      <c r="D1699" s="3"/>
      <c r="F1699" s="2"/>
      <c r="G1699" s="48"/>
    </row>
    <row r="1700" spans="3:7">
      <c r="C1700" s="3"/>
      <c r="D1700" s="3"/>
      <c r="F1700" s="2"/>
      <c r="G1700" s="48"/>
    </row>
    <row r="1701" spans="3:7">
      <c r="C1701" s="3"/>
      <c r="D1701" s="3"/>
      <c r="F1701" s="2"/>
      <c r="G1701" s="48"/>
    </row>
    <row r="1702" spans="3:7">
      <c r="C1702" s="3"/>
      <c r="D1702" s="3"/>
      <c r="F1702" s="2"/>
      <c r="G1702" s="48"/>
    </row>
    <row r="1703" spans="3:7">
      <c r="C1703" s="3"/>
      <c r="D1703" s="3"/>
      <c r="F1703" s="2"/>
      <c r="G1703" s="48"/>
    </row>
    <row r="1704" spans="3:7">
      <c r="C1704" s="3"/>
      <c r="D1704" s="3"/>
      <c r="F1704" s="2"/>
      <c r="G1704" s="48"/>
    </row>
    <row r="1705" spans="3:7">
      <c r="C1705" s="3"/>
      <c r="D1705" s="3"/>
      <c r="F1705" s="2"/>
      <c r="G1705" s="48"/>
    </row>
    <row r="1706" spans="3:7">
      <c r="C1706" s="3"/>
      <c r="D1706" s="3"/>
      <c r="F1706" s="2"/>
      <c r="G1706" s="48"/>
    </row>
    <row r="1707" spans="3:7">
      <c r="C1707" s="3"/>
      <c r="D1707" s="3"/>
      <c r="F1707" s="2"/>
      <c r="G1707" s="48"/>
    </row>
    <row r="1708" spans="3:7">
      <c r="C1708" s="3"/>
      <c r="D1708" s="3"/>
      <c r="F1708" s="2"/>
      <c r="G1708" s="48"/>
    </row>
    <row r="1709" spans="3:7">
      <c r="C1709" s="3"/>
      <c r="D1709" s="3"/>
      <c r="F1709" s="2"/>
      <c r="G1709" s="48"/>
    </row>
    <row r="1710" spans="3:7">
      <c r="C1710" s="3"/>
      <c r="D1710" s="3"/>
      <c r="F1710" s="2"/>
      <c r="G1710" s="48"/>
    </row>
    <row r="1711" spans="3:7">
      <c r="C1711" s="3"/>
      <c r="D1711" s="3"/>
      <c r="F1711" s="2"/>
      <c r="G1711" s="48"/>
    </row>
    <row r="1712" spans="3:7">
      <c r="C1712" s="3"/>
      <c r="D1712" s="3"/>
      <c r="F1712" s="2"/>
      <c r="G1712" s="48"/>
    </row>
    <row r="1713" spans="3:7">
      <c r="C1713" s="3"/>
      <c r="D1713" s="3"/>
      <c r="F1713" s="2"/>
      <c r="G1713" s="48"/>
    </row>
    <row r="1714" spans="3:7">
      <c r="C1714" s="3"/>
      <c r="D1714" s="3"/>
      <c r="F1714" s="2"/>
      <c r="G1714" s="48"/>
    </row>
    <row r="1715" spans="3:7">
      <c r="C1715" s="3"/>
      <c r="D1715" s="3"/>
      <c r="F1715" s="2"/>
      <c r="G1715" s="48"/>
    </row>
    <row r="1716" spans="3:7">
      <c r="C1716" s="3"/>
      <c r="D1716" s="3"/>
      <c r="F1716" s="2"/>
      <c r="G1716" s="48"/>
    </row>
    <row r="1717" spans="3:7">
      <c r="C1717" s="3"/>
      <c r="D1717" s="3"/>
      <c r="F1717" s="2"/>
      <c r="G1717" s="48"/>
    </row>
    <row r="1718" spans="3:7">
      <c r="C1718" s="3"/>
      <c r="D1718" s="3"/>
      <c r="F1718" s="2"/>
      <c r="G1718" s="48"/>
    </row>
    <row r="1719" spans="3:7">
      <c r="C1719" s="3"/>
      <c r="D1719" s="3"/>
      <c r="F1719" s="2"/>
      <c r="G1719" s="48"/>
    </row>
    <row r="1720" spans="3:7">
      <c r="C1720" s="3"/>
      <c r="D1720" s="3"/>
      <c r="F1720" s="2"/>
      <c r="G1720" s="48"/>
    </row>
    <row r="1721" spans="3:7">
      <c r="C1721" s="3"/>
      <c r="D1721" s="3"/>
      <c r="F1721" s="2"/>
      <c r="G1721" s="48"/>
    </row>
    <row r="1722" spans="3:7">
      <c r="C1722" s="3"/>
      <c r="D1722" s="3"/>
      <c r="F1722" s="2"/>
      <c r="G1722" s="48"/>
    </row>
    <row r="1723" spans="3:7">
      <c r="C1723" s="3"/>
      <c r="D1723" s="3"/>
      <c r="F1723" s="2"/>
      <c r="G1723" s="48"/>
    </row>
    <row r="1724" spans="3:7">
      <c r="C1724" s="3"/>
      <c r="D1724" s="3"/>
      <c r="F1724" s="2"/>
      <c r="G1724" s="48"/>
    </row>
    <row r="1725" spans="3:7">
      <c r="C1725" s="3"/>
      <c r="D1725" s="3"/>
      <c r="F1725" s="2"/>
      <c r="G1725" s="48"/>
    </row>
    <row r="1726" spans="3:7">
      <c r="C1726" s="3"/>
      <c r="D1726" s="3"/>
      <c r="F1726" s="2"/>
      <c r="G1726" s="48"/>
    </row>
    <row r="1727" spans="3:7">
      <c r="C1727" s="3"/>
      <c r="D1727" s="3"/>
      <c r="F1727" s="2"/>
      <c r="G1727" s="48"/>
    </row>
    <row r="1728" spans="3:7">
      <c r="C1728" s="3"/>
      <c r="D1728" s="3"/>
      <c r="F1728" s="2"/>
      <c r="G1728" s="48"/>
    </row>
    <row r="1729" spans="3:7">
      <c r="C1729" s="3"/>
      <c r="D1729" s="3"/>
      <c r="F1729" s="2"/>
      <c r="G1729" s="48"/>
    </row>
    <row r="1730" spans="3:7">
      <c r="C1730" s="3"/>
      <c r="D1730" s="3"/>
      <c r="F1730" s="2"/>
      <c r="G1730" s="48"/>
    </row>
    <row r="1731" spans="3:7">
      <c r="C1731" s="3"/>
      <c r="D1731" s="3"/>
      <c r="F1731" s="2"/>
      <c r="G1731" s="48"/>
    </row>
    <row r="1732" spans="3:7">
      <c r="C1732" s="3"/>
      <c r="D1732" s="3"/>
      <c r="F1732" s="2"/>
      <c r="G1732" s="48"/>
    </row>
    <row r="1733" spans="3:7">
      <c r="C1733" s="3"/>
      <c r="D1733" s="3"/>
      <c r="F1733" s="2"/>
      <c r="G1733" s="48"/>
    </row>
    <row r="1734" spans="3:7">
      <c r="C1734" s="3"/>
      <c r="D1734" s="3"/>
      <c r="F1734" s="2"/>
      <c r="G1734" s="48"/>
    </row>
    <row r="1735" spans="3:7">
      <c r="C1735" s="3"/>
      <c r="D1735" s="3"/>
      <c r="F1735" s="2"/>
      <c r="G1735" s="48"/>
    </row>
    <row r="1736" spans="3:7">
      <c r="C1736" s="3"/>
      <c r="D1736" s="3"/>
      <c r="F1736" s="2"/>
      <c r="G1736" s="48"/>
    </row>
    <row r="1737" spans="3:7">
      <c r="C1737" s="3"/>
      <c r="D1737" s="3"/>
      <c r="F1737" s="2"/>
      <c r="G1737" s="48"/>
    </row>
    <row r="1738" spans="3:7">
      <c r="C1738" s="3"/>
      <c r="D1738" s="3"/>
      <c r="F1738" s="2"/>
      <c r="G1738" s="48"/>
    </row>
    <row r="1739" spans="3:7">
      <c r="C1739" s="3"/>
      <c r="D1739" s="3"/>
      <c r="F1739" s="2"/>
      <c r="G1739" s="48"/>
    </row>
    <row r="1740" spans="3:7">
      <c r="C1740" s="3"/>
      <c r="D1740" s="3"/>
      <c r="F1740" s="2"/>
      <c r="G1740" s="48"/>
    </row>
    <row r="1741" spans="3:7">
      <c r="C1741" s="3"/>
      <c r="D1741" s="3"/>
      <c r="F1741" s="2"/>
      <c r="G1741" s="48"/>
    </row>
    <row r="1742" spans="3:7">
      <c r="C1742" s="3"/>
      <c r="D1742" s="3"/>
      <c r="F1742" s="2"/>
      <c r="G1742" s="48"/>
    </row>
    <row r="1743" spans="3:7">
      <c r="C1743" s="3"/>
      <c r="D1743" s="3"/>
      <c r="F1743" s="2"/>
      <c r="G1743" s="48"/>
    </row>
    <row r="1744" spans="3:7">
      <c r="C1744" s="3"/>
      <c r="D1744" s="3"/>
      <c r="F1744" s="2"/>
      <c r="G1744" s="48"/>
    </row>
    <row r="1745" spans="3:7">
      <c r="C1745" s="3"/>
      <c r="D1745" s="3"/>
      <c r="F1745" s="2"/>
      <c r="G1745" s="48"/>
    </row>
    <row r="1746" spans="3:7">
      <c r="C1746" s="3"/>
      <c r="D1746" s="3"/>
      <c r="F1746" s="2"/>
      <c r="G1746" s="48"/>
    </row>
    <row r="1747" spans="3:7">
      <c r="C1747" s="3"/>
      <c r="D1747" s="3"/>
      <c r="F1747" s="2"/>
      <c r="G1747" s="48"/>
    </row>
    <row r="1748" spans="3:7">
      <c r="C1748" s="3"/>
      <c r="D1748" s="3"/>
      <c r="F1748" s="2"/>
      <c r="G1748" s="48"/>
    </row>
    <row r="1749" spans="3:7">
      <c r="C1749" s="3"/>
      <c r="D1749" s="3"/>
      <c r="F1749" s="2"/>
      <c r="G1749" s="48"/>
    </row>
    <row r="1750" spans="3:7">
      <c r="C1750" s="3"/>
      <c r="D1750" s="3"/>
      <c r="F1750" s="2"/>
      <c r="G1750" s="48"/>
    </row>
    <row r="1751" spans="3:7">
      <c r="C1751" s="3"/>
      <c r="D1751" s="3"/>
      <c r="F1751" s="2"/>
      <c r="G1751" s="48"/>
    </row>
    <row r="1752" spans="3:7">
      <c r="C1752" s="3"/>
      <c r="D1752" s="3"/>
      <c r="F1752" s="2"/>
      <c r="G1752" s="48"/>
    </row>
    <row r="1753" spans="3:7">
      <c r="C1753" s="3"/>
      <c r="D1753" s="3"/>
      <c r="F1753" s="2"/>
      <c r="G1753" s="48"/>
    </row>
    <row r="1754" spans="3:7">
      <c r="C1754" s="3"/>
      <c r="D1754" s="3"/>
      <c r="F1754" s="2"/>
      <c r="G1754" s="48"/>
    </row>
    <row r="1755" spans="3:7">
      <c r="C1755" s="3"/>
      <c r="D1755" s="3"/>
      <c r="F1755" s="2"/>
      <c r="G1755" s="48"/>
    </row>
    <row r="1756" spans="3:7">
      <c r="C1756" s="3"/>
      <c r="D1756" s="3"/>
      <c r="F1756" s="2"/>
      <c r="G1756" s="48"/>
    </row>
    <row r="1757" spans="3:7">
      <c r="C1757" s="3"/>
      <c r="D1757" s="3"/>
      <c r="F1757" s="2"/>
      <c r="G1757" s="48"/>
    </row>
    <row r="1758" spans="3:7">
      <c r="C1758" s="3"/>
      <c r="D1758" s="3"/>
      <c r="F1758" s="2"/>
      <c r="G1758" s="48"/>
    </row>
    <row r="1759" spans="3:7">
      <c r="C1759" s="3"/>
      <c r="D1759" s="3"/>
      <c r="F1759" s="2"/>
      <c r="G1759" s="48"/>
    </row>
    <row r="1760" spans="3:7">
      <c r="C1760" s="3"/>
      <c r="D1760" s="3"/>
      <c r="F1760" s="2"/>
      <c r="G1760" s="48"/>
    </row>
    <row r="1761" spans="3:7">
      <c r="C1761" s="3"/>
      <c r="D1761" s="3"/>
      <c r="F1761" s="2"/>
      <c r="G1761" s="48"/>
    </row>
    <row r="1762" spans="3:7">
      <c r="C1762" s="3"/>
      <c r="D1762" s="3"/>
      <c r="F1762" s="2"/>
      <c r="G1762" s="48"/>
    </row>
    <row r="1763" spans="3:7">
      <c r="C1763" s="3"/>
      <c r="D1763" s="3"/>
      <c r="F1763" s="2"/>
      <c r="G1763" s="48"/>
    </row>
    <row r="1764" spans="3:7">
      <c r="C1764" s="3"/>
      <c r="D1764" s="3"/>
      <c r="F1764" s="2"/>
      <c r="G1764" s="48"/>
    </row>
    <row r="1765" spans="3:7">
      <c r="C1765" s="3"/>
      <c r="D1765" s="3"/>
      <c r="F1765" s="2"/>
      <c r="G1765" s="48"/>
    </row>
    <row r="1766" spans="3:7">
      <c r="C1766" s="3"/>
      <c r="D1766" s="3"/>
      <c r="F1766" s="2"/>
      <c r="G1766" s="48"/>
    </row>
    <row r="1767" spans="3:7">
      <c r="C1767" s="3"/>
      <c r="D1767" s="3"/>
      <c r="F1767" s="2"/>
      <c r="G1767" s="48"/>
    </row>
    <row r="1768" spans="3:7">
      <c r="C1768" s="3"/>
      <c r="D1768" s="3"/>
      <c r="F1768" s="2"/>
      <c r="G1768" s="48"/>
    </row>
    <row r="1769" spans="3:7">
      <c r="C1769" s="3"/>
      <c r="D1769" s="3"/>
      <c r="F1769" s="2"/>
      <c r="G1769" s="48"/>
    </row>
    <row r="1770" spans="3:7">
      <c r="C1770" s="3"/>
      <c r="D1770" s="3"/>
      <c r="F1770" s="2"/>
      <c r="G1770" s="48"/>
    </row>
    <row r="1771" spans="3:7">
      <c r="C1771" s="3"/>
      <c r="D1771" s="3"/>
      <c r="F1771" s="2"/>
      <c r="G1771" s="48"/>
    </row>
    <row r="1772" spans="3:7">
      <c r="C1772" s="3"/>
      <c r="D1772" s="3"/>
      <c r="F1772" s="2"/>
      <c r="G1772" s="48"/>
    </row>
    <row r="1773" spans="3:7">
      <c r="C1773" s="3"/>
      <c r="D1773" s="3"/>
      <c r="F1773" s="2"/>
      <c r="G1773" s="48"/>
    </row>
    <row r="1774" spans="3:7">
      <c r="C1774" s="3"/>
      <c r="D1774" s="3"/>
      <c r="F1774" s="2"/>
      <c r="G1774" s="48"/>
    </row>
    <row r="1775" spans="3:7">
      <c r="C1775" s="3"/>
      <c r="D1775" s="3"/>
      <c r="F1775" s="2"/>
      <c r="G1775" s="48"/>
    </row>
    <row r="1776" spans="3:7">
      <c r="C1776" s="3"/>
      <c r="D1776" s="3"/>
      <c r="F1776" s="2"/>
      <c r="G1776" s="48"/>
    </row>
    <row r="1777" spans="3:7">
      <c r="C1777" s="3"/>
      <c r="D1777" s="3"/>
      <c r="F1777" s="2"/>
      <c r="G1777" s="48"/>
    </row>
    <row r="1778" spans="3:7">
      <c r="C1778" s="3"/>
      <c r="D1778" s="3"/>
      <c r="F1778" s="2"/>
      <c r="G1778" s="48"/>
    </row>
    <row r="1779" spans="3:7">
      <c r="C1779" s="3"/>
      <c r="D1779" s="3"/>
      <c r="F1779" s="2"/>
      <c r="G1779" s="48"/>
    </row>
    <row r="1780" spans="3:7">
      <c r="C1780" s="3"/>
      <c r="D1780" s="3"/>
      <c r="F1780" s="2"/>
      <c r="G1780" s="48"/>
    </row>
    <row r="1781" spans="3:7">
      <c r="C1781" s="3"/>
      <c r="D1781" s="3"/>
      <c r="F1781" s="2"/>
      <c r="G1781" s="48"/>
    </row>
    <row r="1782" spans="3:7">
      <c r="C1782" s="3"/>
      <c r="D1782" s="3"/>
      <c r="F1782" s="2"/>
      <c r="G1782" s="48"/>
    </row>
    <row r="1783" spans="3:7">
      <c r="C1783" s="3"/>
      <c r="D1783" s="3"/>
      <c r="F1783" s="2"/>
      <c r="G1783" s="48"/>
    </row>
    <row r="1784" spans="3:7">
      <c r="C1784" s="3"/>
      <c r="D1784" s="3"/>
      <c r="F1784" s="2"/>
      <c r="G1784" s="48"/>
    </row>
    <row r="1785" spans="3:7">
      <c r="C1785" s="3"/>
      <c r="D1785" s="3"/>
      <c r="F1785" s="2"/>
      <c r="G1785" s="48"/>
    </row>
    <row r="1786" spans="3:7">
      <c r="C1786" s="3"/>
      <c r="D1786" s="3"/>
      <c r="F1786" s="2"/>
      <c r="G1786" s="48"/>
    </row>
    <row r="1787" spans="3:7">
      <c r="C1787" s="3"/>
      <c r="D1787" s="3"/>
      <c r="F1787" s="2"/>
      <c r="G1787" s="48"/>
    </row>
    <row r="1788" spans="3:7">
      <c r="C1788" s="3"/>
      <c r="D1788" s="3"/>
      <c r="F1788" s="2"/>
      <c r="G1788" s="48"/>
    </row>
    <row r="1789" spans="3:7">
      <c r="C1789" s="3"/>
      <c r="D1789" s="3"/>
      <c r="F1789" s="2"/>
      <c r="G1789" s="48"/>
    </row>
    <row r="1790" spans="3:7">
      <c r="C1790" s="3"/>
      <c r="D1790" s="3"/>
      <c r="F1790" s="2"/>
      <c r="G1790" s="48"/>
    </row>
    <row r="1791" spans="3:7">
      <c r="C1791" s="3"/>
      <c r="D1791" s="3"/>
      <c r="F1791" s="2"/>
      <c r="G1791" s="48"/>
    </row>
    <row r="1792" spans="3:7">
      <c r="C1792" s="3"/>
      <c r="D1792" s="3"/>
      <c r="F1792" s="2"/>
      <c r="G1792" s="48"/>
    </row>
    <row r="1793" spans="3:7">
      <c r="C1793" s="3"/>
      <c r="D1793" s="3"/>
      <c r="F1793" s="2"/>
      <c r="G1793" s="48"/>
    </row>
    <row r="1794" spans="3:7">
      <c r="C1794" s="3"/>
      <c r="D1794" s="3"/>
      <c r="F1794" s="2"/>
      <c r="G1794" s="48"/>
    </row>
    <row r="1795" spans="3:7">
      <c r="C1795" s="3"/>
      <c r="D1795" s="3"/>
      <c r="F1795" s="2"/>
      <c r="G1795" s="48"/>
    </row>
    <row r="1796" spans="3:7">
      <c r="C1796" s="3"/>
      <c r="D1796" s="3"/>
      <c r="F1796" s="2"/>
      <c r="G1796" s="48"/>
    </row>
    <row r="1797" spans="3:7">
      <c r="C1797" s="3"/>
      <c r="D1797" s="3"/>
      <c r="F1797" s="2"/>
      <c r="G1797" s="48"/>
    </row>
    <row r="1798" spans="3:7">
      <c r="C1798" s="3"/>
      <c r="D1798" s="3"/>
      <c r="F1798" s="2"/>
      <c r="G1798" s="48"/>
    </row>
    <row r="1799" spans="3:7">
      <c r="C1799" s="3"/>
      <c r="D1799" s="3"/>
      <c r="F1799" s="2"/>
      <c r="G1799" s="48"/>
    </row>
    <row r="1800" spans="3:7">
      <c r="C1800" s="3"/>
      <c r="D1800" s="3"/>
      <c r="F1800" s="2"/>
      <c r="G1800" s="48"/>
    </row>
    <row r="1801" spans="3:7">
      <c r="C1801" s="3"/>
      <c r="D1801" s="3"/>
      <c r="F1801" s="2"/>
      <c r="G1801" s="48"/>
    </row>
    <row r="1802" spans="3:7">
      <c r="C1802" s="3"/>
      <c r="D1802" s="3"/>
      <c r="F1802" s="2"/>
      <c r="G1802" s="48"/>
    </row>
    <row r="1803" spans="3:7">
      <c r="C1803" s="3"/>
      <c r="D1803" s="3"/>
      <c r="F1803" s="2"/>
      <c r="G1803" s="48"/>
    </row>
    <row r="1804" spans="3:7">
      <c r="C1804" s="3"/>
      <c r="D1804" s="3"/>
      <c r="F1804" s="2"/>
      <c r="G1804" s="48"/>
    </row>
    <row r="1805" spans="3:7">
      <c r="C1805" s="3"/>
      <c r="D1805" s="3"/>
      <c r="F1805" s="2"/>
      <c r="G1805" s="48"/>
    </row>
    <row r="1806" spans="3:7">
      <c r="C1806" s="3"/>
      <c r="D1806" s="3"/>
      <c r="F1806" s="2"/>
      <c r="G1806" s="48"/>
    </row>
    <row r="1807" spans="3:7">
      <c r="C1807" s="3"/>
      <c r="D1807" s="3"/>
      <c r="F1807" s="2"/>
      <c r="G1807" s="48"/>
    </row>
    <row r="1808" spans="3:7">
      <c r="C1808" s="3"/>
      <c r="D1808" s="3"/>
      <c r="F1808" s="2"/>
      <c r="G1808" s="48"/>
    </row>
    <row r="1809" spans="3:7">
      <c r="C1809" s="3"/>
      <c r="D1809" s="3"/>
      <c r="F1809" s="2"/>
      <c r="G1809" s="48"/>
    </row>
    <row r="1810" spans="3:7">
      <c r="C1810" s="3"/>
      <c r="D1810" s="3"/>
      <c r="F1810" s="2"/>
      <c r="G1810" s="48"/>
    </row>
    <row r="1811" spans="3:7">
      <c r="C1811" s="3"/>
      <c r="D1811" s="3"/>
      <c r="F1811" s="2"/>
      <c r="G1811" s="48"/>
    </row>
    <row r="1812" spans="3:7">
      <c r="C1812" s="3"/>
      <c r="D1812" s="3"/>
      <c r="F1812" s="2"/>
      <c r="G1812" s="48"/>
    </row>
    <row r="1813" spans="3:7">
      <c r="C1813" s="3"/>
      <c r="D1813" s="3"/>
      <c r="F1813" s="2"/>
      <c r="G1813" s="48"/>
    </row>
    <row r="1814" spans="3:7">
      <c r="C1814" s="3"/>
      <c r="D1814" s="3"/>
      <c r="F1814" s="2"/>
      <c r="G1814" s="48"/>
    </row>
    <row r="1815" spans="3:7">
      <c r="C1815" s="3"/>
      <c r="D1815" s="3"/>
      <c r="F1815" s="2"/>
      <c r="G1815" s="48"/>
    </row>
    <row r="1816" spans="3:7">
      <c r="C1816" s="3"/>
      <c r="D1816" s="3"/>
      <c r="F1816" s="2"/>
      <c r="G1816" s="48"/>
    </row>
    <row r="1817" spans="3:7">
      <c r="C1817" s="3"/>
      <c r="D1817" s="3"/>
      <c r="F1817" s="2"/>
      <c r="G1817" s="48"/>
    </row>
    <row r="1818" spans="3:7">
      <c r="C1818" s="3"/>
      <c r="D1818" s="3"/>
      <c r="F1818" s="2"/>
      <c r="G1818" s="48"/>
    </row>
    <row r="1819" spans="3:7">
      <c r="C1819" s="3"/>
      <c r="D1819" s="3"/>
      <c r="F1819" s="2"/>
      <c r="G1819" s="48"/>
    </row>
    <row r="1820" spans="3:7">
      <c r="C1820" s="3"/>
      <c r="D1820" s="3"/>
      <c r="F1820" s="2"/>
      <c r="G1820" s="48"/>
    </row>
    <row r="1821" spans="3:7">
      <c r="C1821" s="3"/>
      <c r="D1821" s="3"/>
      <c r="F1821" s="2"/>
      <c r="G1821" s="48"/>
    </row>
    <row r="1822" spans="3:7">
      <c r="C1822" s="3"/>
      <c r="D1822" s="3"/>
      <c r="F1822" s="2"/>
      <c r="G1822" s="48"/>
    </row>
    <row r="1823" spans="3:7">
      <c r="C1823" s="3"/>
      <c r="D1823" s="3"/>
      <c r="F1823" s="2"/>
      <c r="G1823" s="48"/>
    </row>
    <row r="1824" spans="3:7">
      <c r="C1824" s="3"/>
      <c r="D1824" s="3"/>
      <c r="F1824" s="2"/>
      <c r="G1824" s="48"/>
    </row>
    <row r="1825" spans="3:7">
      <c r="C1825" s="3"/>
      <c r="D1825" s="3"/>
      <c r="F1825" s="2"/>
      <c r="G1825" s="48"/>
    </row>
    <row r="1826" spans="3:7">
      <c r="C1826" s="3"/>
      <c r="D1826" s="3"/>
      <c r="F1826" s="2"/>
      <c r="G1826" s="48"/>
    </row>
    <row r="1827" spans="3:7">
      <c r="C1827" s="3"/>
      <c r="D1827" s="3"/>
      <c r="F1827" s="2"/>
      <c r="G1827" s="48"/>
    </row>
    <row r="1828" spans="3:7">
      <c r="C1828" s="3"/>
      <c r="D1828" s="3"/>
      <c r="F1828" s="2"/>
      <c r="G1828" s="48"/>
    </row>
    <row r="1829" spans="3:7">
      <c r="C1829" s="3"/>
      <c r="D1829" s="3"/>
      <c r="F1829" s="2"/>
      <c r="G1829" s="48"/>
    </row>
    <row r="1830" spans="3:7">
      <c r="C1830" s="3"/>
      <c r="D1830" s="3"/>
      <c r="F1830" s="2"/>
      <c r="G1830" s="48"/>
    </row>
    <row r="1831" spans="3:7">
      <c r="C1831" s="3"/>
      <c r="D1831" s="3"/>
      <c r="F1831" s="2"/>
      <c r="G1831" s="48"/>
    </row>
    <row r="1832" spans="3:7">
      <c r="C1832" s="3"/>
      <c r="D1832" s="3"/>
      <c r="F1832" s="2"/>
      <c r="G1832" s="48"/>
    </row>
    <row r="1833" spans="3:7">
      <c r="C1833" s="3"/>
      <c r="D1833" s="3"/>
      <c r="F1833" s="2"/>
      <c r="G1833" s="48"/>
    </row>
    <row r="1834" spans="3:7">
      <c r="C1834" s="3"/>
      <c r="D1834" s="3"/>
      <c r="F1834" s="2"/>
      <c r="G1834" s="48"/>
    </row>
    <row r="1835" spans="3:7">
      <c r="C1835" s="3"/>
      <c r="D1835" s="3"/>
      <c r="F1835" s="2"/>
      <c r="G1835" s="48"/>
    </row>
    <row r="1836" spans="3:7">
      <c r="C1836" s="3"/>
      <c r="D1836" s="3"/>
      <c r="F1836" s="2"/>
      <c r="G1836" s="48"/>
    </row>
    <row r="1837" spans="3:7">
      <c r="C1837" s="3"/>
      <c r="D1837" s="3"/>
      <c r="F1837" s="2"/>
      <c r="G1837" s="48"/>
    </row>
    <row r="1838" spans="3:7">
      <c r="C1838" s="3"/>
      <c r="D1838" s="3"/>
      <c r="F1838" s="2"/>
      <c r="G1838" s="48"/>
    </row>
    <row r="1839" spans="3:7">
      <c r="C1839" s="3"/>
      <c r="D1839" s="3"/>
      <c r="F1839" s="2"/>
      <c r="G1839" s="48"/>
    </row>
    <row r="1840" spans="3:7">
      <c r="C1840" s="3"/>
      <c r="D1840" s="3"/>
      <c r="F1840" s="2"/>
      <c r="G1840" s="48"/>
    </row>
    <row r="1841" spans="3:7">
      <c r="C1841" s="3"/>
      <c r="D1841" s="3"/>
      <c r="F1841" s="2"/>
      <c r="G1841" s="48"/>
    </row>
    <row r="1842" spans="3:7">
      <c r="C1842" s="3"/>
      <c r="D1842" s="3"/>
      <c r="F1842" s="2"/>
      <c r="G1842" s="48"/>
    </row>
    <row r="1843" spans="3:7">
      <c r="C1843" s="3"/>
      <c r="D1843" s="3"/>
      <c r="F1843" s="2"/>
      <c r="G1843" s="48"/>
    </row>
    <row r="1844" spans="3:7">
      <c r="C1844" s="3"/>
      <c r="D1844" s="3"/>
      <c r="F1844" s="2"/>
      <c r="G1844" s="48"/>
    </row>
    <row r="1845" spans="3:7">
      <c r="C1845" s="3"/>
      <c r="D1845" s="3"/>
      <c r="F1845" s="2"/>
      <c r="G1845" s="48"/>
    </row>
    <row r="1846" spans="3:7">
      <c r="C1846" s="3"/>
      <c r="D1846" s="3"/>
      <c r="F1846" s="2"/>
      <c r="G1846" s="48"/>
    </row>
    <row r="1847" spans="3:7">
      <c r="C1847" s="3"/>
      <c r="D1847" s="3"/>
      <c r="F1847" s="2"/>
      <c r="G1847" s="48"/>
    </row>
    <row r="1848" spans="3:7">
      <c r="C1848" s="3"/>
      <c r="D1848" s="3"/>
      <c r="F1848" s="2"/>
      <c r="G1848" s="48"/>
    </row>
    <row r="1849" spans="3:7">
      <c r="C1849" s="3"/>
      <c r="D1849" s="3"/>
      <c r="F1849" s="2"/>
      <c r="G1849" s="48"/>
    </row>
    <row r="1850" spans="3:7">
      <c r="C1850" s="3"/>
      <c r="D1850" s="3"/>
      <c r="F1850" s="2"/>
      <c r="G1850" s="48"/>
    </row>
    <row r="1851" spans="3:7">
      <c r="C1851" s="3"/>
      <c r="D1851" s="3"/>
      <c r="F1851" s="2"/>
      <c r="G1851" s="48"/>
    </row>
    <row r="1852" spans="3:7">
      <c r="C1852" s="3"/>
      <c r="D1852" s="3"/>
      <c r="F1852" s="2"/>
      <c r="G1852" s="48"/>
    </row>
    <row r="1853" spans="3:7">
      <c r="C1853" s="3"/>
      <c r="D1853" s="3"/>
      <c r="F1853" s="2"/>
      <c r="G1853" s="48"/>
    </row>
    <row r="1854" spans="3:7">
      <c r="C1854" s="3"/>
      <c r="D1854" s="3"/>
      <c r="F1854" s="2"/>
      <c r="G1854" s="48"/>
    </row>
    <row r="1855" spans="3:7">
      <c r="C1855" s="3"/>
      <c r="D1855" s="3"/>
      <c r="F1855" s="2"/>
      <c r="G1855" s="48"/>
    </row>
    <row r="1856" spans="3:7">
      <c r="C1856" s="3"/>
      <c r="D1856" s="3"/>
      <c r="F1856" s="2"/>
      <c r="G1856" s="48"/>
    </row>
    <row r="1857" spans="3:7">
      <c r="C1857" s="3"/>
      <c r="D1857" s="3"/>
      <c r="F1857" s="2"/>
      <c r="G1857" s="48"/>
    </row>
    <row r="1858" spans="3:7">
      <c r="C1858" s="3"/>
      <c r="D1858" s="3"/>
      <c r="F1858" s="2"/>
      <c r="G1858" s="48"/>
    </row>
    <row r="1859" spans="3:7">
      <c r="C1859" s="3"/>
      <c r="D1859" s="3"/>
      <c r="F1859" s="2"/>
      <c r="G1859" s="48"/>
    </row>
    <row r="1860" spans="3:7">
      <c r="C1860" s="3"/>
      <c r="D1860" s="3"/>
      <c r="F1860" s="2"/>
      <c r="G1860" s="48"/>
    </row>
    <row r="1861" spans="3:7">
      <c r="C1861" s="3"/>
      <c r="D1861" s="3"/>
      <c r="F1861" s="2"/>
      <c r="G1861" s="48"/>
    </row>
    <row r="1862" spans="3:7">
      <c r="C1862" s="3"/>
      <c r="D1862" s="3"/>
      <c r="F1862" s="2"/>
      <c r="G1862" s="48"/>
    </row>
    <row r="1863" spans="3:7">
      <c r="C1863" s="3"/>
      <c r="D1863" s="3"/>
      <c r="F1863" s="2"/>
      <c r="G1863" s="48"/>
    </row>
    <row r="1864" spans="3:7">
      <c r="C1864" s="3"/>
      <c r="D1864" s="3"/>
      <c r="F1864" s="2"/>
      <c r="G1864" s="48"/>
    </row>
    <row r="1865" spans="3:7">
      <c r="C1865" s="3"/>
      <c r="D1865" s="3"/>
      <c r="F1865" s="2"/>
      <c r="G1865" s="48"/>
    </row>
    <row r="1866" spans="3:7">
      <c r="C1866" s="3"/>
      <c r="D1866" s="3"/>
      <c r="F1866" s="2"/>
      <c r="G1866" s="48"/>
    </row>
    <row r="1867" spans="3:7">
      <c r="C1867" s="3"/>
      <c r="D1867" s="3"/>
      <c r="F1867" s="2"/>
      <c r="G1867" s="48"/>
    </row>
    <row r="1868" spans="3:7">
      <c r="C1868" s="3"/>
      <c r="D1868" s="3"/>
      <c r="F1868" s="2"/>
      <c r="G1868" s="48"/>
    </row>
    <row r="1869" spans="3:7">
      <c r="C1869" s="3"/>
      <c r="D1869" s="3"/>
      <c r="F1869" s="2"/>
      <c r="G1869" s="48"/>
    </row>
    <row r="1870" spans="3:7">
      <c r="C1870" s="3"/>
      <c r="D1870" s="3"/>
      <c r="F1870" s="2"/>
      <c r="G1870" s="48"/>
    </row>
    <row r="1871" spans="3:7">
      <c r="C1871" s="3"/>
      <c r="D1871" s="3"/>
      <c r="F1871" s="2"/>
      <c r="G1871" s="48"/>
    </row>
    <row r="1872" spans="3:7">
      <c r="C1872" s="3"/>
      <c r="D1872" s="3"/>
      <c r="F1872" s="2"/>
      <c r="G1872" s="48"/>
    </row>
    <row r="1873" spans="3:7">
      <c r="C1873" s="3"/>
      <c r="D1873" s="3"/>
      <c r="F1873" s="2"/>
      <c r="G1873" s="48"/>
    </row>
    <row r="1874" spans="3:7">
      <c r="C1874" s="3"/>
      <c r="D1874" s="3"/>
      <c r="F1874" s="2"/>
      <c r="G1874" s="48"/>
    </row>
    <row r="1875" spans="3:7">
      <c r="C1875" s="3"/>
      <c r="D1875" s="3"/>
      <c r="F1875" s="2"/>
      <c r="G1875" s="48"/>
    </row>
    <row r="1876" spans="3:7">
      <c r="C1876" s="3"/>
      <c r="D1876" s="3"/>
      <c r="F1876" s="2"/>
      <c r="G1876" s="48"/>
    </row>
    <row r="1877" spans="3:7">
      <c r="C1877" s="3"/>
      <c r="D1877" s="3"/>
      <c r="F1877" s="2"/>
      <c r="G1877" s="48"/>
    </row>
    <row r="1878" spans="3:7">
      <c r="C1878" s="3"/>
      <c r="D1878" s="3"/>
      <c r="F1878" s="2"/>
      <c r="G1878" s="48"/>
    </row>
    <row r="1879" spans="3:7">
      <c r="C1879" s="3"/>
      <c r="D1879" s="3"/>
      <c r="F1879" s="2"/>
      <c r="G1879" s="48"/>
    </row>
    <row r="1880" spans="3:7">
      <c r="C1880" s="3"/>
      <c r="D1880" s="3"/>
      <c r="F1880" s="2"/>
      <c r="G1880" s="48"/>
    </row>
    <row r="1881" spans="3:7">
      <c r="C1881" s="3"/>
      <c r="D1881" s="3"/>
      <c r="F1881" s="2"/>
      <c r="G1881" s="48"/>
    </row>
    <row r="1882" spans="3:7">
      <c r="C1882" s="3"/>
      <c r="D1882" s="3"/>
      <c r="F1882" s="2"/>
      <c r="G1882" s="48"/>
    </row>
    <row r="1883" spans="3:7">
      <c r="C1883" s="3"/>
      <c r="D1883" s="3"/>
      <c r="F1883" s="2"/>
      <c r="G1883" s="48"/>
    </row>
    <row r="1884" spans="3:7">
      <c r="C1884" s="3"/>
      <c r="D1884" s="3"/>
      <c r="F1884" s="2"/>
      <c r="G1884" s="48"/>
    </row>
    <row r="1885" spans="3:7">
      <c r="C1885" s="3"/>
      <c r="D1885" s="3"/>
      <c r="F1885" s="2"/>
      <c r="G1885" s="48"/>
    </row>
    <row r="1886" spans="3:7">
      <c r="C1886" s="3"/>
      <c r="D1886" s="3"/>
      <c r="F1886" s="2"/>
      <c r="G1886" s="48"/>
    </row>
    <row r="1887" spans="3:7">
      <c r="C1887" s="3"/>
      <c r="D1887" s="3"/>
      <c r="F1887" s="2"/>
      <c r="G1887" s="48"/>
    </row>
    <row r="1888" spans="3:7">
      <c r="C1888" s="3"/>
      <c r="D1888" s="3"/>
      <c r="F1888" s="2"/>
      <c r="G1888" s="48"/>
    </row>
    <row r="1889" spans="3:7">
      <c r="C1889" s="3"/>
      <c r="D1889" s="3"/>
      <c r="F1889" s="2"/>
      <c r="G1889" s="48"/>
    </row>
    <row r="1890" spans="3:7">
      <c r="C1890" s="3"/>
      <c r="D1890" s="3"/>
      <c r="F1890" s="2"/>
      <c r="G1890" s="48"/>
    </row>
    <row r="1891" spans="3:7">
      <c r="C1891" s="3"/>
      <c r="D1891" s="3"/>
      <c r="F1891" s="2"/>
      <c r="G1891" s="48"/>
    </row>
    <row r="1892" spans="3:7">
      <c r="C1892" s="3"/>
      <c r="D1892" s="3"/>
      <c r="F1892" s="2"/>
      <c r="G1892" s="48"/>
    </row>
    <row r="1893" spans="3:7">
      <c r="C1893" s="3"/>
      <c r="D1893" s="3"/>
      <c r="F1893" s="2"/>
      <c r="G1893" s="48"/>
    </row>
    <row r="1894" spans="3:7">
      <c r="C1894" s="3"/>
      <c r="D1894" s="3"/>
      <c r="F1894" s="2"/>
      <c r="G1894" s="48"/>
    </row>
    <row r="1895" spans="3:7">
      <c r="C1895" s="3"/>
      <c r="D1895" s="3"/>
      <c r="F1895" s="2"/>
      <c r="G1895" s="48"/>
    </row>
    <row r="1896" spans="3:7">
      <c r="C1896" s="3"/>
      <c r="D1896" s="3"/>
      <c r="F1896" s="2"/>
      <c r="G1896" s="48"/>
    </row>
    <row r="1897" spans="3:7">
      <c r="C1897" s="3"/>
      <c r="D1897" s="3"/>
      <c r="F1897" s="2"/>
      <c r="G1897" s="48"/>
    </row>
    <row r="1898" spans="3:7">
      <c r="C1898" s="3"/>
      <c r="D1898" s="3"/>
      <c r="F1898" s="2"/>
      <c r="G1898" s="48"/>
    </row>
    <row r="1899" spans="3:7">
      <c r="C1899" s="3"/>
      <c r="D1899" s="3"/>
      <c r="F1899" s="2"/>
      <c r="G1899" s="48"/>
    </row>
    <row r="1900" spans="3:7">
      <c r="C1900" s="3"/>
      <c r="D1900" s="3"/>
      <c r="F1900" s="2"/>
      <c r="G1900" s="48"/>
    </row>
    <row r="1901" spans="3:7">
      <c r="C1901" s="3"/>
      <c r="D1901" s="3"/>
      <c r="F1901" s="2"/>
      <c r="G1901" s="48"/>
    </row>
    <row r="1902" spans="3:7">
      <c r="C1902" s="3"/>
      <c r="D1902" s="3"/>
      <c r="F1902" s="2"/>
      <c r="G1902" s="48"/>
    </row>
    <row r="1903" spans="3:7">
      <c r="C1903" s="3"/>
      <c r="D1903" s="3"/>
      <c r="F1903" s="2"/>
      <c r="G1903" s="48"/>
    </row>
    <row r="1904" spans="3:7">
      <c r="C1904" s="3"/>
      <c r="D1904" s="3"/>
      <c r="F1904" s="2"/>
      <c r="G1904" s="48"/>
    </row>
    <row r="1905" spans="3:7">
      <c r="C1905" s="3"/>
      <c r="D1905" s="3"/>
      <c r="F1905" s="2"/>
      <c r="G1905" s="48"/>
    </row>
    <row r="1906" spans="3:7">
      <c r="C1906" s="3"/>
      <c r="D1906" s="3"/>
      <c r="F1906" s="2"/>
      <c r="G1906" s="48"/>
    </row>
    <row r="1907" spans="3:7">
      <c r="C1907" s="3"/>
      <c r="D1907" s="3"/>
      <c r="F1907" s="2"/>
      <c r="G1907" s="48"/>
    </row>
    <row r="1908" spans="3:7">
      <c r="C1908" s="3"/>
      <c r="D1908" s="3"/>
      <c r="F1908" s="2"/>
      <c r="G1908" s="48"/>
    </row>
    <row r="1909" spans="3:7">
      <c r="C1909" s="3"/>
      <c r="D1909" s="3"/>
      <c r="F1909" s="2"/>
      <c r="G1909" s="48"/>
    </row>
    <row r="1910" spans="3:7">
      <c r="C1910" s="3"/>
      <c r="D1910" s="3"/>
      <c r="F1910" s="2"/>
      <c r="G1910" s="48"/>
    </row>
    <row r="1911" spans="3:7">
      <c r="C1911" s="3"/>
      <c r="D1911" s="3"/>
      <c r="F1911" s="2"/>
      <c r="G1911" s="48"/>
    </row>
    <row r="1912" spans="3:7">
      <c r="C1912" s="3"/>
      <c r="D1912" s="3"/>
      <c r="F1912" s="2"/>
      <c r="G1912" s="48"/>
    </row>
    <row r="1913" spans="3:7">
      <c r="C1913" s="3"/>
      <c r="D1913" s="3"/>
      <c r="F1913" s="2"/>
      <c r="G1913" s="48"/>
    </row>
    <row r="1914" spans="3:7">
      <c r="C1914" s="3"/>
      <c r="D1914" s="3"/>
      <c r="F1914" s="2"/>
      <c r="G1914" s="48"/>
    </row>
    <row r="1915" spans="3:7">
      <c r="C1915" s="3"/>
      <c r="D1915" s="3"/>
      <c r="F1915" s="2"/>
      <c r="G1915" s="48"/>
    </row>
    <row r="1916" spans="3:7">
      <c r="C1916" s="3"/>
      <c r="D1916" s="3"/>
      <c r="F1916" s="2"/>
      <c r="G1916" s="48"/>
    </row>
    <row r="1917" spans="3:7">
      <c r="C1917" s="3"/>
      <c r="D1917" s="3"/>
      <c r="F1917" s="2"/>
      <c r="G1917" s="48"/>
    </row>
    <row r="1918" spans="3:7">
      <c r="C1918" s="3"/>
      <c r="D1918" s="3"/>
      <c r="F1918" s="2"/>
      <c r="G1918" s="48"/>
    </row>
    <row r="1919" spans="3:7">
      <c r="C1919" s="3"/>
      <c r="D1919" s="3"/>
      <c r="F1919" s="2"/>
      <c r="G1919" s="48"/>
    </row>
    <row r="1920" spans="3:7">
      <c r="C1920" s="3"/>
      <c r="D1920" s="3"/>
      <c r="F1920" s="2"/>
      <c r="G1920" s="48"/>
    </row>
    <row r="1921" spans="3:7">
      <c r="C1921" s="3"/>
      <c r="D1921" s="3"/>
      <c r="F1921" s="2"/>
      <c r="G1921" s="48"/>
    </row>
    <row r="1922" spans="3:7">
      <c r="C1922" s="3"/>
      <c r="D1922" s="3"/>
      <c r="F1922" s="2"/>
      <c r="G1922" s="48"/>
    </row>
    <row r="1923" spans="3:7">
      <c r="C1923" s="3"/>
      <c r="D1923" s="3"/>
      <c r="F1923" s="2"/>
      <c r="G1923" s="48"/>
    </row>
    <row r="1924" spans="3:7">
      <c r="C1924" s="3"/>
      <c r="D1924" s="3"/>
      <c r="F1924" s="2"/>
      <c r="G1924" s="48"/>
    </row>
    <row r="1925" spans="3:7">
      <c r="C1925" s="3"/>
      <c r="D1925" s="3"/>
      <c r="F1925" s="2"/>
      <c r="G1925" s="48"/>
    </row>
    <row r="1926" spans="3:7">
      <c r="C1926" s="3"/>
      <c r="D1926" s="3"/>
      <c r="F1926" s="2"/>
      <c r="G1926" s="48"/>
    </row>
    <row r="1927" spans="3:7">
      <c r="C1927" s="3"/>
      <c r="D1927" s="3"/>
      <c r="F1927" s="2"/>
      <c r="G1927" s="48"/>
    </row>
    <row r="1928" spans="3:7">
      <c r="C1928" s="3"/>
      <c r="D1928" s="3"/>
      <c r="F1928" s="2"/>
      <c r="G1928" s="48"/>
    </row>
    <row r="1929" spans="3:7">
      <c r="C1929" s="3"/>
      <c r="D1929" s="3"/>
      <c r="F1929" s="2"/>
      <c r="G1929" s="48"/>
    </row>
    <row r="1930" spans="3:7">
      <c r="C1930" s="3"/>
      <c r="D1930" s="3"/>
      <c r="F1930" s="2"/>
      <c r="G1930" s="48"/>
    </row>
    <row r="1931" spans="3:7">
      <c r="C1931" s="3"/>
      <c r="D1931" s="3"/>
      <c r="F1931" s="2"/>
      <c r="G1931" s="48"/>
    </row>
    <row r="1932" spans="3:7">
      <c r="C1932" s="3"/>
      <c r="D1932" s="3"/>
      <c r="F1932" s="2"/>
      <c r="G1932" s="48"/>
    </row>
    <row r="1933" spans="3:7">
      <c r="C1933" s="3"/>
      <c r="D1933" s="3"/>
      <c r="F1933" s="2"/>
      <c r="G1933" s="48"/>
    </row>
    <row r="1934" spans="3:7">
      <c r="C1934" s="3"/>
      <c r="D1934" s="3"/>
      <c r="F1934" s="2"/>
      <c r="G1934" s="48"/>
    </row>
    <row r="1935" spans="3:7">
      <c r="C1935" s="3"/>
      <c r="D1935" s="3"/>
      <c r="F1935" s="2"/>
      <c r="G1935" s="48"/>
    </row>
    <row r="1936" spans="3:7">
      <c r="C1936" s="3"/>
      <c r="D1936" s="3"/>
      <c r="F1936" s="2"/>
      <c r="G1936" s="48"/>
    </row>
    <row r="1937" spans="3:7">
      <c r="C1937" s="3"/>
      <c r="D1937" s="3"/>
      <c r="F1937" s="2"/>
      <c r="G1937" s="48"/>
    </row>
    <row r="1938" spans="3:7">
      <c r="C1938" s="3"/>
      <c r="D1938" s="3"/>
      <c r="F1938" s="2"/>
      <c r="G1938" s="48"/>
    </row>
    <row r="1939" spans="3:7">
      <c r="C1939" s="3"/>
      <c r="D1939" s="3"/>
      <c r="F1939" s="2"/>
      <c r="G1939" s="48"/>
    </row>
    <row r="1940" spans="3:7">
      <c r="C1940" s="3"/>
      <c r="D1940" s="3"/>
      <c r="F1940" s="2"/>
      <c r="G1940" s="48"/>
    </row>
    <row r="1941" spans="3:7">
      <c r="C1941" s="3"/>
      <c r="D1941" s="3"/>
      <c r="F1941" s="2"/>
      <c r="G1941" s="48"/>
    </row>
    <row r="1942" spans="3:7">
      <c r="C1942" s="3"/>
      <c r="D1942" s="3"/>
      <c r="F1942" s="2"/>
      <c r="G1942" s="48"/>
    </row>
    <row r="1943" spans="3:7">
      <c r="C1943" s="3"/>
      <c r="D1943" s="3"/>
      <c r="F1943" s="2"/>
      <c r="G1943" s="48"/>
    </row>
    <row r="1944" spans="3:7">
      <c r="C1944" s="3"/>
      <c r="D1944" s="3"/>
      <c r="F1944" s="2"/>
      <c r="G1944" s="48"/>
    </row>
    <row r="1945" spans="3:7">
      <c r="C1945" s="3"/>
      <c r="D1945" s="3"/>
      <c r="F1945" s="2"/>
      <c r="G1945" s="48"/>
    </row>
    <row r="1946" spans="3:7">
      <c r="C1946" s="3"/>
      <c r="D1946" s="3"/>
      <c r="F1946" s="2"/>
      <c r="G1946" s="48"/>
    </row>
    <row r="1947" spans="3:7">
      <c r="C1947" s="3"/>
      <c r="D1947" s="3"/>
      <c r="F1947" s="2"/>
      <c r="G1947" s="48"/>
    </row>
    <row r="1948" spans="3:7">
      <c r="C1948" s="3"/>
      <c r="D1948" s="3"/>
      <c r="F1948" s="2"/>
      <c r="G1948" s="48"/>
    </row>
    <row r="1949" spans="3:7">
      <c r="C1949" s="3"/>
      <c r="D1949" s="3"/>
      <c r="F1949" s="2"/>
      <c r="G1949" s="48"/>
    </row>
    <row r="1950" spans="3:7">
      <c r="C1950" s="3"/>
      <c r="D1950" s="3"/>
      <c r="F1950" s="2"/>
      <c r="G1950" s="48"/>
    </row>
    <row r="1951" spans="3:7">
      <c r="C1951" s="3"/>
      <c r="D1951" s="3"/>
      <c r="F1951" s="2"/>
      <c r="G1951" s="48"/>
    </row>
    <row r="1952" spans="3:7">
      <c r="C1952" s="3"/>
      <c r="D1952" s="3"/>
      <c r="F1952" s="2"/>
      <c r="G1952" s="48"/>
    </row>
    <row r="1953" spans="3:7">
      <c r="C1953" s="3"/>
      <c r="D1953" s="3"/>
      <c r="F1953" s="2"/>
      <c r="G1953" s="48"/>
    </row>
    <row r="1954" spans="3:7">
      <c r="C1954" s="3"/>
      <c r="D1954" s="3"/>
      <c r="F1954" s="2"/>
      <c r="G1954" s="48"/>
    </row>
    <row r="1955" spans="3:7">
      <c r="C1955" s="3"/>
      <c r="D1955" s="3"/>
      <c r="F1955" s="2"/>
      <c r="G1955" s="48"/>
    </row>
    <row r="1956" spans="3:7">
      <c r="C1956" s="3"/>
      <c r="D1956" s="3"/>
      <c r="F1956" s="2"/>
      <c r="G1956" s="48"/>
    </row>
    <row r="1957" spans="3:7">
      <c r="C1957" s="3"/>
      <c r="D1957" s="3"/>
      <c r="F1957" s="2"/>
      <c r="G1957" s="48"/>
    </row>
    <row r="1958" spans="3:7">
      <c r="C1958" s="3"/>
      <c r="D1958" s="3"/>
      <c r="F1958" s="2"/>
      <c r="G1958" s="48"/>
    </row>
    <row r="1959" spans="3:7">
      <c r="C1959" s="3"/>
      <c r="D1959" s="3"/>
      <c r="F1959" s="2"/>
      <c r="G1959" s="48"/>
    </row>
    <row r="1960" spans="3:7">
      <c r="C1960" s="3"/>
      <c r="D1960" s="3"/>
      <c r="F1960" s="2"/>
      <c r="G1960" s="48"/>
    </row>
    <row r="1961" spans="3:7">
      <c r="C1961" s="3"/>
      <c r="D1961" s="3"/>
      <c r="F1961" s="2"/>
      <c r="G1961" s="48"/>
    </row>
    <row r="1962" spans="3:7">
      <c r="C1962" s="3"/>
      <c r="D1962" s="3"/>
      <c r="F1962" s="2"/>
      <c r="G1962" s="48"/>
    </row>
    <row r="1963" spans="3:7">
      <c r="C1963" s="3"/>
      <c r="D1963" s="3"/>
      <c r="F1963" s="2"/>
      <c r="G1963" s="48"/>
    </row>
    <row r="1964" spans="3:7">
      <c r="C1964" s="3"/>
      <c r="D1964" s="3"/>
      <c r="F1964" s="2"/>
      <c r="G1964" s="48"/>
    </row>
    <row r="1965" spans="3:7">
      <c r="C1965" s="3"/>
      <c r="D1965" s="3"/>
      <c r="F1965" s="2"/>
      <c r="G1965" s="48"/>
    </row>
    <row r="1966" spans="3:7">
      <c r="C1966" s="3"/>
      <c r="D1966" s="3"/>
      <c r="F1966" s="2"/>
      <c r="G1966" s="48"/>
    </row>
    <row r="1967" spans="3:7">
      <c r="C1967" s="3"/>
      <c r="D1967" s="3"/>
      <c r="F1967" s="2"/>
      <c r="G1967" s="48"/>
    </row>
    <row r="1968" spans="3:7">
      <c r="C1968" s="3"/>
      <c r="D1968" s="3"/>
      <c r="F1968" s="2"/>
      <c r="G1968" s="48"/>
    </row>
    <row r="1969" spans="3:7">
      <c r="C1969" s="3"/>
      <c r="D1969" s="3"/>
      <c r="F1969" s="2"/>
      <c r="G1969" s="48"/>
    </row>
    <row r="1970" spans="3:7">
      <c r="C1970" s="3"/>
      <c r="D1970" s="3"/>
      <c r="F1970" s="2"/>
      <c r="G1970" s="48"/>
    </row>
    <row r="1971" spans="3:7">
      <c r="C1971" s="3"/>
      <c r="D1971" s="3"/>
      <c r="F1971" s="2"/>
      <c r="G1971" s="48"/>
    </row>
    <row r="1972" spans="3:7">
      <c r="C1972" s="3"/>
      <c r="D1972" s="3"/>
      <c r="F1972" s="2"/>
      <c r="G1972" s="48"/>
    </row>
    <row r="1973" spans="3:7">
      <c r="C1973" s="3"/>
      <c r="D1973" s="3"/>
      <c r="F1973" s="2"/>
      <c r="G1973" s="48"/>
    </row>
    <row r="1974" spans="3:7">
      <c r="C1974" s="3"/>
      <c r="D1974" s="3"/>
      <c r="F1974" s="2"/>
      <c r="G1974" s="48"/>
    </row>
    <row r="1975" spans="3:7">
      <c r="C1975" s="3"/>
      <c r="D1975" s="3"/>
      <c r="F1975" s="2"/>
      <c r="G1975" s="48"/>
    </row>
    <row r="1976" spans="3:7">
      <c r="C1976" s="3"/>
      <c r="D1976" s="3"/>
      <c r="F1976" s="2"/>
      <c r="G1976" s="48"/>
    </row>
    <row r="1977" spans="3:7">
      <c r="C1977" s="3"/>
      <c r="D1977" s="3"/>
      <c r="F1977" s="2"/>
      <c r="G1977" s="48"/>
    </row>
    <row r="1978" spans="3:7">
      <c r="C1978" s="3"/>
      <c r="D1978" s="3"/>
      <c r="F1978" s="2"/>
      <c r="G1978" s="48"/>
    </row>
    <row r="1979" spans="3:7">
      <c r="C1979" s="3"/>
      <c r="D1979" s="3"/>
      <c r="F1979" s="2"/>
      <c r="G1979" s="48"/>
    </row>
    <row r="1980" spans="3:7">
      <c r="C1980" s="3"/>
      <c r="D1980" s="3"/>
      <c r="F1980" s="2"/>
      <c r="G1980" s="48"/>
    </row>
    <row r="1981" spans="3:7">
      <c r="C1981" s="3"/>
      <c r="D1981" s="3"/>
      <c r="F1981" s="2"/>
      <c r="G1981" s="48"/>
    </row>
    <row r="1982" spans="3:7">
      <c r="C1982" s="3"/>
      <c r="D1982" s="3"/>
      <c r="F1982" s="2"/>
      <c r="G1982" s="48"/>
    </row>
    <row r="1983" spans="3:7">
      <c r="C1983" s="3"/>
      <c r="D1983" s="3"/>
      <c r="F1983" s="2"/>
      <c r="G1983" s="48"/>
    </row>
    <row r="1984" spans="3:7">
      <c r="C1984" s="3"/>
      <c r="D1984" s="3"/>
      <c r="F1984" s="2"/>
      <c r="G1984" s="48"/>
    </row>
    <row r="1985" spans="3:7">
      <c r="C1985" s="3"/>
      <c r="D1985" s="3"/>
      <c r="F1985" s="2"/>
      <c r="G1985" s="48"/>
    </row>
    <row r="1986" spans="3:7">
      <c r="C1986" s="3"/>
      <c r="D1986" s="3"/>
      <c r="F1986" s="2"/>
      <c r="G1986" s="48"/>
    </row>
    <row r="1987" spans="3:7">
      <c r="C1987" s="3"/>
      <c r="D1987" s="3"/>
      <c r="F1987" s="2"/>
      <c r="G1987" s="48"/>
    </row>
    <row r="1988" spans="3:7">
      <c r="C1988" s="3"/>
      <c r="D1988" s="3"/>
      <c r="F1988" s="2"/>
      <c r="G1988" s="48"/>
    </row>
    <row r="1989" spans="3:7">
      <c r="C1989" s="3"/>
      <c r="D1989" s="3"/>
      <c r="F1989" s="2"/>
      <c r="G1989" s="48"/>
    </row>
    <row r="1990" spans="3:7">
      <c r="C1990" s="3"/>
      <c r="D1990" s="3"/>
      <c r="F1990" s="2"/>
      <c r="G1990" s="48"/>
    </row>
    <row r="1991" spans="3:7">
      <c r="C1991" s="3"/>
      <c r="D1991" s="3"/>
      <c r="F1991" s="2"/>
      <c r="G1991" s="48"/>
    </row>
    <row r="1992" spans="3:7">
      <c r="C1992" s="3"/>
      <c r="D1992" s="3"/>
      <c r="F1992" s="2"/>
      <c r="G1992" s="48"/>
    </row>
    <row r="1993" spans="3:7">
      <c r="C1993" s="3"/>
      <c r="D1993" s="3"/>
      <c r="F1993" s="2"/>
      <c r="G1993" s="48"/>
    </row>
    <row r="1994" spans="3:7">
      <c r="C1994" s="3"/>
      <c r="D1994" s="3"/>
      <c r="F1994" s="2"/>
      <c r="G1994" s="48"/>
    </row>
    <row r="1995" spans="3:7">
      <c r="C1995" s="3"/>
      <c r="D1995" s="3"/>
      <c r="F1995" s="2"/>
      <c r="G1995" s="48"/>
    </row>
    <row r="1996" spans="3:7">
      <c r="C1996" s="3"/>
      <c r="D1996" s="3"/>
      <c r="F1996" s="2"/>
      <c r="G1996" s="48"/>
    </row>
    <row r="1997" spans="3:7">
      <c r="C1997" s="3"/>
      <c r="D1997" s="3"/>
      <c r="F1997" s="2"/>
      <c r="G1997" s="48"/>
    </row>
    <row r="1998" spans="3:7">
      <c r="C1998" s="3"/>
      <c r="D1998" s="3"/>
      <c r="F1998" s="2"/>
      <c r="G1998" s="48"/>
    </row>
    <row r="1999" spans="3:7">
      <c r="C1999" s="3"/>
      <c r="D1999" s="3"/>
      <c r="F1999" s="2"/>
      <c r="G1999" s="48"/>
    </row>
    <row r="2000" spans="3:7">
      <c r="C2000" s="3"/>
      <c r="D2000" s="3"/>
      <c r="F2000" s="2"/>
      <c r="G2000" s="48"/>
    </row>
    <row r="2001" spans="3:7">
      <c r="C2001" s="3"/>
      <c r="D2001" s="3"/>
      <c r="F2001" s="2"/>
      <c r="G2001" s="48"/>
    </row>
    <row r="2002" spans="3:7">
      <c r="C2002" s="3"/>
      <c r="D2002" s="3"/>
      <c r="F2002" s="2"/>
      <c r="G2002" s="48"/>
    </row>
    <row r="2003" spans="3:7">
      <c r="C2003" s="3"/>
      <c r="D2003" s="3"/>
      <c r="F2003" s="2"/>
      <c r="G2003" s="48"/>
    </row>
    <row r="2004" spans="3:7">
      <c r="C2004" s="3"/>
      <c r="D2004" s="3"/>
      <c r="F2004" s="2"/>
      <c r="G2004" s="48"/>
    </row>
    <row r="2005" spans="3:7">
      <c r="C2005" s="3"/>
      <c r="D2005" s="3"/>
      <c r="F2005" s="2"/>
      <c r="G2005" s="48"/>
    </row>
    <row r="2006" spans="3:7">
      <c r="C2006" s="3"/>
      <c r="D2006" s="3"/>
      <c r="F2006" s="2"/>
      <c r="G2006" s="48"/>
    </row>
    <row r="2007" spans="3:7">
      <c r="C2007" s="3"/>
      <c r="D2007" s="3"/>
      <c r="F2007" s="2"/>
      <c r="G2007" s="48"/>
    </row>
    <row r="2008" spans="3:7">
      <c r="C2008" s="3"/>
      <c r="D2008" s="3"/>
      <c r="F2008" s="2"/>
      <c r="G2008" s="48"/>
    </row>
    <row r="2009" spans="3:7">
      <c r="C2009" s="3"/>
      <c r="D2009" s="3"/>
      <c r="F2009" s="2"/>
      <c r="G2009" s="48"/>
    </row>
    <row r="2010" spans="3:7">
      <c r="C2010" s="3"/>
      <c r="D2010" s="3"/>
      <c r="F2010" s="2"/>
      <c r="G2010" s="48"/>
    </row>
    <row r="2011" spans="3:7">
      <c r="C2011" s="3"/>
      <c r="D2011" s="3"/>
      <c r="F2011" s="2"/>
      <c r="G2011" s="48"/>
    </row>
    <row r="2012" spans="3:7">
      <c r="C2012" s="3"/>
      <c r="D2012" s="3"/>
      <c r="F2012" s="2"/>
      <c r="G2012" s="48"/>
    </row>
    <row r="2013" spans="3:7">
      <c r="C2013" s="3"/>
      <c r="D2013" s="3"/>
      <c r="F2013" s="2"/>
      <c r="G2013" s="48"/>
    </row>
    <row r="2014" spans="3:7">
      <c r="C2014" s="3"/>
      <c r="D2014" s="3"/>
      <c r="F2014" s="2"/>
      <c r="G2014" s="48"/>
    </row>
    <row r="2015" spans="3:7">
      <c r="C2015" s="3"/>
      <c r="D2015" s="3"/>
      <c r="F2015" s="2"/>
      <c r="G2015" s="48"/>
    </row>
    <row r="2016" spans="3:7">
      <c r="C2016" s="3"/>
      <c r="D2016" s="3"/>
      <c r="F2016" s="2"/>
      <c r="G2016" s="48"/>
    </row>
    <row r="2017" spans="3:7">
      <c r="C2017" s="3"/>
      <c r="D2017" s="3"/>
      <c r="F2017" s="2"/>
      <c r="G2017" s="48"/>
    </row>
    <row r="2018" spans="3:7">
      <c r="C2018" s="3"/>
      <c r="D2018" s="3"/>
      <c r="F2018" s="2"/>
      <c r="G2018" s="48"/>
    </row>
    <row r="2019" spans="3:7">
      <c r="C2019" s="3"/>
      <c r="D2019" s="3"/>
      <c r="F2019" s="2"/>
      <c r="G2019" s="48"/>
    </row>
    <row r="2020" spans="3:7">
      <c r="C2020" s="3"/>
      <c r="D2020" s="3"/>
      <c r="F2020" s="2"/>
      <c r="G2020" s="48"/>
    </row>
    <row r="2021" spans="3:7">
      <c r="C2021" s="3"/>
      <c r="D2021" s="3"/>
      <c r="F2021" s="2"/>
      <c r="G2021" s="48"/>
    </row>
    <row r="2022" spans="3:7">
      <c r="C2022" s="3"/>
      <c r="D2022" s="3"/>
      <c r="F2022" s="2"/>
      <c r="G2022" s="48"/>
    </row>
    <row r="2023" spans="3:7">
      <c r="C2023" s="3"/>
      <c r="D2023" s="3"/>
      <c r="F2023" s="2"/>
      <c r="G2023" s="48"/>
    </row>
    <row r="2024" spans="3:7">
      <c r="C2024" s="3"/>
      <c r="D2024" s="3"/>
      <c r="F2024" s="2"/>
      <c r="G2024" s="48"/>
    </row>
    <row r="2025" spans="3:7">
      <c r="C2025" s="3"/>
      <c r="D2025" s="3"/>
      <c r="F2025" s="2"/>
      <c r="G2025" s="48"/>
    </row>
    <row r="2026" spans="3:7">
      <c r="C2026" s="3"/>
      <c r="D2026" s="3"/>
      <c r="F2026" s="2"/>
      <c r="G2026" s="48"/>
    </row>
    <row r="2027" spans="3:7">
      <c r="C2027" s="3"/>
      <c r="D2027" s="3"/>
      <c r="F2027" s="2"/>
      <c r="G2027" s="48"/>
    </row>
    <row r="2028" spans="3:7">
      <c r="C2028" s="3"/>
      <c r="D2028" s="3"/>
      <c r="F2028" s="2"/>
      <c r="G2028" s="48"/>
    </row>
    <row r="2029" spans="3:7">
      <c r="C2029" s="3"/>
      <c r="D2029" s="3"/>
      <c r="F2029" s="2"/>
      <c r="G2029" s="48"/>
    </row>
    <row r="2030" spans="3:7">
      <c r="C2030" s="3"/>
      <c r="D2030" s="3"/>
      <c r="F2030" s="2"/>
      <c r="G2030" s="48"/>
    </row>
    <row r="2031" spans="3:7">
      <c r="C2031" s="3"/>
      <c r="D2031" s="3"/>
      <c r="F2031" s="2"/>
      <c r="G2031" s="48"/>
    </row>
    <row r="2032" spans="3:7">
      <c r="C2032" s="3"/>
      <c r="D2032" s="3"/>
      <c r="F2032" s="2"/>
      <c r="G2032" s="48"/>
    </row>
    <row r="2033" spans="3:7">
      <c r="C2033" s="3"/>
      <c r="D2033" s="3"/>
      <c r="F2033" s="2"/>
      <c r="G2033" s="48"/>
    </row>
    <row r="2034" spans="3:7">
      <c r="C2034" s="3"/>
      <c r="D2034" s="3"/>
      <c r="F2034" s="2"/>
      <c r="G2034" s="48"/>
    </row>
    <row r="2035" spans="3:7">
      <c r="C2035" s="3"/>
      <c r="D2035" s="3"/>
      <c r="F2035" s="2"/>
      <c r="G2035" s="48"/>
    </row>
    <row r="2036" spans="3:7">
      <c r="C2036" s="3"/>
      <c r="D2036" s="3"/>
      <c r="F2036" s="2"/>
      <c r="G2036" s="48"/>
    </row>
    <row r="2037" spans="3:7">
      <c r="C2037" s="3"/>
      <c r="D2037" s="3"/>
      <c r="F2037" s="2"/>
      <c r="G2037" s="48"/>
    </row>
    <row r="2038" spans="3:7">
      <c r="C2038" s="3"/>
      <c r="D2038" s="3"/>
      <c r="F2038" s="2"/>
      <c r="G2038" s="48"/>
    </row>
    <row r="2039" spans="3:7">
      <c r="C2039" s="3"/>
      <c r="D2039" s="3"/>
      <c r="F2039" s="2"/>
      <c r="G2039" s="48"/>
    </row>
    <row r="2040" spans="3:7">
      <c r="C2040" s="3"/>
      <c r="D2040" s="3"/>
      <c r="F2040" s="2"/>
      <c r="G2040" s="48"/>
    </row>
    <row r="2041" spans="3:7">
      <c r="C2041" s="3"/>
      <c r="D2041" s="3"/>
      <c r="F2041" s="2"/>
      <c r="G2041" s="48"/>
    </row>
    <row r="2042" spans="3:7">
      <c r="C2042" s="3"/>
      <c r="D2042" s="3"/>
      <c r="F2042" s="2"/>
      <c r="G2042" s="48"/>
    </row>
    <row r="2043" spans="3:7">
      <c r="C2043" s="3"/>
      <c r="D2043" s="3"/>
      <c r="F2043" s="2"/>
      <c r="G2043" s="48"/>
    </row>
    <row r="2044" spans="3:7">
      <c r="C2044" s="3"/>
      <c r="D2044" s="3"/>
      <c r="F2044" s="2"/>
      <c r="G2044" s="48"/>
    </row>
    <row r="2045" spans="3:7">
      <c r="C2045" s="3"/>
      <c r="D2045" s="3"/>
      <c r="F2045" s="2"/>
      <c r="G2045" s="48"/>
    </row>
    <row r="2046" spans="3:7">
      <c r="C2046" s="3"/>
      <c r="D2046" s="3"/>
      <c r="F2046" s="2"/>
      <c r="G2046" s="48"/>
    </row>
    <row r="2047" spans="3:7">
      <c r="C2047" s="3"/>
      <c r="D2047" s="3"/>
      <c r="F2047" s="2"/>
      <c r="G2047" s="48"/>
    </row>
    <row r="2048" spans="3:7">
      <c r="C2048" s="3"/>
      <c r="D2048" s="3"/>
      <c r="F2048" s="2"/>
      <c r="G2048" s="48"/>
    </row>
    <row r="2049" spans="3:7">
      <c r="C2049" s="3"/>
      <c r="D2049" s="3"/>
      <c r="F2049" s="2"/>
      <c r="G2049" s="48"/>
    </row>
    <row r="2050" spans="3:7">
      <c r="C2050" s="3"/>
      <c r="D2050" s="3"/>
      <c r="F2050" s="2"/>
      <c r="G2050" s="48"/>
    </row>
    <row r="2051" spans="3:7">
      <c r="C2051" s="3"/>
      <c r="D2051" s="3"/>
      <c r="F2051" s="2"/>
      <c r="G2051" s="48"/>
    </row>
    <row r="2052" spans="3:7">
      <c r="C2052" s="3"/>
      <c r="D2052" s="3"/>
      <c r="F2052" s="2"/>
      <c r="G2052" s="48"/>
    </row>
    <row r="2053" spans="3:7">
      <c r="C2053" s="3"/>
      <c r="D2053" s="3"/>
      <c r="F2053" s="2"/>
      <c r="G2053" s="48"/>
    </row>
    <row r="2054" spans="3:7">
      <c r="C2054" s="3"/>
      <c r="D2054" s="3"/>
      <c r="F2054" s="2"/>
      <c r="G2054" s="48"/>
    </row>
    <row r="2055" spans="3:7">
      <c r="C2055" s="3"/>
      <c r="D2055" s="3"/>
      <c r="F2055" s="2"/>
      <c r="G2055" s="48"/>
    </row>
    <row r="2056" spans="3:7">
      <c r="C2056" s="3"/>
      <c r="D2056" s="3"/>
      <c r="F2056" s="2"/>
      <c r="G2056" s="48"/>
    </row>
    <row r="2057" spans="3:7">
      <c r="C2057" s="3"/>
      <c r="D2057" s="3"/>
      <c r="F2057" s="2"/>
      <c r="G2057" s="48"/>
    </row>
    <row r="2058" spans="3:7">
      <c r="C2058" s="3"/>
      <c r="D2058" s="3"/>
      <c r="F2058" s="2"/>
      <c r="G2058" s="48"/>
    </row>
    <row r="2059" spans="3:7">
      <c r="C2059" s="3"/>
      <c r="D2059" s="3"/>
      <c r="F2059" s="2"/>
      <c r="G2059" s="48"/>
    </row>
    <row r="2060" spans="3:7">
      <c r="C2060" s="3"/>
      <c r="D2060" s="3"/>
      <c r="F2060" s="2"/>
      <c r="G2060" s="48"/>
    </row>
    <row r="2061" spans="3:7">
      <c r="C2061" s="3"/>
      <c r="D2061" s="3"/>
      <c r="F2061" s="2"/>
      <c r="G2061" s="48"/>
    </row>
    <row r="2062" spans="3:7">
      <c r="C2062" s="3"/>
      <c r="D2062" s="3"/>
      <c r="F2062" s="2"/>
      <c r="G2062" s="48"/>
    </row>
    <row r="2063" spans="3:7">
      <c r="C2063" s="3"/>
      <c r="D2063" s="3"/>
      <c r="F2063" s="2"/>
      <c r="G2063" s="48"/>
    </row>
    <row r="2064" spans="3:7">
      <c r="C2064" s="3"/>
      <c r="D2064" s="3"/>
      <c r="F2064" s="2"/>
      <c r="G2064" s="48"/>
    </row>
    <row r="2065" spans="3:7">
      <c r="C2065" s="3"/>
      <c r="D2065" s="3"/>
      <c r="F2065" s="2"/>
      <c r="G2065" s="48"/>
    </row>
    <row r="2066" spans="3:7">
      <c r="C2066" s="3"/>
      <c r="D2066" s="3"/>
      <c r="F2066" s="2"/>
      <c r="G2066" s="48"/>
    </row>
    <row r="2067" spans="3:7">
      <c r="C2067" s="3"/>
      <c r="D2067" s="3"/>
      <c r="F2067" s="2"/>
      <c r="G2067" s="48"/>
    </row>
    <row r="2068" spans="3:7">
      <c r="C2068" s="3"/>
      <c r="D2068" s="3"/>
      <c r="F2068" s="2"/>
      <c r="G2068" s="48"/>
    </row>
    <row r="2069" spans="3:7">
      <c r="C2069" s="3"/>
      <c r="D2069" s="3"/>
      <c r="F2069" s="2"/>
      <c r="G2069" s="48"/>
    </row>
    <row r="2070" spans="3:7">
      <c r="C2070" s="3"/>
      <c r="D2070" s="3"/>
      <c r="F2070" s="2"/>
      <c r="G2070" s="48"/>
    </row>
    <row r="2071" spans="3:7">
      <c r="C2071" s="3"/>
      <c r="D2071" s="3"/>
      <c r="F2071" s="2"/>
      <c r="G2071" s="48"/>
    </row>
    <row r="2072" spans="3:7">
      <c r="C2072" s="3"/>
      <c r="D2072" s="3"/>
      <c r="F2072" s="2"/>
      <c r="G2072" s="48"/>
    </row>
    <row r="2073" spans="3:7">
      <c r="C2073" s="3"/>
      <c r="D2073" s="3"/>
      <c r="F2073" s="2"/>
      <c r="G2073" s="48"/>
    </row>
    <row r="2074" spans="3:7">
      <c r="C2074" s="3"/>
      <c r="D2074" s="3"/>
      <c r="F2074" s="2"/>
      <c r="G2074" s="48"/>
    </row>
    <row r="2075" spans="3:7">
      <c r="C2075" s="3"/>
      <c r="D2075" s="3"/>
      <c r="F2075" s="2"/>
      <c r="G2075" s="48"/>
    </row>
    <row r="2076" spans="3:7">
      <c r="C2076" s="3"/>
      <c r="D2076" s="3"/>
      <c r="F2076" s="2"/>
      <c r="G2076" s="48"/>
    </row>
    <row r="2077" spans="3:7">
      <c r="C2077" s="3"/>
      <c r="D2077" s="3"/>
      <c r="F2077" s="2"/>
      <c r="G2077" s="48"/>
    </row>
    <row r="2078" spans="3:7">
      <c r="C2078" s="3"/>
      <c r="D2078" s="3"/>
      <c r="F2078" s="2"/>
      <c r="G2078" s="48"/>
    </row>
    <row r="2079" spans="3:7">
      <c r="C2079" s="3"/>
      <c r="D2079" s="3"/>
      <c r="F2079" s="2"/>
      <c r="G2079" s="48"/>
    </row>
    <row r="2080" spans="3:7">
      <c r="C2080" s="3"/>
      <c r="D2080" s="3"/>
      <c r="F2080" s="2"/>
      <c r="G2080" s="48"/>
    </row>
    <row r="2081" spans="3:7">
      <c r="C2081" s="3"/>
      <c r="D2081" s="3"/>
      <c r="F2081" s="2"/>
      <c r="G2081" s="48"/>
    </row>
    <row r="2082" spans="3:7">
      <c r="C2082" s="3"/>
      <c r="D2082" s="3"/>
      <c r="F2082" s="2"/>
      <c r="G2082" s="48"/>
    </row>
    <row r="2083" spans="3:7">
      <c r="C2083" s="3"/>
      <c r="D2083" s="3"/>
      <c r="F2083" s="2"/>
      <c r="G2083" s="48"/>
    </row>
    <row r="2084" spans="3:7">
      <c r="C2084" s="3"/>
      <c r="D2084" s="3"/>
      <c r="F2084" s="2"/>
      <c r="G2084" s="48"/>
    </row>
    <row r="2085" spans="3:7">
      <c r="C2085" s="3"/>
      <c r="D2085" s="3"/>
      <c r="F2085" s="2"/>
      <c r="G2085" s="48"/>
    </row>
    <row r="2086" spans="3:7">
      <c r="C2086" s="3"/>
      <c r="D2086" s="3"/>
      <c r="F2086" s="2"/>
      <c r="G2086" s="48"/>
    </row>
    <row r="2087" spans="3:7">
      <c r="C2087" s="3"/>
      <c r="D2087" s="3"/>
      <c r="F2087" s="2"/>
      <c r="G2087" s="48"/>
    </row>
    <row r="2088" spans="3:7">
      <c r="C2088" s="3"/>
      <c r="D2088" s="3"/>
      <c r="F2088" s="2"/>
      <c r="G2088" s="48"/>
    </row>
    <row r="2089" spans="3:7">
      <c r="C2089" s="3"/>
      <c r="D2089" s="3"/>
      <c r="F2089" s="2"/>
      <c r="G2089" s="48"/>
    </row>
    <row r="2090" spans="3:7">
      <c r="C2090" s="3"/>
      <c r="D2090" s="3"/>
      <c r="F2090" s="2"/>
      <c r="G2090" s="48"/>
    </row>
    <row r="2091" spans="3:7">
      <c r="C2091" s="3"/>
      <c r="D2091" s="3"/>
      <c r="F2091" s="2"/>
      <c r="G2091" s="48"/>
    </row>
    <row r="2092" spans="3:7">
      <c r="C2092" s="3"/>
      <c r="D2092" s="3"/>
      <c r="F2092" s="2"/>
      <c r="G2092" s="48"/>
    </row>
    <row r="2093" spans="3:7">
      <c r="C2093" s="3"/>
      <c r="D2093" s="3"/>
      <c r="F2093" s="2"/>
      <c r="G2093" s="48"/>
    </row>
    <row r="2094" spans="3:7">
      <c r="C2094" s="3"/>
      <c r="D2094" s="3"/>
      <c r="F2094" s="2"/>
      <c r="G2094" s="48"/>
    </row>
    <row r="2095" spans="3:7">
      <c r="C2095" s="3"/>
      <c r="D2095" s="3"/>
      <c r="F2095" s="2"/>
      <c r="G2095" s="48"/>
    </row>
    <row r="2096" spans="3:7">
      <c r="C2096" s="3"/>
      <c r="D2096" s="3"/>
      <c r="F2096" s="2"/>
      <c r="G2096" s="48"/>
    </row>
    <row r="2097" spans="3:7">
      <c r="C2097" s="3"/>
      <c r="D2097" s="3"/>
      <c r="F2097" s="2"/>
      <c r="G2097" s="48"/>
    </row>
    <row r="2098" spans="3:7">
      <c r="C2098" s="3"/>
      <c r="D2098" s="3"/>
      <c r="F2098" s="2"/>
      <c r="G2098" s="48"/>
    </row>
    <row r="2099" spans="3:7">
      <c r="C2099" s="3"/>
      <c r="D2099" s="3"/>
      <c r="F2099" s="2"/>
      <c r="G2099" s="48"/>
    </row>
    <row r="2100" spans="3:7">
      <c r="C2100" s="3"/>
      <c r="D2100" s="3"/>
      <c r="F2100" s="2"/>
      <c r="G2100" s="48"/>
    </row>
    <row r="2101" spans="3:7">
      <c r="C2101" s="3"/>
      <c r="D2101" s="3"/>
      <c r="F2101" s="2"/>
      <c r="G2101" s="48"/>
    </row>
    <row r="2102" spans="3:7">
      <c r="C2102" s="3"/>
      <c r="D2102" s="3"/>
      <c r="F2102" s="2"/>
      <c r="G2102" s="48"/>
    </row>
    <row r="2103" spans="3:7">
      <c r="C2103" s="3"/>
      <c r="D2103" s="3"/>
      <c r="F2103" s="2"/>
      <c r="G2103" s="48"/>
    </row>
    <row r="2104" spans="3:7">
      <c r="C2104" s="3"/>
      <c r="D2104" s="3"/>
      <c r="F2104" s="2"/>
      <c r="G2104" s="48"/>
    </row>
    <row r="2105" spans="3:7">
      <c r="C2105" s="3"/>
      <c r="D2105" s="3"/>
      <c r="F2105" s="2"/>
      <c r="G2105" s="48"/>
    </row>
    <row r="2106" spans="3:7">
      <c r="C2106" s="3"/>
      <c r="D2106" s="3"/>
      <c r="F2106" s="2"/>
      <c r="G2106" s="48"/>
    </row>
    <row r="2107" spans="3:7">
      <c r="C2107" s="3"/>
      <c r="D2107" s="3"/>
      <c r="F2107" s="2"/>
      <c r="G2107" s="48"/>
    </row>
    <row r="2108" spans="3:7">
      <c r="C2108" s="3"/>
      <c r="D2108" s="3"/>
      <c r="F2108" s="2"/>
      <c r="G2108" s="48"/>
    </row>
    <row r="2109" spans="3:7">
      <c r="C2109" s="3"/>
      <c r="D2109" s="3"/>
      <c r="F2109" s="2"/>
      <c r="G2109" s="48"/>
    </row>
    <row r="2110" spans="3:7">
      <c r="C2110" s="3"/>
      <c r="D2110" s="3"/>
      <c r="F2110" s="2"/>
      <c r="G2110" s="48"/>
    </row>
    <row r="2111" spans="3:7">
      <c r="C2111" s="3"/>
      <c r="D2111" s="3"/>
      <c r="F2111" s="2"/>
      <c r="G2111" s="48"/>
    </row>
    <row r="2112" spans="3:7">
      <c r="C2112" s="3"/>
      <c r="D2112" s="3"/>
      <c r="F2112" s="2"/>
      <c r="G2112" s="48"/>
    </row>
    <row r="2113" spans="3:7">
      <c r="C2113" s="3"/>
      <c r="D2113" s="3"/>
      <c r="F2113" s="2"/>
      <c r="G2113" s="48"/>
    </row>
    <row r="2114" spans="3:7">
      <c r="C2114" s="3"/>
      <c r="D2114" s="3"/>
      <c r="F2114" s="2"/>
      <c r="G2114" s="48"/>
    </row>
    <row r="2115" spans="3:7">
      <c r="C2115" s="3"/>
      <c r="D2115" s="3"/>
      <c r="F2115" s="2"/>
      <c r="G2115" s="48"/>
    </row>
    <row r="2116" spans="3:7">
      <c r="C2116" s="3"/>
      <c r="D2116" s="3"/>
      <c r="F2116" s="2"/>
      <c r="G2116" s="48"/>
    </row>
    <row r="2117" spans="3:7">
      <c r="C2117" s="3"/>
      <c r="D2117" s="3"/>
      <c r="F2117" s="2"/>
      <c r="G2117" s="48"/>
    </row>
    <row r="2118" spans="3:7">
      <c r="C2118" s="3"/>
      <c r="D2118" s="3"/>
      <c r="F2118" s="2"/>
      <c r="G2118" s="48"/>
    </row>
    <row r="2119" spans="3:7">
      <c r="C2119" s="3"/>
      <c r="D2119" s="3"/>
      <c r="F2119" s="2"/>
      <c r="G2119" s="48"/>
    </row>
    <row r="2120" spans="3:7">
      <c r="C2120" s="3"/>
      <c r="D2120" s="3"/>
      <c r="F2120" s="2"/>
      <c r="G2120" s="48"/>
    </row>
    <row r="2121" spans="3:7">
      <c r="C2121" s="3"/>
      <c r="D2121" s="3"/>
      <c r="F2121" s="2"/>
      <c r="G2121" s="48"/>
    </row>
    <row r="2122" spans="3:7">
      <c r="C2122" s="3"/>
      <c r="D2122" s="3"/>
      <c r="F2122" s="2"/>
      <c r="G2122" s="48"/>
    </row>
    <row r="2123" spans="3:7">
      <c r="C2123" s="3"/>
      <c r="D2123" s="3"/>
      <c r="F2123" s="2"/>
      <c r="G2123" s="48"/>
    </row>
    <row r="2124" spans="3:7">
      <c r="C2124" s="3"/>
      <c r="D2124" s="3"/>
      <c r="F2124" s="2"/>
      <c r="G2124" s="48"/>
    </row>
    <row r="2125" spans="3:7">
      <c r="C2125" s="3"/>
      <c r="D2125" s="3"/>
      <c r="F2125" s="2"/>
      <c r="G2125" s="48"/>
    </row>
    <row r="2126" spans="3:7">
      <c r="C2126" s="3"/>
      <c r="D2126" s="3"/>
      <c r="F2126" s="2"/>
      <c r="G2126" s="48"/>
    </row>
    <row r="2127" spans="3:7">
      <c r="C2127" s="3"/>
      <c r="D2127" s="3"/>
      <c r="F2127" s="2"/>
      <c r="G2127" s="48"/>
    </row>
    <row r="2128" spans="3:7">
      <c r="C2128" s="3"/>
      <c r="D2128" s="3"/>
      <c r="F2128" s="2"/>
      <c r="G2128" s="48"/>
    </row>
    <row r="2129" spans="3:7">
      <c r="C2129" s="3"/>
      <c r="D2129" s="3"/>
      <c r="F2129" s="2"/>
      <c r="G2129" s="48"/>
    </row>
    <row r="2130" spans="3:7">
      <c r="C2130" s="3"/>
      <c r="D2130" s="3"/>
      <c r="F2130" s="2"/>
      <c r="G2130" s="48"/>
    </row>
    <row r="2131" spans="3:7">
      <c r="C2131" s="3"/>
      <c r="D2131" s="3"/>
      <c r="F2131" s="2"/>
      <c r="G2131" s="48"/>
    </row>
    <row r="2132" spans="3:7">
      <c r="C2132" s="3"/>
      <c r="D2132" s="3"/>
      <c r="F2132" s="2"/>
      <c r="G2132" s="48"/>
    </row>
    <row r="2133" spans="3:7">
      <c r="C2133" s="3"/>
      <c r="D2133" s="3"/>
      <c r="F2133" s="2"/>
      <c r="G2133" s="48"/>
    </row>
    <row r="2134" spans="3:7">
      <c r="C2134" s="3"/>
      <c r="D2134" s="3"/>
      <c r="F2134" s="2"/>
      <c r="G2134" s="48"/>
    </row>
    <row r="2135" spans="3:7">
      <c r="C2135" s="3"/>
      <c r="D2135" s="3"/>
      <c r="F2135" s="2"/>
      <c r="G2135" s="48"/>
    </row>
    <row r="2136" spans="3:7">
      <c r="C2136" s="3"/>
      <c r="D2136" s="3"/>
      <c r="F2136" s="2"/>
      <c r="G2136" s="48"/>
    </row>
    <row r="2137" spans="3:7">
      <c r="C2137" s="3"/>
      <c r="D2137" s="3"/>
      <c r="F2137" s="2"/>
      <c r="G2137" s="48"/>
    </row>
    <row r="2138" spans="3:7">
      <c r="C2138" s="3"/>
      <c r="D2138" s="3"/>
      <c r="F2138" s="2"/>
      <c r="G2138" s="48"/>
    </row>
    <row r="2139" spans="3:7">
      <c r="C2139" s="3"/>
      <c r="D2139" s="3"/>
      <c r="F2139" s="2"/>
      <c r="G2139" s="48"/>
    </row>
    <row r="2140" spans="3:7">
      <c r="C2140" s="3"/>
      <c r="D2140" s="3"/>
      <c r="F2140" s="2"/>
      <c r="G2140" s="48"/>
    </row>
    <row r="2141" spans="3:7">
      <c r="C2141" s="3"/>
      <c r="D2141" s="3"/>
      <c r="F2141" s="2"/>
      <c r="G2141" s="48"/>
    </row>
    <row r="2142" spans="3:7">
      <c r="C2142" s="3"/>
      <c r="D2142" s="3"/>
      <c r="F2142" s="2"/>
      <c r="G2142" s="48"/>
    </row>
    <row r="2143" spans="3:7">
      <c r="C2143" s="3"/>
      <c r="D2143" s="3"/>
      <c r="F2143" s="2"/>
      <c r="G2143" s="48"/>
    </row>
    <row r="2144" spans="3:7">
      <c r="C2144" s="3"/>
      <c r="D2144" s="3"/>
      <c r="F2144" s="2"/>
      <c r="G2144" s="48"/>
    </row>
    <row r="2145" spans="3:7">
      <c r="C2145" s="3"/>
      <c r="D2145" s="3"/>
      <c r="F2145" s="2"/>
      <c r="G2145" s="48"/>
    </row>
    <row r="2146" spans="3:7">
      <c r="C2146" s="3"/>
      <c r="D2146" s="3"/>
      <c r="F2146" s="2"/>
      <c r="G2146" s="48"/>
    </row>
    <row r="2147" spans="3:7">
      <c r="C2147" s="3"/>
      <c r="D2147" s="3"/>
      <c r="F2147" s="2"/>
      <c r="G2147" s="48"/>
    </row>
    <row r="2148" spans="3:7">
      <c r="C2148" s="3"/>
      <c r="D2148" s="3"/>
      <c r="F2148" s="2"/>
      <c r="G2148" s="48"/>
    </row>
    <row r="2149" spans="3:7">
      <c r="C2149" s="3"/>
      <c r="D2149" s="3"/>
      <c r="F2149" s="2"/>
      <c r="G2149" s="48"/>
    </row>
    <row r="2150" spans="3:7">
      <c r="C2150" s="3"/>
      <c r="D2150" s="3"/>
      <c r="F2150" s="2"/>
      <c r="G2150" s="48"/>
    </row>
    <row r="2151" spans="3:7">
      <c r="C2151" s="3"/>
      <c r="D2151" s="3"/>
      <c r="F2151" s="2"/>
      <c r="G2151" s="48"/>
    </row>
    <row r="2152" spans="3:7">
      <c r="C2152" s="3"/>
      <c r="D2152" s="3"/>
      <c r="F2152" s="2"/>
      <c r="G2152" s="48"/>
    </row>
    <row r="2153" spans="3:7">
      <c r="C2153" s="3"/>
      <c r="D2153" s="3"/>
      <c r="F2153" s="2"/>
      <c r="G2153" s="48"/>
    </row>
    <row r="2154" spans="3:7">
      <c r="C2154" s="3"/>
      <c r="D2154" s="3"/>
      <c r="F2154" s="2"/>
      <c r="G2154" s="48"/>
    </row>
    <row r="2155" spans="3:7">
      <c r="C2155" s="3"/>
      <c r="D2155" s="3"/>
      <c r="F2155" s="2"/>
      <c r="G2155" s="48"/>
    </row>
    <row r="2156" spans="3:7">
      <c r="C2156" s="3"/>
      <c r="D2156" s="3"/>
      <c r="F2156" s="2"/>
      <c r="G2156" s="48"/>
    </row>
    <row r="2157" spans="3:7">
      <c r="C2157" s="3"/>
      <c r="D2157" s="3"/>
      <c r="F2157" s="2"/>
      <c r="G2157" s="48"/>
    </row>
    <row r="2158" spans="3:7">
      <c r="C2158" s="3"/>
      <c r="D2158" s="3"/>
      <c r="F2158" s="2"/>
      <c r="G2158" s="48"/>
    </row>
    <row r="2159" spans="3:7">
      <c r="C2159" s="3"/>
      <c r="D2159" s="3"/>
      <c r="F2159" s="2"/>
      <c r="G2159" s="48"/>
    </row>
    <row r="2160" spans="3:7">
      <c r="C2160" s="3"/>
      <c r="D2160" s="3"/>
      <c r="F2160" s="2"/>
      <c r="G2160" s="48"/>
    </row>
    <row r="2161" spans="3:7">
      <c r="C2161" s="3"/>
      <c r="D2161" s="3"/>
      <c r="F2161" s="2"/>
      <c r="G2161" s="48"/>
    </row>
    <row r="2162" spans="3:7">
      <c r="C2162" s="3"/>
      <c r="D2162" s="3"/>
      <c r="F2162" s="2"/>
      <c r="G2162" s="48"/>
    </row>
    <row r="2163" spans="3:7">
      <c r="C2163" s="3"/>
      <c r="D2163" s="3"/>
      <c r="F2163" s="2"/>
      <c r="G2163" s="48"/>
    </row>
    <row r="2164" spans="3:7">
      <c r="C2164" s="3"/>
      <c r="D2164" s="3"/>
      <c r="F2164" s="2"/>
      <c r="G2164" s="48"/>
    </row>
    <row r="2165" spans="3:7">
      <c r="C2165" s="3"/>
      <c r="D2165" s="3"/>
      <c r="F2165" s="2"/>
      <c r="G2165" s="48"/>
    </row>
    <row r="2166" spans="3:7">
      <c r="C2166" s="3"/>
      <c r="D2166" s="3"/>
      <c r="F2166" s="2"/>
      <c r="G2166" s="48"/>
    </row>
    <row r="2167" spans="3:7">
      <c r="C2167" s="3"/>
      <c r="D2167" s="3"/>
      <c r="F2167" s="2"/>
      <c r="G2167" s="48"/>
    </row>
    <row r="2168" spans="3:7">
      <c r="C2168" s="3"/>
      <c r="D2168" s="3"/>
      <c r="F2168" s="2"/>
      <c r="G2168" s="48"/>
    </row>
    <row r="2169" spans="3:7">
      <c r="C2169" s="3"/>
      <c r="D2169" s="3"/>
      <c r="F2169" s="2"/>
      <c r="G2169" s="48"/>
    </row>
    <row r="2170" spans="3:7">
      <c r="C2170" s="3"/>
      <c r="D2170" s="3"/>
      <c r="F2170" s="2"/>
      <c r="G2170" s="48"/>
    </row>
    <row r="2171" spans="3:7">
      <c r="C2171" s="3"/>
      <c r="D2171" s="3"/>
      <c r="F2171" s="2"/>
      <c r="G2171" s="48"/>
    </row>
    <row r="2172" spans="3:7">
      <c r="C2172" s="3"/>
      <c r="D2172" s="3"/>
      <c r="F2172" s="2"/>
      <c r="G2172" s="48"/>
    </row>
    <row r="2173" spans="3:7">
      <c r="C2173" s="3"/>
      <c r="D2173" s="3"/>
      <c r="F2173" s="2"/>
      <c r="G2173" s="48"/>
    </row>
    <row r="2174" spans="3:7">
      <c r="C2174" s="3"/>
      <c r="D2174" s="3"/>
      <c r="F2174" s="2"/>
      <c r="G2174" s="48"/>
    </row>
    <row r="2175" spans="3:7">
      <c r="C2175" s="3"/>
      <c r="D2175" s="3"/>
      <c r="F2175" s="2"/>
      <c r="G2175" s="48"/>
    </row>
    <row r="2176" spans="3:7">
      <c r="C2176" s="3"/>
      <c r="D2176" s="3"/>
      <c r="F2176" s="2"/>
      <c r="G2176" s="48"/>
    </row>
    <row r="2177" spans="3:7">
      <c r="C2177" s="3"/>
      <c r="D2177" s="3"/>
      <c r="F2177" s="2"/>
      <c r="G2177" s="48"/>
    </row>
    <row r="2178" spans="3:7">
      <c r="C2178" s="3"/>
      <c r="D2178" s="3"/>
      <c r="F2178" s="2"/>
      <c r="G2178" s="48"/>
    </row>
    <row r="2179" spans="3:7">
      <c r="C2179" s="3"/>
      <c r="D2179" s="3"/>
      <c r="F2179" s="2"/>
      <c r="G2179" s="48"/>
    </row>
    <row r="2180" spans="3:7">
      <c r="C2180" s="3"/>
      <c r="D2180" s="3"/>
      <c r="F2180" s="2"/>
      <c r="G2180" s="48"/>
    </row>
    <row r="2181" spans="3:7">
      <c r="C2181" s="3"/>
      <c r="D2181" s="3"/>
      <c r="F2181" s="2"/>
      <c r="G2181" s="48"/>
    </row>
    <row r="2182" spans="3:7">
      <c r="C2182" s="3"/>
      <c r="D2182" s="3"/>
      <c r="F2182" s="2"/>
      <c r="G2182" s="48"/>
    </row>
    <row r="2183" spans="3:7">
      <c r="C2183" s="3"/>
      <c r="D2183" s="3"/>
      <c r="F2183" s="2"/>
      <c r="G2183" s="48"/>
    </row>
    <row r="2184" spans="3:7">
      <c r="C2184" s="3"/>
      <c r="D2184" s="3"/>
      <c r="F2184" s="2"/>
      <c r="G2184" s="48"/>
    </row>
    <row r="2185" spans="3:7">
      <c r="C2185" s="3"/>
      <c r="D2185" s="3"/>
      <c r="F2185" s="2"/>
      <c r="G2185" s="48"/>
    </row>
    <row r="2186" spans="3:7">
      <c r="C2186" s="3"/>
      <c r="D2186" s="3"/>
      <c r="F2186" s="2"/>
      <c r="G2186" s="48"/>
    </row>
    <row r="2187" spans="3:7">
      <c r="C2187" s="3"/>
      <c r="D2187" s="3"/>
      <c r="F2187" s="2"/>
      <c r="G2187" s="48"/>
    </row>
    <row r="2188" spans="3:7">
      <c r="C2188" s="3"/>
      <c r="D2188" s="3"/>
      <c r="F2188" s="2"/>
      <c r="G2188" s="48"/>
    </row>
    <row r="2189" spans="3:7">
      <c r="C2189" s="3"/>
      <c r="D2189" s="3"/>
      <c r="F2189" s="2"/>
      <c r="G2189" s="48"/>
    </row>
    <row r="2190" spans="3:7">
      <c r="C2190" s="3"/>
      <c r="D2190" s="3"/>
      <c r="F2190" s="2"/>
      <c r="G2190" s="48"/>
    </row>
    <row r="2191" spans="3:7">
      <c r="C2191" s="3"/>
      <c r="D2191" s="3"/>
      <c r="F2191" s="2"/>
      <c r="G2191" s="48"/>
    </row>
    <row r="2192" spans="3:7">
      <c r="C2192" s="3"/>
      <c r="D2192" s="3"/>
      <c r="F2192" s="2"/>
      <c r="G2192" s="48"/>
    </row>
    <row r="2193" spans="3:7">
      <c r="C2193" s="3"/>
      <c r="D2193" s="3"/>
      <c r="F2193" s="2"/>
      <c r="G2193" s="48"/>
    </row>
    <row r="2194" spans="3:7">
      <c r="C2194" s="3"/>
      <c r="D2194" s="3"/>
      <c r="F2194" s="2"/>
      <c r="G2194" s="48"/>
    </row>
    <row r="2195" spans="3:7">
      <c r="C2195" s="3"/>
      <c r="D2195" s="3"/>
      <c r="F2195" s="2"/>
      <c r="G2195" s="48"/>
    </row>
    <row r="2196" spans="3:7">
      <c r="C2196" s="3"/>
      <c r="D2196" s="3"/>
      <c r="F2196" s="2"/>
      <c r="G2196" s="48"/>
    </row>
    <row r="2197" spans="3:7">
      <c r="C2197" s="3"/>
      <c r="D2197" s="3"/>
      <c r="F2197" s="2"/>
      <c r="G2197" s="48"/>
    </row>
    <row r="2198" spans="3:7">
      <c r="C2198" s="3"/>
      <c r="D2198" s="3"/>
      <c r="F2198" s="2"/>
      <c r="G2198" s="48"/>
    </row>
    <row r="2199" spans="3:7">
      <c r="C2199" s="3"/>
      <c r="D2199" s="3"/>
      <c r="F2199" s="2"/>
      <c r="G2199" s="48"/>
    </row>
    <row r="2200" spans="3:7">
      <c r="C2200" s="3"/>
      <c r="D2200" s="3"/>
      <c r="F2200" s="2"/>
      <c r="G2200" s="48"/>
    </row>
    <row r="2201" spans="3:7">
      <c r="C2201" s="3"/>
      <c r="D2201" s="3"/>
      <c r="F2201" s="2"/>
      <c r="G2201" s="48"/>
    </row>
    <row r="2202" spans="3:7">
      <c r="C2202" s="3"/>
      <c r="D2202" s="3"/>
      <c r="F2202" s="2"/>
      <c r="G2202" s="48"/>
    </row>
    <row r="2203" spans="3:7">
      <c r="C2203" s="3"/>
      <c r="D2203" s="3"/>
      <c r="F2203" s="2"/>
      <c r="G2203" s="48"/>
    </row>
    <row r="2204" spans="3:7">
      <c r="C2204" s="3"/>
      <c r="D2204" s="3"/>
      <c r="F2204" s="2"/>
      <c r="G2204" s="48"/>
    </row>
    <row r="2205" spans="3:7">
      <c r="C2205" s="3"/>
      <c r="D2205" s="3"/>
      <c r="F2205" s="2"/>
      <c r="G2205" s="48"/>
    </row>
    <row r="2206" spans="3:7">
      <c r="C2206" s="3"/>
      <c r="D2206" s="3"/>
      <c r="F2206" s="2"/>
      <c r="G2206" s="48"/>
    </row>
    <row r="2207" spans="3:7">
      <c r="C2207" s="3"/>
      <c r="D2207" s="3"/>
      <c r="F2207" s="2"/>
      <c r="G2207" s="48"/>
    </row>
    <row r="2208" spans="3:7">
      <c r="C2208" s="3"/>
      <c r="D2208" s="3"/>
      <c r="F2208" s="2"/>
      <c r="G2208" s="48"/>
    </row>
    <row r="2209" spans="3:7">
      <c r="C2209" s="3"/>
      <c r="D2209" s="3"/>
      <c r="F2209" s="2"/>
      <c r="G2209" s="48"/>
    </row>
    <row r="2210" spans="3:7">
      <c r="C2210" s="3"/>
      <c r="D2210" s="3"/>
      <c r="F2210" s="2"/>
      <c r="G2210" s="48"/>
    </row>
    <row r="2211" spans="3:7">
      <c r="C2211" s="3"/>
      <c r="D2211" s="3"/>
      <c r="F2211" s="2"/>
      <c r="G2211" s="48"/>
    </row>
    <row r="2212" spans="3:7">
      <c r="C2212" s="3"/>
      <c r="D2212" s="3"/>
      <c r="F2212" s="2"/>
      <c r="G2212" s="48"/>
    </row>
    <row r="2213" spans="3:7">
      <c r="C2213" s="3"/>
      <c r="D2213" s="3"/>
      <c r="F2213" s="2"/>
      <c r="G2213" s="48"/>
    </row>
    <row r="2214" spans="3:7">
      <c r="C2214" s="3"/>
      <c r="D2214" s="3"/>
      <c r="F2214" s="2"/>
      <c r="G2214" s="48"/>
    </row>
    <row r="2215" spans="3:7">
      <c r="C2215" s="3"/>
      <c r="D2215" s="3"/>
      <c r="F2215" s="2"/>
      <c r="G2215" s="48"/>
    </row>
    <row r="2216" spans="3:7">
      <c r="C2216" s="3"/>
      <c r="D2216" s="3"/>
      <c r="F2216" s="2"/>
      <c r="G2216" s="48"/>
    </row>
    <row r="2217" spans="3:7">
      <c r="C2217" s="3"/>
      <c r="D2217" s="3"/>
      <c r="F2217" s="2"/>
      <c r="G2217" s="48"/>
    </row>
    <row r="2218" spans="3:7">
      <c r="C2218" s="3"/>
      <c r="D2218" s="3"/>
      <c r="F2218" s="2"/>
      <c r="G2218" s="48"/>
    </row>
    <row r="2219" spans="3:7">
      <c r="C2219" s="3"/>
      <c r="D2219" s="3"/>
      <c r="F2219" s="2"/>
      <c r="G2219" s="48"/>
    </row>
    <row r="2220" spans="3:7">
      <c r="C2220" s="3"/>
      <c r="D2220" s="3"/>
      <c r="F2220" s="2"/>
      <c r="G2220" s="48"/>
    </row>
    <row r="2221" spans="3:7">
      <c r="C2221" s="3"/>
      <c r="D2221" s="3"/>
      <c r="F2221" s="2"/>
      <c r="G2221" s="48"/>
    </row>
    <row r="2222" spans="3:7">
      <c r="C2222" s="3"/>
      <c r="D2222" s="3"/>
      <c r="F2222" s="2"/>
      <c r="G2222" s="48"/>
    </row>
    <row r="2223" spans="3:7">
      <c r="C2223" s="3"/>
      <c r="D2223" s="3"/>
      <c r="F2223" s="2"/>
      <c r="G2223" s="48"/>
    </row>
    <row r="2224" spans="3:7">
      <c r="C2224" s="3"/>
      <c r="D2224" s="3"/>
      <c r="F2224" s="2"/>
      <c r="G2224" s="48"/>
    </row>
    <row r="2225" spans="3:7">
      <c r="C2225" s="3"/>
      <c r="D2225" s="3"/>
      <c r="F2225" s="2"/>
      <c r="G2225" s="48"/>
    </row>
    <row r="2226" spans="3:7">
      <c r="C2226" s="3"/>
      <c r="D2226" s="3"/>
      <c r="F2226" s="2"/>
      <c r="G2226" s="48"/>
    </row>
    <row r="2227" spans="3:7">
      <c r="C2227" s="3"/>
      <c r="D2227" s="3"/>
      <c r="F2227" s="2"/>
      <c r="G2227" s="48"/>
    </row>
    <row r="2228" spans="3:7">
      <c r="C2228" s="3"/>
      <c r="D2228" s="3"/>
      <c r="F2228" s="2"/>
      <c r="G2228" s="48"/>
    </row>
    <row r="2229" spans="3:7">
      <c r="C2229" s="3"/>
      <c r="D2229" s="3"/>
      <c r="F2229" s="2"/>
      <c r="G2229" s="48"/>
    </row>
    <row r="2230" spans="3:7">
      <c r="C2230" s="3"/>
      <c r="D2230" s="3"/>
      <c r="F2230" s="2"/>
      <c r="G2230" s="48"/>
    </row>
    <row r="2231" spans="3:7">
      <c r="C2231" s="3"/>
      <c r="D2231" s="3"/>
      <c r="F2231" s="2"/>
      <c r="G2231" s="48"/>
    </row>
    <row r="2232" spans="3:7">
      <c r="C2232" s="3"/>
      <c r="D2232" s="3"/>
      <c r="F2232" s="2"/>
      <c r="G2232" s="48"/>
    </row>
    <row r="2233" spans="3:7">
      <c r="C2233" s="3"/>
      <c r="D2233" s="3"/>
      <c r="F2233" s="2"/>
      <c r="G2233" s="48"/>
    </row>
    <row r="2234" spans="3:7">
      <c r="C2234" s="3"/>
      <c r="D2234" s="3"/>
      <c r="F2234" s="2"/>
      <c r="G2234" s="48"/>
    </row>
    <row r="2235" spans="3:7">
      <c r="C2235" s="3"/>
      <c r="D2235" s="3"/>
      <c r="F2235" s="2"/>
      <c r="G2235" s="48"/>
    </row>
    <row r="2236" spans="3:7">
      <c r="C2236" s="3"/>
      <c r="D2236" s="3"/>
      <c r="F2236" s="2"/>
      <c r="G2236" s="48"/>
    </row>
    <row r="2237" spans="3:7">
      <c r="C2237" s="3"/>
      <c r="D2237" s="3"/>
      <c r="F2237" s="2"/>
      <c r="G2237" s="48"/>
    </row>
    <row r="2238" spans="3:7">
      <c r="C2238" s="3"/>
      <c r="D2238" s="3"/>
      <c r="F2238" s="2"/>
      <c r="G2238" s="48"/>
    </row>
    <row r="2239" spans="3:7">
      <c r="C2239" s="3"/>
      <c r="D2239" s="3"/>
      <c r="F2239" s="2"/>
      <c r="G2239" s="48"/>
    </row>
    <row r="2240" spans="3:7">
      <c r="C2240" s="3"/>
      <c r="D2240" s="3"/>
      <c r="F2240" s="2"/>
      <c r="G2240" s="48"/>
    </row>
    <row r="2241" spans="3:7">
      <c r="C2241" s="3"/>
      <c r="D2241" s="3"/>
      <c r="F2241" s="2"/>
      <c r="G2241" s="48"/>
    </row>
    <row r="2242" spans="3:7">
      <c r="C2242" s="3"/>
      <c r="D2242" s="3"/>
      <c r="F2242" s="2"/>
      <c r="G2242" s="48"/>
    </row>
    <row r="2243" spans="3:7">
      <c r="C2243" s="3"/>
      <c r="D2243" s="3"/>
      <c r="F2243" s="2"/>
      <c r="G2243" s="48"/>
    </row>
    <row r="2244" spans="3:7">
      <c r="C2244" s="3"/>
      <c r="D2244" s="3"/>
      <c r="F2244" s="2"/>
      <c r="G2244" s="48"/>
    </row>
    <row r="2245" spans="3:7">
      <c r="C2245" s="3"/>
      <c r="D2245" s="3"/>
      <c r="F2245" s="2"/>
      <c r="G2245" s="48"/>
    </row>
    <row r="2246" spans="3:7">
      <c r="C2246" s="3"/>
      <c r="D2246" s="3"/>
      <c r="F2246" s="2"/>
      <c r="G2246" s="48"/>
    </row>
    <row r="2247" spans="3:7">
      <c r="C2247" s="3"/>
      <c r="D2247" s="3"/>
      <c r="F2247" s="2"/>
      <c r="G2247" s="48"/>
    </row>
    <row r="2248" spans="3:7">
      <c r="C2248" s="3"/>
      <c r="D2248" s="3"/>
      <c r="F2248" s="2"/>
      <c r="G2248" s="48"/>
    </row>
    <row r="2249" spans="3:7">
      <c r="C2249" s="3"/>
      <c r="D2249" s="3"/>
      <c r="F2249" s="2"/>
      <c r="G2249" s="48"/>
    </row>
    <row r="2250" spans="3:7">
      <c r="C2250" s="3"/>
      <c r="D2250" s="3"/>
      <c r="F2250" s="2"/>
      <c r="G2250" s="48"/>
    </row>
    <row r="2251" spans="3:7">
      <c r="C2251" s="3"/>
      <c r="D2251" s="3"/>
      <c r="F2251" s="2"/>
      <c r="G2251" s="48"/>
    </row>
    <row r="2252" spans="3:7">
      <c r="C2252" s="3"/>
      <c r="D2252" s="3"/>
      <c r="F2252" s="2"/>
      <c r="G2252" s="48"/>
    </row>
    <row r="2253" spans="3:7">
      <c r="C2253" s="3"/>
      <c r="D2253" s="3"/>
      <c r="F2253" s="2"/>
      <c r="G2253" s="48"/>
    </row>
    <row r="2254" spans="3:7">
      <c r="C2254" s="3"/>
      <c r="D2254" s="3"/>
      <c r="F2254" s="2"/>
      <c r="G2254" s="48"/>
    </row>
    <row r="2255" spans="3:7">
      <c r="C2255" s="3"/>
      <c r="D2255" s="3"/>
      <c r="F2255" s="2"/>
      <c r="G2255" s="48"/>
    </row>
    <row r="2256" spans="3:7">
      <c r="C2256" s="3"/>
      <c r="D2256" s="3"/>
      <c r="F2256" s="2"/>
      <c r="G2256" s="48"/>
    </row>
    <row r="2257" spans="3:7">
      <c r="C2257" s="3"/>
      <c r="D2257" s="3"/>
      <c r="F2257" s="2"/>
      <c r="G2257" s="48"/>
    </row>
    <row r="2258" spans="3:7">
      <c r="C2258" s="3"/>
      <c r="D2258" s="3"/>
      <c r="F2258" s="2"/>
      <c r="G2258" s="48"/>
    </row>
    <row r="2259" spans="3:7">
      <c r="C2259" s="3"/>
      <c r="D2259" s="3"/>
      <c r="F2259" s="2"/>
      <c r="G2259" s="48"/>
    </row>
    <row r="2260" spans="3:7">
      <c r="C2260" s="3"/>
      <c r="D2260" s="3"/>
      <c r="F2260" s="2"/>
      <c r="G2260" s="48"/>
    </row>
    <row r="2261" spans="3:7">
      <c r="C2261" s="3"/>
      <c r="D2261" s="3"/>
      <c r="F2261" s="2"/>
      <c r="G2261" s="48"/>
    </row>
    <row r="2262" spans="3:7">
      <c r="C2262" s="3"/>
      <c r="D2262" s="3"/>
      <c r="F2262" s="2"/>
      <c r="G2262" s="48"/>
    </row>
    <row r="2263" spans="3:7">
      <c r="C2263" s="3"/>
      <c r="D2263" s="3"/>
      <c r="F2263" s="2"/>
      <c r="G2263" s="48"/>
    </row>
    <row r="2264" spans="3:7">
      <c r="C2264" s="3"/>
      <c r="D2264" s="3"/>
      <c r="F2264" s="2"/>
      <c r="G2264" s="48"/>
    </row>
    <row r="2265" spans="3:7">
      <c r="C2265" s="3"/>
      <c r="D2265" s="3"/>
      <c r="F2265" s="2"/>
      <c r="G2265" s="48"/>
    </row>
    <row r="2266" spans="3:7">
      <c r="C2266" s="3"/>
      <c r="D2266" s="3"/>
      <c r="F2266" s="2"/>
      <c r="G2266" s="48"/>
    </row>
    <row r="2267" spans="3:7">
      <c r="C2267" s="3"/>
      <c r="D2267" s="3"/>
      <c r="F2267" s="2"/>
      <c r="G2267" s="48"/>
    </row>
    <row r="2268" spans="3:7">
      <c r="C2268" s="3"/>
      <c r="D2268" s="3"/>
      <c r="F2268" s="2"/>
      <c r="G2268" s="48"/>
    </row>
    <row r="2269" spans="3:7">
      <c r="C2269" s="3"/>
      <c r="D2269" s="3"/>
      <c r="F2269" s="2"/>
      <c r="G2269" s="48"/>
    </row>
    <row r="2270" spans="3:7">
      <c r="C2270" s="3"/>
      <c r="D2270" s="3"/>
      <c r="F2270" s="2"/>
      <c r="G2270" s="48"/>
    </row>
    <row r="2271" spans="3:7">
      <c r="C2271" s="3"/>
      <c r="D2271" s="3"/>
      <c r="F2271" s="2"/>
      <c r="G2271" s="48"/>
    </row>
    <row r="2272" spans="3:7">
      <c r="C2272" s="3"/>
      <c r="D2272" s="3"/>
      <c r="F2272" s="2"/>
      <c r="G2272" s="48"/>
    </row>
    <row r="2273" spans="3:7">
      <c r="C2273" s="3"/>
      <c r="D2273" s="3"/>
      <c r="F2273" s="2"/>
      <c r="G2273" s="48"/>
    </row>
    <row r="2274" spans="3:7">
      <c r="C2274" s="3"/>
      <c r="D2274" s="3"/>
      <c r="F2274" s="2"/>
      <c r="G2274" s="48"/>
    </row>
    <row r="2275" spans="3:7">
      <c r="C2275" s="3"/>
      <c r="D2275" s="3"/>
      <c r="F2275" s="2"/>
      <c r="G2275" s="48"/>
    </row>
    <row r="2276" spans="3:7">
      <c r="C2276" s="3"/>
      <c r="D2276" s="3"/>
      <c r="F2276" s="2"/>
      <c r="G2276" s="48"/>
    </row>
    <row r="2277" spans="3:7">
      <c r="C2277" s="3"/>
      <c r="D2277" s="3"/>
      <c r="F2277" s="2"/>
      <c r="G2277" s="48"/>
    </row>
    <row r="2278" spans="3:7">
      <c r="C2278" s="3"/>
      <c r="D2278" s="3"/>
      <c r="F2278" s="2"/>
      <c r="G2278" s="48"/>
    </row>
    <row r="2279" spans="3:7">
      <c r="C2279" s="3"/>
      <c r="D2279" s="3"/>
      <c r="F2279" s="2"/>
      <c r="G2279" s="48"/>
    </row>
    <row r="2280" spans="3:7">
      <c r="C2280" s="3"/>
      <c r="D2280" s="3"/>
      <c r="F2280" s="2"/>
      <c r="G2280" s="48"/>
    </row>
    <row r="2281" spans="3:7">
      <c r="C2281" s="3"/>
      <c r="D2281" s="3"/>
      <c r="F2281" s="2"/>
      <c r="G2281" s="48"/>
    </row>
    <row r="2282" spans="3:7">
      <c r="C2282" s="3"/>
      <c r="D2282" s="3"/>
      <c r="F2282" s="2"/>
      <c r="G2282" s="48"/>
    </row>
    <row r="2283" spans="3:7">
      <c r="C2283" s="3"/>
      <c r="D2283" s="3"/>
      <c r="F2283" s="2"/>
      <c r="G2283" s="48"/>
    </row>
    <row r="2284" spans="3:7">
      <c r="C2284" s="3"/>
      <c r="D2284" s="3"/>
      <c r="F2284" s="2"/>
      <c r="G2284" s="48"/>
    </row>
    <row r="2285" spans="3:7">
      <c r="C2285" s="3"/>
      <c r="D2285" s="3"/>
      <c r="F2285" s="2"/>
      <c r="G2285" s="48"/>
    </row>
    <row r="2286" spans="3:7">
      <c r="C2286" s="3"/>
      <c r="D2286" s="3"/>
      <c r="F2286" s="2"/>
      <c r="G2286" s="48"/>
    </row>
    <row r="2287" spans="3:7">
      <c r="C2287" s="3"/>
      <c r="D2287" s="3"/>
      <c r="F2287" s="2"/>
      <c r="G2287" s="48"/>
    </row>
    <row r="2288" spans="3:7">
      <c r="C2288" s="3"/>
      <c r="D2288" s="3"/>
      <c r="F2288" s="2"/>
      <c r="G2288" s="48"/>
    </row>
    <row r="2289" spans="3:7">
      <c r="C2289" s="3"/>
      <c r="D2289" s="3"/>
      <c r="F2289" s="2"/>
      <c r="G2289" s="48"/>
    </row>
    <row r="2290" spans="3:7">
      <c r="C2290" s="3"/>
      <c r="D2290" s="3"/>
      <c r="F2290" s="2"/>
      <c r="G2290" s="48"/>
    </row>
    <row r="2291" spans="3:7">
      <c r="C2291" s="3"/>
      <c r="D2291" s="3"/>
      <c r="F2291" s="2"/>
      <c r="G2291" s="48"/>
    </row>
    <row r="2292" spans="3:7">
      <c r="C2292" s="3"/>
      <c r="D2292" s="3"/>
      <c r="F2292" s="2"/>
      <c r="G2292" s="48"/>
    </row>
    <row r="2293" spans="3:7">
      <c r="C2293" s="3"/>
      <c r="D2293" s="3"/>
      <c r="F2293" s="2"/>
      <c r="G2293" s="48"/>
    </row>
    <row r="2294" spans="3:7">
      <c r="C2294" s="3"/>
      <c r="D2294" s="3"/>
      <c r="F2294" s="2"/>
      <c r="G2294" s="48"/>
    </row>
    <row r="2295" spans="3:7">
      <c r="C2295" s="3"/>
      <c r="D2295" s="3"/>
      <c r="F2295" s="2"/>
      <c r="G2295" s="48"/>
    </row>
    <row r="2296" spans="3:7">
      <c r="C2296" s="3"/>
      <c r="D2296" s="3"/>
      <c r="F2296" s="2"/>
      <c r="G2296" s="48"/>
    </row>
    <row r="2297" spans="3:7">
      <c r="C2297" s="3"/>
      <c r="D2297" s="3"/>
      <c r="F2297" s="2"/>
      <c r="G2297" s="48"/>
    </row>
    <row r="2298" spans="3:7">
      <c r="C2298" s="3"/>
      <c r="D2298" s="3"/>
      <c r="F2298" s="2"/>
      <c r="G2298" s="48"/>
    </row>
    <row r="2299" spans="3:7">
      <c r="C2299" s="3"/>
      <c r="D2299" s="3"/>
      <c r="F2299" s="2"/>
      <c r="G2299" s="48"/>
    </row>
    <row r="2300" spans="3:7">
      <c r="C2300" s="3"/>
      <c r="D2300" s="3"/>
      <c r="F2300" s="2"/>
      <c r="G2300" s="48"/>
    </row>
    <row r="2301" spans="3:7">
      <c r="C2301" s="3"/>
      <c r="D2301" s="3"/>
      <c r="F2301" s="2"/>
      <c r="G2301" s="48"/>
    </row>
    <row r="2302" spans="3:7">
      <c r="C2302" s="3"/>
      <c r="D2302" s="3"/>
      <c r="F2302" s="2"/>
      <c r="G2302" s="48"/>
    </row>
    <row r="2303" spans="3:7">
      <c r="C2303" s="3"/>
      <c r="D2303" s="3"/>
      <c r="F2303" s="2"/>
      <c r="G2303" s="48"/>
    </row>
    <row r="2304" spans="3:7">
      <c r="C2304" s="3"/>
      <c r="D2304" s="3"/>
      <c r="F2304" s="2"/>
      <c r="G2304" s="48"/>
    </row>
    <row r="2305" spans="3:7">
      <c r="C2305" s="3"/>
      <c r="D2305" s="3"/>
      <c r="F2305" s="2"/>
      <c r="G2305" s="48"/>
    </row>
    <row r="2306" spans="3:7">
      <c r="C2306" s="3"/>
      <c r="D2306" s="3"/>
      <c r="F2306" s="2"/>
      <c r="G2306" s="48"/>
    </row>
    <row r="2307" spans="3:7">
      <c r="C2307" s="3"/>
      <c r="D2307" s="3"/>
      <c r="F2307" s="2"/>
      <c r="G2307" s="48"/>
    </row>
    <row r="2308" spans="3:7">
      <c r="C2308" s="3"/>
      <c r="D2308" s="3"/>
      <c r="F2308" s="2"/>
      <c r="G2308" s="48"/>
    </row>
    <row r="2309" spans="3:7">
      <c r="C2309" s="3"/>
      <c r="D2309" s="3"/>
      <c r="F2309" s="2"/>
      <c r="G2309" s="48"/>
    </row>
    <row r="2310" spans="3:7">
      <c r="C2310" s="3"/>
      <c r="D2310" s="3"/>
      <c r="F2310" s="2"/>
      <c r="G2310" s="48"/>
    </row>
    <row r="2311" spans="3:7">
      <c r="C2311" s="3"/>
      <c r="D2311" s="3"/>
      <c r="F2311" s="2"/>
      <c r="G2311" s="48"/>
    </row>
    <row r="2312" spans="3:7">
      <c r="C2312" s="3"/>
      <c r="D2312" s="3"/>
      <c r="F2312" s="2"/>
      <c r="G2312" s="48"/>
    </row>
    <row r="2313" spans="3:7">
      <c r="C2313" s="3"/>
      <c r="D2313" s="3"/>
      <c r="F2313" s="2"/>
      <c r="G2313" s="48"/>
    </row>
    <row r="2314" spans="3:7">
      <c r="C2314" s="3"/>
      <c r="D2314" s="3"/>
      <c r="F2314" s="2"/>
      <c r="G2314" s="48"/>
    </row>
    <row r="2315" spans="3:7">
      <c r="C2315" s="3"/>
      <c r="D2315" s="3"/>
      <c r="F2315" s="2"/>
      <c r="G2315" s="48"/>
    </row>
    <row r="2316" spans="3:7">
      <c r="C2316" s="3"/>
      <c r="D2316" s="3"/>
      <c r="F2316" s="2"/>
      <c r="G2316" s="48"/>
    </row>
    <row r="2317" spans="3:7">
      <c r="C2317" s="3"/>
      <c r="D2317" s="3"/>
      <c r="F2317" s="2"/>
      <c r="G2317" s="48"/>
    </row>
    <row r="2318" spans="3:7">
      <c r="C2318" s="3"/>
      <c r="D2318" s="3"/>
      <c r="F2318" s="2"/>
      <c r="G2318" s="48"/>
    </row>
    <row r="2319" spans="3:7">
      <c r="C2319" s="3"/>
      <c r="D2319" s="3"/>
      <c r="F2319" s="2"/>
      <c r="G2319" s="48"/>
    </row>
    <row r="2320" spans="3:7">
      <c r="C2320" s="3"/>
      <c r="D2320" s="3"/>
      <c r="F2320" s="2"/>
      <c r="G2320" s="48"/>
    </row>
    <row r="2321" spans="3:7">
      <c r="C2321" s="3"/>
      <c r="D2321" s="3"/>
      <c r="F2321" s="2"/>
      <c r="G2321" s="48"/>
    </row>
    <row r="2322" spans="3:7">
      <c r="C2322" s="3"/>
      <c r="D2322" s="3"/>
      <c r="F2322" s="2"/>
      <c r="G2322" s="48"/>
    </row>
    <row r="2323" spans="3:7">
      <c r="C2323" s="3"/>
      <c r="D2323" s="3"/>
      <c r="F2323" s="2"/>
      <c r="G2323" s="48"/>
    </row>
    <row r="2324" spans="3:7">
      <c r="C2324" s="3"/>
      <c r="D2324" s="3"/>
      <c r="F2324" s="2"/>
      <c r="G2324" s="48"/>
    </row>
    <row r="2325" spans="3:7">
      <c r="C2325" s="3"/>
      <c r="D2325" s="3"/>
      <c r="F2325" s="2"/>
      <c r="G2325" s="48"/>
    </row>
    <row r="2326" spans="3:7">
      <c r="C2326" s="3"/>
      <c r="D2326" s="3"/>
      <c r="F2326" s="2"/>
      <c r="G2326" s="48"/>
    </row>
    <row r="2327" spans="3:7">
      <c r="C2327" s="3"/>
      <c r="D2327" s="3"/>
      <c r="F2327" s="2"/>
      <c r="G2327" s="48"/>
    </row>
    <row r="2328" spans="3:7">
      <c r="C2328" s="3"/>
      <c r="D2328" s="3"/>
      <c r="F2328" s="2"/>
      <c r="G2328" s="48"/>
    </row>
    <row r="2329" spans="3:7">
      <c r="C2329" s="3"/>
      <c r="D2329" s="3"/>
      <c r="F2329" s="2"/>
      <c r="G2329" s="48"/>
    </row>
    <row r="2330" spans="3:7">
      <c r="C2330" s="3"/>
      <c r="D2330" s="3"/>
      <c r="F2330" s="2"/>
      <c r="G2330" s="48"/>
    </row>
    <row r="2331" spans="3:7">
      <c r="C2331" s="3"/>
      <c r="D2331" s="3"/>
      <c r="F2331" s="2"/>
      <c r="G2331" s="48"/>
    </row>
    <row r="2332" spans="3:7">
      <c r="C2332" s="3"/>
      <c r="D2332" s="3"/>
      <c r="F2332" s="2"/>
      <c r="G2332" s="48"/>
    </row>
    <row r="2333" spans="3:7">
      <c r="C2333" s="3"/>
      <c r="D2333" s="3"/>
      <c r="F2333" s="2"/>
      <c r="G2333" s="48"/>
    </row>
    <row r="2334" spans="3:7">
      <c r="C2334" s="3"/>
      <c r="D2334" s="3"/>
      <c r="F2334" s="2"/>
      <c r="G2334" s="48"/>
    </row>
    <row r="2335" spans="3:7">
      <c r="C2335" s="3"/>
      <c r="D2335" s="3"/>
      <c r="F2335" s="2"/>
      <c r="G2335" s="48"/>
    </row>
    <row r="2336" spans="3:7">
      <c r="C2336" s="3"/>
      <c r="D2336" s="3"/>
      <c r="F2336" s="2"/>
      <c r="G2336" s="48"/>
    </row>
    <row r="2337" spans="3:7">
      <c r="C2337" s="3"/>
      <c r="D2337" s="3"/>
      <c r="F2337" s="2"/>
      <c r="G2337" s="48"/>
    </row>
    <row r="2338" spans="3:7">
      <c r="C2338" s="3"/>
      <c r="D2338" s="3"/>
      <c r="F2338" s="2"/>
      <c r="G2338" s="48"/>
    </row>
    <row r="2339" spans="3:7">
      <c r="C2339" s="3"/>
      <c r="D2339" s="3"/>
      <c r="F2339" s="2"/>
      <c r="G2339" s="48"/>
    </row>
    <row r="2340" spans="3:7">
      <c r="C2340" s="3"/>
      <c r="D2340" s="3"/>
      <c r="F2340" s="2"/>
      <c r="G2340" s="48"/>
    </row>
    <row r="2341" spans="3:7">
      <c r="C2341" s="3"/>
      <c r="D2341" s="3"/>
      <c r="F2341" s="2"/>
      <c r="G2341" s="48"/>
    </row>
    <row r="2342" spans="3:7">
      <c r="C2342" s="3"/>
      <c r="D2342" s="3"/>
      <c r="F2342" s="2"/>
      <c r="G2342" s="48"/>
    </row>
    <row r="2343" spans="3:7">
      <c r="C2343" s="3"/>
      <c r="D2343" s="3"/>
      <c r="F2343" s="2"/>
      <c r="G2343" s="48"/>
    </row>
    <row r="2344" spans="3:7">
      <c r="C2344" s="3"/>
      <c r="D2344" s="3"/>
      <c r="F2344" s="2"/>
      <c r="G2344" s="48"/>
    </row>
    <row r="2345" spans="3:7">
      <c r="C2345" s="3"/>
      <c r="D2345" s="3"/>
      <c r="F2345" s="2"/>
      <c r="G2345" s="48"/>
    </row>
    <row r="2346" spans="3:7">
      <c r="C2346" s="3"/>
      <c r="D2346" s="3"/>
      <c r="F2346" s="2"/>
      <c r="G2346" s="48"/>
    </row>
    <row r="2347" spans="3:7">
      <c r="C2347" s="3"/>
      <c r="D2347" s="3"/>
      <c r="F2347" s="2"/>
      <c r="G2347" s="48"/>
    </row>
    <row r="2348" spans="3:7">
      <c r="C2348" s="3"/>
      <c r="D2348" s="3"/>
      <c r="F2348" s="2"/>
      <c r="G2348" s="48"/>
    </row>
    <row r="2349" spans="3:7">
      <c r="C2349" s="3"/>
      <c r="D2349" s="3"/>
      <c r="F2349" s="2"/>
      <c r="G2349" s="48"/>
    </row>
    <row r="2350" spans="3:7">
      <c r="C2350" s="3"/>
      <c r="D2350" s="3"/>
      <c r="F2350" s="2"/>
      <c r="G2350" s="48"/>
    </row>
    <row r="2351" spans="3:7">
      <c r="C2351" s="3"/>
      <c r="D2351" s="3"/>
      <c r="F2351" s="2"/>
      <c r="G2351" s="48"/>
    </row>
    <row r="2352" spans="3:7">
      <c r="C2352" s="3"/>
      <c r="D2352" s="3"/>
      <c r="F2352" s="2"/>
      <c r="G2352" s="48"/>
    </row>
    <row r="2353" spans="3:7">
      <c r="C2353" s="3"/>
      <c r="D2353" s="3"/>
      <c r="F2353" s="2"/>
      <c r="G2353" s="48"/>
    </row>
    <row r="2354" spans="3:7">
      <c r="C2354" s="3"/>
      <c r="D2354" s="3"/>
      <c r="F2354" s="2"/>
      <c r="G2354" s="48"/>
    </row>
    <row r="2355" spans="3:7">
      <c r="C2355" s="3"/>
      <c r="D2355" s="3"/>
      <c r="F2355" s="2"/>
      <c r="G2355" s="48"/>
    </row>
    <row r="2356" spans="3:7">
      <c r="C2356" s="3"/>
      <c r="D2356" s="3"/>
      <c r="F2356" s="2"/>
      <c r="G2356" s="48"/>
    </row>
    <row r="2357" spans="3:7">
      <c r="C2357" s="3"/>
      <c r="D2357" s="3"/>
      <c r="F2357" s="2"/>
      <c r="G2357" s="48"/>
    </row>
    <row r="2358" spans="3:7">
      <c r="C2358" s="3"/>
      <c r="D2358" s="3"/>
      <c r="F2358" s="2"/>
      <c r="G2358" s="48"/>
    </row>
    <row r="2359" spans="3:7">
      <c r="C2359" s="3"/>
      <c r="D2359" s="3"/>
      <c r="F2359" s="2"/>
      <c r="G2359" s="48"/>
    </row>
    <row r="2360" spans="3:7">
      <c r="C2360" s="3"/>
      <c r="D2360" s="3"/>
      <c r="F2360" s="2"/>
      <c r="G2360" s="48"/>
    </row>
    <row r="2361" spans="3:7">
      <c r="C2361" s="3"/>
      <c r="D2361" s="3"/>
      <c r="F2361" s="2"/>
      <c r="G2361" s="48"/>
    </row>
    <row r="2362" spans="3:7">
      <c r="C2362" s="3"/>
      <c r="D2362" s="3"/>
      <c r="F2362" s="2"/>
      <c r="G2362" s="48"/>
    </row>
    <row r="2363" spans="3:7">
      <c r="C2363" s="3"/>
      <c r="D2363" s="3"/>
      <c r="F2363" s="2"/>
      <c r="G2363" s="48"/>
    </row>
    <row r="2364" spans="3:7">
      <c r="C2364" s="3"/>
      <c r="D2364" s="3"/>
      <c r="F2364" s="2"/>
      <c r="G2364" s="48"/>
    </row>
    <row r="2365" spans="3:7">
      <c r="C2365" s="3"/>
      <c r="D2365" s="3"/>
      <c r="F2365" s="2"/>
      <c r="G2365" s="48"/>
    </row>
    <row r="2366" spans="3:7">
      <c r="C2366" s="3"/>
      <c r="D2366" s="3"/>
      <c r="F2366" s="2"/>
      <c r="G2366" s="48"/>
    </row>
    <row r="2367" spans="3:7">
      <c r="C2367" s="3"/>
      <c r="D2367" s="3"/>
      <c r="F2367" s="2"/>
      <c r="G2367" s="48"/>
    </row>
    <row r="2368" spans="3:7">
      <c r="C2368" s="3"/>
      <c r="D2368" s="3"/>
      <c r="F2368" s="2"/>
      <c r="G2368" s="48"/>
    </row>
    <row r="2369" spans="3:7">
      <c r="C2369" s="3"/>
      <c r="D2369" s="3"/>
      <c r="F2369" s="2"/>
      <c r="G2369" s="48"/>
    </row>
    <row r="2370" spans="3:7">
      <c r="C2370" s="3"/>
      <c r="D2370" s="3"/>
      <c r="F2370" s="2"/>
      <c r="G2370" s="48"/>
    </row>
    <row r="2371" spans="3:7">
      <c r="C2371" s="3"/>
      <c r="D2371" s="3"/>
      <c r="F2371" s="2"/>
      <c r="G2371" s="48"/>
    </row>
    <row r="2372" spans="3:7">
      <c r="C2372" s="3"/>
      <c r="D2372" s="3"/>
      <c r="F2372" s="2"/>
      <c r="G2372" s="48"/>
    </row>
    <row r="2373" spans="3:7">
      <c r="C2373" s="3"/>
      <c r="D2373" s="3"/>
      <c r="F2373" s="2"/>
      <c r="G2373" s="48"/>
    </row>
    <row r="2374" spans="3:7">
      <c r="C2374" s="3"/>
      <c r="D2374" s="3"/>
      <c r="F2374" s="2"/>
      <c r="G2374" s="48"/>
    </row>
    <row r="2375" spans="3:7">
      <c r="C2375" s="3"/>
      <c r="D2375" s="3"/>
      <c r="F2375" s="2"/>
      <c r="G2375" s="48"/>
    </row>
    <row r="2376" spans="3:7">
      <c r="C2376" s="3"/>
      <c r="D2376" s="3"/>
      <c r="F2376" s="2"/>
      <c r="G2376" s="48"/>
    </row>
    <row r="2377" spans="3:7">
      <c r="C2377" s="3"/>
      <c r="D2377" s="3"/>
      <c r="F2377" s="2"/>
      <c r="G2377" s="48"/>
    </row>
    <row r="2378" spans="3:7">
      <c r="C2378" s="3"/>
      <c r="D2378" s="3"/>
      <c r="F2378" s="2"/>
      <c r="G2378" s="48"/>
    </row>
    <row r="2379" spans="3:7">
      <c r="C2379" s="3"/>
      <c r="D2379" s="3"/>
      <c r="F2379" s="2"/>
      <c r="G2379" s="48"/>
    </row>
    <row r="2380" spans="3:7">
      <c r="C2380" s="3"/>
      <c r="D2380" s="3"/>
      <c r="F2380" s="2"/>
      <c r="G2380" s="48"/>
    </row>
    <row r="2381" spans="3:7">
      <c r="C2381" s="3"/>
      <c r="D2381" s="3"/>
      <c r="F2381" s="2"/>
      <c r="G2381" s="48"/>
    </row>
    <row r="2382" spans="3:7">
      <c r="C2382" s="3"/>
      <c r="D2382" s="3"/>
      <c r="F2382" s="2"/>
      <c r="G2382" s="48"/>
    </row>
    <row r="2383" spans="3:7">
      <c r="C2383" s="3"/>
      <c r="D2383" s="3"/>
      <c r="F2383" s="2"/>
      <c r="G2383" s="48"/>
    </row>
    <row r="2384" spans="3:7">
      <c r="C2384" s="3"/>
      <c r="D2384" s="3"/>
      <c r="F2384" s="2"/>
      <c r="G2384" s="48"/>
    </row>
    <row r="2385" spans="3:7">
      <c r="C2385" s="3"/>
      <c r="D2385" s="3"/>
      <c r="F2385" s="2"/>
      <c r="G2385" s="48"/>
    </row>
    <row r="2386" spans="3:7">
      <c r="C2386" s="3"/>
      <c r="D2386" s="3"/>
      <c r="F2386" s="2"/>
      <c r="G2386" s="48"/>
    </row>
    <row r="2387" spans="3:7">
      <c r="C2387" s="3"/>
      <c r="D2387" s="3"/>
      <c r="F2387" s="2"/>
      <c r="G2387" s="48"/>
    </row>
    <row r="2388" spans="3:7">
      <c r="C2388" s="3"/>
      <c r="D2388" s="3"/>
      <c r="F2388" s="2"/>
      <c r="G2388" s="48"/>
    </row>
    <row r="2389" spans="3:7">
      <c r="C2389" s="3"/>
      <c r="D2389" s="3"/>
      <c r="F2389" s="2"/>
      <c r="G2389" s="48"/>
    </row>
    <row r="2390" spans="3:7">
      <c r="C2390" s="3"/>
      <c r="D2390" s="3"/>
      <c r="F2390" s="2"/>
      <c r="G2390" s="48"/>
    </row>
    <row r="2391" spans="3:7">
      <c r="C2391" s="3"/>
      <c r="D2391" s="3"/>
      <c r="F2391" s="2"/>
      <c r="G2391" s="48"/>
    </row>
    <row r="2392" spans="3:7">
      <c r="C2392" s="3"/>
      <c r="D2392" s="3"/>
      <c r="F2392" s="2"/>
      <c r="G2392" s="48"/>
    </row>
    <row r="2393" spans="3:7">
      <c r="C2393" s="3"/>
      <c r="D2393" s="3"/>
      <c r="F2393" s="2"/>
      <c r="G2393" s="48"/>
    </row>
    <row r="2394" spans="3:7">
      <c r="C2394" s="3"/>
      <c r="D2394" s="3"/>
      <c r="F2394" s="2"/>
      <c r="G2394" s="48"/>
    </row>
    <row r="2395" spans="3:7">
      <c r="C2395" s="3"/>
      <c r="D2395" s="3"/>
      <c r="F2395" s="2"/>
      <c r="G2395" s="48"/>
    </row>
    <row r="2396" spans="3:7">
      <c r="C2396" s="3"/>
      <c r="D2396" s="3"/>
      <c r="F2396" s="2"/>
      <c r="G2396" s="48"/>
    </row>
    <row r="2397" spans="3:7">
      <c r="C2397" s="3"/>
      <c r="D2397" s="3"/>
      <c r="F2397" s="2"/>
      <c r="G2397" s="48"/>
    </row>
    <row r="2398" spans="3:7">
      <c r="C2398" s="3"/>
      <c r="D2398" s="3"/>
      <c r="F2398" s="2"/>
      <c r="G2398" s="48"/>
    </row>
    <row r="2399" spans="3:7">
      <c r="C2399" s="3"/>
      <c r="D2399" s="3"/>
      <c r="F2399" s="2"/>
      <c r="G2399" s="48"/>
    </row>
    <row r="2400" spans="3:7">
      <c r="C2400" s="3"/>
      <c r="D2400" s="3"/>
      <c r="F2400" s="2"/>
      <c r="G2400" s="48"/>
    </row>
    <row r="2401" spans="3:7">
      <c r="C2401" s="3"/>
      <c r="D2401" s="3"/>
      <c r="F2401" s="2"/>
      <c r="G2401" s="48"/>
    </row>
    <row r="2402" spans="3:7">
      <c r="C2402" s="3"/>
      <c r="D2402" s="3"/>
      <c r="F2402" s="2"/>
      <c r="G2402" s="48"/>
    </row>
    <row r="2403" spans="3:7">
      <c r="C2403" s="3"/>
      <c r="D2403" s="3"/>
      <c r="F2403" s="2"/>
      <c r="G2403" s="48"/>
    </row>
    <row r="2404" spans="3:7">
      <c r="C2404" s="3"/>
      <c r="D2404" s="3"/>
      <c r="F2404" s="2"/>
      <c r="G2404" s="48"/>
    </row>
    <row r="2405" spans="3:7">
      <c r="C2405" s="3"/>
      <c r="D2405" s="3"/>
      <c r="F2405" s="2"/>
      <c r="G2405" s="48"/>
    </row>
    <row r="2406" spans="3:7">
      <c r="C2406" s="3"/>
      <c r="D2406" s="3"/>
      <c r="F2406" s="2"/>
      <c r="G2406" s="48"/>
    </row>
    <row r="2407" spans="3:7">
      <c r="C2407" s="3"/>
      <c r="D2407" s="3"/>
      <c r="F2407" s="2"/>
      <c r="G2407" s="48"/>
    </row>
    <row r="2408" spans="3:7">
      <c r="C2408" s="3"/>
      <c r="D2408" s="3"/>
      <c r="F2408" s="2"/>
      <c r="G2408" s="48"/>
    </row>
    <row r="2409" spans="3:7">
      <c r="C2409" s="3"/>
      <c r="D2409" s="3"/>
      <c r="F2409" s="2"/>
      <c r="G2409" s="48"/>
    </row>
    <row r="2410" spans="3:7">
      <c r="C2410" s="3"/>
      <c r="D2410" s="3"/>
      <c r="F2410" s="2"/>
      <c r="G2410" s="48"/>
    </row>
    <row r="2411" spans="3:7">
      <c r="C2411" s="3"/>
      <c r="D2411" s="3"/>
      <c r="F2411" s="2"/>
      <c r="G2411" s="48"/>
    </row>
    <row r="2412" spans="3:7">
      <c r="C2412" s="3"/>
      <c r="D2412" s="3"/>
      <c r="F2412" s="2"/>
      <c r="G2412" s="48"/>
    </row>
    <row r="2413" spans="3:7">
      <c r="C2413" s="3"/>
      <c r="D2413" s="3"/>
      <c r="F2413" s="2"/>
      <c r="G2413" s="48"/>
    </row>
    <row r="2414" spans="3:7">
      <c r="C2414" s="3"/>
      <c r="D2414" s="3"/>
      <c r="F2414" s="2"/>
      <c r="G2414" s="48"/>
    </row>
    <row r="2415" spans="3:7">
      <c r="C2415" s="3"/>
      <c r="D2415" s="3"/>
      <c r="F2415" s="2"/>
      <c r="G2415" s="48"/>
    </row>
    <row r="2416" spans="3:7">
      <c r="C2416" s="3"/>
      <c r="D2416" s="3"/>
      <c r="F2416" s="2"/>
      <c r="G2416" s="48"/>
    </row>
    <row r="2417" spans="3:7">
      <c r="C2417" s="3"/>
      <c r="D2417" s="3"/>
      <c r="F2417" s="2"/>
      <c r="G2417" s="48"/>
    </row>
    <row r="2418" spans="3:7">
      <c r="C2418" s="3"/>
      <c r="D2418" s="3"/>
      <c r="F2418" s="2"/>
      <c r="G2418" s="48"/>
    </row>
    <row r="2419" spans="3:7">
      <c r="C2419" s="3"/>
      <c r="D2419" s="3"/>
      <c r="F2419" s="2"/>
      <c r="G2419" s="48"/>
    </row>
    <row r="2420" spans="3:7">
      <c r="C2420" s="3"/>
      <c r="D2420" s="3"/>
      <c r="F2420" s="2"/>
      <c r="G2420" s="48"/>
    </row>
    <row r="2421" spans="3:7">
      <c r="C2421" s="3"/>
      <c r="D2421" s="3"/>
      <c r="F2421" s="2"/>
      <c r="G2421" s="48"/>
    </row>
    <row r="2422" spans="3:7">
      <c r="C2422" s="3"/>
      <c r="D2422" s="3"/>
      <c r="F2422" s="2"/>
      <c r="G2422" s="48"/>
    </row>
    <row r="2423" spans="3:7">
      <c r="C2423" s="3"/>
      <c r="D2423" s="3"/>
      <c r="F2423" s="2"/>
      <c r="G2423" s="48"/>
    </row>
    <row r="2424" spans="3:7">
      <c r="C2424" s="3"/>
      <c r="D2424" s="3"/>
      <c r="F2424" s="2"/>
      <c r="G2424" s="48"/>
    </row>
    <row r="2425" spans="3:7">
      <c r="C2425" s="3"/>
      <c r="D2425" s="3"/>
      <c r="F2425" s="2"/>
      <c r="G2425" s="48"/>
    </row>
    <row r="2426" spans="3:7">
      <c r="C2426" s="3"/>
      <c r="D2426" s="3"/>
      <c r="F2426" s="2"/>
      <c r="G2426" s="48"/>
    </row>
    <row r="2427" spans="3:7">
      <c r="C2427" s="3"/>
      <c r="D2427" s="3"/>
      <c r="F2427" s="2"/>
      <c r="G2427" s="48"/>
    </row>
    <row r="2428" spans="3:7">
      <c r="C2428" s="3"/>
      <c r="D2428" s="3"/>
      <c r="F2428" s="2"/>
      <c r="G2428" s="48"/>
    </row>
    <row r="2429" spans="3:7">
      <c r="C2429" s="3"/>
      <c r="D2429" s="3"/>
      <c r="F2429" s="2"/>
      <c r="G2429" s="48"/>
    </row>
    <row r="2430" spans="3:7">
      <c r="C2430" s="3"/>
      <c r="D2430" s="3"/>
      <c r="F2430" s="2"/>
      <c r="G2430" s="48"/>
    </row>
    <row r="2431" spans="3:7">
      <c r="C2431" s="3"/>
      <c r="D2431" s="3"/>
      <c r="F2431" s="2"/>
      <c r="G2431" s="48"/>
    </row>
    <row r="2432" spans="3:7">
      <c r="C2432" s="3"/>
      <c r="D2432" s="3"/>
      <c r="F2432" s="2"/>
      <c r="G2432" s="48"/>
    </row>
    <row r="2433" spans="3:7">
      <c r="C2433" s="3"/>
      <c r="D2433" s="3"/>
      <c r="F2433" s="2"/>
      <c r="G2433" s="48"/>
    </row>
    <row r="2434" spans="3:7">
      <c r="C2434" s="3"/>
      <c r="D2434" s="3"/>
      <c r="F2434" s="2"/>
      <c r="G2434" s="48"/>
    </row>
    <row r="2435" spans="3:7">
      <c r="C2435" s="3"/>
      <c r="D2435" s="3"/>
      <c r="F2435" s="2"/>
      <c r="G2435" s="48"/>
    </row>
    <row r="2436" spans="3:7">
      <c r="C2436" s="3"/>
      <c r="D2436" s="3"/>
      <c r="F2436" s="2"/>
      <c r="G2436" s="48"/>
    </row>
    <row r="2437" spans="3:7">
      <c r="C2437" s="3"/>
      <c r="D2437" s="3"/>
      <c r="F2437" s="2"/>
      <c r="G2437" s="48"/>
    </row>
    <row r="2438" spans="3:7">
      <c r="C2438" s="3"/>
      <c r="D2438" s="3"/>
      <c r="F2438" s="2"/>
      <c r="G2438" s="48"/>
    </row>
    <row r="2439" spans="3:7">
      <c r="C2439" s="3"/>
      <c r="D2439" s="3"/>
      <c r="F2439" s="2"/>
      <c r="G2439" s="48"/>
    </row>
    <row r="2440" spans="3:7">
      <c r="C2440" s="3"/>
      <c r="D2440" s="3"/>
      <c r="F2440" s="2"/>
      <c r="G2440" s="48"/>
    </row>
    <row r="2441" spans="3:7">
      <c r="C2441" s="3"/>
      <c r="D2441" s="3"/>
      <c r="F2441" s="2"/>
      <c r="G2441" s="48"/>
    </row>
    <row r="2442" spans="3:7">
      <c r="C2442" s="3"/>
      <c r="D2442" s="3"/>
      <c r="F2442" s="2"/>
      <c r="G2442" s="48"/>
    </row>
    <row r="2443" spans="3:7">
      <c r="C2443" s="3"/>
      <c r="D2443" s="3"/>
      <c r="F2443" s="2"/>
      <c r="G2443" s="48"/>
    </row>
    <row r="2444" spans="3:7">
      <c r="C2444" s="3"/>
      <c r="D2444" s="3"/>
      <c r="F2444" s="2"/>
      <c r="G2444" s="48"/>
    </row>
    <row r="2445" spans="3:7">
      <c r="C2445" s="3"/>
      <c r="D2445" s="3"/>
      <c r="F2445" s="2"/>
      <c r="G2445" s="48"/>
    </row>
    <row r="2446" spans="3:7">
      <c r="C2446" s="3"/>
      <c r="D2446" s="3"/>
      <c r="F2446" s="2"/>
      <c r="G2446" s="48"/>
    </row>
    <row r="2447" spans="3:7">
      <c r="C2447" s="3"/>
      <c r="D2447" s="3"/>
      <c r="F2447" s="2"/>
      <c r="G2447" s="48"/>
    </row>
    <row r="2448" spans="3:7">
      <c r="C2448" s="3"/>
      <c r="D2448" s="3"/>
      <c r="F2448" s="2"/>
      <c r="G2448" s="48"/>
    </row>
    <row r="2449" spans="3:7">
      <c r="C2449" s="3"/>
      <c r="D2449" s="3"/>
      <c r="F2449" s="2"/>
      <c r="G2449" s="48"/>
    </row>
    <row r="2450" spans="3:7">
      <c r="C2450" s="3"/>
      <c r="D2450" s="3"/>
      <c r="F2450" s="2"/>
      <c r="G2450" s="48"/>
    </row>
    <row r="2451" spans="3:7">
      <c r="C2451" s="3"/>
      <c r="D2451" s="3"/>
      <c r="F2451" s="2"/>
      <c r="G2451" s="48"/>
    </row>
    <row r="2452" spans="3:7">
      <c r="C2452" s="3"/>
      <c r="D2452" s="3"/>
      <c r="F2452" s="2"/>
      <c r="G2452" s="48"/>
    </row>
    <row r="2453" spans="3:7">
      <c r="C2453" s="3"/>
      <c r="D2453" s="3"/>
      <c r="F2453" s="2"/>
      <c r="G2453" s="48"/>
    </row>
    <row r="2454" spans="3:7">
      <c r="C2454" s="3"/>
      <c r="D2454" s="3"/>
      <c r="F2454" s="2"/>
      <c r="G2454" s="48"/>
    </row>
    <row r="2455" spans="3:7">
      <c r="C2455" s="3"/>
      <c r="D2455" s="3"/>
      <c r="F2455" s="2"/>
      <c r="G2455" s="48"/>
    </row>
    <row r="2456" spans="3:7">
      <c r="C2456" s="3"/>
      <c r="D2456" s="3"/>
      <c r="F2456" s="2"/>
      <c r="G2456" s="48"/>
    </row>
    <row r="2457" spans="3:7">
      <c r="C2457" s="3"/>
      <c r="D2457" s="3"/>
      <c r="F2457" s="2"/>
      <c r="G2457" s="48"/>
    </row>
    <row r="2458" spans="3:7">
      <c r="C2458" s="3"/>
      <c r="D2458" s="3"/>
      <c r="F2458" s="2"/>
      <c r="G2458" s="48"/>
    </row>
    <row r="2459" spans="3:7">
      <c r="C2459" s="3"/>
      <c r="D2459" s="3"/>
      <c r="F2459" s="2"/>
      <c r="G2459" s="48"/>
    </row>
    <row r="2460" spans="3:7">
      <c r="C2460" s="3"/>
      <c r="D2460" s="3"/>
      <c r="F2460" s="2"/>
      <c r="G2460" s="48"/>
    </row>
    <row r="2461" spans="3:7">
      <c r="C2461" s="3"/>
      <c r="D2461" s="3"/>
      <c r="F2461" s="2"/>
      <c r="G2461" s="48"/>
    </row>
    <row r="2462" spans="3:7">
      <c r="C2462" s="3"/>
      <c r="D2462" s="3"/>
      <c r="F2462" s="2"/>
      <c r="G2462" s="48"/>
    </row>
    <row r="2463" spans="3:7">
      <c r="C2463" s="3"/>
      <c r="D2463" s="3"/>
      <c r="F2463" s="2"/>
      <c r="G2463" s="48"/>
    </row>
    <row r="2464" spans="3:7">
      <c r="C2464" s="3"/>
      <c r="D2464" s="3"/>
      <c r="F2464" s="2"/>
      <c r="G2464" s="48"/>
    </row>
    <row r="2465" spans="3:7">
      <c r="C2465" s="3"/>
      <c r="D2465" s="3"/>
      <c r="F2465" s="2"/>
      <c r="G2465" s="48"/>
    </row>
    <row r="2466" spans="3:7">
      <c r="C2466" s="3"/>
      <c r="D2466" s="3"/>
      <c r="F2466" s="2"/>
      <c r="G2466" s="48"/>
    </row>
    <row r="2467" spans="3:7">
      <c r="C2467" s="3"/>
      <c r="D2467" s="3"/>
      <c r="F2467" s="2"/>
      <c r="G2467" s="48"/>
    </row>
    <row r="2468" spans="3:7">
      <c r="C2468" s="3"/>
      <c r="D2468" s="3"/>
      <c r="F2468" s="2"/>
      <c r="G2468" s="48"/>
    </row>
    <row r="2469" spans="3:7">
      <c r="C2469" s="3"/>
      <c r="D2469" s="3"/>
      <c r="F2469" s="2"/>
      <c r="G2469" s="48"/>
    </row>
    <row r="2470" spans="3:7">
      <c r="C2470" s="3"/>
      <c r="D2470" s="3"/>
      <c r="F2470" s="2"/>
      <c r="G2470" s="48"/>
    </row>
    <row r="2471" spans="3:7">
      <c r="C2471" s="3"/>
      <c r="D2471" s="3"/>
      <c r="F2471" s="2"/>
      <c r="G2471" s="48"/>
    </row>
    <row r="2472" spans="3:7">
      <c r="C2472" s="3"/>
      <c r="D2472" s="3"/>
      <c r="F2472" s="2"/>
      <c r="G2472" s="48"/>
    </row>
    <row r="2473" spans="3:7">
      <c r="C2473" s="3"/>
      <c r="D2473" s="3"/>
      <c r="F2473" s="2"/>
      <c r="G2473" s="48"/>
    </row>
    <row r="2474" spans="3:7">
      <c r="C2474" s="3"/>
      <c r="D2474" s="3"/>
      <c r="F2474" s="2"/>
      <c r="G2474" s="48"/>
    </row>
    <row r="2475" spans="3:7">
      <c r="C2475" s="3"/>
      <c r="D2475" s="3"/>
      <c r="F2475" s="2"/>
      <c r="G2475" s="48"/>
    </row>
    <row r="2476" spans="3:7">
      <c r="C2476" s="3"/>
      <c r="D2476" s="3"/>
      <c r="F2476" s="2"/>
      <c r="G2476" s="48"/>
    </row>
    <row r="2477" spans="3:7">
      <c r="C2477" s="3"/>
      <c r="D2477" s="3"/>
      <c r="F2477" s="2"/>
      <c r="G2477" s="48"/>
    </row>
    <row r="2478" spans="3:7">
      <c r="C2478" s="3"/>
      <c r="D2478" s="3"/>
      <c r="F2478" s="2"/>
      <c r="G2478" s="48"/>
    </row>
    <row r="2479" spans="3:7">
      <c r="C2479" s="3"/>
      <c r="D2479" s="3"/>
      <c r="F2479" s="2"/>
      <c r="G2479" s="48"/>
    </row>
    <row r="2480" spans="3:7">
      <c r="C2480" s="3"/>
      <c r="D2480" s="3"/>
      <c r="F2480" s="2"/>
      <c r="G2480" s="48"/>
    </row>
    <row r="2481" spans="3:7">
      <c r="C2481" s="3"/>
      <c r="D2481" s="3"/>
      <c r="F2481" s="2"/>
      <c r="G2481" s="48"/>
    </row>
    <row r="2482" spans="3:7">
      <c r="C2482" s="3"/>
      <c r="D2482" s="3"/>
      <c r="F2482" s="2"/>
      <c r="G2482" s="48"/>
    </row>
    <row r="2483" spans="3:7">
      <c r="C2483" s="3"/>
      <c r="D2483" s="3"/>
      <c r="F2483" s="2"/>
      <c r="G2483" s="48"/>
    </row>
    <row r="2484" spans="3:7">
      <c r="C2484" s="3"/>
      <c r="D2484" s="3"/>
      <c r="F2484" s="2"/>
      <c r="G2484" s="48"/>
    </row>
    <row r="2485" spans="3:7">
      <c r="C2485" s="3"/>
      <c r="D2485" s="3"/>
      <c r="F2485" s="2"/>
      <c r="G2485" s="48"/>
    </row>
    <row r="2486" spans="3:7">
      <c r="C2486" s="3"/>
      <c r="D2486" s="3"/>
      <c r="F2486" s="2"/>
      <c r="G2486" s="48"/>
    </row>
    <row r="2487" spans="3:7">
      <c r="C2487" s="3"/>
      <c r="D2487" s="3"/>
      <c r="F2487" s="2"/>
      <c r="G2487" s="48"/>
    </row>
    <row r="2488" spans="3:7">
      <c r="C2488" s="3"/>
      <c r="D2488" s="3"/>
      <c r="F2488" s="2"/>
      <c r="G2488" s="48"/>
    </row>
    <row r="2489" spans="3:7">
      <c r="C2489" s="3"/>
      <c r="D2489" s="3"/>
      <c r="F2489" s="2"/>
      <c r="G2489" s="48"/>
    </row>
    <row r="2490" spans="3:7">
      <c r="C2490" s="3"/>
      <c r="D2490" s="3"/>
      <c r="F2490" s="2"/>
      <c r="G2490" s="48"/>
    </row>
    <row r="2491" spans="3:7">
      <c r="C2491" s="3"/>
      <c r="D2491" s="3"/>
      <c r="F2491" s="2"/>
      <c r="G2491" s="48"/>
    </row>
    <row r="2492" spans="3:7">
      <c r="C2492" s="3"/>
      <c r="D2492" s="3"/>
      <c r="F2492" s="2"/>
      <c r="G2492" s="48"/>
    </row>
    <row r="2493" spans="3:7">
      <c r="C2493" s="3"/>
      <c r="D2493" s="3"/>
      <c r="F2493" s="2"/>
      <c r="G2493" s="48"/>
    </row>
    <row r="2494" spans="3:7">
      <c r="C2494" s="3"/>
      <c r="D2494" s="3"/>
      <c r="F2494" s="2"/>
      <c r="G2494" s="48"/>
    </row>
    <row r="2495" spans="3:7">
      <c r="C2495" s="3"/>
      <c r="D2495" s="3"/>
      <c r="F2495" s="2"/>
      <c r="G2495" s="48"/>
    </row>
    <row r="2496" spans="3:7">
      <c r="C2496" s="3"/>
      <c r="D2496" s="3"/>
      <c r="F2496" s="2"/>
      <c r="G2496" s="48"/>
    </row>
    <row r="2497" spans="3:7">
      <c r="C2497" s="3"/>
      <c r="D2497" s="3"/>
      <c r="F2497" s="2"/>
      <c r="G2497" s="48"/>
    </row>
    <row r="2498" spans="3:7">
      <c r="C2498" s="3"/>
      <c r="D2498" s="3"/>
      <c r="F2498" s="2"/>
      <c r="G2498" s="48"/>
    </row>
    <row r="2499" spans="3:7">
      <c r="C2499" s="3"/>
      <c r="D2499" s="3"/>
      <c r="F2499" s="2"/>
      <c r="G2499" s="48"/>
    </row>
    <row r="2500" spans="3:7">
      <c r="C2500" s="3"/>
      <c r="D2500" s="3"/>
      <c r="F2500" s="2"/>
      <c r="G2500" s="48"/>
    </row>
    <row r="2501" spans="3:7">
      <c r="C2501" s="3"/>
      <c r="D2501" s="3"/>
      <c r="F2501" s="2"/>
      <c r="G2501" s="48"/>
    </row>
    <row r="2502" spans="3:7">
      <c r="C2502" s="3"/>
      <c r="D2502" s="3"/>
      <c r="F2502" s="2"/>
      <c r="G2502" s="48"/>
    </row>
    <row r="2503" spans="3:7">
      <c r="C2503" s="3"/>
      <c r="D2503" s="3"/>
      <c r="F2503" s="2"/>
      <c r="G2503" s="48"/>
    </row>
    <row r="2504" spans="3:7">
      <c r="C2504" s="3"/>
      <c r="D2504" s="3"/>
      <c r="F2504" s="2"/>
      <c r="G2504" s="48"/>
    </row>
    <row r="2505" spans="3:7">
      <c r="C2505" s="3"/>
      <c r="D2505" s="3"/>
      <c r="F2505" s="2"/>
      <c r="G2505" s="48"/>
    </row>
    <row r="2506" spans="3:7">
      <c r="C2506" s="3"/>
      <c r="D2506" s="3"/>
      <c r="F2506" s="2"/>
      <c r="G2506" s="48"/>
    </row>
    <row r="2507" spans="3:7">
      <c r="C2507" s="3"/>
      <c r="D2507" s="3"/>
      <c r="F2507" s="2"/>
      <c r="G2507" s="48"/>
    </row>
    <row r="2508" spans="3:7">
      <c r="C2508" s="3"/>
      <c r="D2508" s="3"/>
      <c r="F2508" s="2"/>
      <c r="G2508" s="48"/>
    </row>
    <row r="2509" spans="3:7">
      <c r="C2509" s="3"/>
      <c r="D2509" s="3"/>
      <c r="F2509" s="2"/>
      <c r="G2509" s="48"/>
    </row>
    <row r="2510" spans="3:7">
      <c r="C2510" s="3"/>
      <c r="D2510" s="3"/>
      <c r="F2510" s="2"/>
      <c r="G2510" s="48"/>
    </row>
    <row r="2511" spans="3:7">
      <c r="C2511" s="3"/>
      <c r="D2511" s="3"/>
      <c r="F2511" s="2"/>
      <c r="G2511" s="48"/>
    </row>
    <row r="2512" spans="3:7">
      <c r="C2512" s="3"/>
      <c r="D2512" s="3"/>
      <c r="F2512" s="2"/>
      <c r="G2512" s="48"/>
    </row>
    <row r="2513" spans="3:7">
      <c r="C2513" s="3"/>
      <c r="D2513" s="3"/>
      <c r="F2513" s="2"/>
      <c r="G2513" s="48"/>
    </row>
    <row r="2514" spans="3:7">
      <c r="C2514" s="3"/>
      <c r="D2514" s="3"/>
      <c r="F2514" s="2"/>
      <c r="G2514" s="48"/>
    </row>
    <row r="2515" spans="3:7">
      <c r="C2515" s="3"/>
      <c r="D2515" s="3"/>
      <c r="F2515" s="2"/>
      <c r="G2515" s="48"/>
    </row>
    <row r="2516" spans="3:7">
      <c r="C2516" s="3"/>
      <c r="D2516" s="3"/>
      <c r="F2516" s="2"/>
      <c r="G2516" s="48"/>
    </row>
    <row r="2517" spans="3:7">
      <c r="C2517" s="3"/>
      <c r="D2517" s="3"/>
      <c r="F2517" s="2"/>
      <c r="G2517" s="48"/>
    </row>
    <row r="2518" spans="3:7">
      <c r="C2518" s="3"/>
      <c r="D2518" s="3"/>
      <c r="F2518" s="2"/>
      <c r="G2518" s="48"/>
    </row>
    <row r="2519" spans="3:7">
      <c r="C2519" s="3"/>
      <c r="D2519" s="3"/>
      <c r="F2519" s="2"/>
      <c r="G2519" s="48"/>
    </row>
    <row r="2520" spans="3:7">
      <c r="C2520" s="3"/>
      <c r="D2520" s="3"/>
      <c r="F2520" s="2"/>
      <c r="G2520" s="48"/>
    </row>
    <row r="2521" spans="3:7">
      <c r="C2521" s="3"/>
      <c r="D2521" s="3"/>
      <c r="F2521" s="2"/>
      <c r="G2521" s="48"/>
    </row>
    <row r="2522" spans="3:7">
      <c r="C2522" s="3"/>
      <c r="D2522" s="3"/>
      <c r="F2522" s="2"/>
      <c r="G2522" s="48"/>
    </row>
    <row r="2523" spans="3:7">
      <c r="C2523" s="3"/>
      <c r="D2523" s="3"/>
      <c r="F2523" s="2"/>
      <c r="G2523" s="48"/>
    </row>
    <row r="2524" spans="3:7">
      <c r="C2524" s="3"/>
      <c r="D2524" s="3"/>
      <c r="F2524" s="2"/>
      <c r="G2524" s="48"/>
    </row>
    <row r="2525" spans="3:7">
      <c r="C2525" s="3"/>
      <c r="D2525" s="3"/>
      <c r="F2525" s="2"/>
      <c r="G2525" s="48"/>
    </row>
    <row r="2526" spans="3:7">
      <c r="C2526" s="3"/>
      <c r="D2526" s="3"/>
      <c r="F2526" s="2"/>
      <c r="G2526" s="48"/>
    </row>
    <row r="2527" spans="3:7">
      <c r="C2527" s="3"/>
      <c r="D2527" s="3"/>
      <c r="F2527" s="2"/>
      <c r="G2527" s="48"/>
    </row>
    <row r="2528" spans="3:7">
      <c r="C2528" s="3"/>
      <c r="D2528" s="3"/>
      <c r="F2528" s="2"/>
      <c r="G2528" s="48"/>
    </row>
    <row r="2529" spans="3:7">
      <c r="C2529" s="3"/>
      <c r="D2529" s="3"/>
      <c r="F2529" s="2"/>
      <c r="G2529" s="48"/>
    </row>
    <row r="2530" spans="3:7">
      <c r="C2530" s="3"/>
      <c r="D2530" s="3"/>
      <c r="F2530" s="2"/>
      <c r="G2530" s="48"/>
    </row>
    <row r="2531" spans="3:7">
      <c r="C2531" s="3"/>
      <c r="D2531" s="3"/>
      <c r="F2531" s="2"/>
      <c r="G2531" s="48"/>
    </row>
    <row r="2532" spans="3:7">
      <c r="C2532" s="3"/>
      <c r="D2532" s="3"/>
      <c r="F2532" s="2"/>
      <c r="G2532" s="48"/>
    </row>
    <row r="2533" spans="3:7">
      <c r="C2533" s="3"/>
      <c r="D2533" s="3"/>
      <c r="F2533" s="2"/>
      <c r="G2533" s="48"/>
    </row>
    <row r="2534" spans="3:7">
      <c r="C2534" s="3"/>
      <c r="D2534" s="3"/>
      <c r="F2534" s="2"/>
      <c r="G2534" s="48"/>
    </row>
    <row r="2535" spans="3:7">
      <c r="C2535" s="3"/>
      <c r="D2535" s="3"/>
      <c r="F2535" s="2"/>
      <c r="G2535" s="48"/>
    </row>
    <row r="2536" spans="3:7">
      <c r="C2536" s="3"/>
      <c r="D2536" s="3"/>
      <c r="F2536" s="2"/>
      <c r="G2536" s="48"/>
    </row>
    <row r="2537" spans="3:7">
      <c r="C2537" s="3"/>
      <c r="D2537" s="3"/>
      <c r="F2537" s="2"/>
      <c r="G2537" s="48"/>
    </row>
    <row r="2538" spans="3:7">
      <c r="C2538" s="3"/>
      <c r="D2538" s="3"/>
      <c r="F2538" s="2"/>
      <c r="G2538" s="48"/>
    </row>
    <row r="2539" spans="3:7">
      <c r="C2539" s="3"/>
      <c r="D2539" s="3"/>
      <c r="F2539" s="2"/>
      <c r="G2539" s="48"/>
    </row>
    <row r="2540" spans="3:7">
      <c r="C2540" s="3"/>
      <c r="D2540" s="3"/>
      <c r="F2540" s="2"/>
      <c r="G2540" s="48"/>
    </row>
    <row r="2541" spans="3:7">
      <c r="C2541" s="3"/>
      <c r="D2541" s="3"/>
      <c r="F2541" s="2"/>
      <c r="G2541" s="48"/>
    </row>
    <row r="2542" spans="3:7">
      <c r="C2542" s="3"/>
      <c r="D2542" s="3"/>
      <c r="F2542" s="2"/>
      <c r="G2542" s="48"/>
    </row>
    <row r="2543" spans="3:7">
      <c r="C2543" s="3"/>
      <c r="D2543" s="3"/>
      <c r="F2543" s="2"/>
      <c r="G2543" s="48"/>
    </row>
    <row r="2544" spans="3:7">
      <c r="C2544" s="3"/>
      <c r="D2544" s="3"/>
      <c r="F2544" s="2"/>
      <c r="G2544" s="48"/>
    </row>
    <row r="2545" spans="3:7">
      <c r="C2545" s="3"/>
      <c r="D2545" s="3"/>
      <c r="F2545" s="2"/>
      <c r="G2545" s="48"/>
    </row>
    <row r="2546" spans="3:7">
      <c r="C2546" s="3"/>
      <c r="D2546" s="3"/>
      <c r="F2546" s="2"/>
      <c r="G2546" s="48"/>
    </row>
    <row r="2547" spans="3:7">
      <c r="C2547" s="3"/>
      <c r="D2547" s="3"/>
      <c r="F2547" s="2"/>
      <c r="G2547" s="48"/>
    </row>
    <row r="2548" spans="3:7">
      <c r="C2548" s="3"/>
      <c r="D2548" s="3"/>
      <c r="F2548" s="2"/>
      <c r="G2548" s="48"/>
    </row>
    <row r="2549" spans="3:7">
      <c r="C2549" s="3"/>
      <c r="D2549" s="3"/>
      <c r="F2549" s="2"/>
      <c r="G2549" s="48"/>
    </row>
    <row r="2550" spans="3:7">
      <c r="C2550" s="3"/>
      <c r="D2550" s="3"/>
      <c r="F2550" s="2"/>
      <c r="G2550" s="48"/>
    </row>
    <row r="2551" spans="3:7">
      <c r="C2551" s="3"/>
      <c r="D2551" s="3"/>
      <c r="F2551" s="2"/>
      <c r="G2551" s="48"/>
    </row>
    <row r="2552" spans="3:7">
      <c r="C2552" s="3"/>
      <c r="D2552" s="3"/>
      <c r="F2552" s="2"/>
      <c r="G2552" s="48"/>
    </row>
    <row r="2553" spans="3:7">
      <c r="C2553" s="3"/>
      <c r="D2553" s="3"/>
      <c r="F2553" s="2"/>
      <c r="G2553" s="48"/>
    </row>
    <row r="2554" spans="3:7">
      <c r="C2554" s="3"/>
      <c r="D2554" s="3"/>
      <c r="F2554" s="2"/>
      <c r="G2554" s="48"/>
    </row>
    <row r="2555" spans="3:7">
      <c r="C2555" s="3"/>
      <c r="D2555" s="3"/>
      <c r="F2555" s="2"/>
      <c r="G2555" s="48"/>
    </row>
    <row r="2556" spans="3:7">
      <c r="C2556" s="3"/>
      <c r="D2556" s="3"/>
      <c r="F2556" s="2"/>
      <c r="G2556" s="48"/>
    </row>
    <row r="2557" spans="3:7">
      <c r="C2557" s="3"/>
      <c r="D2557" s="3"/>
      <c r="F2557" s="2"/>
      <c r="G2557" s="48"/>
    </row>
    <row r="2558" spans="3:7">
      <c r="C2558" s="3"/>
      <c r="D2558" s="3"/>
      <c r="F2558" s="2"/>
      <c r="G2558" s="48"/>
    </row>
    <row r="2559" spans="3:7">
      <c r="C2559" s="3"/>
      <c r="D2559" s="3"/>
      <c r="F2559" s="2"/>
      <c r="G2559" s="48"/>
    </row>
    <row r="2560" spans="3:7">
      <c r="C2560" s="3"/>
      <c r="D2560" s="3"/>
      <c r="F2560" s="2"/>
      <c r="G2560" s="48"/>
    </row>
    <row r="2561" spans="3:7">
      <c r="C2561" s="3"/>
      <c r="D2561" s="3"/>
      <c r="F2561" s="2"/>
      <c r="G2561" s="48"/>
    </row>
    <row r="2562" spans="3:7">
      <c r="C2562" s="3"/>
      <c r="D2562" s="3"/>
      <c r="F2562" s="2"/>
      <c r="G2562" s="48"/>
    </row>
    <row r="2563" spans="3:7">
      <c r="C2563" s="3"/>
      <c r="D2563" s="3"/>
      <c r="F2563" s="2"/>
      <c r="G2563" s="48"/>
    </row>
    <row r="2564" spans="3:7">
      <c r="C2564" s="3"/>
      <c r="D2564" s="3"/>
      <c r="F2564" s="2"/>
      <c r="G2564" s="48"/>
    </row>
    <row r="2565" spans="3:7">
      <c r="C2565" s="3"/>
      <c r="D2565" s="3"/>
      <c r="F2565" s="2"/>
      <c r="G2565" s="48"/>
    </row>
    <row r="2566" spans="3:7">
      <c r="C2566" s="3"/>
      <c r="D2566" s="3"/>
      <c r="F2566" s="2"/>
      <c r="G2566" s="48"/>
    </row>
    <row r="2567" spans="3:7">
      <c r="C2567" s="3"/>
      <c r="D2567" s="3"/>
      <c r="F2567" s="2"/>
      <c r="G2567" s="48"/>
    </row>
    <row r="2568" spans="3:7">
      <c r="C2568" s="3"/>
      <c r="D2568" s="3"/>
      <c r="F2568" s="2"/>
      <c r="G2568" s="48"/>
    </row>
    <row r="2569" spans="3:7">
      <c r="C2569" s="3"/>
      <c r="D2569" s="3"/>
      <c r="F2569" s="2"/>
      <c r="G2569" s="48"/>
    </row>
    <row r="2570" spans="3:7">
      <c r="C2570" s="3"/>
      <c r="D2570" s="3"/>
      <c r="F2570" s="2"/>
      <c r="G2570" s="48"/>
    </row>
    <row r="2571" spans="3:7">
      <c r="C2571" s="3"/>
      <c r="D2571" s="3"/>
      <c r="F2571" s="2"/>
      <c r="G2571" s="48"/>
    </row>
    <row r="2572" spans="3:7">
      <c r="C2572" s="3"/>
      <c r="D2572" s="3"/>
      <c r="F2572" s="2"/>
      <c r="G2572" s="48"/>
    </row>
    <row r="2573" spans="3:7">
      <c r="C2573" s="3"/>
      <c r="D2573" s="3"/>
      <c r="F2573" s="2"/>
      <c r="G2573" s="48"/>
    </row>
    <row r="2574" spans="3:7">
      <c r="C2574" s="3"/>
      <c r="D2574" s="3"/>
      <c r="F2574" s="2"/>
      <c r="G2574" s="48"/>
    </row>
    <row r="2575" spans="3:7">
      <c r="C2575" s="3"/>
      <c r="D2575" s="3"/>
      <c r="F2575" s="2"/>
      <c r="G2575" s="48"/>
    </row>
    <row r="2576" spans="3:7">
      <c r="C2576" s="3"/>
      <c r="D2576" s="3"/>
      <c r="F2576" s="2"/>
      <c r="G2576" s="48"/>
    </row>
    <row r="2577" spans="3:7">
      <c r="C2577" s="3"/>
      <c r="D2577" s="3"/>
      <c r="F2577" s="2"/>
      <c r="G2577" s="48"/>
    </row>
    <row r="2578" spans="3:7">
      <c r="C2578" s="3"/>
      <c r="D2578" s="3"/>
      <c r="F2578" s="2"/>
      <c r="G2578" s="48"/>
    </row>
    <row r="2579" spans="3:7">
      <c r="C2579" s="3"/>
      <c r="D2579" s="3"/>
      <c r="F2579" s="2"/>
      <c r="G2579" s="48"/>
    </row>
    <row r="2580" spans="3:7">
      <c r="C2580" s="3"/>
      <c r="D2580" s="3"/>
      <c r="F2580" s="2"/>
      <c r="G2580" s="48"/>
    </row>
    <row r="2581" spans="3:7">
      <c r="C2581" s="3"/>
      <c r="D2581" s="3"/>
      <c r="F2581" s="2"/>
      <c r="G2581" s="48"/>
    </row>
    <row r="2582" spans="3:7">
      <c r="C2582" s="3"/>
      <c r="D2582" s="3"/>
      <c r="F2582" s="2"/>
      <c r="G2582" s="48"/>
    </row>
    <row r="2583" spans="3:7">
      <c r="C2583" s="3"/>
      <c r="D2583" s="3"/>
      <c r="F2583" s="2"/>
      <c r="G2583" s="48"/>
    </row>
    <row r="2584" spans="3:7">
      <c r="C2584" s="3"/>
      <c r="D2584" s="3"/>
      <c r="F2584" s="2"/>
      <c r="G2584" s="48"/>
    </row>
    <row r="2585" spans="3:7">
      <c r="C2585" s="3"/>
      <c r="D2585" s="3"/>
      <c r="F2585" s="2"/>
      <c r="G2585" s="48"/>
    </row>
    <row r="2586" spans="3:7">
      <c r="C2586" s="3"/>
      <c r="D2586" s="3"/>
      <c r="F2586" s="2"/>
      <c r="G2586" s="48"/>
    </row>
    <row r="2587" spans="3:7">
      <c r="C2587" s="3"/>
      <c r="D2587" s="3"/>
      <c r="F2587" s="2"/>
      <c r="G2587" s="48"/>
    </row>
    <row r="2588" spans="3:7">
      <c r="C2588" s="3"/>
      <c r="D2588" s="3"/>
      <c r="F2588" s="2"/>
      <c r="G2588" s="48"/>
    </row>
    <row r="2589" spans="3:7">
      <c r="C2589" s="3"/>
      <c r="D2589" s="3"/>
      <c r="F2589" s="2"/>
      <c r="G2589" s="48"/>
    </row>
    <row r="2590" spans="3:7">
      <c r="C2590" s="3"/>
      <c r="D2590" s="3"/>
      <c r="F2590" s="2"/>
      <c r="G2590" s="48"/>
    </row>
    <row r="2591" spans="3:7">
      <c r="C2591" s="3"/>
      <c r="D2591" s="3"/>
      <c r="F2591" s="2"/>
      <c r="G2591" s="48"/>
    </row>
    <row r="2592" spans="3:7">
      <c r="C2592" s="3"/>
      <c r="D2592" s="3"/>
      <c r="F2592" s="2"/>
      <c r="G2592" s="48"/>
    </row>
    <row r="2593" spans="3:7">
      <c r="C2593" s="3"/>
      <c r="D2593" s="3"/>
      <c r="F2593" s="2"/>
      <c r="G2593" s="48"/>
    </row>
    <row r="2594" spans="3:7">
      <c r="C2594" s="3"/>
      <c r="D2594" s="3"/>
      <c r="F2594" s="2"/>
      <c r="G2594" s="48"/>
    </row>
    <row r="2595" spans="3:7">
      <c r="C2595" s="3"/>
      <c r="D2595" s="3"/>
      <c r="F2595" s="2"/>
      <c r="G2595" s="48"/>
    </row>
    <row r="2596" spans="3:7">
      <c r="C2596" s="3"/>
      <c r="D2596" s="3"/>
      <c r="F2596" s="2"/>
      <c r="G2596" s="48"/>
    </row>
    <row r="2597" spans="3:7">
      <c r="C2597" s="3"/>
      <c r="D2597" s="3"/>
      <c r="F2597" s="2"/>
      <c r="G2597" s="48"/>
    </row>
    <row r="2598" spans="3:7">
      <c r="C2598" s="3"/>
      <c r="D2598" s="3"/>
      <c r="F2598" s="2"/>
      <c r="G2598" s="48"/>
    </row>
    <row r="2599" spans="3:7">
      <c r="C2599" s="3"/>
      <c r="D2599" s="3"/>
      <c r="F2599" s="2"/>
      <c r="G2599" s="48"/>
    </row>
    <row r="2600" spans="3:7">
      <c r="C2600" s="3"/>
      <c r="D2600" s="3"/>
      <c r="F2600" s="2"/>
      <c r="G2600" s="48"/>
    </row>
    <row r="2601" spans="3:7">
      <c r="C2601" s="3"/>
      <c r="D2601" s="3"/>
      <c r="F2601" s="2"/>
      <c r="G2601" s="48"/>
    </row>
    <row r="2602" spans="3:7">
      <c r="C2602" s="3"/>
      <c r="D2602" s="3"/>
      <c r="F2602" s="2"/>
      <c r="G2602" s="48"/>
    </row>
    <row r="2603" spans="3:7">
      <c r="C2603" s="3"/>
      <c r="D2603" s="3"/>
      <c r="F2603" s="2"/>
      <c r="G2603" s="48"/>
    </row>
    <row r="2604" spans="3:7">
      <c r="C2604" s="3"/>
      <c r="D2604" s="3"/>
      <c r="F2604" s="2"/>
      <c r="G2604" s="48"/>
    </row>
    <row r="2605" spans="3:7">
      <c r="C2605" s="3"/>
      <c r="D2605" s="3"/>
      <c r="F2605" s="2"/>
      <c r="G2605" s="48"/>
    </row>
    <row r="2606" spans="3:7">
      <c r="C2606" s="3"/>
      <c r="D2606" s="3"/>
      <c r="F2606" s="2"/>
      <c r="G2606" s="48"/>
    </row>
    <row r="2607" spans="3:7">
      <c r="C2607" s="3"/>
      <c r="D2607" s="3"/>
      <c r="F2607" s="2"/>
      <c r="G2607" s="48"/>
    </row>
    <row r="2608" spans="3:7">
      <c r="C2608" s="3"/>
      <c r="D2608" s="3"/>
      <c r="F2608" s="2"/>
      <c r="G2608" s="48"/>
    </row>
    <row r="2609" spans="3:7">
      <c r="C2609" s="3"/>
      <c r="D2609" s="3"/>
      <c r="F2609" s="2"/>
      <c r="G2609" s="48"/>
    </row>
    <row r="2610" spans="3:7">
      <c r="C2610" s="3"/>
      <c r="D2610" s="3"/>
      <c r="F2610" s="2"/>
      <c r="G2610" s="48"/>
    </row>
    <row r="2611" spans="3:7">
      <c r="C2611" s="3"/>
      <c r="D2611" s="3"/>
      <c r="F2611" s="2"/>
      <c r="G2611" s="48"/>
    </row>
    <row r="2612" spans="3:7">
      <c r="C2612" s="3"/>
      <c r="D2612" s="3"/>
      <c r="F2612" s="2"/>
      <c r="G2612" s="48"/>
    </row>
    <row r="2613" spans="3:7">
      <c r="C2613" s="3"/>
      <c r="D2613" s="3"/>
      <c r="F2613" s="2"/>
      <c r="G2613" s="48"/>
    </row>
    <row r="2614" spans="3:7">
      <c r="C2614" s="3"/>
      <c r="D2614" s="3"/>
      <c r="F2614" s="2"/>
      <c r="G2614" s="48"/>
    </row>
    <row r="2615" spans="3:7">
      <c r="C2615" s="3"/>
      <c r="D2615" s="3"/>
      <c r="F2615" s="2"/>
      <c r="G2615" s="48"/>
    </row>
    <row r="2616" spans="3:7">
      <c r="C2616" s="3"/>
      <c r="D2616" s="3"/>
      <c r="F2616" s="2"/>
      <c r="G2616" s="48"/>
    </row>
    <row r="2617" spans="3:7">
      <c r="C2617" s="3"/>
      <c r="D2617" s="3"/>
      <c r="F2617" s="2"/>
      <c r="G2617" s="48"/>
    </row>
    <row r="2618" spans="3:7">
      <c r="C2618" s="3"/>
      <c r="D2618" s="3"/>
      <c r="F2618" s="2"/>
      <c r="G2618" s="48"/>
    </row>
    <row r="2619" spans="3:7">
      <c r="C2619" s="3"/>
      <c r="D2619" s="3"/>
      <c r="F2619" s="2"/>
      <c r="G2619" s="48"/>
    </row>
    <row r="2620" spans="3:7">
      <c r="C2620" s="3"/>
      <c r="D2620" s="3"/>
      <c r="F2620" s="2"/>
      <c r="G2620" s="48"/>
    </row>
    <row r="2621" spans="3:7">
      <c r="C2621" s="3"/>
      <c r="D2621" s="3"/>
      <c r="F2621" s="2"/>
      <c r="G2621" s="48"/>
    </row>
    <row r="2622" spans="3:7">
      <c r="C2622" s="3"/>
      <c r="D2622" s="3"/>
      <c r="F2622" s="2"/>
      <c r="G2622" s="48"/>
    </row>
    <row r="2623" spans="3:7">
      <c r="C2623" s="3"/>
      <c r="D2623" s="3"/>
      <c r="F2623" s="2"/>
      <c r="G2623" s="48"/>
    </row>
    <row r="2624" spans="3:7">
      <c r="C2624" s="3"/>
      <c r="D2624" s="3"/>
      <c r="F2624" s="2"/>
      <c r="G2624" s="48"/>
    </row>
    <row r="2625" spans="3:7">
      <c r="C2625" s="3"/>
      <c r="D2625" s="3"/>
      <c r="F2625" s="2"/>
      <c r="G2625" s="48"/>
    </row>
    <row r="2626" spans="3:7">
      <c r="C2626" s="3"/>
      <c r="D2626" s="3"/>
      <c r="F2626" s="2"/>
      <c r="G2626" s="48"/>
    </row>
    <row r="2627" spans="3:7">
      <c r="C2627" s="3"/>
      <c r="D2627" s="3"/>
      <c r="F2627" s="2"/>
      <c r="G2627" s="48"/>
    </row>
    <row r="2628" spans="3:7">
      <c r="C2628" s="3"/>
      <c r="D2628" s="3"/>
      <c r="F2628" s="2"/>
      <c r="G2628" s="48"/>
    </row>
    <row r="2629" spans="3:7">
      <c r="C2629" s="3"/>
      <c r="D2629" s="3"/>
      <c r="F2629" s="2"/>
      <c r="G2629" s="48"/>
    </row>
    <row r="2630" spans="3:7">
      <c r="C2630" s="3"/>
      <c r="D2630" s="3"/>
      <c r="F2630" s="2"/>
      <c r="G2630" s="48"/>
    </row>
    <row r="2631" spans="3:7">
      <c r="C2631" s="3"/>
      <c r="D2631" s="3"/>
      <c r="F2631" s="2"/>
      <c r="G2631" s="48"/>
    </row>
    <row r="2632" spans="3:7">
      <c r="C2632" s="3"/>
      <c r="D2632" s="3"/>
      <c r="F2632" s="2"/>
      <c r="G2632" s="48"/>
    </row>
    <row r="2633" spans="3:7">
      <c r="C2633" s="3"/>
      <c r="D2633" s="3"/>
      <c r="F2633" s="2"/>
      <c r="G2633" s="48"/>
    </row>
    <row r="2634" spans="3:7">
      <c r="C2634" s="3"/>
      <c r="D2634" s="3"/>
      <c r="F2634" s="2"/>
      <c r="G2634" s="48"/>
    </row>
    <row r="2635" spans="3:7">
      <c r="C2635" s="3"/>
      <c r="D2635" s="3"/>
      <c r="F2635" s="2"/>
      <c r="G2635" s="48"/>
    </row>
    <row r="2636" spans="3:7">
      <c r="C2636" s="3"/>
      <c r="D2636" s="3"/>
      <c r="F2636" s="2"/>
      <c r="G2636" s="48"/>
    </row>
    <row r="2637" spans="3:7">
      <c r="C2637" s="3"/>
      <c r="D2637" s="3"/>
      <c r="F2637" s="2"/>
      <c r="G2637" s="48"/>
    </row>
    <row r="2638" spans="3:7">
      <c r="C2638" s="3"/>
      <c r="D2638" s="3"/>
      <c r="F2638" s="2"/>
      <c r="G2638" s="48"/>
    </row>
    <row r="2639" spans="3:7">
      <c r="C2639" s="3"/>
      <c r="D2639" s="3"/>
      <c r="F2639" s="2"/>
      <c r="G2639" s="48"/>
    </row>
    <row r="2640" spans="3:7">
      <c r="C2640" s="3"/>
      <c r="D2640" s="3"/>
      <c r="F2640" s="2"/>
      <c r="G2640" s="48"/>
    </row>
    <row r="2641" spans="3:7">
      <c r="C2641" s="3"/>
      <c r="D2641" s="3"/>
      <c r="F2641" s="2"/>
      <c r="G2641" s="48"/>
    </row>
    <row r="2642" spans="3:7">
      <c r="C2642" s="3"/>
      <c r="D2642" s="3"/>
      <c r="F2642" s="2"/>
      <c r="G2642" s="48"/>
    </row>
    <row r="2643" spans="3:7">
      <c r="C2643" s="3"/>
      <c r="D2643" s="3"/>
      <c r="F2643" s="2"/>
      <c r="G2643" s="48"/>
    </row>
    <row r="2644" spans="3:7">
      <c r="C2644" s="3"/>
      <c r="D2644" s="3"/>
      <c r="F2644" s="2"/>
      <c r="G2644" s="48"/>
    </row>
    <row r="2645" spans="3:7">
      <c r="C2645" s="3"/>
      <c r="D2645" s="3"/>
      <c r="F2645" s="2"/>
      <c r="G2645" s="48"/>
    </row>
    <row r="2646" spans="3:7">
      <c r="C2646" s="3"/>
      <c r="D2646" s="3"/>
      <c r="F2646" s="2"/>
      <c r="G2646" s="48"/>
    </row>
    <row r="2647" spans="3:7">
      <c r="C2647" s="3"/>
      <c r="D2647" s="3"/>
      <c r="F2647" s="2"/>
      <c r="G2647" s="48"/>
    </row>
    <row r="2648" spans="3:7">
      <c r="C2648" s="3"/>
      <c r="D2648" s="3"/>
      <c r="F2648" s="2"/>
      <c r="G2648" s="48"/>
    </row>
    <row r="2649" spans="3:7">
      <c r="C2649" s="3"/>
      <c r="D2649" s="3"/>
      <c r="F2649" s="2"/>
      <c r="G2649" s="48"/>
    </row>
    <row r="2650" spans="3:7">
      <c r="C2650" s="3"/>
      <c r="D2650" s="3"/>
      <c r="F2650" s="2"/>
      <c r="G2650" s="48"/>
    </row>
    <row r="2651" spans="3:7">
      <c r="C2651" s="3"/>
      <c r="D2651" s="3"/>
      <c r="F2651" s="2"/>
      <c r="G2651" s="48"/>
    </row>
    <row r="2652" spans="3:7">
      <c r="C2652" s="3"/>
      <c r="D2652" s="3"/>
      <c r="F2652" s="2"/>
      <c r="G2652" s="48"/>
    </row>
    <row r="2653" spans="3:7">
      <c r="C2653" s="3"/>
      <c r="D2653" s="3"/>
      <c r="F2653" s="2"/>
      <c r="G2653" s="48"/>
    </row>
    <row r="2654" spans="3:7">
      <c r="C2654" s="3"/>
      <c r="D2654" s="3"/>
      <c r="F2654" s="2"/>
      <c r="G2654" s="48"/>
    </row>
    <row r="2655" spans="3:7">
      <c r="C2655" s="3"/>
      <c r="D2655" s="3"/>
      <c r="F2655" s="2"/>
      <c r="G2655" s="48"/>
    </row>
    <row r="2656" spans="3:7">
      <c r="C2656" s="3"/>
      <c r="D2656" s="3"/>
      <c r="F2656" s="2"/>
      <c r="G2656" s="48"/>
    </row>
    <row r="2657" spans="3:7">
      <c r="C2657" s="3"/>
      <c r="D2657" s="3"/>
      <c r="F2657" s="2"/>
      <c r="G2657" s="48"/>
    </row>
    <row r="2658" spans="3:7">
      <c r="C2658" s="3"/>
      <c r="D2658" s="3"/>
      <c r="F2658" s="2"/>
      <c r="G2658" s="48"/>
    </row>
    <row r="2659" spans="3:7">
      <c r="C2659" s="3"/>
      <c r="D2659" s="3"/>
      <c r="F2659" s="2"/>
      <c r="G2659" s="48"/>
    </row>
    <row r="2660" spans="3:7">
      <c r="C2660" s="3"/>
      <c r="D2660" s="3"/>
      <c r="F2660" s="2"/>
      <c r="G2660" s="48"/>
    </row>
    <row r="2661" spans="3:7">
      <c r="C2661" s="3"/>
      <c r="D2661" s="3"/>
      <c r="F2661" s="2"/>
      <c r="G2661" s="48"/>
    </row>
    <row r="2662" spans="3:7">
      <c r="C2662" s="3"/>
      <c r="D2662" s="3"/>
      <c r="F2662" s="2"/>
      <c r="G2662" s="48"/>
    </row>
    <row r="2663" spans="3:7">
      <c r="C2663" s="3"/>
      <c r="D2663" s="3"/>
      <c r="F2663" s="2"/>
      <c r="G2663" s="48"/>
    </row>
    <row r="2664" spans="3:7">
      <c r="C2664" s="3"/>
      <c r="D2664" s="3"/>
      <c r="F2664" s="2"/>
      <c r="G2664" s="48"/>
    </row>
    <row r="2665" spans="3:7">
      <c r="C2665" s="3"/>
      <c r="D2665" s="3"/>
      <c r="F2665" s="2"/>
      <c r="G2665" s="48"/>
    </row>
    <row r="2666" spans="3:7">
      <c r="C2666" s="3"/>
      <c r="D2666" s="3"/>
      <c r="F2666" s="2"/>
      <c r="G2666" s="48"/>
    </row>
    <row r="2667" spans="3:7">
      <c r="C2667" s="3"/>
      <c r="D2667" s="3"/>
      <c r="F2667" s="2"/>
      <c r="G2667" s="48"/>
    </row>
    <row r="2668" spans="3:7">
      <c r="C2668" s="3"/>
      <c r="D2668" s="3"/>
      <c r="F2668" s="2"/>
      <c r="G2668" s="48"/>
    </row>
    <row r="2669" spans="3:7">
      <c r="C2669" s="3"/>
      <c r="D2669" s="3"/>
      <c r="F2669" s="2"/>
      <c r="G2669" s="48"/>
    </row>
    <row r="2670" spans="3:7">
      <c r="C2670" s="3"/>
      <c r="D2670" s="3"/>
      <c r="F2670" s="2"/>
      <c r="G2670" s="48"/>
    </row>
    <row r="2671" spans="3:7">
      <c r="C2671" s="3"/>
      <c r="D2671" s="3"/>
      <c r="F2671" s="2"/>
      <c r="G2671" s="48"/>
    </row>
    <row r="2672" spans="3:7">
      <c r="C2672" s="3"/>
      <c r="D2672" s="3"/>
      <c r="F2672" s="2"/>
      <c r="G2672" s="48"/>
    </row>
    <row r="2673" spans="3:7">
      <c r="C2673" s="3"/>
      <c r="D2673" s="3"/>
      <c r="F2673" s="2"/>
      <c r="G2673" s="48"/>
    </row>
    <row r="2674" spans="3:7">
      <c r="C2674" s="3"/>
      <c r="D2674" s="3"/>
      <c r="F2674" s="2"/>
      <c r="G2674" s="48"/>
    </row>
    <row r="2675" spans="3:7">
      <c r="C2675" s="3"/>
      <c r="D2675" s="3"/>
      <c r="F2675" s="2"/>
      <c r="G2675" s="48"/>
    </row>
    <row r="2676" spans="3:7">
      <c r="C2676" s="3"/>
      <c r="D2676" s="3"/>
      <c r="F2676" s="2"/>
      <c r="G2676" s="48"/>
    </row>
    <row r="2677" spans="3:7">
      <c r="C2677" s="3"/>
      <c r="D2677" s="3"/>
      <c r="F2677" s="2"/>
      <c r="G2677" s="48"/>
    </row>
    <row r="2678" spans="3:7">
      <c r="C2678" s="3"/>
      <c r="D2678" s="3"/>
      <c r="F2678" s="2"/>
      <c r="G2678" s="48"/>
    </row>
    <row r="2679" spans="3:7">
      <c r="C2679" s="3"/>
      <c r="D2679" s="3"/>
      <c r="F2679" s="2"/>
      <c r="G2679" s="48"/>
    </row>
    <row r="2680" spans="3:7">
      <c r="C2680" s="3"/>
      <c r="D2680" s="3"/>
      <c r="F2680" s="2"/>
      <c r="G2680" s="48"/>
    </row>
    <row r="2681" spans="3:7">
      <c r="C2681" s="3"/>
      <c r="D2681" s="3"/>
      <c r="F2681" s="2"/>
      <c r="G2681" s="48"/>
    </row>
    <row r="2682" spans="3:7">
      <c r="C2682" s="3"/>
      <c r="D2682" s="3"/>
      <c r="F2682" s="2"/>
      <c r="G2682" s="48"/>
    </row>
    <row r="2683" spans="3:7">
      <c r="C2683" s="3"/>
      <c r="D2683" s="3"/>
      <c r="F2683" s="2"/>
      <c r="G2683" s="48"/>
    </row>
    <row r="2684" spans="3:7">
      <c r="C2684" s="3"/>
      <c r="D2684" s="3"/>
      <c r="F2684" s="2"/>
      <c r="G2684" s="48"/>
    </row>
    <row r="2685" spans="3:7">
      <c r="C2685" s="3"/>
      <c r="D2685" s="3"/>
      <c r="F2685" s="2"/>
      <c r="G2685" s="48"/>
    </row>
    <row r="2686" spans="3:7">
      <c r="C2686" s="3"/>
      <c r="D2686" s="3"/>
      <c r="F2686" s="2"/>
      <c r="G2686" s="48"/>
    </row>
    <row r="2687" spans="3:7">
      <c r="C2687" s="3"/>
      <c r="D2687" s="3"/>
      <c r="F2687" s="2"/>
      <c r="G2687" s="48"/>
    </row>
    <row r="2688" spans="3:7">
      <c r="C2688" s="3"/>
      <c r="D2688" s="3"/>
      <c r="F2688" s="2"/>
      <c r="G2688" s="48"/>
    </row>
    <row r="2689" spans="3:7">
      <c r="C2689" s="3"/>
      <c r="D2689" s="3"/>
      <c r="F2689" s="2"/>
      <c r="G2689" s="48"/>
    </row>
    <row r="2690" spans="3:7">
      <c r="C2690" s="3"/>
      <c r="D2690" s="3"/>
      <c r="F2690" s="2"/>
      <c r="G2690" s="48"/>
    </row>
    <row r="2691" spans="3:7">
      <c r="C2691" s="3"/>
      <c r="D2691" s="3"/>
      <c r="F2691" s="2"/>
      <c r="G2691" s="48"/>
    </row>
    <row r="2692" spans="3:7">
      <c r="C2692" s="3"/>
      <c r="D2692" s="3"/>
      <c r="F2692" s="2"/>
      <c r="G2692" s="48"/>
    </row>
    <row r="2693" spans="3:7">
      <c r="C2693" s="3"/>
      <c r="D2693" s="3"/>
      <c r="F2693" s="2"/>
      <c r="G2693" s="48"/>
    </row>
    <row r="2694" spans="3:7">
      <c r="C2694" s="3"/>
      <c r="D2694" s="3"/>
      <c r="F2694" s="2"/>
      <c r="G2694" s="48"/>
    </row>
    <row r="2695" spans="3:7">
      <c r="C2695" s="3"/>
      <c r="D2695" s="3"/>
      <c r="F2695" s="2"/>
      <c r="G2695" s="48"/>
    </row>
    <row r="2696" spans="3:7">
      <c r="C2696" s="3"/>
      <c r="D2696" s="3"/>
      <c r="F2696" s="2"/>
      <c r="G2696" s="48"/>
    </row>
    <row r="2697" spans="3:7">
      <c r="C2697" s="3"/>
      <c r="D2697" s="3"/>
      <c r="F2697" s="2"/>
      <c r="G2697" s="48"/>
    </row>
    <row r="2698" spans="3:7">
      <c r="C2698" s="3"/>
      <c r="D2698" s="3"/>
      <c r="F2698" s="2"/>
      <c r="G2698" s="48"/>
    </row>
    <row r="2699" spans="3:7">
      <c r="C2699" s="3"/>
      <c r="D2699" s="3"/>
      <c r="F2699" s="2"/>
      <c r="G2699" s="48"/>
    </row>
    <row r="2700" spans="3:7">
      <c r="C2700" s="3"/>
      <c r="D2700" s="3"/>
      <c r="F2700" s="2"/>
      <c r="G2700" s="48"/>
    </row>
    <row r="2701" spans="3:7">
      <c r="C2701" s="3"/>
      <c r="D2701" s="3"/>
      <c r="F2701" s="2"/>
      <c r="G2701" s="48"/>
    </row>
    <row r="2702" spans="3:7">
      <c r="C2702" s="3"/>
      <c r="D2702" s="3"/>
      <c r="F2702" s="2"/>
      <c r="G2702" s="48"/>
    </row>
    <row r="2703" spans="3:7">
      <c r="C2703" s="3"/>
      <c r="D2703" s="3"/>
      <c r="F2703" s="2"/>
      <c r="G2703" s="48"/>
    </row>
    <row r="2704" spans="3:7">
      <c r="C2704" s="3"/>
      <c r="D2704" s="3"/>
      <c r="F2704" s="2"/>
      <c r="G2704" s="48"/>
    </row>
    <row r="2705" spans="3:7">
      <c r="C2705" s="3"/>
      <c r="D2705" s="3"/>
      <c r="F2705" s="2"/>
      <c r="G2705" s="48"/>
    </row>
    <row r="2706" spans="3:7">
      <c r="C2706" s="3"/>
      <c r="D2706" s="3"/>
      <c r="F2706" s="2"/>
      <c r="G2706" s="48"/>
    </row>
    <row r="2707" spans="3:7">
      <c r="C2707" s="3"/>
      <c r="D2707" s="3"/>
      <c r="F2707" s="2"/>
      <c r="G2707" s="48"/>
    </row>
    <row r="2708" spans="3:7">
      <c r="C2708" s="3"/>
      <c r="D2708" s="3"/>
      <c r="F2708" s="2"/>
      <c r="G2708" s="48"/>
    </row>
    <row r="2709" spans="3:7">
      <c r="C2709" s="3"/>
      <c r="D2709" s="3"/>
      <c r="F2709" s="2"/>
      <c r="G2709" s="48"/>
    </row>
    <row r="2710" spans="3:7">
      <c r="C2710" s="3"/>
      <c r="D2710" s="3"/>
      <c r="F2710" s="2"/>
      <c r="G2710" s="48"/>
    </row>
    <row r="2711" spans="3:7">
      <c r="C2711" s="3"/>
      <c r="D2711" s="3"/>
      <c r="F2711" s="2"/>
      <c r="G2711" s="48"/>
    </row>
    <row r="2712" spans="3:7">
      <c r="C2712" s="3"/>
      <c r="D2712" s="3"/>
      <c r="F2712" s="2"/>
      <c r="G2712" s="48"/>
    </row>
    <row r="2713" spans="3:7">
      <c r="C2713" s="3"/>
      <c r="D2713" s="3"/>
      <c r="F2713" s="2"/>
      <c r="G2713" s="48"/>
    </row>
    <row r="2714" spans="3:7">
      <c r="C2714" s="3"/>
      <c r="D2714" s="3"/>
      <c r="F2714" s="2"/>
      <c r="G2714" s="48"/>
    </row>
    <row r="2715" spans="3:7">
      <c r="C2715" s="3"/>
      <c r="D2715" s="3"/>
      <c r="F2715" s="2"/>
      <c r="G2715" s="48"/>
    </row>
    <row r="2716" spans="3:7">
      <c r="C2716" s="3"/>
      <c r="D2716" s="3"/>
      <c r="F2716" s="2"/>
      <c r="G2716" s="48"/>
    </row>
    <row r="2717" spans="3:7">
      <c r="C2717" s="3"/>
      <c r="D2717" s="3"/>
      <c r="F2717" s="2"/>
      <c r="G2717" s="48"/>
    </row>
    <row r="2718" spans="3:7">
      <c r="C2718" s="3"/>
      <c r="D2718" s="3"/>
      <c r="F2718" s="2"/>
      <c r="G2718" s="48"/>
    </row>
    <row r="2719" spans="3:7">
      <c r="C2719" s="3"/>
      <c r="D2719" s="3"/>
      <c r="F2719" s="2"/>
      <c r="G2719" s="48"/>
    </row>
    <row r="2720" spans="3:7">
      <c r="C2720" s="3"/>
      <c r="D2720" s="3"/>
      <c r="F2720" s="2"/>
      <c r="G2720" s="48"/>
    </row>
    <row r="2721" spans="3:7">
      <c r="C2721" s="3"/>
      <c r="D2721" s="3"/>
      <c r="F2721" s="2"/>
      <c r="G2721" s="48"/>
    </row>
    <row r="2722" spans="3:7">
      <c r="C2722" s="3"/>
      <c r="D2722" s="3"/>
      <c r="F2722" s="2"/>
      <c r="G2722" s="48"/>
    </row>
    <row r="2723" spans="3:7">
      <c r="C2723" s="3"/>
      <c r="D2723" s="3"/>
      <c r="F2723" s="2"/>
      <c r="G2723" s="48"/>
    </row>
    <row r="2724" spans="3:7">
      <c r="C2724" s="3"/>
      <c r="D2724" s="3"/>
      <c r="F2724" s="2"/>
      <c r="G2724" s="48"/>
    </row>
    <row r="2725" spans="3:7">
      <c r="C2725" s="3"/>
      <c r="D2725" s="3"/>
      <c r="F2725" s="2"/>
      <c r="G2725" s="48"/>
    </row>
    <row r="2726" spans="3:7">
      <c r="C2726" s="3"/>
      <c r="D2726" s="3"/>
      <c r="F2726" s="2"/>
      <c r="G2726" s="48"/>
    </row>
    <row r="2727" spans="3:7">
      <c r="C2727" s="3"/>
      <c r="D2727" s="3"/>
      <c r="F2727" s="2"/>
      <c r="G2727" s="48"/>
    </row>
    <row r="2728" spans="3:7">
      <c r="C2728" s="3"/>
      <c r="D2728" s="3"/>
      <c r="F2728" s="2"/>
      <c r="G2728" s="48"/>
    </row>
    <row r="2729" spans="3:7">
      <c r="C2729" s="3"/>
      <c r="D2729" s="3"/>
      <c r="F2729" s="2"/>
      <c r="G2729" s="48"/>
    </row>
    <row r="2730" spans="3:7">
      <c r="C2730" s="3"/>
      <c r="D2730" s="3"/>
      <c r="F2730" s="2"/>
      <c r="G2730" s="48"/>
    </row>
    <row r="2731" spans="3:7">
      <c r="C2731" s="3"/>
      <c r="D2731" s="3"/>
      <c r="F2731" s="2"/>
      <c r="G2731" s="48"/>
    </row>
    <row r="2732" spans="3:7">
      <c r="C2732" s="3"/>
      <c r="D2732" s="3"/>
      <c r="F2732" s="2"/>
      <c r="G2732" s="48"/>
    </row>
    <row r="2733" spans="3:7">
      <c r="C2733" s="3"/>
      <c r="D2733" s="3"/>
      <c r="F2733" s="2"/>
      <c r="G2733" s="48"/>
    </row>
    <row r="2734" spans="3:7">
      <c r="C2734" s="3"/>
      <c r="D2734" s="3"/>
      <c r="F2734" s="2"/>
      <c r="G2734" s="48"/>
    </row>
    <row r="2735" spans="3:7">
      <c r="C2735" s="3"/>
      <c r="D2735" s="3"/>
      <c r="F2735" s="2"/>
      <c r="G2735" s="48"/>
    </row>
    <row r="2736" spans="3:7">
      <c r="C2736" s="3"/>
      <c r="D2736" s="3"/>
      <c r="F2736" s="2"/>
      <c r="G2736" s="48"/>
    </row>
    <row r="2737" spans="3:7">
      <c r="C2737" s="3"/>
      <c r="D2737" s="3"/>
      <c r="F2737" s="2"/>
      <c r="G2737" s="48"/>
    </row>
    <row r="2738" spans="3:7">
      <c r="C2738" s="3"/>
      <c r="D2738" s="3"/>
      <c r="F2738" s="2"/>
      <c r="G2738" s="48"/>
    </row>
    <row r="2739" spans="3:7">
      <c r="C2739" s="3"/>
      <c r="D2739" s="3"/>
      <c r="F2739" s="2"/>
      <c r="G2739" s="48"/>
    </row>
    <row r="2740" spans="3:7">
      <c r="C2740" s="3"/>
      <c r="D2740" s="3"/>
      <c r="F2740" s="2"/>
      <c r="G2740" s="48"/>
    </row>
    <row r="2741" spans="3:7">
      <c r="C2741" s="3"/>
      <c r="D2741" s="3"/>
      <c r="F2741" s="2"/>
      <c r="G2741" s="48"/>
    </row>
    <row r="2742" spans="3:7">
      <c r="C2742" s="3"/>
      <c r="D2742" s="3"/>
      <c r="F2742" s="2"/>
      <c r="G2742" s="48"/>
    </row>
    <row r="2743" spans="3:7">
      <c r="C2743" s="3"/>
      <c r="D2743" s="3"/>
      <c r="F2743" s="2"/>
      <c r="G2743" s="48"/>
    </row>
    <row r="2744" spans="3:7">
      <c r="C2744" s="3"/>
      <c r="D2744" s="3"/>
      <c r="F2744" s="2"/>
      <c r="G2744" s="48"/>
    </row>
    <row r="2745" spans="3:7">
      <c r="C2745" s="3"/>
      <c r="D2745" s="3"/>
      <c r="F2745" s="2"/>
      <c r="G2745" s="48"/>
    </row>
    <row r="2746" spans="3:7">
      <c r="C2746" s="3"/>
      <c r="D2746" s="3"/>
      <c r="F2746" s="2"/>
      <c r="G2746" s="48"/>
    </row>
    <row r="2747" spans="3:7">
      <c r="C2747" s="3"/>
      <c r="D2747" s="3"/>
      <c r="F2747" s="2"/>
      <c r="G2747" s="48"/>
    </row>
    <row r="2748" spans="3:7">
      <c r="C2748" s="3"/>
      <c r="D2748" s="3"/>
      <c r="F2748" s="2"/>
      <c r="G2748" s="48"/>
    </row>
    <row r="2749" spans="3:7">
      <c r="C2749" s="3"/>
      <c r="D2749" s="3"/>
      <c r="F2749" s="2"/>
      <c r="G2749" s="48"/>
    </row>
    <row r="2750" spans="3:7">
      <c r="C2750" s="3"/>
      <c r="D2750" s="3"/>
      <c r="F2750" s="2"/>
      <c r="G2750" s="48"/>
    </row>
    <row r="2751" spans="3:7">
      <c r="C2751" s="3"/>
      <c r="D2751" s="3"/>
      <c r="F2751" s="2"/>
      <c r="G2751" s="48"/>
    </row>
    <row r="2752" spans="3:7">
      <c r="C2752" s="3"/>
      <c r="D2752" s="3"/>
      <c r="F2752" s="2"/>
      <c r="G2752" s="48"/>
    </row>
    <row r="2753" spans="3:7">
      <c r="C2753" s="3"/>
      <c r="D2753" s="3"/>
      <c r="F2753" s="2"/>
      <c r="G2753" s="48"/>
    </row>
    <row r="2754" spans="3:7">
      <c r="C2754" s="3"/>
      <c r="D2754" s="3"/>
      <c r="F2754" s="2"/>
      <c r="G2754" s="48"/>
    </row>
    <row r="2755" spans="3:7">
      <c r="C2755" s="3"/>
      <c r="D2755" s="3"/>
      <c r="F2755" s="2"/>
      <c r="G2755" s="48"/>
    </row>
    <row r="2756" spans="3:7">
      <c r="C2756" s="3"/>
      <c r="D2756" s="3"/>
      <c r="F2756" s="2"/>
      <c r="G2756" s="48"/>
    </row>
    <row r="2757" spans="3:7">
      <c r="C2757" s="3"/>
      <c r="D2757" s="3"/>
      <c r="F2757" s="2"/>
      <c r="G2757" s="48"/>
    </row>
    <row r="2758" spans="3:7">
      <c r="C2758" s="3"/>
      <c r="D2758" s="3"/>
      <c r="F2758" s="2"/>
      <c r="G2758" s="48"/>
    </row>
    <row r="2759" spans="3:7">
      <c r="C2759" s="3"/>
      <c r="D2759" s="3"/>
      <c r="F2759" s="2"/>
      <c r="G2759" s="48"/>
    </row>
    <row r="2760" spans="3:7">
      <c r="C2760" s="3"/>
      <c r="D2760" s="3"/>
      <c r="F2760" s="2"/>
      <c r="G2760" s="48"/>
    </row>
    <row r="2761" spans="3:7">
      <c r="C2761" s="3"/>
      <c r="D2761" s="3"/>
      <c r="F2761" s="2"/>
      <c r="G2761" s="48"/>
    </row>
    <row r="2762" spans="3:7">
      <c r="C2762" s="3"/>
      <c r="D2762" s="3"/>
      <c r="F2762" s="2"/>
      <c r="G2762" s="48"/>
    </row>
    <row r="2763" spans="3:7">
      <c r="C2763" s="3"/>
      <c r="D2763" s="3"/>
      <c r="F2763" s="2"/>
      <c r="G2763" s="48"/>
    </row>
    <row r="2764" spans="3:7">
      <c r="C2764" s="3"/>
      <c r="D2764" s="3"/>
      <c r="F2764" s="2"/>
      <c r="G2764" s="48"/>
    </row>
    <row r="2765" spans="3:7">
      <c r="C2765" s="3"/>
      <c r="D2765" s="3"/>
      <c r="F2765" s="2"/>
      <c r="G2765" s="48"/>
    </row>
    <row r="2766" spans="3:7">
      <c r="C2766" s="3"/>
      <c r="D2766" s="3"/>
      <c r="F2766" s="2"/>
      <c r="G2766" s="48"/>
    </row>
    <row r="2767" spans="3:7">
      <c r="C2767" s="3"/>
      <c r="D2767" s="3"/>
      <c r="F2767" s="2"/>
      <c r="G2767" s="48"/>
    </row>
    <row r="2768" spans="3:7">
      <c r="C2768" s="3"/>
      <c r="D2768" s="3"/>
      <c r="F2768" s="2"/>
      <c r="G2768" s="48"/>
    </row>
    <row r="2769" spans="3:7">
      <c r="C2769" s="3"/>
      <c r="D2769" s="3"/>
      <c r="F2769" s="2"/>
      <c r="G2769" s="48"/>
    </row>
    <row r="2770" spans="3:7">
      <c r="C2770" s="3"/>
      <c r="D2770" s="3"/>
      <c r="F2770" s="2"/>
      <c r="G2770" s="48"/>
    </row>
    <row r="2771" spans="3:7">
      <c r="C2771" s="3"/>
      <c r="D2771" s="3"/>
      <c r="F2771" s="2"/>
      <c r="G2771" s="48"/>
    </row>
    <row r="2772" spans="3:7">
      <c r="C2772" s="3"/>
      <c r="D2772" s="3"/>
      <c r="F2772" s="2"/>
      <c r="G2772" s="48"/>
    </row>
    <row r="2773" spans="3:7">
      <c r="C2773" s="3"/>
      <c r="D2773" s="3"/>
      <c r="F2773" s="2"/>
      <c r="G2773" s="48"/>
    </row>
    <row r="2774" spans="3:7">
      <c r="C2774" s="3"/>
      <c r="D2774" s="3"/>
      <c r="F2774" s="2"/>
      <c r="G2774" s="48"/>
    </row>
    <row r="2775" spans="3:7">
      <c r="C2775" s="3"/>
      <c r="D2775" s="3"/>
      <c r="F2775" s="2"/>
      <c r="G2775" s="48"/>
    </row>
    <row r="2776" spans="3:7">
      <c r="C2776" s="3"/>
      <c r="D2776" s="3"/>
      <c r="F2776" s="2"/>
      <c r="G2776" s="48"/>
    </row>
    <row r="2777" spans="3:7">
      <c r="C2777" s="3"/>
      <c r="D2777" s="3"/>
      <c r="F2777" s="2"/>
      <c r="G2777" s="48"/>
    </row>
    <row r="2778" spans="3:7">
      <c r="C2778" s="3"/>
      <c r="D2778" s="3"/>
      <c r="F2778" s="2"/>
      <c r="G2778" s="48"/>
    </row>
    <row r="2779" spans="3:7">
      <c r="C2779" s="3"/>
      <c r="D2779" s="3"/>
      <c r="F2779" s="2"/>
      <c r="G2779" s="48"/>
    </row>
    <row r="2780" spans="3:7">
      <c r="C2780" s="3"/>
      <c r="D2780" s="3"/>
      <c r="F2780" s="2"/>
      <c r="G2780" s="48"/>
    </row>
    <row r="2781" spans="3:7">
      <c r="C2781" s="3"/>
      <c r="D2781" s="3"/>
      <c r="F2781" s="2"/>
      <c r="G2781" s="48"/>
    </row>
    <row r="2782" spans="3:7">
      <c r="C2782" s="3"/>
      <c r="D2782" s="3"/>
      <c r="F2782" s="2"/>
      <c r="G2782" s="48"/>
    </row>
    <row r="2783" spans="3:7">
      <c r="C2783" s="3"/>
      <c r="D2783" s="3"/>
      <c r="F2783" s="2"/>
      <c r="G2783" s="48"/>
    </row>
    <row r="2784" spans="3:7">
      <c r="C2784" s="3"/>
      <c r="D2784" s="3"/>
      <c r="F2784" s="2"/>
      <c r="G2784" s="48"/>
    </row>
    <row r="2785" spans="3:7">
      <c r="C2785" s="3"/>
      <c r="D2785" s="3"/>
      <c r="F2785" s="2"/>
      <c r="G2785" s="48"/>
    </row>
    <row r="2786" spans="3:7">
      <c r="C2786" s="3"/>
      <c r="D2786" s="3"/>
      <c r="F2786" s="2"/>
      <c r="G2786" s="48"/>
    </row>
    <row r="2787" spans="3:7">
      <c r="C2787" s="3"/>
      <c r="D2787" s="3"/>
      <c r="F2787" s="2"/>
      <c r="G2787" s="48"/>
    </row>
    <row r="2788" spans="3:7">
      <c r="C2788" s="3"/>
      <c r="D2788" s="3"/>
      <c r="F2788" s="2"/>
      <c r="G2788" s="48"/>
    </row>
    <row r="2789" spans="3:7">
      <c r="C2789" s="3"/>
      <c r="D2789" s="3"/>
      <c r="F2789" s="2"/>
      <c r="G2789" s="48"/>
    </row>
    <row r="2790" spans="3:7">
      <c r="C2790" s="3"/>
      <c r="D2790" s="3"/>
      <c r="F2790" s="2"/>
      <c r="G2790" s="48"/>
    </row>
    <row r="2791" spans="3:7">
      <c r="C2791" s="3"/>
      <c r="D2791" s="3"/>
      <c r="F2791" s="2"/>
      <c r="G2791" s="48"/>
    </row>
    <row r="2792" spans="3:7">
      <c r="C2792" s="3"/>
      <c r="D2792" s="3"/>
      <c r="F2792" s="2"/>
      <c r="G2792" s="48"/>
    </row>
    <row r="2793" spans="3:7">
      <c r="C2793" s="3"/>
      <c r="D2793" s="3"/>
      <c r="F2793" s="2"/>
      <c r="G2793" s="48"/>
    </row>
    <row r="2794" spans="3:7">
      <c r="C2794" s="3"/>
      <c r="D2794" s="3"/>
      <c r="F2794" s="2"/>
      <c r="G2794" s="48"/>
    </row>
    <row r="2795" spans="3:7">
      <c r="C2795" s="3"/>
      <c r="D2795" s="3"/>
      <c r="F2795" s="2"/>
      <c r="G2795" s="48"/>
    </row>
    <row r="2796" spans="3:7">
      <c r="C2796" s="3"/>
      <c r="D2796" s="3"/>
      <c r="F2796" s="2"/>
      <c r="G2796" s="48"/>
    </row>
    <row r="2797" spans="3:7">
      <c r="C2797" s="3"/>
      <c r="D2797" s="3"/>
      <c r="F2797" s="2"/>
      <c r="G2797" s="48"/>
    </row>
    <row r="2798" spans="3:7">
      <c r="C2798" s="3"/>
      <c r="D2798" s="3"/>
      <c r="F2798" s="2"/>
      <c r="G2798" s="48"/>
    </row>
    <row r="2799" spans="3:7">
      <c r="C2799" s="3"/>
      <c r="D2799" s="3"/>
      <c r="F2799" s="2"/>
      <c r="G2799" s="48"/>
    </row>
    <row r="2800" spans="3:7">
      <c r="C2800" s="3"/>
      <c r="D2800" s="3"/>
      <c r="F2800" s="2"/>
      <c r="G2800" s="48"/>
    </row>
    <row r="2801" spans="3:7">
      <c r="C2801" s="3"/>
      <c r="D2801" s="3"/>
      <c r="F2801" s="2"/>
      <c r="G2801" s="48"/>
    </row>
    <row r="2802" spans="3:7">
      <c r="C2802" s="3"/>
      <c r="D2802" s="3"/>
      <c r="F2802" s="2"/>
      <c r="G2802" s="48"/>
    </row>
    <row r="2803" spans="3:7">
      <c r="C2803" s="3"/>
      <c r="D2803" s="3"/>
      <c r="F2803" s="2"/>
      <c r="G2803" s="48"/>
    </row>
    <row r="2804" spans="3:7">
      <c r="C2804" s="3"/>
      <c r="D2804" s="3"/>
      <c r="F2804" s="2"/>
      <c r="G2804" s="48"/>
    </row>
    <row r="2805" spans="3:7">
      <c r="C2805" s="3"/>
      <c r="D2805" s="3"/>
      <c r="F2805" s="2"/>
      <c r="G2805" s="48"/>
    </row>
    <row r="2806" spans="3:7">
      <c r="C2806" s="3"/>
      <c r="D2806" s="3"/>
      <c r="F2806" s="2"/>
      <c r="G2806" s="48"/>
    </row>
    <row r="2807" spans="3:7">
      <c r="C2807" s="3"/>
      <c r="D2807" s="3"/>
      <c r="F2807" s="2"/>
      <c r="G2807" s="48"/>
    </row>
    <row r="2808" spans="3:7">
      <c r="C2808" s="3"/>
      <c r="D2808" s="3"/>
      <c r="F2808" s="2"/>
      <c r="G2808" s="48"/>
    </row>
    <row r="2809" spans="3:7">
      <c r="C2809" s="3"/>
      <c r="D2809" s="3"/>
      <c r="F2809" s="2"/>
      <c r="G2809" s="48"/>
    </row>
    <row r="2810" spans="3:7">
      <c r="C2810" s="3"/>
      <c r="D2810" s="3"/>
      <c r="F2810" s="2"/>
      <c r="G2810" s="48"/>
    </row>
    <row r="2811" spans="3:7">
      <c r="C2811" s="3"/>
      <c r="D2811" s="3"/>
      <c r="F2811" s="2"/>
      <c r="G2811" s="48"/>
    </row>
    <row r="2812" spans="3:7">
      <c r="C2812" s="3"/>
      <c r="D2812" s="3"/>
      <c r="F2812" s="2"/>
      <c r="G2812" s="48"/>
    </row>
    <row r="2813" spans="3:7">
      <c r="C2813" s="3"/>
      <c r="D2813" s="3"/>
      <c r="F2813" s="2"/>
      <c r="G2813" s="48"/>
    </row>
    <row r="2814" spans="3:7">
      <c r="C2814" s="3"/>
      <c r="D2814" s="3"/>
      <c r="F2814" s="2"/>
      <c r="G2814" s="48"/>
    </row>
    <row r="2815" spans="3:7">
      <c r="C2815" s="3"/>
      <c r="D2815" s="3"/>
      <c r="F2815" s="2"/>
      <c r="G2815" s="48"/>
    </row>
    <row r="2816" spans="3:7">
      <c r="C2816" s="3"/>
      <c r="D2816" s="3"/>
      <c r="F2816" s="2"/>
      <c r="G2816" s="48"/>
    </row>
    <row r="2817" spans="3:7">
      <c r="C2817" s="3"/>
      <c r="D2817" s="3"/>
      <c r="F2817" s="2"/>
      <c r="G2817" s="48"/>
    </row>
    <row r="2818" spans="3:7">
      <c r="C2818" s="3"/>
      <c r="D2818" s="3"/>
      <c r="F2818" s="2"/>
      <c r="G2818" s="48"/>
    </row>
    <row r="2819" spans="3:7">
      <c r="C2819" s="3"/>
      <c r="D2819" s="3"/>
      <c r="F2819" s="2"/>
      <c r="G2819" s="48"/>
    </row>
    <row r="2820" spans="3:7">
      <c r="C2820" s="3"/>
      <c r="D2820" s="3"/>
      <c r="F2820" s="2"/>
      <c r="G2820" s="48"/>
    </row>
    <row r="2821" spans="3:7">
      <c r="C2821" s="3"/>
      <c r="D2821" s="3"/>
      <c r="F2821" s="2"/>
      <c r="G2821" s="48"/>
    </row>
    <row r="2822" spans="3:7">
      <c r="C2822" s="3"/>
      <c r="D2822" s="3"/>
      <c r="F2822" s="2"/>
      <c r="G2822" s="48"/>
    </row>
    <row r="2823" spans="3:7">
      <c r="C2823" s="3"/>
      <c r="D2823" s="3"/>
      <c r="F2823" s="2"/>
      <c r="G2823" s="48"/>
    </row>
    <row r="2824" spans="3:7">
      <c r="C2824" s="3"/>
      <c r="D2824" s="3"/>
      <c r="F2824" s="2"/>
      <c r="G2824" s="48"/>
    </row>
    <row r="2825" spans="3:7">
      <c r="C2825" s="3"/>
      <c r="D2825" s="3"/>
      <c r="F2825" s="2"/>
      <c r="G2825" s="48"/>
    </row>
    <row r="2826" spans="3:7">
      <c r="C2826" s="3"/>
      <c r="D2826" s="3"/>
      <c r="F2826" s="2"/>
      <c r="G2826" s="48"/>
    </row>
    <row r="2827" spans="3:7">
      <c r="C2827" s="3"/>
      <c r="D2827" s="3"/>
      <c r="F2827" s="2"/>
      <c r="G2827" s="48"/>
    </row>
    <row r="2828" spans="3:7">
      <c r="C2828" s="3"/>
      <c r="D2828" s="3"/>
      <c r="F2828" s="2"/>
      <c r="G2828" s="48"/>
    </row>
    <row r="2829" spans="3:7">
      <c r="C2829" s="3"/>
      <c r="D2829" s="3"/>
      <c r="F2829" s="2"/>
      <c r="G2829" s="48"/>
    </row>
    <row r="2830" spans="3:7">
      <c r="C2830" s="3"/>
      <c r="D2830" s="3"/>
      <c r="F2830" s="2"/>
      <c r="G2830" s="48"/>
    </row>
    <row r="2831" spans="3:7">
      <c r="C2831" s="3"/>
      <c r="D2831" s="3"/>
      <c r="F2831" s="2"/>
      <c r="G2831" s="48"/>
    </row>
    <row r="2832" spans="3:7">
      <c r="C2832" s="3"/>
      <c r="D2832" s="3"/>
      <c r="F2832" s="2"/>
      <c r="G2832" s="48"/>
    </row>
    <row r="2833" spans="3:7">
      <c r="C2833" s="3"/>
      <c r="D2833" s="3"/>
      <c r="F2833" s="2"/>
      <c r="G2833" s="48"/>
    </row>
    <row r="2834" spans="3:7">
      <c r="C2834" s="3"/>
      <c r="D2834" s="3"/>
      <c r="F2834" s="2"/>
      <c r="G2834" s="48"/>
    </row>
    <row r="2835" spans="3:7">
      <c r="C2835" s="3"/>
      <c r="D2835" s="3"/>
      <c r="F2835" s="2"/>
      <c r="G2835" s="48"/>
    </row>
    <row r="2836" spans="3:7">
      <c r="C2836" s="3"/>
      <c r="D2836" s="3"/>
      <c r="F2836" s="2"/>
      <c r="G2836" s="48"/>
    </row>
    <row r="2837" spans="3:7">
      <c r="C2837" s="3"/>
      <c r="D2837" s="3"/>
      <c r="F2837" s="2"/>
      <c r="G2837" s="48"/>
    </row>
    <row r="2838" spans="3:7">
      <c r="C2838" s="3"/>
      <c r="D2838" s="3"/>
      <c r="F2838" s="2"/>
      <c r="G2838" s="48"/>
    </row>
    <row r="2839" spans="3:7">
      <c r="C2839" s="3"/>
      <c r="D2839" s="3"/>
      <c r="F2839" s="2"/>
      <c r="G2839" s="48"/>
    </row>
    <row r="2840" spans="3:7">
      <c r="C2840" s="3"/>
      <c r="D2840" s="3"/>
      <c r="F2840" s="2"/>
      <c r="G2840" s="48"/>
    </row>
    <row r="2841" spans="3:7">
      <c r="C2841" s="3"/>
      <c r="D2841" s="3"/>
      <c r="F2841" s="2"/>
      <c r="G2841" s="48"/>
    </row>
    <row r="2842" spans="3:7">
      <c r="C2842" s="3"/>
      <c r="D2842" s="3"/>
      <c r="F2842" s="2"/>
      <c r="G2842" s="48"/>
    </row>
    <row r="2843" spans="3:7">
      <c r="C2843" s="3"/>
      <c r="D2843" s="3"/>
      <c r="F2843" s="2"/>
      <c r="G2843" s="48"/>
    </row>
    <row r="2844" spans="3:7">
      <c r="C2844" s="3"/>
      <c r="D2844" s="3"/>
      <c r="F2844" s="2"/>
      <c r="G2844" s="48"/>
    </row>
    <row r="2845" spans="3:7">
      <c r="C2845" s="3"/>
      <c r="D2845" s="3"/>
      <c r="F2845" s="2"/>
      <c r="G2845" s="48"/>
    </row>
    <row r="2846" spans="3:7">
      <c r="C2846" s="3"/>
      <c r="D2846" s="3"/>
      <c r="F2846" s="2"/>
      <c r="G2846" s="48"/>
    </row>
    <row r="2847" spans="3:7">
      <c r="C2847" s="3"/>
      <c r="D2847" s="3"/>
      <c r="F2847" s="2"/>
      <c r="G2847" s="48"/>
    </row>
    <row r="2848" spans="3:7">
      <c r="C2848" s="3"/>
      <c r="D2848" s="3"/>
      <c r="F2848" s="2"/>
      <c r="G2848" s="48"/>
    </row>
    <row r="2849" spans="3:7">
      <c r="C2849" s="3"/>
      <c r="D2849" s="3"/>
      <c r="F2849" s="2"/>
      <c r="G2849" s="48"/>
    </row>
    <row r="2850" spans="3:7">
      <c r="C2850" s="3"/>
      <c r="D2850" s="3"/>
      <c r="F2850" s="2"/>
      <c r="G2850" s="48"/>
    </row>
    <row r="2851" spans="3:7">
      <c r="C2851" s="3"/>
      <c r="D2851" s="3"/>
      <c r="F2851" s="2"/>
      <c r="G2851" s="48"/>
    </row>
    <row r="2852" spans="3:7">
      <c r="C2852" s="3"/>
      <c r="D2852" s="3"/>
      <c r="F2852" s="2"/>
      <c r="G2852" s="48"/>
    </row>
    <row r="2853" spans="3:7">
      <c r="C2853" s="3"/>
      <c r="D2853" s="3"/>
      <c r="F2853" s="2"/>
      <c r="G2853" s="48"/>
    </row>
    <row r="2854" spans="3:7">
      <c r="C2854" s="3"/>
      <c r="D2854" s="3"/>
      <c r="F2854" s="2"/>
      <c r="G2854" s="48"/>
    </row>
    <row r="2855" spans="3:7">
      <c r="C2855" s="3"/>
      <c r="D2855" s="3"/>
      <c r="F2855" s="2"/>
      <c r="G2855" s="48"/>
    </row>
    <row r="2856" spans="3:7">
      <c r="C2856" s="3"/>
      <c r="D2856" s="3"/>
      <c r="F2856" s="2"/>
      <c r="G2856" s="48"/>
    </row>
    <row r="2857" spans="3:7">
      <c r="C2857" s="3"/>
      <c r="D2857" s="3"/>
      <c r="F2857" s="2"/>
      <c r="G2857" s="48"/>
    </row>
    <row r="2858" spans="3:7">
      <c r="C2858" s="3"/>
      <c r="D2858" s="3"/>
      <c r="F2858" s="2"/>
      <c r="G2858" s="48"/>
    </row>
    <row r="2859" spans="3:7">
      <c r="C2859" s="3"/>
      <c r="D2859" s="3"/>
      <c r="F2859" s="2"/>
      <c r="G2859" s="48"/>
    </row>
    <row r="2860" spans="3:7">
      <c r="C2860" s="3"/>
      <c r="D2860" s="3"/>
      <c r="F2860" s="2"/>
      <c r="G2860" s="48"/>
    </row>
    <row r="2861" spans="3:7">
      <c r="C2861" s="3"/>
      <c r="D2861" s="3"/>
      <c r="F2861" s="2"/>
      <c r="G2861" s="48"/>
    </row>
    <row r="2862" spans="3:7">
      <c r="C2862" s="3"/>
      <c r="D2862" s="3"/>
      <c r="F2862" s="2"/>
      <c r="G2862" s="48"/>
    </row>
    <row r="2863" spans="3:7">
      <c r="C2863" s="3"/>
      <c r="D2863" s="3"/>
      <c r="F2863" s="2"/>
      <c r="G2863" s="48"/>
    </row>
    <row r="2864" spans="3:7">
      <c r="C2864" s="3"/>
      <c r="D2864" s="3"/>
      <c r="F2864" s="2"/>
      <c r="G2864" s="48"/>
    </row>
    <row r="2865" spans="3:7">
      <c r="C2865" s="3"/>
      <c r="D2865" s="3"/>
      <c r="F2865" s="2"/>
      <c r="G2865" s="48"/>
    </row>
    <row r="2866" spans="3:7">
      <c r="C2866" s="3"/>
      <c r="D2866" s="3"/>
      <c r="F2866" s="2"/>
      <c r="G2866" s="48"/>
    </row>
    <row r="2867" spans="3:7">
      <c r="C2867" s="3"/>
      <c r="D2867" s="3"/>
      <c r="F2867" s="2"/>
      <c r="G2867" s="48"/>
    </row>
    <row r="2868" spans="3:7">
      <c r="C2868" s="3"/>
      <c r="D2868" s="3"/>
      <c r="F2868" s="2"/>
      <c r="G2868" s="48"/>
    </row>
    <row r="2869" spans="3:7">
      <c r="C2869" s="3"/>
      <c r="D2869" s="3"/>
      <c r="F2869" s="2"/>
      <c r="G2869" s="48"/>
    </row>
    <row r="2870" spans="3:7">
      <c r="C2870" s="3"/>
      <c r="D2870" s="3"/>
      <c r="F2870" s="2"/>
      <c r="G2870" s="48"/>
    </row>
    <row r="2871" spans="3:7">
      <c r="C2871" s="3"/>
      <c r="D2871" s="3"/>
      <c r="F2871" s="2"/>
      <c r="G2871" s="48"/>
    </row>
    <row r="2872" spans="3:7">
      <c r="C2872" s="3"/>
      <c r="D2872" s="3"/>
      <c r="F2872" s="2"/>
      <c r="G2872" s="48"/>
    </row>
    <row r="2873" spans="3:7">
      <c r="C2873" s="3"/>
      <c r="D2873" s="3"/>
      <c r="F2873" s="2"/>
      <c r="G2873" s="48"/>
    </row>
    <row r="2874" spans="3:7">
      <c r="C2874" s="3"/>
      <c r="D2874" s="3"/>
      <c r="F2874" s="2"/>
      <c r="G2874" s="48"/>
    </row>
    <row r="2875" spans="3:7">
      <c r="C2875" s="3"/>
      <c r="D2875" s="3"/>
      <c r="F2875" s="2"/>
      <c r="G2875" s="48"/>
    </row>
    <row r="2876" spans="3:7">
      <c r="C2876" s="3"/>
      <c r="D2876" s="3"/>
      <c r="F2876" s="2"/>
      <c r="G2876" s="48"/>
    </row>
    <row r="2877" spans="3:7">
      <c r="C2877" s="3"/>
      <c r="D2877" s="3"/>
      <c r="F2877" s="2"/>
      <c r="G2877" s="48"/>
    </row>
    <row r="2878" spans="3:7">
      <c r="C2878" s="3"/>
      <c r="D2878" s="3"/>
      <c r="F2878" s="2"/>
      <c r="G2878" s="48"/>
    </row>
    <row r="2879" spans="3:7">
      <c r="C2879" s="3"/>
      <c r="D2879" s="3"/>
      <c r="F2879" s="2"/>
      <c r="G2879" s="48"/>
    </row>
    <row r="2880" spans="3:7">
      <c r="C2880" s="3"/>
      <c r="D2880" s="3"/>
      <c r="F2880" s="2"/>
      <c r="G2880" s="48"/>
    </row>
    <row r="2881" spans="3:7">
      <c r="C2881" s="3"/>
      <c r="D2881" s="3"/>
      <c r="F2881" s="2"/>
      <c r="G2881" s="48"/>
    </row>
    <row r="2882" spans="3:7">
      <c r="C2882" s="3"/>
      <c r="D2882" s="3"/>
      <c r="F2882" s="2"/>
      <c r="G2882" s="48"/>
    </row>
    <row r="2883" spans="3:7">
      <c r="C2883" s="3"/>
      <c r="D2883" s="3"/>
      <c r="F2883" s="2"/>
      <c r="G2883" s="48"/>
    </row>
    <row r="2884" spans="3:7">
      <c r="C2884" s="3"/>
      <c r="D2884" s="3"/>
      <c r="F2884" s="2"/>
      <c r="G2884" s="48"/>
    </row>
    <row r="2885" spans="3:7">
      <c r="C2885" s="3"/>
      <c r="D2885" s="3"/>
      <c r="F2885" s="2"/>
      <c r="G2885" s="48"/>
    </row>
    <row r="2886" spans="3:7">
      <c r="C2886" s="3"/>
      <c r="D2886" s="3"/>
      <c r="F2886" s="2"/>
      <c r="G2886" s="48"/>
    </row>
    <row r="2887" spans="3:7">
      <c r="C2887" s="3"/>
      <c r="D2887" s="3"/>
      <c r="F2887" s="2"/>
      <c r="G2887" s="48"/>
    </row>
    <row r="2888" spans="3:7">
      <c r="C2888" s="3"/>
      <c r="D2888" s="3"/>
      <c r="F2888" s="2"/>
      <c r="G2888" s="48"/>
    </row>
    <row r="2889" spans="3:7">
      <c r="C2889" s="3"/>
      <c r="D2889" s="3"/>
      <c r="F2889" s="2"/>
      <c r="G2889" s="48"/>
    </row>
    <row r="2890" spans="3:7">
      <c r="C2890" s="3"/>
      <c r="D2890" s="3"/>
      <c r="F2890" s="2"/>
      <c r="G2890" s="48"/>
    </row>
    <row r="2891" spans="3:7">
      <c r="C2891" s="3"/>
      <c r="D2891" s="3"/>
      <c r="F2891" s="2"/>
      <c r="G2891" s="48"/>
    </row>
    <row r="2892" spans="3:7">
      <c r="C2892" s="3"/>
      <c r="D2892" s="3"/>
      <c r="F2892" s="2"/>
      <c r="G2892" s="48"/>
    </row>
    <row r="2893" spans="3:7">
      <c r="C2893" s="3"/>
      <c r="D2893" s="3"/>
      <c r="F2893" s="2"/>
      <c r="G2893" s="48"/>
    </row>
    <row r="2894" spans="3:7">
      <c r="C2894" s="3"/>
      <c r="D2894" s="3"/>
      <c r="F2894" s="2"/>
      <c r="G2894" s="48"/>
    </row>
    <row r="2895" spans="3:7">
      <c r="C2895" s="3"/>
      <c r="D2895" s="3"/>
      <c r="F2895" s="2"/>
      <c r="G2895" s="48"/>
    </row>
    <row r="2896" spans="3:7">
      <c r="C2896" s="3"/>
      <c r="D2896" s="3"/>
      <c r="F2896" s="2"/>
      <c r="G2896" s="48"/>
    </row>
    <row r="2897" spans="3:7">
      <c r="C2897" s="3"/>
      <c r="D2897" s="3"/>
      <c r="F2897" s="2"/>
      <c r="G2897" s="48"/>
    </row>
    <row r="2898" spans="3:7">
      <c r="C2898" s="3"/>
      <c r="D2898" s="3"/>
      <c r="F2898" s="2"/>
      <c r="G2898" s="48"/>
    </row>
    <row r="2899" spans="3:7">
      <c r="C2899" s="3"/>
      <c r="D2899" s="3"/>
      <c r="F2899" s="2"/>
      <c r="G2899" s="48"/>
    </row>
    <row r="2900" spans="3:7">
      <c r="C2900" s="3"/>
      <c r="D2900" s="3"/>
      <c r="F2900" s="2"/>
      <c r="G2900" s="48"/>
    </row>
    <row r="2901" spans="3:7">
      <c r="C2901" s="3"/>
      <c r="D2901" s="3"/>
      <c r="F2901" s="2"/>
      <c r="G2901" s="48"/>
    </row>
    <row r="2902" spans="3:7">
      <c r="C2902" s="3"/>
      <c r="D2902" s="3"/>
      <c r="F2902" s="2"/>
      <c r="G2902" s="48"/>
    </row>
    <row r="2903" spans="3:7">
      <c r="C2903" s="3"/>
      <c r="D2903" s="3"/>
      <c r="F2903" s="2"/>
      <c r="G2903" s="48"/>
    </row>
    <row r="2904" spans="3:7">
      <c r="C2904" s="3"/>
      <c r="D2904" s="3"/>
      <c r="F2904" s="2"/>
      <c r="G2904" s="48"/>
    </row>
    <row r="2905" spans="3:7">
      <c r="C2905" s="3"/>
      <c r="D2905" s="3"/>
      <c r="F2905" s="2"/>
      <c r="G2905" s="48"/>
    </row>
    <row r="2906" spans="3:7">
      <c r="C2906" s="3"/>
      <c r="D2906" s="3"/>
      <c r="F2906" s="2"/>
      <c r="G2906" s="48"/>
    </row>
    <row r="2907" spans="3:7">
      <c r="C2907" s="3"/>
      <c r="D2907" s="3"/>
      <c r="F2907" s="2"/>
      <c r="G2907" s="48"/>
    </row>
    <row r="2908" spans="3:7">
      <c r="C2908" s="3"/>
      <c r="D2908" s="3"/>
      <c r="F2908" s="2"/>
      <c r="G2908" s="48"/>
    </row>
    <row r="2909" spans="3:7">
      <c r="C2909" s="3"/>
      <c r="D2909" s="3"/>
      <c r="F2909" s="2"/>
      <c r="G2909" s="48"/>
    </row>
    <row r="2910" spans="3:7">
      <c r="C2910" s="3"/>
      <c r="D2910" s="3"/>
      <c r="F2910" s="2"/>
      <c r="G2910" s="48"/>
    </row>
    <row r="2911" spans="3:7">
      <c r="C2911" s="3"/>
      <c r="D2911" s="3"/>
      <c r="F2911" s="2"/>
      <c r="G2911" s="48"/>
    </row>
    <row r="2912" spans="3:7">
      <c r="C2912" s="3"/>
      <c r="D2912" s="3"/>
      <c r="F2912" s="2"/>
      <c r="G2912" s="48"/>
    </row>
    <row r="2913" spans="3:7">
      <c r="C2913" s="3"/>
      <c r="D2913" s="3"/>
      <c r="F2913" s="2"/>
      <c r="G2913" s="48"/>
    </row>
    <row r="2914" spans="3:7">
      <c r="C2914" s="3"/>
      <c r="D2914" s="3"/>
      <c r="F2914" s="2"/>
      <c r="G2914" s="48"/>
    </row>
    <row r="2915" spans="3:7">
      <c r="C2915" s="3"/>
      <c r="D2915" s="3"/>
      <c r="F2915" s="2"/>
      <c r="G2915" s="48"/>
    </row>
    <row r="2916" spans="3:7">
      <c r="C2916" s="3"/>
      <c r="D2916" s="3"/>
      <c r="F2916" s="2"/>
      <c r="G2916" s="48"/>
    </row>
    <row r="2917" spans="3:7">
      <c r="C2917" s="3"/>
      <c r="D2917" s="3"/>
      <c r="F2917" s="2"/>
      <c r="G2917" s="48"/>
    </row>
    <row r="2918" spans="3:7">
      <c r="C2918" s="3"/>
      <c r="D2918" s="3"/>
      <c r="F2918" s="2"/>
      <c r="G2918" s="48"/>
    </row>
    <row r="2919" spans="3:7">
      <c r="C2919" s="3"/>
      <c r="D2919" s="3"/>
      <c r="F2919" s="2"/>
      <c r="G2919" s="48"/>
    </row>
    <row r="2920" spans="3:7">
      <c r="C2920" s="3"/>
      <c r="D2920" s="3"/>
      <c r="F2920" s="2"/>
      <c r="G2920" s="48"/>
    </row>
    <row r="2921" spans="3:7">
      <c r="C2921" s="3"/>
      <c r="D2921" s="3"/>
      <c r="F2921" s="2"/>
      <c r="G2921" s="48"/>
    </row>
    <row r="2922" spans="3:7">
      <c r="C2922" s="3"/>
      <c r="D2922" s="3"/>
      <c r="F2922" s="2"/>
      <c r="G2922" s="48"/>
    </row>
    <row r="2923" spans="3:7">
      <c r="C2923" s="3"/>
      <c r="D2923" s="3"/>
      <c r="F2923" s="2"/>
      <c r="G2923" s="48"/>
    </row>
    <row r="2924" spans="3:7">
      <c r="C2924" s="3"/>
      <c r="D2924" s="3"/>
      <c r="F2924" s="2"/>
      <c r="G2924" s="48"/>
    </row>
    <row r="2925" spans="3:7">
      <c r="C2925" s="3"/>
      <c r="D2925" s="3"/>
      <c r="F2925" s="2"/>
      <c r="G2925" s="48"/>
    </row>
    <row r="2926" spans="3:7">
      <c r="C2926" s="3"/>
      <c r="D2926" s="3"/>
      <c r="F2926" s="2"/>
      <c r="G2926" s="48"/>
    </row>
    <row r="2927" spans="3:7">
      <c r="C2927" s="3"/>
      <c r="D2927" s="3"/>
      <c r="F2927" s="2"/>
      <c r="G2927" s="48"/>
    </row>
    <row r="2928" spans="3:7">
      <c r="C2928" s="3"/>
      <c r="D2928" s="3"/>
      <c r="F2928" s="2"/>
      <c r="G2928" s="48"/>
    </row>
    <row r="2929" spans="3:7">
      <c r="C2929" s="3"/>
      <c r="D2929" s="3"/>
      <c r="F2929" s="2"/>
      <c r="G2929" s="48"/>
    </row>
    <row r="2930" spans="3:7">
      <c r="C2930" s="3"/>
      <c r="D2930" s="3"/>
      <c r="F2930" s="2"/>
      <c r="G2930" s="48"/>
    </row>
    <row r="2931" spans="3:7">
      <c r="C2931" s="3"/>
      <c r="D2931" s="3"/>
      <c r="F2931" s="2"/>
      <c r="G2931" s="48"/>
    </row>
    <row r="2932" spans="3:7">
      <c r="C2932" s="3"/>
      <c r="D2932" s="3"/>
      <c r="F2932" s="2"/>
      <c r="G2932" s="48"/>
    </row>
    <row r="2933" spans="3:7">
      <c r="C2933" s="3"/>
      <c r="D2933" s="3"/>
      <c r="F2933" s="2"/>
      <c r="G2933" s="48"/>
    </row>
    <row r="2934" spans="3:7">
      <c r="C2934" s="3"/>
      <c r="D2934" s="3"/>
      <c r="F2934" s="2"/>
      <c r="G2934" s="48"/>
    </row>
    <row r="2935" spans="3:7">
      <c r="C2935" s="3"/>
      <c r="D2935" s="3"/>
      <c r="F2935" s="2"/>
      <c r="G2935" s="48"/>
    </row>
    <row r="2936" spans="3:7">
      <c r="C2936" s="3"/>
      <c r="D2936" s="3"/>
      <c r="F2936" s="2"/>
      <c r="G2936" s="48"/>
    </row>
    <row r="2937" spans="3:7">
      <c r="C2937" s="3"/>
      <c r="D2937" s="3"/>
      <c r="F2937" s="2"/>
      <c r="G2937" s="48"/>
    </row>
    <row r="2938" spans="3:7">
      <c r="C2938" s="3"/>
      <c r="D2938" s="3"/>
      <c r="F2938" s="2"/>
      <c r="G2938" s="48"/>
    </row>
    <row r="2939" spans="3:7">
      <c r="C2939" s="3"/>
      <c r="D2939" s="3"/>
      <c r="F2939" s="2"/>
      <c r="G2939" s="48"/>
    </row>
    <row r="2940" spans="3:7">
      <c r="C2940" s="3"/>
      <c r="D2940" s="3"/>
      <c r="F2940" s="2"/>
      <c r="G2940" s="48"/>
    </row>
    <row r="2941" spans="3:7">
      <c r="C2941" s="3"/>
      <c r="D2941" s="3"/>
      <c r="F2941" s="2"/>
      <c r="G2941" s="48"/>
    </row>
    <row r="2942" spans="3:7">
      <c r="C2942" s="3"/>
      <c r="D2942" s="3"/>
      <c r="F2942" s="2"/>
      <c r="G2942" s="48"/>
    </row>
    <row r="2943" spans="3:7">
      <c r="C2943" s="3"/>
      <c r="D2943" s="3"/>
      <c r="F2943" s="2"/>
      <c r="G2943" s="48"/>
    </row>
    <row r="2944" spans="3:7">
      <c r="C2944" s="3"/>
      <c r="D2944" s="3"/>
      <c r="F2944" s="2"/>
      <c r="G2944" s="48"/>
    </row>
    <row r="2945" spans="3:7">
      <c r="C2945" s="3"/>
      <c r="D2945" s="3"/>
      <c r="F2945" s="2"/>
      <c r="G2945" s="48"/>
    </row>
    <row r="2946" spans="3:7">
      <c r="C2946" s="3"/>
      <c r="D2946" s="3"/>
      <c r="F2946" s="2"/>
      <c r="G2946" s="48"/>
    </row>
    <row r="2947" spans="3:7">
      <c r="C2947" s="3"/>
      <c r="D2947" s="3"/>
      <c r="F2947" s="2"/>
      <c r="G2947" s="48"/>
    </row>
    <row r="2948" spans="3:7">
      <c r="C2948" s="3"/>
      <c r="D2948" s="3"/>
      <c r="F2948" s="2"/>
      <c r="G2948" s="48"/>
    </row>
    <row r="2949" spans="3:7">
      <c r="C2949" s="3"/>
      <c r="D2949" s="3"/>
      <c r="F2949" s="2"/>
      <c r="G2949" s="48"/>
    </row>
    <row r="2950" spans="3:7">
      <c r="C2950" s="3"/>
      <c r="D2950" s="3"/>
      <c r="F2950" s="2"/>
      <c r="G2950" s="48"/>
    </row>
    <row r="2951" spans="3:7">
      <c r="C2951" s="3"/>
      <c r="D2951" s="3"/>
      <c r="F2951" s="2"/>
      <c r="G2951" s="48"/>
    </row>
    <row r="2952" spans="3:7">
      <c r="C2952" s="3"/>
      <c r="D2952" s="3"/>
      <c r="F2952" s="2"/>
      <c r="G2952" s="48"/>
    </row>
    <row r="2953" spans="3:7">
      <c r="C2953" s="3"/>
      <c r="D2953" s="3"/>
      <c r="F2953" s="2"/>
      <c r="G2953" s="48"/>
    </row>
    <row r="2954" spans="3:7">
      <c r="C2954" s="3"/>
      <c r="D2954" s="3"/>
      <c r="F2954" s="2"/>
      <c r="G2954" s="48"/>
    </row>
    <row r="2955" spans="3:7">
      <c r="C2955" s="3"/>
      <c r="D2955" s="3"/>
      <c r="F2955" s="2"/>
      <c r="G2955" s="48"/>
    </row>
    <row r="2956" spans="3:7">
      <c r="C2956" s="3"/>
      <c r="D2956" s="3"/>
      <c r="F2956" s="2"/>
      <c r="G2956" s="48"/>
    </row>
    <row r="2957" spans="3:7">
      <c r="C2957" s="3"/>
      <c r="D2957" s="3"/>
      <c r="F2957" s="2"/>
      <c r="G2957" s="48"/>
    </row>
    <row r="2958" spans="3:7">
      <c r="C2958" s="3"/>
      <c r="D2958" s="3"/>
      <c r="F2958" s="2"/>
      <c r="G2958" s="48"/>
    </row>
    <row r="2959" spans="3:7">
      <c r="C2959" s="3"/>
      <c r="D2959" s="3"/>
      <c r="F2959" s="2"/>
      <c r="G2959" s="48"/>
    </row>
    <row r="2960" spans="3:7">
      <c r="C2960" s="3"/>
      <c r="D2960" s="3"/>
      <c r="F2960" s="2"/>
      <c r="G2960" s="48"/>
    </row>
    <row r="2961" spans="3:7">
      <c r="C2961" s="3"/>
      <c r="D2961" s="3"/>
      <c r="F2961" s="2"/>
      <c r="G2961" s="48"/>
    </row>
    <row r="2962" spans="3:7">
      <c r="C2962" s="3"/>
      <c r="D2962" s="3"/>
      <c r="F2962" s="2"/>
      <c r="G2962" s="48"/>
    </row>
    <row r="2963" spans="3:7">
      <c r="C2963" s="3"/>
      <c r="D2963" s="3"/>
      <c r="F2963" s="2"/>
      <c r="G2963" s="48"/>
    </row>
    <row r="2964" spans="3:7">
      <c r="C2964" s="3"/>
      <c r="D2964" s="3"/>
      <c r="F2964" s="2"/>
      <c r="G2964" s="48"/>
    </row>
    <row r="2965" spans="3:7">
      <c r="C2965" s="3"/>
      <c r="D2965" s="3"/>
      <c r="F2965" s="2"/>
      <c r="G2965" s="48"/>
    </row>
    <row r="2966" spans="3:7">
      <c r="C2966" s="3"/>
      <c r="D2966" s="3"/>
      <c r="F2966" s="2"/>
      <c r="G2966" s="48"/>
    </row>
    <row r="2967" spans="3:7">
      <c r="C2967" s="3"/>
      <c r="D2967" s="3"/>
      <c r="F2967" s="2"/>
      <c r="G2967" s="48"/>
    </row>
    <row r="2968" spans="3:7">
      <c r="C2968" s="3"/>
      <c r="D2968" s="3"/>
      <c r="F2968" s="2"/>
      <c r="G2968" s="48"/>
    </row>
    <row r="2969" spans="3:7">
      <c r="C2969" s="3"/>
      <c r="D2969" s="3"/>
      <c r="F2969" s="2"/>
      <c r="G2969" s="48"/>
    </row>
    <row r="2970" spans="3:7">
      <c r="C2970" s="3"/>
      <c r="D2970" s="3"/>
      <c r="F2970" s="2"/>
      <c r="G2970" s="48"/>
    </row>
    <row r="2971" spans="3:7">
      <c r="C2971" s="3"/>
      <c r="D2971" s="3"/>
      <c r="F2971" s="2"/>
      <c r="G2971" s="48"/>
    </row>
    <row r="2972" spans="3:7">
      <c r="C2972" s="3"/>
      <c r="D2972" s="3"/>
      <c r="F2972" s="2"/>
      <c r="G2972" s="48"/>
    </row>
    <row r="2973" spans="3:7">
      <c r="C2973" s="3"/>
      <c r="D2973" s="3"/>
      <c r="F2973" s="2"/>
      <c r="G2973" s="48"/>
    </row>
    <row r="2974" spans="3:7">
      <c r="C2974" s="3"/>
      <c r="D2974" s="3"/>
      <c r="F2974" s="2"/>
      <c r="G2974" s="48"/>
    </row>
    <row r="2975" spans="3:7">
      <c r="C2975" s="3"/>
      <c r="D2975" s="3"/>
      <c r="F2975" s="2"/>
      <c r="G2975" s="48"/>
    </row>
    <row r="2976" spans="3:7">
      <c r="C2976" s="3"/>
      <c r="D2976" s="3"/>
      <c r="F2976" s="2"/>
      <c r="G2976" s="48"/>
    </row>
    <row r="2977" spans="3:7">
      <c r="C2977" s="3"/>
      <c r="D2977" s="3"/>
      <c r="F2977" s="2"/>
      <c r="G2977" s="48"/>
    </row>
    <row r="2978" spans="3:7">
      <c r="C2978" s="3"/>
      <c r="D2978" s="3"/>
      <c r="F2978" s="2"/>
      <c r="G2978" s="48"/>
    </row>
    <row r="2979" spans="3:7">
      <c r="C2979" s="3"/>
      <c r="D2979" s="3"/>
      <c r="F2979" s="2"/>
      <c r="G2979" s="48"/>
    </row>
    <row r="2980" spans="3:7">
      <c r="C2980" s="3"/>
      <c r="D2980" s="3"/>
      <c r="F2980" s="2"/>
      <c r="G2980" s="48"/>
    </row>
    <row r="2981" spans="3:7">
      <c r="C2981" s="3"/>
      <c r="D2981" s="3"/>
      <c r="F2981" s="2"/>
      <c r="G2981" s="48"/>
    </row>
    <row r="2982" spans="3:7">
      <c r="C2982" s="3"/>
      <c r="D2982" s="3"/>
      <c r="F2982" s="2"/>
      <c r="G2982" s="48"/>
    </row>
    <row r="2983" spans="3:7">
      <c r="C2983" s="3"/>
      <c r="D2983" s="3"/>
      <c r="F2983" s="2"/>
      <c r="G2983" s="48"/>
    </row>
    <row r="2984" spans="3:7">
      <c r="C2984" s="3"/>
      <c r="D2984" s="3"/>
      <c r="F2984" s="2"/>
      <c r="G2984" s="48"/>
    </row>
    <row r="2985" spans="3:7">
      <c r="C2985" s="3"/>
      <c r="D2985" s="3"/>
      <c r="F2985" s="2"/>
      <c r="G2985" s="48"/>
    </row>
    <row r="2986" spans="3:7">
      <c r="C2986" s="3"/>
      <c r="D2986" s="3"/>
      <c r="F2986" s="2"/>
      <c r="G2986" s="48"/>
    </row>
    <row r="2987" spans="3:7">
      <c r="C2987" s="3"/>
      <c r="D2987" s="3"/>
      <c r="F2987" s="2"/>
      <c r="G2987" s="48"/>
    </row>
    <row r="2988" spans="3:7">
      <c r="C2988" s="3"/>
      <c r="D2988" s="3"/>
      <c r="F2988" s="2"/>
      <c r="G2988" s="48"/>
    </row>
    <row r="2989" spans="3:7">
      <c r="C2989" s="3"/>
      <c r="D2989" s="3"/>
      <c r="F2989" s="2"/>
      <c r="G2989" s="48"/>
    </row>
    <row r="2990" spans="3:7">
      <c r="C2990" s="3"/>
      <c r="D2990" s="3"/>
      <c r="F2990" s="2"/>
      <c r="G2990" s="48"/>
    </row>
    <row r="2991" spans="3:7">
      <c r="C2991" s="3"/>
      <c r="D2991" s="3"/>
      <c r="F2991" s="2"/>
      <c r="G2991" s="48"/>
    </row>
    <row r="2992" spans="3:7">
      <c r="C2992" s="3"/>
      <c r="D2992" s="3"/>
      <c r="F2992" s="2"/>
      <c r="G2992" s="48"/>
    </row>
    <row r="2993" spans="3:7">
      <c r="C2993" s="3"/>
      <c r="D2993" s="3"/>
      <c r="F2993" s="2"/>
      <c r="G2993" s="48"/>
    </row>
    <row r="2994" spans="3:7">
      <c r="C2994" s="3"/>
      <c r="D2994" s="3"/>
      <c r="F2994" s="2"/>
      <c r="G2994" s="48"/>
    </row>
    <row r="2995" spans="3:7">
      <c r="C2995" s="3"/>
      <c r="D2995" s="3"/>
      <c r="F2995" s="2"/>
      <c r="G2995" s="48"/>
    </row>
    <row r="2996" spans="3:7">
      <c r="C2996" s="3"/>
      <c r="D2996" s="3"/>
      <c r="F2996" s="2"/>
      <c r="G2996" s="48"/>
    </row>
    <row r="2997" spans="3:7">
      <c r="C2997" s="3"/>
      <c r="D2997" s="3"/>
      <c r="F2997" s="2"/>
      <c r="G2997" s="48"/>
    </row>
    <row r="2998" spans="3:7">
      <c r="C2998" s="3"/>
      <c r="D2998" s="3"/>
      <c r="F2998" s="2"/>
      <c r="G2998" s="48"/>
    </row>
    <row r="2999" spans="3:7">
      <c r="C2999" s="3"/>
      <c r="D2999" s="3"/>
      <c r="F2999" s="2"/>
      <c r="G2999" s="48"/>
    </row>
    <row r="3000" spans="3:7">
      <c r="C3000" s="3"/>
      <c r="D3000" s="3"/>
      <c r="F3000" s="2"/>
      <c r="G3000" s="48"/>
    </row>
    <row r="3001" spans="3:7">
      <c r="C3001" s="3"/>
      <c r="D3001" s="3"/>
      <c r="F3001" s="2"/>
      <c r="G3001" s="48"/>
    </row>
    <row r="3002" spans="3:7">
      <c r="C3002" s="3"/>
      <c r="D3002" s="3"/>
      <c r="F3002" s="2"/>
      <c r="G3002" s="48"/>
    </row>
    <row r="3003" spans="3:7">
      <c r="C3003" s="3"/>
      <c r="D3003" s="3"/>
      <c r="F3003" s="2"/>
      <c r="G3003" s="48"/>
    </row>
    <row r="3004" spans="3:7">
      <c r="C3004" s="3"/>
      <c r="D3004" s="3"/>
      <c r="F3004" s="2"/>
      <c r="G3004" s="48"/>
    </row>
    <row r="3005" spans="3:7">
      <c r="C3005" s="3"/>
      <c r="D3005" s="3"/>
      <c r="F3005" s="2"/>
      <c r="G3005" s="48"/>
    </row>
    <row r="3006" spans="3:7">
      <c r="C3006" s="3"/>
      <c r="D3006" s="3"/>
      <c r="F3006" s="2"/>
      <c r="G3006" s="48"/>
    </row>
    <row r="3007" spans="3:7">
      <c r="C3007" s="3"/>
      <c r="D3007" s="3"/>
      <c r="F3007" s="2"/>
      <c r="G3007" s="48"/>
    </row>
    <row r="3008" spans="3:7">
      <c r="C3008" s="3"/>
      <c r="D3008" s="3"/>
      <c r="F3008" s="2"/>
      <c r="G3008" s="48"/>
    </row>
    <row r="3009" spans="3:7">
      <c r="C3009" s="3"/>
      <c r="D3009" s="3"/>
      <c r="F3009" s="2"/>
      <c r="G3009" s="48"/>
    </row>
    <row r="3010" spans="3:7">
      <c r="C3010" s="3"/>
      <c r="D3010" s="3"/>
      <c r="F3010" s="2"/>
      <c r="G3010" s="48"/>
    </row>
    <row r="3011" spans="3:7">
      <c r="C3011" s="3"/>
      <c r="D3011" s="3"/>
      <c r="F3011" s="2"/>
      <c r="G3011" s="48"/>
    </row>
    <row r="3012" spans="3:7">
      <c r="C3012" s="3"/>
      <c r="D3012" s="3"/>
      <c r="F3012" s="2"/>
      <c r="G3012" s="48"/>
    </row>
    <row r="3013" spans="3:7">
      <c r="C3013" s="3"/>
      <c r="D3013" s="3"/>
      <c r="F3013" s="2"/>
      <c r="G3013" s="48"/>
    </row>
    <row r="3014" spans="3:7">
      <c r="C3014" s="3"/>
      <c r="D3014" s="3"/>
      <c r="F3014" s="2"/>
      <c r="G3014" s="48"/>
    </row>
    <row r="3015" spans="3:7">
      <c r="C3015" s="3"/>
      <c r="D3015" s="3"/>
      <c r="F3015" s="2"/>
      <c r="G3015" s="48"/>
    </row>
    <row r="3016" spans="3:7">
      <c r="C3016" s="3"/>
      <c r="D3016" s="3"/>
      <c r="F3016" s="2"/>
      <c r="G3016" s="48"/>
    </row>
    <row r="3017" spans="3:7">
      <c r="C3017" s="3"/>
      <c r="D3017" s="3"/>
      <c r="F3017" s="2"/>
      <c r="G3017" s="48"/>
    </row>
    <row r="3018" spans="3:7">
      <c r="C3018" s="3"/>
      <c r="D3018" s="3"/>
      <c r="F3018" s="2"/>
      <c r="G3018" s="48"/>
    </row>
    <row r="3019" spans="3:7">
      <c r="C3019" s="3"/>
      <c r="D3019" s="3"/>
      <c r="F3019" s="2"/>
      <c r="G3019" s="48"/>
    </row>
    <row r="3020" spans="3:7">
      <c r="C3020" s="3"/>
      <c r="D3020" s="3"/>
      <c r="F3020" s="2"/>
      <c r="G3020" s="48"/>
    </row>
    <row r="3021" spans="3:7">
      <c r="C3021" s="3"/>
      <c r="D3021" s="3"/>
      <c r="F3021" s="2"/>
      <c r="G3021" s="48"/>
    </row>
    <row r="3022" spans="3:7">
      <c r="C3022" s="3"/>
      <c r="D3022" s="3"/>
      <c r="F3022" s="2"/>
      <c r="G3022" s="48"/>
    </row>
    <row r="3023" spans="3:7">
      <c r="C3023" s="3"/>
      <c r="D3023" s="3"/>
      <c r="F3023" s="2"/>
      <c r="G3023" s="48"/>
    </row>
    <row r="3024" spans="3:7">
      <c r="C3024" s="3"/>
      <c r="D3024" s="3"/>
      <c r="F3024" s="2"/>
      <c r="G3024" s="48"/>
    </row>
    <row r="3025" spans="3:7">
      <c r="C3025" s="3"/>
      <c r="D3025" s="3"/>
      <c r="F3025" s="2"/>
      <c r="G3025" s="48"/>
    </row>
    <row r="3026" spans="3:7">
      <c r="C3026" s="3"/>
      <c r="D3026" s="3"/>
      <c r="F3026" s="2"/>
      <c r="G3026" s="48"/>
    </row>
    <row r="3027" spans="3:7">
      <c r="C3027" s="3"/>
      <c r="D3027" s="3"/>
      <c r="F3027" s="2"/>
      <c r="G3027" s="48"/>
    </row>
    <row r="3028" spans="3:7">
      <c r="C3028" s="3"/>
      <c r="D3028" s="3"/>
      <c r="F3028" s="2"/>
      <c r="G3028" s="48"/>
    </row>
    <row r="3029" spans="3:7">
      <c r="C3029" s="3"/>
      <c r="D3029" s="3"/>
      <c r="F3029" s="2"/>
      <c r="G3029" s="48"/>
    </row>
    <row r="3030" spans="3:7">
      <c r="C3030" s="3"/>
      <c r="D3030" s="3"/>
      <c r="F3030" s="2"/>
      <c r="G3030" s="48"/>
    </row>
    <row r="3031" spans="3:7">
      <c r="C3031" s="3"/>
      <c r="D3031" s="3"/>
      <c r="F3031" s="2"/>
      <c r="G3031" s="48"/>
    </row>
    <row r="3032" spans="3:7">
      <c r="C3032" s="3"/>
      <c r="D3032" s="3"/>
      <c r="F3032" s="2"/>
      <c r="G3032" s="48"/>
    </row>
    <row r="3033" spans="3:7">
      <c r="C3033" s="3"/>
      <c r="D3033" s="3"/>
      <c r="F3033" s="2"/>
      <c r="G3033" s="48"/>
    </row>
    <row r="3034" spans="3:7">
      <c r="C3034" s="3"/>
      <c r="D3034" s="3"/>
      <c r="F3034" s="2"/>
      <c r="G3034" s="48"/>
    </row>
    <row r="3035" spans="3:7">
      <c r="C3035" s="3"/>
      <c r="D3035" s="3"/>
      <c r="F3035" s="2"/>
      <c r="G3035" s="48"/>
    </row>
    <row r="3036" spans="3:7">
      <c r="C3036" s="3"/>
      <c r="D3036" s="3"/>
      <c r="F3036" s="2"/>
      <c r="G3036" s="48"/>
    </row>
    <row r="3037" spans="3:7">
      <c r="C3037" s="3"/>
      <c r="D3037" s="3"/>
      <c r="F3037" s="2"/>
      <c r="G3037" s="48"/>
    </row>
    <row r="3038" spans="3:7">
      <c r="C3038" s="3"/>
      <c r="D3038" s="3"/>
      <c r="F3038" s="2"/>
      <c r="G3038" s="48"/>
    </row>
    <row r="3039" spans="3:7">
      <c r="C3039" s="3"/>
      <c r="D3039" s="3"/>
      <c r="F3039" s="2"/>
      <c r="G3039" s="48"/>
    </row>
    <row r="3040" spans="3:7">
      <c r="C3040" s="3"/>
      <c r="D3040" s="3"/>
      <c r="F3040" s="2"/>
      <c r="G3040" s="48"/>
    </row>
    <row r="3041" spans="3:7">
      <c r="C3041" s="3"/>
      <c r="D3041" s="3"/>
      <c r="F3041" s="2"/>
      <c r="G3041" s="48"/>
    </row>
    <row r="3042" spans="3:7">
      <c r="C3042" s="3"/>
      <c r="D3042" s="3"/>
      <c r="F3042" s="2"/>
      <c r="G3042" s="48"/>
    </row>
    <row r="3043" spans="3:7">
      <c r="C3043" s="3"/>
      <c r="D3043" s="3"/>
      <c r="F3043" s="2"/>
      <c r="G3043" s="48"/>
    </row>
    <row r="3044" spans="3:7">
      <c r="C3044" s="3"/>
      <c r="D3044" s="3"/>
      <c r="F3044" s="2"/>
      <c r="G3044" s="48"/>
    </row>
    <row r="3045" spans="3:7">
      <c r="C3045" s="3"/>
      <c r="D3045" s="3"/>
      <c r="F3045" s="2"/>
      <c r="G3045" s="48"/>
    </row>
    <row r="3046" spans="3:7">
      <c r="C3046" s="3"/>
      <c r="D3046" s="3"/>
      <c r="F3046" s="2"/>
      <c r="G3046" s="48"/>
    </row>
    <row r="3047" spans="3:7">
      <c r="C3047" s="3"/>
      <c r="D3047" s="3"/>
      <c r="F3047" s="2"/>
      <c r="G3047" s="48"/>
    </row>
    <row r="3048" spans="3:7">
      <c r="C3048" s="3"/>
      <c r="D3048" s="3"/>
      <c r="F3048" s="2"/>
      <c r="G3048" s="48"/>
    </row>
    <row r="3049" spans="3:7">
      <c r="C3049" s="3"/>
      <c r="D3049" s="3"/>
      <c r="F3049" s="2"/>
      <c r="G3049" s="48"/>
    </row>
    <row r="3050" spans="3:7">
      <c r="C3050" s="3"/>
      <c r="D3050" s="3"/>
      <c r="F3050" s="2"/>
      <c r="G3050" s="48"/>
    </row>
    <row r="3051" spans="3:7">
      <c r="C3051" s="3"/>
      <c r="D3051" s="3"/>
      <c r="F3051" s="2"/>
      <c r="G3051" s="48"/>
    </row>
    <row r="3052" spans="3:7">
      <c r="C3052" s="3"/>
      <c r="D3052" s="3"/>
      <c r="F3052" s="2"/>
      <c r="G3052" s="48"/>
    </row>
    <row r="3053" spans="3:7">
      <c r="C3053" s="3"/>
      <c r="D3053" s="3"/>
      <c r="F3053" s="2"/>
      <c r="G3053" s="48"/>
    </row>
    <row r="3054" spans="3:7">
      <c r="C3054" s="3"/>
      <c r="D3054" s="3"/>
      <c r="F3054" s="2"/>
      <c r="G3054" s="48"/>
    </row>
    <row r="3055" spans="3:7">
      <c r="C3055" s="3"/>
      <c r="D3055" s="3"/>
      <c r="F3055" s="2"/>
      <c r="G3055" s="48"/>
    </row>
    <row r="3056" spans="3:7">
      <c r="C3056" s="3"/>
      <c r="D3056" s="3"/>
      <c r="F3056" s="2"/>
      <c r="G3056" s="48"/>
    </row>
    <row r="3057" spans="3:7">
      <c r="C3057" s="3"/>
      <c r="D3057" s="3"/>
      <c r="F3057" s="2"/>
      <c r="G3057" s="48"/>
    </row>
    <row r="3058" spans="3:7">
      <c r="C3058" s="3"/>
      <c r="D3058" s="3"/>
      <c r="F3058" s="2"/>
      <c r="G3058" s="48"/>
    </row>
    <row r="3059" spans="3:7">
      <c r="C3059" s="3"/>
      <c r="D3059" s="3"/>
      <c r="F3059" s="2"/>
      <c r="G3059" s="48"/>
    </row>
    <row r="3060" spans="3:7">
      <c r="C3060" s="3"/>
      <c r="D3060" s="3"/>
      <c r="F3060" s="2"/>
      <c r="G3060" s="48"/>
    </row>
    <row r="3061" spans="3:7">
      <c r="C3061" s="3"/>
      <c r="D3061" s="3"/>
      <c r="F3061" s="2"/>
      <c r="G3061" s="48"/>
    </row>
    <row r="3062" spans="3:7">
      <c r="C3062" s="3"/>
      <c r="D3062" s="3"/>
      <c r="F3062" s="2"/>
      <c r="G3062" s="48"/>
    </row>
    <row r="3063" spans="3:7">
      <c r="C3063" s="3"/>
      <c r="D3063" s="3"/>
      <c r="F3063" s="2"/>
      <c r="G3063" s="48"/>
    </row>
    <row r="3064" spans="3:7">
      <c r="C3064" s="3"/>
      <c r="D3064" s="3"/>
      <c r="F3064" s="2"/>
      <c r="G3064" s="48"/>
    </row>
    <row r="3065" spans="3:7">
      <c r="C3065" s="3"/>
      <c r="D3065" s="3"/>
      <c r="F3065" s="2"/>
      <c r="G3065" s="48"/>
    </row>
    <row r="3066" spans="3:7">
      <c r="C3066" s="3"/>
      <c r="D3066" s="3"/>
      <c r="F3066" s="2"/>
      <c r="G3066" s="48"/>
    </row>
    <row r="3067" spans="3:7">
      <c r="C3067" s="3"/>
      <c r="D3067" s="3"/>
      <c r="F3067" s="2"/>
      <c r="G3067" s="48"/>
    </row>
    <row r="3068" spans="3:7">
      <c r="C3068" s="3"/>
      <c r="D3068" s="3"/>
      <c r="F3068" s="2"/>
      <c r="G3068" s="48"/>
    </row>
    <row r="3069" spans="3:7">
      <c r="C3069" s="3"/>
      <c r="D3069" s="3"/>
      <c r="F3069" s="2"/>
      <c r="G3069" s="48"/>
    </row>
    <row r="3070" spans="3:7">
      <c r="C3070" s="3"/>
      <c r="D3070" s="3"/>
      <c r="F3070" s="2"/>
      <c r="G3070" s="48"/>
    </row>
    <row r="3071" spans="3:7">
      <c r="C3071" s="3"/>
      <c r="D3071" s="3"/>
      <c r="F3071" s="2"/>
      <c r="G3071" s="48"/>
    </row>
    <row r="3072" spans="3:7">
      <c r="C3072" s="3"/>
      <c r="D3072" s="3"/>
      <c r="F3072" s="2"/>
      <c r="G3072" s="48"/>
    </row>
    <row r="3073" spans="3:7">
      <c r="C3073" s="3"/>
      <c r="D3073" s="3"/>
      <c r="F3073" s="2"/>
      <c r="G3073" s="48"/>
    </row>
    <row r="3074" spans="3:7">
      <c r="C3074" s="3"/>
      <c r="D3074" s="3"/>
      <c r="F3074" s="2"/>
      <c r="G3074" s="48"/>
    </row>
    <row r="3075" spans="3:7">
      <c r="C3075" s="3"/>
      <c r="D3075" s="3"/>
      <c r="F3075" s="2"/>
      <c r="G3075" s="48"/>
    </row>
    <row r="3076" spans="3:7">
      <c r="C3076" s="3"/>
      <c r="D3076" s="3"/>
      <c r="F3076" s="2"/>
      <c r="G3076" s="48"/>
    </row>
    <row r="3077" spans="3:7">
      <c r="C3077" s="3"/>
      <c r="D3077" s="3"/>
      <c r="F3077" s="2"/>
      <c r="G3077" s="48"/>
    </row>
    <row r="3078" spans="3:7">
      <c r="C3078" s="3"/>
      <c r="D3078" s="3"/>
      <c r="F3078" s="2"/>
      <c r="G3078" s="48"/>
    </row>
    <row r="3079" spans="3:7">
      <c r="C3079" s="3"/>
      <c r="D3079" s="3"/>
      <c r="F3079" s="2"/>
      <c r="G3079" s="48"/>
    </row>
    <row r="3080" spans="3:7">
      <c r="C3080" s="3"/>
      <c r="D3080" s="3"/>
      <c r="F3080" s="2"/>
      <c r="G3080" s="48"/>
    </row>
    <row r="3081" spans="3:7">
      <c r="C3081" s="3"/>
      <c r="D3081" s="3"/>
      <c r="F3081" s="2"/>
      <c r="G3081" s="48"/>
    </row>
    <row r="3082" spans="3:7">
      <c r="C3082" s="3"/>
      <c r="D3082" s="3"/>
      <c r="F3082" s="2"/>
      <c r="G3082" s="48"/>
    </row>
    <row r="3083" spans="3:7">
      <c r="C3083" s="3"/>
      <c r="D3083" s="3"/>
      <c r="F3083" s="2"/>
      <c r="G3083" s="48"/>
    </row>
    <row r="3084" spans="3:7">
      <c r="C3084" s="3"/>
      <c r="D3084" s="3"/>
      <c r="F3084" s="2"/>
      <c r="G3084" s="48"/>
    </row>
    <row r="3085" spans="3:7">
      <c r="C3085" s="3"/>
      <c r="D3085" s="3"/>
      <c r="F3085" s="2"/>
      <c r="G3085" s="48"/>
    </row>
    <row r="3086" spans="3:7">
      <c r="C3086" s="3"/>
      <c r="D3086" s="3"/>
      <c r="F3086" s="2"/>
      <c r="G3086" s="48"/>
    </row>
    <row r="3087" spans="3:7">
      <c r="C3087" s="3"/>
      <c r="D3087" s="3"/>
      <c r="F3087" s="2"/>
      <c r="G3087" s="48"/>
    </row>
    <row r="3088" spans="3:7">
      <c r="C3088" s="3"/>
      <c r="D3088" s="3"/>
      <c r="F3088" s="2"/>
      <c r="G3088" s="48"/>
    </row>
    <row r="3089" spans="3:7">
      <c r="C3089" s="3"/>
      <c r="D3089" s="3"/>
      <c r="F3089" s="2"/>
      <c r="G3089" s="48"/>
    </row>
    <row r="3090" spans="3:7">
      <c r="C3090" s="3"/>
      <c r="D3090" s="3"/>
      <c r="F3090" s="2"/>
      <c r="G3090" s="48"/>
    </row>
    <row r="3091" spans="3:7">
      <c r="C3091" s="3"/>
      <c r="D3091" s="3"/>
      <c r="F3091" s="2"/>
      <c r="G3091" s="48"/>
    </row>
    <row r="3092" spans="3:7">
      <c r="C3092" s="3"/>
      <c r="D3092" s="3"/>
      <c r="F3092" s="2"/>
      <c r="G3092" s="48"/>
    </row>
    <row r="3093" spans="3:7">
      <c r="C3093" s="3"/>
      <c r="D3093" s="3"/>
      <c r="F3093" s="2"/>
      <c r="G3093" s="48"/>
    </row>
    <row r="3094" spans="3:7">
      <c r="C3094" s="3"/>
      <c r="D3094" s="3"/>
      <c r="F3094" s="2"/>
      <c r="G3094" s="48"/>
    </row>
    <row r="3095" spans="3:7">
      <c r="C3095" s="3"/>
      <c r="D3095" s="3"/>
      <c r="F3095" s="2"/>
      <c r="G3095" s="48"/>
    </row>
    <row r="3096" spans="3:7">
      <c r="C3096" s="3"/>
      <c r="D3096" s="3"/>
      <c r="F3096" s="2"/>
      <c r="G3096" s="48"/>
    </row>
    <row r="3097" spans="3:7">
      <c r="C3097" s="3"/>
      <c r="D3097" s="3"/>
      <c r="F3097" s="2"/>
      <c r="G3097" s="48"/>
    </row>
    <row r="3098" spans="3:7">
      <c r="C3098" s="3"/>
      <c r="D3098" s="3"/>
      <c r="F3098" s="2"/>
      <c r="G3098" s="48"/>
    </row>
    <row r="3099" spans="3:7">
      <c r="C3099" s="3"/>
      <c r="D3099" s="3"/>
      <c r="F3099" s="2"/>
      <c r="G3099" s="48"/>
    </row>
    <row r="3100" spans="3:7">
      <c r="C3100" s="3"/>
      <c r="D3100" s="3"/>
      <c r="F3100" s="2"/>
      <c r="G3100" s="48"/>
    </row>
    <row r="3101" spans="3:7">
      <c r="C3101" s="3"/>
      <c r="D3101" s="3"/>
      <c r="F3101" s="2"/>
      <c r="G3101" s="48"/>
    </row>
    <row r="3102" spans="3:7">
      <c r="C3102" s="3"/>
      <c r="D3102" s="3"/>
      <c r="F3102" s="2"/>
      <c r="G3102" s="48"/>
    </row>
    <row r="3103" spans="3:7">
      <c r="C3103" s="3"/>
      <c r="D3103" s="3"/>
      <c r="F3103" s="2"/>
      <c r="G3103" s="48"/>
    </row>
    <row r="3104" spans="3:7">
      <c r="C3104" s="3"/>
      <c r="D3104" s="3"/>
      <c r="F3104" s="2"/>
      <c r="G3104" s="48"/>
    </row>
    <row r="3105" spans="3:7">
      <c r="C3105" s="3"/>
      <c r="D3105" s="3"/>
      <c r="F3105" s="2"/>
      <c r="G3105" s="48"/>
    </row>
    <row r="3106" spans="3:7">
      <c r="C3106" s="3"/>
      <c r="D3106" s="3"/>
      <c r="F3106" s="2"/>
      <c r="G3106" s="48"/>
    </row>
    <row r="3107" spans="3:7">
      <c r="C3107" s="3"/>
      <c r="D3107" s="3"/>
      <c r="F3107" s="2"/>
      <c r="G3107" s="48"/>
    </row>
    <row r="3108" spans="3:7">
      <c r="C3108" s="3"/>
      <c r="D3108" s="3"/>
      <c r="F3108" s="2"/>
      <c r="G3108" s="48"/>
    </row>
    <row r="3109" spans="3:7">
      <c r="C3109" s="3"/>
      <c r="D3109" s="3"/>
      <c r="F3109" s="2"/>
      <c r="G3109" s="48"/>
    </row>
    <row r="3110" spans="3:7">
      <c r="C3110" s="3"/>
      <c r="D3110" s="3"/>
      <c r="F3110" s="2"/>
      <c r="G3110" s="48"/>
    </row>
    <row r="3111" spans="3:7">
      <c r="C3111" s="3"/>
      <c r="D3111" s="3"/>
      <c r="F3111" s="2"/>
      <c r="G3111" s="48"/>
    </row>
    <row r="3112" spans="3:7">
      <c r="C3112" s="3"/>
      <c r="D3112" s="3"/>
      <c r="F3112" s="2"/>
      <c r="G3112" s="48"/>
    </row>
    <row r="3113" spans="3:7">
      <c r="C3113" s="3"/>
      <c r="D3113" s="3"/>
      <c r="F3113" s="2"/>
      <c r="G3113" s="48"/>
    </row>
    <row r="3114" spans="3:7">
      <c r="C3114" s="3"/>
      <c r="D3114" s="3"/>
      <c r="F3114" s="2"/>
      <c r="G3114" s="48"/>
    </row>
    <row r="3115" spans="3:7">
      <c r="C3115" s="3"/>
      <c r="D3115" s="3"/>
      <c r="F3115" s="2"/>
      <c r="G3115" s="48"/>
    </row>
    <row r="3116" spans="3:7">
      <c r="C3116" s="3"/>
      <c r="D3116" s="3"/>
      <c r="F3116" s="2"/>
      <c r="G3116" s="48"/>
    </row>
    <row r="3117" spans="3:7">
      <c r="C3117" s="3"/>
      <c r="D3117" s="3"/>
      <c r="F3117" s="2"/>
      <c r="G3117" s="48"/>
    </row>
    <row r="3118" spans="3:7">
      <c r="C3118" s="3"/>
      <c r="D3118" s="3"/>
      <c r="F3118" s="2"/>
      <c r="G3118" s="48"/>
    </row>
    <row r="3119" spans="3:7">
      <c r="C3119" s="3"/>
      <c r="D3119" s="3"/>
      <c r="F3119" s="2"/>
      <c r="G3119" s="48"/>
    </row>
    <row r="3120" spans="3:7">
      <c r="C3120" s="3"/>
      <c r="D3120" s="3"/>
      <c r="F3120" s="2"/>
      <c r="G3120" s="48"/>
    </row>
    <row r="3121" spans="3:7">
      <c r="C3121" s="3"/>
      <c r="D3121" s="3"/>
      <c r="F3121" s="2"/>
      <c r="G3121" s="48"/>
    </row>
    <row r="3122" spans="3:7">
      <c r="C3122" s="3"/>
      <c r="D3122" s="3"/>
      <c r="F3122" s="2"/>
      <c r="G3122" s="48"/>
    </row>
    <row r="3123" spans="3:7">
      <c r="C3123" s="3"/>
      <c r="D3123" s="3"/>
      <c r="F3123" s="2"/>
      <c r="G3123" s="48"/>
    </row>
    <row r="3124" spans="3:7">
      <c r="C3124" s="3"/>
      <c r="D3124" s="3"/>
      <c r="F3124" s="2"/>
      <c r="G3124" s="48"/>
    </row>
    <row r="3125" spans="3:7">
      <c r="C3125" s="3"/>
      <c r="D3125" s="3"/>
      <c r="F3125" s="2"/>
      <c r="G3125" s="48"/>
    </row>
    <row r="3126" spans="3:7">
      <c r="C3126" s="3"/>
      <c r="D3126" s="3"/>
      <c r="F3126" s="2"/>
      <c r="G3126" s="48"/>
    </row>
  </sheetData>
  <phoneticPr fontId="4" type="noConversion"/>
  <pageMargins left="0.7" right="0.7" top="0.75" bottom="0.75" header="0.3" footer="0.3"/>
  <pageSetup paperSize="9" orientation="portrait"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AFDBE-B9DF-4094-991B-3C7E80A875E5}">
  <sheetPr codeName="Feuil4"/>
  <dimension ref="A1:E83"/>
  <sheetViews>
    <sheetView topLeftCell="A29" zoomScaleNormal="100" workbookViewId="0">
      <selection activeCell="A44" sqref="A44"/>
    </sheetView>
  </sheetViews>
  <sheetFormatPr defaultColWidth="11.42578125" defaultRowHeight="14.45"/>
  <cols>
    <col min="1" max="1" width="55.5703125" customWidth="1"/>
    <col min="2" max="2" width="45.42578125" customWidth="1"/>
    <col min="3" max="3" width="46.42578125" customWidth="1"/>
    <col min="4" max="4" width="68.5703125" bestFit="1" customWidth="1"/>
    <col min="5" max="5" width="68.5703125" customWidth="1"/>
  </cols>
  <sheetData>
    <row r="1" spans="1:5">
      <c r="A1" t="s">
        <v>3899</v>
      </c>
      <c r="B1" t="s">
        <v>3900</v>
      </c>
      <c r="C1" t="s">
        <v>3901</v>
      </c>
      <c r="D1" t="s">
        <v>3902</v>
      </c>
      <c r="E1" t="s">
        <v>3903</v>
      </c>
    </row>
    <row r="2" spans="1:5">
      <c r="A2" t="s">
        <v>2624</v>
      </c>
      <c r="B2" t="s">
        <v>3904</v>
      </c>
      <c r="C2" t="s">
        <v>1526</v>
      </c>
      <c r="E2" s="60"/>
    </row>
    <row r="3" spans="1:5">
      <c r="A3" t="s">
        <v>2624</v>
      </c>
      <c r="B3" t="s">
        <v>3905</v>
      </c>
      <c r="C3" t="s">
        <v>1699</v>
      </c>
      <c r="E3" s="60"/>
    </row>
    <row r="4" spans="1:5">
      <c r="A4" t="s">
        <v>2624</v>
      </c>
      <c r="B4" t="s">
        <v>3906</v>
      </c>
      <c r="C4" t="s">
        <v>3907</v>
      </c>
      <c r="E4" s="60"/>
    </row>
    <row r="5" spans="1:5">
      <c r="A5" t="s">
        <v>1014</v>
      </c>
      <c r="B5" t="s">
        <v>3011</v>
      </c>
      <c r="C5" t="s">
        <v>3908</v>
      </c>
    </row>
    <row r="6" spans="1:5">
      <c r="A6" t="s">
        <v>1014</v>
      </c>
      <c r="B6" t="s">
        <v>3909</v>
      </c>
      <c r="C6" t="s">
        <v>1029</v>
      </c>
      <c r="D6" t="s">
        <v>3910</v>
      </c>
    </row>
    <row r="7" spans="1:5">
      <c r="A7" t="s">
        <v>1014</v>
      </c>
      <c r="B7" t="s">
        <v>3911</v>
      </c>
      <c r="C7" t="s">
        <v>1394</v>
      </c>
    </row>
    <row r="8" spans="1:5">
      <c r="A8" t="s">
        <v>1014</v>
      </c>
      <c r="B8" t="s">
        <v>3912</v>
      </c>
      <c r="C8" t="s">
        <v>1939</v>
      </c>
    </row>
    <row r="9" spans="1:5">
      <c r="A9" t="s">
        <v>1014</v>
      </c>
      <c r="B9" t="s">
        <v>3913</v>
      </c>
      <c r="C9" t="s">
        <v>3075</v>
      </c>
    </row>
    <row r="10" spans="1:5">
      <c r="A10" t="s">
        <v>1014</v>
      </c>
      <c r="B10" t="s">
        <v>3914</v>
      </c>
      <c r="C10" s="114" t="s">
        <v>3908</v>
      </c>
      <c r="E10" s="60"/>
    </row>
    <row r="11" spans="1:5">
      <c r="A11" t="s">
        <v>1014</v>
      </c>
      <c r="B11" t="s">
        <v>3915</v>
      </c>
      <c r="C11" t="s">
        <v>1939</v>
      </c>
    </row>
    <row r="12" spans="1:5">
      <c r="A12" t="s">
        <v>2313</v>
      </c>
      <c r="B12" t="s">
        <v>2253</v>
      </c>
      <c r="C12" t="s">
        <v>876</v>
      </c>
      <c r="E12" s="60"/>
    </row>
    <row r="13" spans="1:5">
      <c r="A13" t="s">
        <v>2313</v>
      </c>
      <c r="B13" t="s">
        <v>3916</v>
      </c>
      <c r="C13" t="s">
        <v>1521</v>
      </c>
      <c r="E13" s="60"/>
    </row>
    <row r="14" spans="1:5">
      <c r="A14" t="s">
        <v>2313</v>
      </c>
      <c r="B14" t="s">
        <v>3917</v>
      </c>
      <c r="C14" t="s">
        <v>1155</v>
      </c>
      <c r="E14" s="60"/>
    </row>
    <row r="15" spans="1:5">
      <c r="A15" t="s">
        <v>2313</v>
      </c>
      <c r="B15" t="s">
        <v>3918</v>
      </c>
      <c r="C15" t="s">
        <v>873</v>
      </c>
      <c r="E15" s="60"/>
    </row>
    <row r="16" spans="1:5">
      <c r="A16" t="s">
        <v>2313</v>
      </c>
      <c r="B16" t="s">
        <v>3919</v>
      </c>
      <c r="C16" t="s">
        <v>1521</v>
      </c>
      <c r="E16" s="60"/>
    </row>
    <row r="17" spans="1:5">
      <c r="A17" t="s">
        <v>3552</v>
      </c>
      <c r="B17" t="s">
        <v>3011</v>
      </c>
      <c r="C17" t="s">
        <v>3908</v>
      </c>
    </row>
    <row r="18" spans="1:5">
      <c r="A18" t="s">
        <v>3552</v>
      </c>
      <c r="B18" t="s">
        <v>3911</v>
      </c>
      <c r="C18" t="s">
        <v>1394</v>
      </c>
    </row>
    <row r="19" spans="1:5">
      <c r="A19" t="s">
        <v>3552</v>
      </c>
      <c r="B19" t="s">
        <v>3912</v>
      </c>
      <c r="C19" t="s">
        <v>1939</v>
      </c>
    </row>
    <row r="20" spans="1:5">
      <c r="A20" t="s">
        <v>3552</v>
      </c>
      <c r="B20" t="s">
        <v>3920</v>
      </c>
      <c r="C20" t="s">
        <v>3921</v>
      </c>
    </row>
    <row r="21" spans="1:5">
      <c r="A21" t="s">
        <v>3552</v>
      </c>
      <c r="B21" t="s">
        <v>3913</v>
      </c>
      <c r="C21" t="s">
        <v>3075</v>
      </c>
    </row>
    <row r="22" spans="1:5">
      <c r="A22" t="s">
        <v>3552</v>
      </c>
      <c r="B22" t="s">
        <v>3922</v>
      </c>
      <c r="C22" t="s">
        <v>1029</v>
      </c>
      <c r="D22" t="s">
        <v>3923</v>
      </c>
    </row>
    <row r="23" spans="1:5">
      <c r="A23" t="s">
        <v>3552</v>
      </c>
      <c r="B23" t="s">
        <v>3924</v>
      </c>
      <c r="C23" t="s">
        <v>1029</v>
      </c>
      <c r="D23" t="s">
        <v>3925</v>
      </c>
    </row>
    <row r="24" spans="1:5">
      <c r="A24" t="s">
        <v>3552</v>
      </c>
      <c r="B24" t="s">
        <v>3926</v>
      </c>
      <c r="C24" t="s">
        <v>3927</v>
      </c>
    </row>
    <row r="25" spans="1:5">
      <c r="A25" t="s">
        <v>3552</v>
      </c>
      <c r="B25" t="s">
        <v>3928</v>
      </c>
      <c r="C25" t="s">
        <v>1029</v>
      </c>
      <c r="D25" t="s">
        <v>3929</v>
      </c>
    </row>
    <row r="26" spans="1:5">
      <c r="A26" t="s">
        <v>3552</v>
      </c>
      <c r="B26" t="s">
        <v>3930</v>
      </c>
      <c r="C26" t="s">
        <v>1029</v>
      </c>
      <c r="D26" t="s">
        <v>3931</v>
      </c>
    </row>
    <row r="27" spans="1:5">
      <c r="A27" t="s">
        <v>3552</v>
      </c>
      <c r="B27" t="s">
        <v>3915</v>
      </c>
      <c r="C27" t="s">
        <v>1939</v>
      </c>
    </row>
    <row r="28" spans="1:5">
      <c r="A28" t="s">
        <v>3068</v>
      </c>
      <c r="B28" t="s">
        <v>3932</v>
      </c>
      <c r="C28" t="s">
        <v>873</v>
      </c>
      <c r="D28" t="s">
        <v>3933</v>
      </c>
    </row>
    <row r="29" spans="1:5">
      <c r="A29" t="s">
        <v>3068</v>
      </c>
      <c r="B29" t="s">
        <v>3906</v>
      </c>
      <c r="C29" t="s">
        <v>873</v>
      </c>
      <c r="D29" t="s">
        <v>3933</v>
      </c>
    </row>
    <row r="30" spans="1:5">
      <c r="A30" t="s">
        <v>2004</v>
      </c>
      <c r="B30" t="s">
        <v>3934</v>
      </c>
      <c r="C30" t="s">
        <v>3908</v>
      </c>
      <c r="D30" t="s">
        <v>3935</v>
      </c>
      <c r="E30" s="60"/>
    </row>
    <row r="31" spans="1:5">
      <c r="A31" t="s">
        <v>2004</v>
      </c>
      <c r="B31" t="s">
        <v>3936</v>
      </c>
      <c r="C31" t="s">
        <v>1029</v>
      </c>
      <c r="D31" t="s">
        <v>3937</v>
      </c>
      <c r="E31" s="60"/>
    </row>
    <row r="32" spans="1:5">
      <c r="A32" t="s">
        <v>2004</v>
      </c>
      <c r="B32" t="s">
        <v>3938</v>
      </c>
      <c r="C32" t="s">
        <v>3939</v>
      </c>
      <c r="D32" t="s">
        <v>3940</v>
      </c>
      <c r="E32" s="60"/>
    </row>
    <row r="33" spans="1:5">
      <c r="A33" t="s">
        <v>2356</v>
      </c>
      <c r="B33" t="s">
        <v>3941</v>
      </c>
      <c r="C33" s="2" t="s">
        <v>3942</v>
      </c>
      <c r="D33" t="s">
        <v>3943</v>
      </c>
      <c r="E33" s="60"/>
    </row>
    <row r="34" spans="1:5">
      <c r="A34" t="s">
        <v>2356</v>
      </c>
      <c r="B34" t="s">
        <v>3944</v>
      </c>
      <c r="C34" s="114" t="s">
        <v>3945</v>
      </c>
      <c r="D34" t="s">
        <v>3946</v>
      </c>
      <c r="E34" s="60"/>
    </row>
    <row r="35" spans="1:5">
      <c r="A35" t="s">
        <v>2356</v>
      </c>
      <c r="B35" t="s">
        <v>3131</v>
      </c>
      <c r="C35" s="2" t="s">
        <v>879</v>
      </c>
      <c r="D35" t="s">
        <v>3947</v>
      </c>
      <c r="E35" s="60"/>
    </row>
    <row r="36" spans="1:5">
      <c r="A36" t="s">
        <v>1947</v>
      </c>
      <c r="B36" t="s">
        <v>2263</v>
      </c>
      <c r="C36" t="s">
        <v>1521</v>
      </c>
      <c r="D36" t="s">
        <v>3948</v>
      </c>
    </row>
    <row r="37" spans="1:5">
      <c r="A37" t="s">
        <v>2373</v>
      </c>
      <c r="B37" t="s">
        <v>3949</v>
      </c>
      <c r="C37" t="s">
        <v>2322</v>
      </c>
      <c r="D37" t="s">
        <v>3950</v>
      </c>
      <c r="E37" s="60"/>
    </row>
    <row r="38" spans="1:5">
      <c r="A38" t="s">
        <v>2373</v>
      </c>
      <c r="B38" t="s">
        <v>3918</v>
      </c>
      <c r="C38" t="s">
        <v>879</v>
      </c>
      <c r="D38" t="s">
        <v>3951</v>
      </c>
      <c r="E38" s="60"/>
    </row>
    <row r="39" spans="1:5">
      <c r="A39" t="s">
        <v>2373</v>
      </c>
      <c r="B39" t="s">
        <v>1942</v>
      </c>
      <c r="C39" t="s">
        <v>1789</v>
      </c>
      <c r="D39" t="s">
        <v>3952</v>
      </c>
      <c r="E39" s="60"/>
    </row>
    <row r="40" spans="1:5">
      <c r="A40" t="s">
        <v>1789</v>
      </c>
      <c r="B40" t="s">
        <v>3953</v>
      </c>
      <c r="C40" t="s">
        <v>3954</v>
      </c>
      <c r="D40" t="s">
        <v>3955</v>
      </c>
    </row>
    <row r="41" spans="1:5">
      <c r="A41" t="s">
        <v>1789</v>
      </c>
      <c r="B41" t="s">
        <v>3956</v>
      </c>
      <c r="C41" t="s">
        <v>1923</v>
      </c>
      <c r="D41" t="s">
        <v>3957</v>
      </c>
    </row>
    <row r="42" spans="1:5">
      <c r="A42" t="s">
        <v>1789</v>
      </c>
      <c r="B42" t="s">
        <v>2025</v>
      </c>
      <c r="C42" t="s">
        <v>1071</v>
      </c>
      <c r="D42" t="s">
        <v>3958</v>
      </c>
    </row>
    <row r="43" spans="1:5">
      <c r="A43" t="s">
        <v>1789</v>
      </c>
      <c r="B43" t="s">
        <v>3959</v>
      </c>
      <c r="C43" t="s">
        <v>873</v>
      </c>
      <c r="D43" t="s">
        <v>3960</v>
      </c>
    </row>
    <row r="44" spans="1:5">
      <c r="A44" t="s">
        <v>1789</v>
      </c>
      <c r="B44" t="s">
        <v>3961</v>
      </c>
      <c r="C44" t="s">
        <v>3962</v>
      </c>
      <c r="D44" t="s">
        <v>3963</v>
      </c>
    </row>
    <row r="45" spans="1:5">
      <c r="A45" t="s">
        <v>1789</v>
      </c>
      <c r="B45" t="s">
        <v>3964</v>
      </c>
      <c r="C45" t="s">
        <v>1699</v>
      </c>
      <c r="D45" t="s">
        <v>3965</v>
      </c>
    </row>
    <row r="46" spans="1:5">
      <c r="A46" t="s">
        <v>1789</v>
      </c>
      <c r="B46" t="s">
        <v>3966</v>
      </c>
      <c r="C46" t="s">
        <v>3962</v>
      </c>
      <c r="D46" t="s">
        <v>3967</v>
      </c>
    </row>
    <row r="47" spans="1:5">
      <c r="A47" t="s">
        <v>1789</v>
      </c>
      <c r="B47" t="s">
        <v>3968</v>
      </c>
      <c r="C47" t="s">
        <v>1699</v>
      </c>
      <c r="D47" t="s">
        <v>3969</v>
      </c>
    </row>
    <row r="48" spans="1:5">
      <c r="A48" t="s">
        <v>1789</v>
      </c>
      <c r="B48" t="s">
        <v>3970</v>
      </c>
      <c r="C48" t="s">
        <v>873</v>
      </c>
      <c r="D48" t="s">
        <v>3971</v>
      </c>
    </row>
    <row r="49" spans="1:5">
      <c r="A49" t="s">
        <v>1789</v>
      </c>
      <c r="B49" t="s">
        <v>3972</v>
      </c>
      <c r="C49" t="s">
        <v>873</v>
      </c>
      <c r="D49" t="s">
        <v>3973</v>
      </c>
    </row>
    <row r="50" spans="1:5">
      <c r="A50" t="s">
        <v>1789</v>
      </c>
      <c r="B50" t="s">
        <v>3974</v>
      </c>
      <c r="C50" t="s">
        <v>1923</v>
      </c>
      <c r="D50" t="s">
        <v>3975</v>
      </c>
    </row>
    <row r="51" spans="1:5">
      <c r="A51" t="s">
        <v>1789</v>
      </c>
      <c r="B51" t="s">
        <v>3976</v>
      </c>
      <c r="C51" t="s">
        <v>873</v>
      </c>
      <c r="D51" t="s">
        <v>3977</v>
      </c>
    </row>
    <row r="52" spans="1:5">
      <c r="A52" t="s">
        <v>1789</v>
      </c>
      <c r="B52" t="s">
        <v>3978</v>
      </c>
      <c r="C52" t="s">
        <v>873</v>
      </c>
      <c r="D52" t="s">
        <v>3979</v>
      </c>
    </row>
    <row r="53" spans="1:5">
      <c r="A53" t="s">
        <v>1789</v>
      </c>
      <c r="B53" t="s">
        <v>3980</v>
      </c>
      <c r="C53" t="s">
        <v>873</v>
      </c>
      <c r="D53" t="s">
        <v>3981</v>
      </c>
    </row>
    <row r="54" spans="1:5">
      <c r="A54" s="2" t="s">
        <v>2096</v>
      </c>
      <c r="B54" s="2" t="s">
        <v>3982</v>
      </c>
      <c r="C54" t="s">
        <v>3983</v>
      </c>
    </row>
    <row r="55" spans="1:5">
      <c r="A55" s="2" t="s">
        <v>2096</v>
      </c>
      <c r="B55" s="2" t="s">
        <v>3984</v>
      </c>
      <c r="C55" t="s">
        <v>3985</v>
      </c>
    </row>
    <row r="56" spans="1:5">
      <c r="A56" s="2" t="s">
        <v>2101</v>
      </c>
      <c r="B56" s="2" t="s">
        <v>3986</v>
      </c>
      <c r="C56" t="s">
        <v>3987</v>
      </c>
    </row>
    <row r="57" spans="1:5">
      <c r="A57" s="2" t="s">
        <v>2101</v>
      </c>
      <c r="B57" s="2" t="s">
        <v>3988</v>
      </c>
      <c r="C57" t="s">
        <v>3989</v>
      </c>
    </row>
    <row r="58" spans="1:5">
      <c r="A58" t="s">
        <v>3260</v>
      </c>
      <c r="B58" t="s">
        <v>3011</v>
      </c>
      <c r="C58" t="s">
        <v>1014</v>
      </c>
      <c r="D58" t="s">
        <v>3990</v>
      </c>
    </row>
    <row r="59" spans="1:5">
      <c r="A59" t="s">
        <v>3260</v>
      </c>
      <c r="B59" t="s">
        <v>3991</v>
      </c>
      <c r="C59" t="s">
        <v>871</v>
      </c>
      <c r="D59" t="s">
        <v>3992</v>
      </c>
      <c r="E59" s="60" t="s">
        <v>3993</v>
      </c>
    </row>
    <row r="60" spans="1:5">
      <c r="A60" t="s">
        <v>3260</v>
      </c>
      <c r="B60" t="s">
        <v>3994</v>
      </c>
      <c r="C60" t="s">
        <v>912</v>
      </c>
      <c r="D60" t="s">
        <v>3995</v>
      </c>
    </row>
    <row r="61" spans="1:5">
      <c r="A61" t="s">
        <v>3260</v>
      </c>
      <c r="B61" t="s">
        <v>3996</v>
      </c>
      <c r="C61" t="s">
        <v>3997</v>
      </c>
      <c r="D61" t="s">
        <v>3998</v>
      </c>
      <c r="E61" s="60" t="s">
        <v>3999</v>
      </c>
    </row>
    <row r="62" spans="1:5">
      <c r="A62" t="s">
        <v>3260</v>
      </c>
      <c r="B62" t="s">
        <v>4000</v>
      </c>
      <c r="C62" t="s">
        <v>1014</v>
      </c>
      <c r="D62" t="s">
        <v>4001</v>
      </c>
    </row>
    <row r="63" spans="1:5">
      <c r="A63" t="s">
        <v>3260</v>
      </c>
      <c r="B63" t="s">
        <v>4002</v>
      </c>
      <c r="C63" t="s">
        <v>4003</v>
      </c>
      <c r="D63" t="s">
        <v>4004</v>
      </c>
      <c r="E63" s="60" t="s">
        <v>4005</v>
      </c>
    </row>
    <row r="64" spans="1:5">
      <c r="A64" t="s">
        <v>3260</v>
      </c>
      <c r="B64" t="s">
        <v>4006</v>
      </c>
      <c r="C64" t="s">
        <v>4007</v>
      </c>
      <c r="D64" t="s">
        <v>4008</v>
      </c>
      <c r="E64" s="60" t="s">
        <v>4009</v>
      </c>
    </row>
    <row r="65" spans="1:5">
      <c r="A65" t="s">
        <v>3260</v>
      </c>
      <c r="B65" t="s">
        <v>4010</v>
      </c>
      <c r="C65" t="s">
        <v>2065</v>
      </c>
      <c r="D65" t="s">
        <v>4011</v>
      </c>
      <c r="E65" s="60"/>
    </row>
    <row r="66" spans="1:5">
      <c r="A66" t="s">
        <v>3260</v>
      </c>
      <c r="B66" t="s">
        <v>4012</v>
      </c>
      <c r="C66" t="s">
        <v>873</v>
      </c>
      <c r="D66" t="s">
        <v>4013</v>
      </c>
      <c r="E66" s="60" t="s">
        <v>4014</v>
      </c>
    </row>
    <row r="67" spans="1:5">
      <c r="A67" t="s">
        <v>3260</v>
      </c>
      <c r="B67" t="s">
        <v>4015</v>
      </c>
      <c r="C67" t="s">
        <v>4016</v>
      </c>
      <c r="D67" t="s">
        <v>4017</v>
      </c>
      <c r="E67" s="60" t="s">
        <v>4018</v>
      </c>
    </row>
    <row r="68" spans="1:5">
      <c r="A68" t="s">
        <v>3260</v>
      </c>
      <c r="B68" t="s">
        <v>4019</v>
      </c>
      <c r="C68" t="s">
        <v>4020</v>
      </c>
      <c r="D68" t="s">
        <v>4021</v>
      </c>
      <c r="E68" s="60" t="s">
        <v>4022</v>
      </c>
    </row>
    <row r="69" spans="1:5">
      <c r="A69" t="s">
        <v>3260</v>
      </c>
      <c r="B69" t="s">
        <v>4023</v>
      </c>
      <c r="C69" t="s">
        <v>3075</v>
      </c>
      <c r="D69" t="s">
        <v>4024</v>
      </c>
      <c r="E69" s="60"/>
    </row>
    <row r="70" spans="1:5">
      <c r="A70" t="s">
        <v>3260</v>
      </c>
      <c r="B70" t="s">
        <v>4025</v>
      </c>
      <c r="C70" t="s">
        <v>2174</v>
      </c>
      <c r="D70" t="s">
        <v>4026</v>
      </c>
      <c r="E70" s="60" t="s">
        <v>4027</v>
      </c>
    </row>
    <row r="71" spans="1:5">
      <c r="A71" t="s">
        <v>3260</v>
      </c>
      <c r="B71" t="s">
        <v>4028</v>
      </c>
      <c r="C71" t="s">
        <v>2174</v>
      </c>
      <c r="D71" t="s">
        <v>4029</v>
      </c>
      <c r="E71" s="60" t="s">
        <v>4027</v>
      </c>
    </row>
    <row r="72" spans="1:5">
      <c r="A72" t="s">
        <v>3260</v>
      </c>
      <c r="B72" t="s">
        <v>4030</v>
      </c>
      <c r="C72" t="s">
        <v>2174</v>
      </c>
      <c r="D72" t="s">
        <v>4031</v>
      </c>
      <c r="E72" s="60" t="s">
        <v>4027</v>
      </c>
    </row>
    <row r="73" spans="1:5">
      <c r="A73" t="s">
        <v>1367</v>
      </c>
      <c r="B73" t="s">
        <v>4032</v>
      </c>
      <c r="C73" t="s">
        <v>4033</v>
      </c>
      <c r="D73" t="s">
        <v>4034</v>
      </c>
      <c r="E73" s="60"/>
    </row>
    <row r="74" spans="1:5">
      <c r="A74" t="s">
        <v>1367</v>
      </c>
      <c r="B74" t="s">
        <v>4035</v>
      </c>
      <c r="C74" t="s">
        <v>4036</v>
      </c>
      <c r="D74" t="s">
        <v>4037</v>
      </c>
      <c r="E74" s="60"/>
    </row>
    <row r="75" spans="1:5">
      <c r="A75" t="s">
        <v>1367</v>
      </c>
      <c r="B75" t="s">
        <v>4038</v>
      </c>
      <c r="C75" t="s">
        <v>4039</v>
      </c>
      <c r="D75" t="s">
        <v>4040</v>
      </c>
      <c r="E75" s="60"/>
    </row>
    <row r="76" spans="1:5">
      <c r="A76" t="s">
        <v>1367</v>
      </c>
      <c r="B76" t="s">
        <v>4041</v>
      </c>
      <c r="C76" t="s">
        <v>2038</v>
      </c>
      <c r="D76" t="s">
        <v>4042</v>
      </c>
      <c r="E76" s="60"/>
    </row>
    <row r="77" spans="1:5">
      <c r="A77" t="s">
        <v>1367</v>
      </c>
      <c r="B77" t="s">
        <v>4043</v>
      </c>
      <c r="C77" t="s">
        <v>4044</v>
      </c>
      <c r="D77" t="s">
        <v>4045</v>
      </c>
      <c r="E77" s="60"/>
    </row>
    <row r="78" spans="1:5">
      <c r="A78" t="s">
        <v>1367</v>
      </c>
      <c r="B78" t="s">
        <v>4046</v>
      </c>
      <c r="C78" t="s">
        <v>4033</v>
      </c>
      <c r="D78" t="s">
        <v>4047</v>
      </c>
      <c r="E78" s="60"/>
    </row>
    <row r="79" spans="1:5">
      <c r="A79" t="s">
        <v>1367</v>
      </c>
      <c r="B79" t="s">
        <v>4048</v>
      </c>
      <c r="C79" t="s">
        <v>4049</v>
      </c>
      <c r="D79" t="s">
        <v>4050</v>
      </c>
      <c r="E79" s="60"/>
    </row>
    <row r="80" spans="1:5">
      <c r="A80" t="s">
        <v>1367</v>
      </c>
      <c r="B80" t="s">
        <v>4051</v>
      </c>
      <c r="C80" t="s">
        <v>4033</v>
      </c>
      <c r="D80" t="s">
        <v>4052</v>
      </c>
      <c r="E80" s="60"/>
    </row>
    <row r="83" spans="3:3">
      <c r="C83" t="s">
        <v>4053</v>
      </c>
    </row>
  </sheetData>
  <conditionalFormatting sqref="E43:E54">
    <cfRule type="cellIs" dxfId="13" priority="2" operator="equal">
      <formula>"ERREUR"</formula>
    </cfRule>
  </conditionalFormatting>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187BA-CE98-4832-9D2B-BDA8B1EF1087}">
  <sheetPr codeName="Feuil22"/>
  <dimension ref="A1:J169"/>
  <sheetViews>
    <sheetView topLeftCell="A35" zoomScaleNormal="100" workbookViewId="0">
      <selection activeCell="B49" sqref="B49"/>
    </sheetView>
  </sheetViews>
  <sheetFormatPr defaultColWidth="11.42578125" defaultRowHeight="14.45"/>
  <cols>
    <col min="1" max="1" width="27.28515625" customWidth="1"/>
    <col min="2" max="2" width="117.28515625" customWidth="1"/>
    <col min="3" max="3" width="7.7109375" customWidth="1"/>
    <col min="4" max="4" width="26.42578125" customWidth="1"/>
    <col min="5" max="5" width="1.5703125" customWidth="1"/>
    <col min="6" max="6" width="1.42578125" customWidth="1"/>
    <col min="7" max="7" width="13" customWidth="1"/>
    <col min="8" max="8" width="10.7109375" customWidth="1"/>
    <col min="9" max="9" width="59.5703125" customWidth="1"/>
  </cols>
  <sheetData>
    <row r="1" spans="1:10" ht="21" customHeight="1">
      <c r="A1" s="9" t="s">
        <v>4054</v>
      </c>
      <c r="B1" s="9" t="s">
        <v>4055</v>
      </c>
      <c r="C1" s="9" t="s">
        <v>845</v>
      </c>
      <c r="D1" s="9" t="s">
        <v>4056</v>
      </c>
      <c r="E1" s="9" t="s">
        <v>4057</v>
      </c>
      <c r="F1" s="9" t="s">
        <v>4058</v>
      </c>
      <c r="G1" s="9" t="s">
        <v>4059</v>
      </c>
      <c r="H1" s="9" t="s">
        <v>4060</v>
      </c>
      <c r="I1" s="9" t="s">
        <v>863</v>
      </c>
      <c r="J1" s="9"/>
    </row>
    <row r="2" spans="1:10">
      <c r="A2" s="4" t="s">
        <v>2526</v>
      </c>
      <c r="B2" s="4" t="s">
        <v>4061</v>
      </c>
      <c r="C2" s="4" t="s">
        <v>4062</v>
      </c>
      <c r="D2" t="s">
        <v>4063</v>
      </c>
      <c r="E2" s="4"/>
      <c r="F2" s="4"/>
      <c r="G2" s="4"/>
      <c r="H2" s="4"/>
      <c r="I2" s="4"/>
    </row>
    <row r="3" spans="1:10">
      <c r="A3" t="s">
        <v>3075</v>
      </c>
      <c r="B3" t="s">
        <v>4064</v>
      </c>
      <c r="C3" t="s">
        <v>4062</v>
      </c>
      <c r="D3" t="s">
        <v>4065</v>
      </c>
      <c r="I3" t="s">
        <v>4066</v>
      </c>
    </row>
    <row r="4" spans="1:10">
      <c r="A4" s="4" t="s">
        <v>4067</v>
      </c>
      <c r="B4" s="4" t="s">
        <v>4068</v>
      </c>
      <c r="C4" s="4" t="s">
        <v>4062</v>
      </c>
      <c r="D4" t="s">
        <v>4069</v>
      </c>
      <c r="E4" s="4"/>
      <c r="F4" s="4"/>
      <c r="G4" s="4"/>
      <c r="H4" s="4"/>
      <c r="I4" t="s">
        <v>4070</v>
      </c>
    </row>
    <row r="5" spans="1:10">
      <c r="A5" s="4" t="s">
        <v>3725</v>
      </c>
      <c r="B5" s="4" t="s">
        <v>4071</v>
      </c>
      <c r="C5" s="4" t="s">
        <v>4062</v>
      </c>
      <c r="D5" s="4" t="s">
        <v>4072</v>
      </c>
      <c r="E5" s="4"/>
      <c r="F5" s="4"/>
      <c r="G5" s="4"/>
      <c r="H5" s="4"/>
      <c r="I5" s="4"/>
    </row>
    <row r="6" spans="1:10">
      <c r="A6" s="4" t="s">
        <v>1378</v>
      </c>
      <c r="B6" s="4" t="s">
        <v>4073</v>
      </c>
      <c r="C6" s="4" t="s">
        <v>4062</v>
      </c>
      <c r="D6" s="4" t="s">
        <v>4074</v>
      </c>
      <c r="E6" s="4"/>
      <c r="F6" s="4"/>
      <c r="G6" s="4"/>
      <c r="H6" s="4"/>
      <c r="I6" s="4"/>
    </row>
    <row r="7" spans="1:10">
      <c r="A7" s="4" t="s">
        <v>2798</v>
      </c>
      <c r="B7" s="4" t="s">
        <v>4075</v>
      </c>
      <c r="C7" s="4" t="s">
        <v>4062</v>
      </c>
      <c r="D7" s="4" t="s">
        <v>4076</v>
      </c>
      <c r="E7" s="4"/>
      <c r="F7" s="4"/>
      <c r="G7" s="4"/>
      <c r="H7" s="4"/>
      <c r="I7" s="4"/>
    </row>
    <row r="8" spans="1:10">
      <c r="A8" s="4" t="s">
        <v>4077</v>
      </c>
      <c r="B8" s="4" t="s">
        <v>4078</v>
      </c>
      <c r="C8" s="4" t="s">
        <v>4062</v>
      </c>
      <c r="D8" s="4"/>
      <c r="E8" s="4"/>
      <c r="F8" s="4"/>
      <c r="G8" s="4">
        <v>10</v>
      </c>
      <c r="H8" s="4">
        <v>10</v>
      </c>
      <c r="I8" s="4"/>
    </row>
    <row r="9" spans="1:10">
      <c r="A9" s="4" t="s">
        <v>1235</v>
      </c>
      <c r="B9" s="4" t="s">
        <v>4079</v>
      </c>
      <c r="C9" s="4" t="s">
        <v>4062</v>
      </c>
      <c r="D9" s="4" t="s">
        <v>4080</v>
      </c>
      <c r="E9" s="4"/>
      <c r="F9" s="4"/>
      <c r="G9" s="4"/>
      <c r="H9" s="4"/>
      <c r="I9" s="4"/>
    </row>
    <row r="10" spans="1:10">
      <c r="A10" s="4" t="s">
        <v>1108</v>
      </c>
      <c r="B10" s="4" t="s">
        <v>4081</v>
      </c>
      <c r="C10" s="4" t="s">
        <v>4062</v>
      </c>
      <c r="D10" s="4"/>
      <c r="E10" s="27"/>
      <c r="F10" s="27"/>
      <c r="G10" s="4">
        <v>11</v>
      </c>
      <c r="H10" s="4">
        <v>11</v>
      </c>
      <c r="I10" s="4"/>
    </row>
    <row r="11" spans="1:10">
      <c r="A11" s="4" t="s">
        <v>1507</v>
      </c>
      <c r="B11" s="4" t="s">
        <v>4071</v>
      </c>
      <c r="C11" s="4" t="s">
        <v>4062</v>
      </c>
      <c r="D11" s="4" t="s">
        <v>4072</v>
      </c>
      <c r="E11" s="4"/>
      <c r="F11" s="4"/>
      <c r="G11" s="4"/>
      <c r="H11" s="4"/>
      <c r="I11" s="4"/>
    </row>
    <row r="12" spans="1:10">
      <c r="A12" s="4" t="s">
        <v>969</v>
      </c>
      <c r="B12" s="4" t="s">
        <v>4082</v>
      </c>
      <c r="C12" s="4" t="s">
        <v>4062</v>
      </c>
      <c r="D12" s="4" t="s">
        <v>4083</v>
      </c>
      <c r="E12" s="4"/>
      <c r="F12" s="4"/>
      <c r="G12" s="4"/>
      <c r="H12" s="4"/>
      <c r="I12" s="4"/>
    </row>
    <row r="13" spans="1:10">
      <c r="A13" s="4" t="s">
        <v>1374</v>
      </c>
      <c r="B13" s="4" t="s">
        <v>4084</v>
      </c>
      <c r="C13" s="4" t="s">
        <v>4062</v>
      </c>
      <c r="D13" s="4"/>
      <c r="E13" s="4"/>
      <c r="F13" s="4"/>
      <c r="G13" s="4">
        <v>12</v>
      </c>
      <c r="H13" s="4">
        <v>12</v>
      </c>
      <c r="I13" s="4"/>
    </row>
    <row r="14" spans="1:10">
      <c r="A14" s="4" t="s">
        <v>4085</v>
      </c>
      <c r="B14" s="4" t="s">
        <v>4086</v>
      </c>
      <c r="C14" s="4" t="s">
        <v>4062</v>
      </c>
      <c r="D14" s="4" t="s">
        <v>4087</v>
      </c>
      <c r="E14" s="4"/>
      <c r="F14" s="4"/>
      <c r="G14" s="4"/>
      <c r="H14" s="4"/>
      <c r="I14" s="4"/>
    </row>
    <row r="15" spans="1:10">
      <c r="A15" s="4" t="s">
        <v>1311</v>
      </c>
      <c r="B15" s="4" t="s">
        <v>4088</v>
      </c>
      <c r="C15" s="4" t="s">
        <v>4062</v>
      </c>
      <c r="D15" s="4" t="s">
        <v>4089</v>
      </c>
      <c r="E15" s="4"/>
      <c r="F15" s="4"/>
      <c r="G15" s="4"/>
      <c r="H15" s="4"/>
      <c r="I15" s="4"/>
    </row>
    <row r="16" spans="1:10">
      <c r="A16" s="4" t="s">
        <v>2426</v>
      </c>
      <c r="B16" s="4" t="s">
        <v>4090</v>
      </c>
      <c r="C16" s="4" t="s">
        <v>4062</v>
      </c>
      <c r="D16" s="4"/>
      <c r="E16" s="4"/>
      <c r="F16" s="4"/>
      <c r="G16" s="4">
        <v>15</v>
      </c>
      <c r="H16" s="4">
        <v>15</v>
      </c>
      <c r="I16" s="4"/>
    </row>
    <row r="17" spans="1:9">
      <c r="A17" s="4" t="s">
        <v>2909</v>
      </c>
      <c r="B17" s="4" t="s">
        <v>4091</v>
      </c>
      <c r="C17" s="4" t="s">
        <v>4062</v>
      </c>
      <c r="D17" s="4" t="s">
        <v>4092</v>
      </c>
      <c r="E17" s="4"/>
      <c r="F17" s="4"/>
      <c r="G17" s="4"/>
      <c r="H17" s="4"/>
      <c r="I17" s="4"/>
    </row>
    <row r="18" spans="1:9">
      <c r="A18" s="4" t="s">
        <v>1304</v>
      </c>
      <c r="B18" s="4" t="s">
        <v>4093</v>
      </c>
      <c r="C18" s="4" t="s">
        <v>4062</v>
      </c>
      <c r="D18" s="4" t="s">
        <v>4094</v>
      </c>
      <c r="E18" s="4"/>
      <c r="F18" s="4"/>
      <c r="G18" s="4"/>
      <c r="H18" s="4"/>
      <c r="I18" s="4"/>
    </row>
    <row r="19" spans="1:9">
      <c r="A19" s="4" t="s">
        <v>3193</v>
      </c>
      <c r="B19" s="4" t="s">
        <v>4095</v>
      </c>
      <c r="C19" s="4" t="s">
        <v>4062</v>
      </c>
      <c r="D19" s="4" t="s">
        <v>4096</v>
      </c>
      <c r="E19" s="4"/>
      <c r="F19" s="4"/>
      <c r="G19" s="4"/>
      <c r="H19" s="4"/>
      <c r="I19" s="4"/>
    </row>
    <row r="20" spans="1:9">
      <c r="A20" s="4" t="s">
        <v>1256</v>
      </c>
      <c r="B20" s="4" t="s">
        <v>4097</v>
      </c>
      <c r="C20" s="4" t="s">
        <v>4062</v>
      </c>
      <c r="D20" s="4"/>
      <c r="E20" s="4"/>
      <c r="F20" s="4"/>
      <c r="G20" s="4">
        <v>16</v>
      </c>
      <c r="H20" s="4">
        <v>16</v>
      </c>
      <c r="I20" s="4"/>
    </row>
    <row r="21" spans="1:9">
      <c r="A21" s="4" t="s">
        <v>3526</v>
      </c>
      <c r="B21" s="4" t="s">
        <v>4098</v>
      </c>
      <c r="C21" s="4" t="s">
        <v>4062</v>
      </c>
      <c r="D21" s="4" t="s">
        <v>4099</v>
      </c>
      <c r="E21" s="4"/>
      <c r="F21" s="4"/>
      <c r="G21" s="4"/>
      <c r="H21" s="4"/>
      <c r="I21" s="4"/>
    </row>
    <row r="22" spans="1:9">
      <c r="A22" s="4" t="s">
        <v>1900</v>
      </c>
      <c r="B22" t="s">
        <v>4100</v>
      </c>
      <c r="C22" s="4" t="s">
        <v>4062</v>
      </c>
      <c r="D22" s="4" t="s">
        <v>4101</v>
      </c>
      <c r="E22" s="4"/>
      <c r="F22" s="4"/>
      <c r="G22" s="4"/>
      <c r="H22" s="4"/>
      <c r="I22" s="4"/>
    </row>
    <row r="23" spans="1:9">
      <c r="A23" s="4" t="s">
        <v>899</v>
      </c>
      <c r="B23" s="4" t="s">
        <v>4102</v>
      </c>
      <c r="C23" s="4" t="s">
        <v>4062</v>
      </c>
      <c r="D23" s="4" t="s">
        <v>4103</v>
      </c>
      <c r="E23" s="4"/>
      <c r="F23" s="4"/>
      <c r="G23" s="4"/>
      <c r="H23" s="4"/>
      <c r="I23" s="4"/>
    </row>
    <row r="24" spans="1:9">
      <c r="A24" s="4" t="s">
        <v>951</v>
      </c>
      <c r="B24" t="s">
        <v>4104</v>
      </c>
      <c r="C24" s="4" t="s">
        <v>4062</v>
      </c>
      <c r="D24" s="4" t="s">
        <v>4105</v>
      </c>
      <c r="E24" s="4"/>
      <c r="F24" s="4"/>
      <c r="G24" s="4"/>
      <c r="H24" s="4"/>
      <c r="I24" s="4"/>
    </row>
    <row r="25" spans="1:9">
      <c r="A25" s="4" t="s">
        <v>1363</v>
      </c>
      <c r="B25" s="4" t="s">
        <v>4106</v>
      </c>
      <c r="C25" s="4" t="s">
        <v>4062</v>
      </c>
      <c r="D25" s="4" t="s">
        <v>4107</v>
      </c>
      <c r="E25" s="4"/>
      <c r="F25" s="4"/>
      <c r="G25" s="4"/>
      <c r="H25" s="4"/>
      <c r="I25" s="4"/>
    </row>
    <row r="26" spans="1:9">
      <c r="A26" s="4" t="s">
        <v>1338</v>
      </c>
      <c r="B26" s="4" t="s">
        <v>4108</v>
      </c>
      <c r="C26" s="4" t="s">
        <v>4062</v>
      </c>
      <c r="D26" s="4"/>
      <c r="E26" s="4"/>
      <c r="F26" s="4"/>
      <c r="G26" s="4">
        <v>1</v>
      </c>
      <c r="H26" s="4">
        <v>1</v>
      </c>
      <c r="I26" s="4"/>
    </row>
    <row r="27" spans="1:9">
      <c r="A27" s="4" t="s">
        <v>2038</v>
      </c>
      <c r="B27" t="s">
        <v>4109</v>
      </c>
      <c r="C27" s="4" t="s">
        <v>4062</v>
      </c>
      <c r="D27" s="4" t="s">
        <v>4110</v>
      </c>
      <c r="E27" s="4"/>
      <c r="F27" s="4"/>
      <c r="G27" s="4"/>
      <c r="H27" s="4"/>
      <c r="I27" s="4"/>
    </row>
    <row r="28" spans="1:9">
      <c r="A28" s="4" t="s">
        <v>4033</v>
      </c>
      <c r="B28" s="4" t="s">
        <v>4111</v>
      </c>
      <c r="C28" s="4" t="s">
        <v>4062</v>
      </c>
      <c r="D28" s="4"/>
      <c r="E28" s="4"/>
      <c r="F28" s="4"/>
      <c r="G28" s="4">
        <v>20</v>
      </c>
      <c r="H28" s="4">
        <v>20</v>
      </c>
      <c r="I28" s="4"/>
    </row>
    <row r="29" spans="1:9">
      <c r="A29" s="4" t="s">
        <v>4112</v>
      </c>
      <c r="B29" s="4" t="s">
        <v>4113</v>
      </c>
      <c r="C29" s="4" t="s">
        <v>4062</v>
      </c>
      <c r="D29" s="4"/>
      <c r="E29" s="4"/>
      <c r="F29" s="4"/>
      <c r="G29" s="4">
        <v>24</v>
      </c>
      <c r="H29" s="4">
        <v>24</v>
      </c>
      <c r="I29" s="4"/>
    </row>
    <row r="30" spans="1:9">
      <c r="A30" s="4" t="s">
        <v>3758</v>
      </c>
      <c r="B30" s="4" t="s">
        <v>4114</v>
      </c>
      <c r="C30" s="4" t="s">
        <v>4062</v>
      </c>
      <c r="D30" s="4" t="s">
        <v>4115</v>
      </c>
      <c r="E30" s="4"/>
      <c r="F30" s="4"/>
      <c r="G30" s="4"/>
      <c r="H30" s="4"/>
      <c r="I30" s="4"/>
    </row>
    <row r="31" spans="1:9">
      <c r="A31" s="4" t="s">
        <v>932</v>
      </c>
      <c r="B31" s="4" t="s">
        <v>4116</v>
      </c>
      <c r="C31" s="4" t="s">
        <v>4062</v>
      </c>
      <c r="D31" s="4" t="s">
        <v>4117</v>
      </c>
      <c r="E31" s="4"/>
      <c r="F31" s="4"/>
      <c r="G31" s="4"/>
      <c r="H31" s="4"/>
      <c r="I31" s="4"/>
    </row>
    <row r="32" spans="1:9">
      <c r="A32" s="4" t="s">
        <v>1511</v>
      </c>
      <c r="B32" t="s">
        <v>4118</v>
      </c>
      <c r="C32" s="4" t="s">
        <v>4062</v>
      </c>
      <c r="D32" s="4" t="s">
        <v>4119</v>
      </c>
      <c r="E32" s="4"/>
      <c r="F32" s="4"/>
      <c r="G32" s="4"/>
      <c r="H32" s="4"/>
      <c r="I32" s="4"/>
    </row>
    <row r="33" spans="1:9">
      <c r="A33" s="4" t="s">
        <v>946</v>
      </c>
      <c r="B33" s="4" t="s">
        <v>4120</v>
      </c>
      <c r="C33" s="4" t="s">
        <v>4062</v>
      </c>
      <c r="D33" s="4" t="s">
        <v>4121</v>
      </c>
      <c r="E33" s="4"/>
      <c r="F33" s="4"/>
      <c r="G33" s="4"/>
      <c r="H33" s="4"/>
      <c r="I33" s="4"/>
    </row>
    <row r="34" spans="1:9" ht="14.25" customHeight="1">
      <c r="A34" s="4" t="s">
        <v>1135</v>
      </c>
      <c r="B34" s="4" t="s">
        <v>4122</v>
      </c>
      <c r="C34" s="4" t="s">
        <v>4062</v>
      </c>
      <c r="D34" s="4"/>
      <c r="E34" s="4"/>
      <c r="F34" s="4"/>
      <c r="G34" s="4">
        <v>2</v>
      </c>
      <c r="H34" s="4">
        <v>2</v>
      </c>
      <c r="I34" s="4"/>
    </row>
    <row r="35" spans="1:9" ht="17.649999999999999" customHeight="1">
      <c r="A35" s="4" t="s">
        <v>1404</v>
      </c>
      <c r="B35" s="4" t="s">
        <v>4123</v>
      </c>
      <c r="C35" s="4" t="s">
        <v>4062</v>
      </c>
      <c r="D35" s="4"/>
      <c r="E35" s="4"/>
      <c r="F35" s="4"/>
      <c r="G35" s="4">
        <v>32</v>
      </c>
      <c r="H35" s="4">
        <v>32</v>
      </c>
      <c r="I35" s="4"/>
    </row>
    <row r="36" spans="1:9">
      <c r="A36" s="4" t="s">
        <v>1875</v>
      </c>
      <c r="B36" s="4" t="s">
        <v>4124</v>
      </c>
      <c r="C36" s="4" t="s">
        <v>4062</v>
      </c>
      <c r="D36" s="4"/>
      <c r="E36" s="4"/>
      <c r="F36" s="4"/>
      <c r="G36" s="4">
        <v>36</v>
      </c>
      <c r="H36" s="4">
        <v>36</v>
      </c>
      <c r="I36" s="4"/>
    </row>
    <row r="37" spans="1:9" ht="17.649999999999999" customHeight="1">
      <c r="A37" s="4" t="s">
        <v>1324</v>
      </c>
      <c r="B37" s="4" t="s">
        <v>4125</v>
      </c>
      <c r="C37" s="4" t="s">
        <v>4062</v>
      </c>
      <c r="D37" s="4" t="s">
        <v>4126</v>
      </c>
      <c r="E37" s="4"/>
      <c r="F37" s="4"/>
      <c r="G37" s="4"/>
      <c r="H37" s="4"/>
      <c r="I37" s="4"/>
    </row>
    <row r="38" spans="1:9" ht="17.100000000000001" customHeight="1">
      <c r="A38" s="4" t="s">
        <v>2562</v>
      </c>
      <c r="B38" t="s">
        <v>4127</v>
      </c>
      <c r="C38" s="4" t="s">
        <v>4062</v>
      </c>
      <c r="D38" s="4" t="s">
        <v>4128</v>
      </c>
      <c r="E38" s="4"/>
      <c r="F38" s="4"/>
      <c r="G38" s="4"/>
      <c r="H38" s="4"/>
      <c r="I38" s="4"/>
    </row>
    <row r="39" spans="1:9">
      <c r="A39" s="4" t="s">
        <v>883</v>
      </c>
      <c r="B39" s="4" t="s">
        <v>4129</v>
      </c>
      <c r="C39" s="4" t="s">
        <v>4062</v>
      </c>
      <c r="D39" s="4" t="s">
        <v>4130</v>
      </c>
      <c r="E39" s="4"/>
      <c r="F39" s="4"/>
      <c r="G39" s="4"/>
      <c r="H39" s="4"/>
      <c r="I39" s="4"/>
    </row>
    <row r="40" spans="1:9">
      <c r="A40" s="4" t="s">
        <v>1118</v>
      </c>
      <c r="B40" s="4" t="s">
        <v>4131</v>
      </c>
      <c r="C40" s="4" t="s">
        <v>4062</v>
      </c>
      <c r="D40" s="4"/>
      <c r="E40" s="4"/>
      <c r="F40" s="4"/>
      <c r="G40" s="4">
        <v>3</v>
      </c>
      <c r="H40" s="4">
        <v>3</v>
      </c>
      <c r="I40" s="4"/>
    </row>
    <row r="41" spans="1:9" ht="15.4" customHeight="1">
      <c r="A41" s="4" t="s">
        <v>4036</v>
      </c>
      <c r="B41" s="4" t="s">
        <v>4132</v>
      </c>
      <c r="C41" s="4" t="s">
        <v>4062</v>
      </c>
      <c r="D41" s="4"/>
      <c r="E41" s="4"/>
      <c r="F41" s="4"/>
      <c r="G41" s="4">
        <v>40</v>
      </c>
      <c r="H41" s="4">
        <v>40</v>
      </c>
      <c r="I41" s="4"/>
    </row>
    <row r="42" spans="1:9">
      <c r="A42" s="4" t="s">
        <v>1283</v>
      </c>
      <c r="B42" s="4" t="s">
        <v>4133</v>
      </c>
      <c r="C42" s="4" t="s">
        <v>4062</v>
      </c>
      <c r="D42" s="4" t="s">
        <v>4134</v>
      </c>
      <c r="E42" s="4"/>
      <c r="F42" s="4"/>
      <c r="G42" s="4"/>
      <c r="H42" s="4"/>
      <c r="I42" s="4"/>
    </row>
    <row r="43" spans="1:9">
      <c r="A43" s="4" t="s">
        <v>2991</v>
      </c>
      <c r="B43" t="s">
        <v>4135</v>
      </c>
      <c r="C43" s="4" t="s">
        <v>4062</v>
      </c>
      <c r="D43" s="4" t="s">
        <v>4136</v>
      </c>
      <c r="E43" s="4"/>
      <c r="F43" s="4"/>
      <c r="G43" s="4"/>
      <c r="H43" s="4"/>
      <c r="I43" s="4"/>
    </row>
    <row r="44" spans="1:9">
      <c r="A44" s="4" t="s">
        <v>1279</v>
      </c>
      <c r="B44" s="4" t="s">
        <v>4137</v>
      </c>
      <c r="C44" s="4" t="s">
        <v>4062</v>
      </c>
      <c r="D44" s="4" t="s">
        <v>4138</v>
      </c>
      <c r="E44" s="4"/>
      <c r="F44" s="4"/>
      <c r="G44" s="4"/>
      <c r="H44" s="4"/>
      <c r="I44" s="4"/>
    </row>
    <row r="45" spans="1:9" ht="15" customHeight="1">
      <c r="A45" s="4" t="s">
        <v>1209</v>
      </c>
      <c r="B45" s="4" t="s">
        <v>4139</v>
      </c>
      <c r="C45" s="4" t="s">
        <v>4062</v>
      </c>
      <c r="D45" s="4"/>
      <c r="E45" s="27"/>
      <c r="F45" s="27"/>
      <c r="G45" s="4">
        <v>4</v>
      </c>
      <c r="H45" s="4">
        <v>4</v>
      </c>
      <c r="I45" s="4"/>
    </row>
    <row r="46" spans="1:9" ht="18.399999999999999" customHeight="1">
      <c r="A46" s="4" t="s">
        <v>2059</v>
      </c>
      <c r="B46" t="s">
        <v>4140</v>
      </c>
      <c r="C46" s="4" t="s">
        <v>4062</v>
      </c>
      <c r="D46" s="4" t="s">
        <v>4141</v>
      </c>
      <c r="E46" s="4"/>
      <c r="F46" s="4"/>
      <c r="G46" s="4"/>
      <c r="H46" s="4"/>
      <c r="I46" s="4"/>
    </row>
    <row r="47" spans="1:9">
      <c r="A47" s="4" t="s">
        <v>1954</v>
      </c>
      <c r="B47" s="4" t="s">
        <v>4142</v>
      </c>
      <c r="C47" s="4" t="s">
        <v>4062</v>
      </c>
      <c r="D47" s="4" t="s">
        <v>4143</v>
      </c>
      <c r="E47" s="4"/>
      <c r="F47" s="4"/>
      <c r="G47" s="4"/>
      <c r="H47" s="4"/>
      <c r="I47" s="4"/>
    </row>
    <row r="48" spans="1:9">
      <c r="A48" s="4" t="s">
        <v>1328</v>
      </c>
      <c r="B48" s="4" t="s">
        <v>4144</v>
      </c>
      <c r="C48" s="4" t="s">
        <v>4062</v>
      </c>
      <c r="D48" s="4" t="s">
        <v>4145</v>
      </c>
      <c r="E48" s="4"/>
      <c r="F48" s="4"/>
      <c r="G48" s="4"/>
      <c r="H48" s="4"/>
      <c r="I48" s="4"/>
    </row>
    <row r="49" spans="1:9">
      <c r="A49" s="4" t="s">
        <v>1287</v>
      </c>
      <c r="B49" s="4" t="s">
        <v>4146</v>
      </c>
      <c r="C49" s="4" t="s">
        <v>4062</v>
      </c>
      <c r="D49" s="4"/>
      <c r="E49" s="4"/>
      <c r="F49" s="4"/>
      <c r="G49" s="4">
        <v>6</v>
      </c>
      <c r="H49" s="4">
        <v>6</v>
      </c>
      <c r="I49" s="4"/>
    </row>
    <row r="50" spans="1:9">
      <c r="A50" s="4" t="s">
        <v>3212</v>
      </c>
      <c r="B50" s="4" t="s">
        <v>4147</v>
      </c>
      <c r="C50" s="4" t="s">
        <v>4062</v>
      </c>
      <c r="D50" s="4" t="s">
        <v>4148</v>
      </c>
      <c r="E50" s="4"/>
      <c r="F50" s="4"/>
      <c r="G50" s="4"/>
      <c r="H50" s="4"/>
      <c r="I50" s="4"/>
    </row>
    <row r="51" spans="1:9">
      <c r="A51" s="4" t="s">
        <v>1836</v>
      </c>
      <c r="B51" t="s">
        <v>4149</v>
      </c>
      <c r="C51" s="4" t="s">
        <v>4062</v>
      </c>
      <c r="D51" s="4" t="s">
        <v>4150</v>
      </c>
      <c r="E51" s="4"/>
      <c r="F51" s="4"/>
      <c r="G51" s="4"/>
      <c r="H51" s="4"/>
      <c r="I51" s="4"/>
    </row>
    <row r="52" spans="1:9">
      <c r="A52" s="4" t="s">
        <v>2457</v>
      </c>
      <c r="B52" s="4" t="s">
        <v>4151</v>
      </c>
      <c r="C52" s="4" t="s">
        <v>4062</v>
      </c>
      <c r="D52" s="4" t="s">
        <v>4152</v>
      </c>
      <c r="E52" s="4"/>
      <c r="F52" s="4"/>
      <c r="G52" s="4"/>
      <c r="H52" s="4"/>
      <c r="I52" s="4"/>
    </row>
    <row r="53" spans="1:9">
      <c r="A53" s="4" t="s">
        <v>2952</v>
      </c>
      <c r="B53" t="s">
        <v>4153</v>
      </c>
      <c r="C53" s="4" t="s">
        <v>4062</v>
      </c>
      <c r="D53" s="4" t="s">
        <v>4154</v>
      </c>
      <c r="E53" s="4"/>
      <c r="F53" s="4"/>
      <c r="G53" s="4"/>
      <c r="H53" s="4"/>
      <c r="I53" s="4"/>
    </row>
    <row r="54" spans="1:9">
      <c r="A54" s="4" t="s">
        <v>1535</v>
      </c>
      <c r="B54" s="4" t="s">
        <v>4155</v>
      </c>
      <c r="C54" s="4" t="s">
        <v>4062</v>
      </c>
      <c r="D54" s="4" t="s">
        <v>4156</v>
      </c>
      <c r="E54" s="4"/>
      <c r="F54" s="4"/>
      <c r="G54" s="4"/>
      <c r="H54" s="4"/>
      <c r="I54" s="4"/>
    </row>
    <row r="55" spans="1:9">
      <c r="A55" s="4" t="s">
        <v>2571</v>
      </c>
      <c r="B55" s="4" t="s">
        <v>4157</v>
      </c>
      <c r="C55" s="4" t="s">
        <v>4062</v>
      </c>
      <c r="D55" s="4"/>
      <c r="E55" s="4"/>
      <c r="F55" s="4"/>
      <c r="G55" s="4">
        <v>8</v>
      </c>
      <c r="H55" s="4">
        <v>8</v>
      </c>
      <c r="I55" s="4"/>
    </row>
    <row r="56" spans="1:9">
      <c r="A56" s="4" t="s">
        <v>2329</v>
      </c>
      <c r="B56" t="s">
        <v>4158</v>
      </c>
      <c r="C56" s="4" t="s">
        <v>4062</v>
      </c>
      <c r="D56" t="s">
        <v>4159</v>
      </c>
      <c r="E56" s="4"/>
      <c r="F56" s="4"/>
      <c r="G56" s="4"/>
      <c r="H56" s="4"/>
      <c r="I56" s="4"/>
    </row>
    <row r="57" spans="1:9" ht="100.9">
      <c r="A57" s="4" t="s">
        <v>3908</v>
      </c>
      <c r="B57" s="9" t="s">
        <v>4160</v>
      </c>
      <c r="C57" s="4" t="s">
        <v>4062</v>
      </c>
      <c r="D57" s="4" t="s">
        <v>4161</v>
      </c>
      <c r="E57" s="4"/>
      <c r="F57" s="4"/>
      <c r="G57" s="4"/>
      <c r="H57" s="4"/>
      <c r="I57" s="9" t="s">
        <v>4162</v>
      </c>
    </row>
    <row r="58" spans="1:9" ht="115.15">
      <c r="A58" s="4" t="s">
        <v>2345</v>
      </c>
      <c r="B58" s="9" t="s">
        <v>4163</v>
      </c>
      <c r="C58" s="4" t="s">
        <v>4062</v>
      </c>
      <c r="D58" s="4" t="s">
        <v>4164</v>
      </c>
      <c r="E58" s="4"/>
      <c r="F58" s="4"/>
      <c r="G58" s="4"/>
      <c r="H58" s="4"/>
      <c r="I58" s="9" t="s">
        <v>4165</v>
      </c>
    </row>
    <row r="59" spans="1:9">
      <c r="A59" s="4" t="s">
        <v>2290</v>
      </c>
      <c r="B59" s="4" t="s">
        <v>4166</v>
      </c>
      <c r="C59" s="4" t="s">
        <v>4062</v>
      </c>
      <c r="D59" s="4" t="s">
        <v>4167</v>
      </c>
      <c r="E59" s="4"/>
      <c r="F59" s="4"/>
      <c r="G59" s="4"/>
      <c r="H59" s="4"/>
      <c r="I59" s="4"/>
    </row>
    <row r="60" spans="1:9">
      <c r="A60" s="4" t="s">
        <v>1138</v>
      </c>
      <c r="B60" s="4" t="s">
        <v>4168</v>
      </c>
      <c r="C60" s="4" t="s">
        <v>4062</v>
      </c>
      <c r="D60" s="4" t="s">
        <v>4169</v>
      </c>
      <c r="E60" s="4"/>
      <c r="F60" s="4"/>
      <c r="G60" s="4"/>
      <c r="H60" s="4"/>
      <c r="I60" s="4"/>
    </row>
    <row r="61" spans="1:9">
      <c r="A61" s="4" t="s">
        <v>2293</v>
      </c>
      <c r="B61" s="4" t="s">
        <v>4170</v>
      </c>
      <c r="C61" s="4" t="s">
        <v>4062</v>
      </c>
      <c r="D61" s="4" t="s">
        <v>4171</v>
      </c>
      <c r="E61" s="4"/>
      <c r="F61" s="4"/>
      <c r="G61" s="4"/>
      <c r="H61" s="4"/>
      <c r="I61" s="4"/>
    </row>
    <row r="62" spans="1:9" ht="86.45">
      <c r="A62" s="4" t="s">
        <v>1071</v>
      </c>
      <c r="B62" s="9" t="s">
        <v>4172</v>
      </c>
      <c r="C62" s="4" t="s">
        <v>4062</v>
      </c>
      <c r="D62" s="4" t="s">
        <v>4169</v>
      </c>
      <c r="E62" s="4"/>
      <c r="F62" s="4"/>
      <c r="G62" s="4"/>
      <c r="H62" s="4"/>
      <c r="I62" s="9" t="s">
        <v>4173</v>
      </c>
    </row>
    <row r="63" spans="1:9">
      <c r="A63" s="4" t="s">
        <v>1939</v>
      </c>
      <c r="B63" s="9" t="s">
        <v>4170</v>
      </c>
      <c r="C63" s="4" t="s">
        <v>4062</v>
      </c>
      <c r="D63" s="4" t="s">
        <v>4169</v>
      </c>
      <c r="E63" s="4"/>
      <c r="F63" s="4"/>
      <c r="G63" s="4"/>
      <c r="H63" s="4"/>
      <c r="I63" s="4"/>
    </row>
    <row r="64" spans="1:9">
      <c r="A64" s="4" t="s">
        <v>3962</v>
      </c>
      <c r="B64" s="4" t="s">
        <v>4174</v>
      </c>
      <c r="C64" s="4" t="s">
        <v>4062</v>
      </c>
      <c r="D64" s="4" t="s">
        <v>4175</v>
      </c>
      <c r="E64" s="4"/>
      <c r="F64" s="4"/>
      <c r="G64" s="4"/>
      <c r="H64" s="4"/>
      <c r="I64" s="4" t="s">
        <v>4176</v>
      </c>
    </row>
    <row r="65" spans="1:9">
      <c r="A65" s="4" t="s">
        <v>2943</v>
      </c>
      <c r="B65" s="4" t="s">
        <v>4177</v>
      </c>
      <c r="C65" s="4" t="s">
        <v>4062</v>
      </c>
      <c r="D65" s="66" t="s">
        <v>4178</v>
      </c>
      <c r="E65" s="4"/>
      <c r="F65" s="4"/>
      <c r="G65" s="4"/>
      <c r="H65" s="4"/>
      <c r="I65" s="4" t="s">
        <v>4179</v>
      </c>
    </row>
    <row r="66" spans="1:9" ht="43.15">
      <c r="A66" s="4" t="s">
        <v>1394</v>
      </c>
      <c r="B66" s="4" t="s">
        <v>4180</v>
      </c>
      <c r="C66" s="4" t="s">
        <v>4062</v>
      </c>
      <c r="D66" s="66" t="s">
        <v>4181</v>
      </c>
      <c r="E66" s="4"/>
      <c r="F66" s="4"/>
      <c r="G66" s="4"/>
      <c r="H66" s="4"/>
      <c r="I66" s="19" t="s">
        <v>4182</v>
      </c>
    </row>
    <row r="67" spans="1:9" ht="57.6">
      <c r="A67" s="4" t="s">
        <v>1155</v>
      </c>
      <c r="B67" s="9" t="s">
        <v>4183</v>
      </c>
      <c r="C67" s="4" t="s">
        <v>4062</v>
      </c>
      <c r="D67" s="4" t="s">
        <v>4184</v>
      </c>
      <c r="E67" s="4"/>
      <c r="F67" s="4"/>
      <c r="G67" s="4"/>
      <c r="H67" s="4"/>
      <c r="I67" s="9" t="s">
        <v>4185</v>
      </c>
    </row>
    <row r="68" spans="1:9">
      <c r="A68" s="4" t="s">
        <v>2041</v>
      </c>
      <c r="B68" s="4" t="s">
        <v>4132</v>
      </c>
      <c r="C68" s="4" t="s">
        <v>4062</v>
      </c>
      <c r="D68" s="66" t="s">
        <v>4186</v>
      </c>
      <c r="E68" s="4"/>
      <c r="F68" s="4"/>
      <c r="G68" s="4"/>
      <c r="H68" s="4"/>
      <c r="I68" s="4" t="s">
        <v>4187</v>
      </c>
    </row>
    <row r="69" spans="1:9">
      <c r="A69" s="4" t="s">
        <v>1231</v>
      </c>
      <c r="B69" s="4" t="s">
        <v>4188</v>
      </c>
      <c r="C69" s="4" t="s">
        <v>4062</v>
      </c>
      <c r="D69" s="4"/>
      <c r="E69" s="4"/>
      <c r="F69" s="4"/>
      <c r="G69" s="4">
        <v>1</v>
      </c>
      <c r="H69" s="4">
        <v>100</v>
      </c>
      <c r="I69" s="4"/>
    </row>
    <row r="70" spans="1:9">
      <c r="A70" s="4" t="s">
        <v>1058</v>
      </c>
      <c r="B70" s="4" t="s">
        <v>4189</v>
      </c>
      <c r="C70" s="4" t="s">
        <v>4062</v>
      </c>
      <c r="D70" s="4" t="s">
        <v>4190</v>
      </c>
      <c r="E70" s="4"/>
      <c r="F70" s="4"/>
      <c r="G70" s="4"/>
      <c r="H70" s="4"/>
      <c r="I70" s="4"/>
    </row>
    <row r="71" spans="1:9">
      <c r="A71" s="4" t="s">
        <v>3942</v>
      </c>
      <c r="B71" s="4" t="s">
        <v>4191</v>
      </c>
      <c r="C71" s="4" t="s">
        <v>4062</v>
      </c>
      <c r="D71" s="4" t="s">
        <v>4192</v>
      </c>
      <c r="E71" s="4"/>
      <c r="F71" s="4"/>
      <c r="G71" s="4"/>
      <c r="H71" s="4"/>
      <c r="I71" s="4"/>
    </row>
    <row r="72" spans="1:9">
      <c r="A72" s="4" t="s">
        <v>1034</v>
      </c>
      <c r="B72" s="4" t="s">
        <v>4193</v>
      </c>
      <c r="C72" s="4" t="s">
        <v>4062</v>
      </c>
      <c r="D72" s="4"/>
      <c r="E72" s="4"/>
      <c r="F72" s="4"/>
      <c r="G72" s="4">
        <v>1</v>
      </c>
      <c r="H72" s="4">
        <v>10</v>
      </c>
      <c r="I72" s="4"/>
    </row>
    <row r="73" spans="1:9">
      <c r="A73" s="4" t="s">
        <v>1622</v>
      </c>
      <c r="B73" s="4" t="s">
        <v>4194</v>
      </c>
      <c r="C73" s="4" t="s">
        <v>4062</v>
      </c>
      <c r="D73" s="4" t="s">
        <v>4195</v>
      </c>
      <c r="E73" s="4"/>
      <c r="F73" s="4"/>
      <c r="G73" s="4"/>
      <c r="H73" s="4"/>
      <c r="I73" s="4"/>
    </row>
    <row r="74" spans="1:9">
      <c r="A74" s="4" t="s">
        <v>3078</v>
      </c>
      <c r="B74" t="s">
        <v>4196</v>
      </c>
      <c r="C74" s="4" t="s">
        <v>4062</v>
      </c>
      <c r="D74" t="s">
        <v>4197</v>
      </c>
      <c r="E74" s="4"/>
      <c r="F74" s="4"/>
      <c r="G74" s="4"/>
      <c r="H74" s="4"/>
      <c r="I74" s="4"/>
    </row>
    <row r="75" spans="1:9">
      <c r="A75" s="4" t="s">
        <v>3559</v>
      </c>
      <c r="B75" s="4" t="s">
        <v>4198</v>
      </c>
      <c r="C75" s="4" t="s">
        <v>4062</v>
      </c>
      <c r="D75" s="4"/>
      <c r="E75" s="4"/>
      <c r="F75" s="4"/>
      <c r="G75" s="4">
        <v>1</v>
      </c>
      <c r="H75" s="4">
        <v>12</v>
      </c>
      <c r="I75" s="4"/>
    </row>
    <row r="76" spans="1:9">
      <c r="A76" s="4" t="s">
        <v>1542</v>
      </c>
      <c r="B76" s="4" t="s">
        <v>4199</v>
      </c>
      <c r="C76" s="4" t="s">
        <v>4062</v>
      </c>
      <c r="D76" s="4" t="s">
        <v>4200</v>
      </c>
      <c r="E76" s="4"/>
      <c r="F76" s="4"/>
      <c r="G76" s="4"/>
      <c r="H76" s="4"/>
      <c r="I76" s="4"/>
    </row>
    <row r="77" spans="1:9">
      <c r="A77" s="4" t="s">
        <v>2302</v>
      </c>
      <c r="B77" s="4" t="s">
        <v>4201</v>
      </c>
      <c r="C77" s="4" t="s">
        <v>4062</v>
      </c>
      <c r="D77" s="4" t="s">
        <v>4202</v>
      </c>
      <c r="E77" s="4"/>
      <c r="F77" s="4"/>
      <c r="G77" s="4"/>
      <c r="H77" s="4"/>
      <c r="I77" s="4"/>
    </row>
    <row r="78" spans="1:9">
      <c r="A78" s="4" t="s">
        <v>4203</v>
      </c>
      <c r="B78" s="4" t="s">
        <v>4204</v>
      </c>
      <c r="C78" s="4" t="s">
        <v>4062</v>
      </c>
      <c r="D78" s="4" t="s">
        <v>4202</v>
      </c>
      <c r="E78" s="4"/>
      <c r="F78" s="4"/>
      <c r="G78" s="4"/>
      <c r="H78" s="4"/>
      <c r="I78" s="4"/>
    </row>
    <row r="79" spans="1:9">
      <c r="A79" s="4" t="s">
        <v>4205</v>
      </c>
      <c r="B79" t="s">
        <v>4206</v>
      </c>
      <c r="C79" s="4" t="s">
        <v>4062</v>
      </c>
      <c r="D79" t="s">
        <v>4207</v>
      </c>
      <c r="E79" s="4"/>
      <c r="F79" s="4"/>
      <c r="G79" s="4"/>
      <c r="H79" s="4"/>
      <c r="I79" s="4"/>
    </row>
    <row r="80" spans="1:9" ht="12.6" customHeight="1">
      <c r="A80" s="4" t="s">
        <v>1190</v>
      </c>
      <c r="B80" s="4" t="s">
        <v>4208</v>
      </c>
      <c r="C80" s="4" t="s">
        <v>4062</v>
      </c>
      <c r="D80" s="4"/>
      <c r="E80" s="4"/>
      <c r="F80" s="4"/>
      <c r="G80" s="4">
        <v>1</v>
      </c>
      <c r="H80" s="4">
        <v>15</v>
      </c>
      <c r="I80" s="4"/>
    </row>
    <row r="81" spans="1:9">
      <c r="A81" s="4" t="s">
        <v>1923</v>
      </c>
      <c r="B81" s="4" t="s">
        <v>4209</v>
      </c>
      <c r="C81" s="4" t="s">
        <v>4062</v>
      </c>
      <c r="D81" s="4"/>
      <c r="E81" s="4"/>
      <c r="F81" s="4"/>
      <c r="G81" s="4">
        <v>1</v>
      </c>
      <c r="H81" s="4">
        <v>16</v>
      </c>
      <c r="I81" s="4"/>
    </row>
    <row r="82" spans="1:9">
      <c r="A82" s="4" t="s">
        <v>2740</v>
      </c>
      <c r="B82" s="4" t="s">
        <v>4210</v>
      </c>
      <c r="C82" s="4" t="s">
        <v>4062</v>
      </c>
      <c r="D82" s="4"/>
      <c r="E82" s="4"/>
      <c r="F82" s="4"/>
      <c r="G82" s="4">
        <v>1</v>
      </c>
      <c r="H82" s="4">
        <v>17</v>
      </c>
      <c r="I82" s="4"/>
    </row>
    <row r="83" spans="1:9">
      <c r="A83" s="4" t="s">
        <v>3158</v>
      </c>
      <c r="B83" s="4" t="s">
        <v>4211</v>
      </c>
      <c r="C83" s="4" t="s">
        <v>4062</v>
      </c>
      <c r="D83" s="4" t="s">
        <v>4212</v>
      </c>
      <c r="E83" s="4"/>
      <c r="F83" s="4"/>
      <c r="G83" s="4"/>
      <c r="H83" s="4"/>
      <c r="I83" s="4"/>
    </row>
    <row r="84" spans="1:9">
      <c r="A84" s="4" t="s">
        <v>2967</v>
      </c>
      <c r="B84" t="s">
        <v>4213</v>
      </c>
      <c r="C84" s="4" t="s">
        <v>4062</v>
      </c>
      <c r="D84" t="s">
        <v>4214</v>
      </c>
      <c r="E84" s="4"/>
      <c r="F84" s="4"/>
      <c r="G84" s="4"/>
      <c r="H84" s="4"/>
      <c r="I84" s="4"/>
    </row>
    <row r="85" spans="1:9" ht="15.6" customHeight="1">
      <c r="A85" s="4" t="s">
        <v>2083</v>
      </c>
      <c r="B85" s="4" t="s">
        <v>4215</v>
      </c>
      <c r="C85" s="4" t="s">
        <v>4062</v>
      </c>
      <c r="D85" s="4" t="s">
        <v>4216</v>
      </c>
      <c r="E85" s="4"/>
      <c r="F85" s="4"/>
      <c r="G85" s="4"/>
      <c r="H85" s="4"/>
      <c r="I85" s="4"/>
    </row>
    <row r="86" spans="1:9">
      <c r="A86" s="4" t="s">
        <v>2174</v>
      </c>
      <c r="B86" s="4" t="s">
        <v>4217</v>
      </c>
      <c r="C86" s="4" t="s">
        <v>4062</v>
      </c>
      <c r="D86" s="4"/>
      <c r="E86" s="4"/>
      <c r="F86" s="4"/>
      <c r="G86" s="4">
        <v>1</v>
      </c>
      <c r="H86" s="4">
        <v>19</v>
      </c>
      <c r="I86" s="4"/>
    </row>
    <row r="87" spans="1:9">
      <c r="A87" s="4" t="s">
        <v>2338</v>
      </c>
      <c r="B87" s="4" t="s">
        <v>4218</v>
      </c>
      <c r="C87" s="4" t="s">
        <v>4062</v>
      </c>
      <c r="D87" s="4"/>
      <c r="E87" s="4"/>
      <c r="F87" s="4"/>
      <c r="G87" s="4">
        <v>1</v>
      </c>
      <c r="H87" s="4">
        <v>200</v>
      </c>
      <c r="I87" s="4"/>
    </row>
    <row r="88" spans="1:9">
      <c r="A88" s="4" t="s">
        <v>871</v>
      </c>
      <c r="B88" s="4" t="s">
        <v>4219</v>
      </c>
      <c r="C88" s="4" t="s">
        <v>4062</v>
      </c>
      <c r="D88" s="4"/>
      <c r="E88" s="4"/>
      <c r="F88" s="4"/>
      <c r="G88" s="4">
        <v>1</v>
      </c>
      <c r="H88" s="4">
        <v>20</v>
      </c>
      <c r="I88" s="4"/>
    </row>
    <row r="89" spans="1:9">
      <c r="A89" s="4" t="s">
        <v>4220</v>
      </c>
      <c r="B89" t="s">
        <v>4221</v>
      </c>
      <c r="C89" s="4" t="s">
        <v>4062</v>
      </c>
      <c r="D89" t="s">
        <v>4222</v>
      </c>
      <c r="E89" s="4"/>
      <c r="F89" s="4"/>
      <c r="G89" s="4"/>
      <c r="H89" s="4"/>
      <c r="I89" s="4"/>
    </row>
    <row r="90" spans="1:9">
      <c r="A90" s="4" t="s">
        <v>3751</v>
      </c>
      <c r="B90" s="4" t="s">
        <v>4223</v>
      </c>
      <c r="C90" s="4" t="s">
        <v>4062</v>
      </c>
      <c r="D90" s="4" t="s">
        <v>4224</v>
      </c>
      <c r="E90" s="4"/>
      <c r="F90" s="4"/>
      <c r="G90" s="4"/>
      <c r="H90" s="4"/>
      <c r="I90" s="4"/>
    </row>
    <row r="91" spans="1:9">
      <c r="A91" s="4" t="s">
        <v>1485</v>
      </c>
      <c r="B91" t="s">
        <v>4225</v>
      </c>
      <c r="C91" s="4" t="s">
        <v>4062</v>
      </c>
      <c r="D91" t="s">
        <v>4222</v>
      </c>
      <c r="E91" s="4"/>
      <c r="F91" s="4"/>
      <c r="G91" s="4"/>
      <c r="H91" s="4"/>
      <c r="I91" s="4"/>
    </row>
    <row r="92" spans="1:9">
      <c r="A92" s="4" t="s">
        <v>3853</v>
      </c>
      <c r="B92" s="4" t="s">
        <v>4226</v>
      </c>
      <c r="C92" s="4" t="s">
        <v>4062</v>
      </c>
      <c r="D92" t="s">
        <v>4227</v>
      </c>
      <c r="E92" s="4"/>
      <c r="F92" s="4"/>
      <c r="G92" s="4"/>
      <c r="H92" s="4"/>
      <c r="I92" s="4"/>
    </row>
    <row r="93" spans="1:9">
      <c r="A93" s="4" t="s">
        <v>3292</v>
      </c>
      <c r="B93" t="s">
        <v>4228</v>
      </c>
      <c r="C93" s="4" t="s">
        <v>4062</v>
      </c>
      <c r="D93" t="s">
        <v>4229</v>
      </c>
      <c r="E93" s="4"/>
      <c r="F93" s="4"/>
      <c r="G93" s="4"/>
      <c r="H93" s="4"/>
      <c r="I93" s="4"/>
    </row>
    <row r="94" spans="1:9">
      <c r="A94" s="4" t="s">
        <v>1526</v>
      </c>
      <c r="B94" s="4" t="s">
        <v>4230</v>
      </c>
      <c r="C94" s="4" t="s">
        <v>4062</v>
      </c>
      <c r="D94" s="4"/>
      <c r="E94" s="4"/>
      <c r="F94" s="4"/>
      <c r="G94" s="4">
        <v>1</v>
      </c>
      <c r="H94" s="4">
        <v>255</v>
      </c>
      <c r="I94" s="4"/>
    </row>
    <row r="95" spans="1:9">
      <c r="A95" s="4" t="s">
        <v>876</v>
      </c>
      <c r="B95" s="4" t="s">
        <v>4231</v>
      </c>
      <c r="C95" s="4" t="s">
        <v>4062</v>
      </c>
      <c r="D95" s="4"/>
      <c r="E95" s="4"/>
      <c r="F95" s="4"/>
      <c r="G95" s="4">
        <v>1</v>
      </c>
      <c r="H95" s="4">
        <v>256</v>
      </c>
      <c r="I95" s="4"/>
    </row>
    <row r="96" spans="1:9">
      <c r="A96" s="4" t="s">
        <v>2866</v>
      </c>
      <c r="B96" s="4" t="s">
        <v>4232</v>
      </c>
      <c r="C96" s="4" t="s">
        <v>4062</v>
      </c>
      <c r="D96" s="4"/>
      <c r="E96" s="4"/>
      <c r="F96" s="4"/>
      <c r="G96" s="4">
        <v>1</v>
      </c>
      <c r="H96" s="4">
        <v>26</v>
      </c>
      <c r="I96" s="4"/>
    </row>
    <row r="97" spans="1:9">
      <c r="A97" s="4" t="s">
        <v>2076</v>
      </c>
      <c r="B97" s="4" t="s">
        <v>4233</v>
      </c>
      <c r="C97" s="4" t="s">
        <v>4062</v>
      </c>
      <c r="D97" s="4" t="s">
        <v>4234</v>
      </c>
      <c r="E97" s="4"/>
      <c r="F97" s="4"/>
      <c r="G97" s="4"/>
      <c r="H97" s="4"/>
      <c r="I97" s="4"/>
    </row>
    <row r="98" spans="1:9">
      <c r="A98" s="4" t="s">
        <v>924</v>
      </c>
      <c r="B98" s="4" t="s">
        <v>4235</v>
      </c>
      <c r="C98" s="4" t="s">
        <v>4062</v>
      </c>
      <c r="D98" s="4" t="s">
        <v>4236</v>
      </c>
      <c r="E98" s="4"/>
      <c r="F98" s="4"/>
      <c r="G98" s="4"/>
      <c r="H98" s="4"/>
      <c r="I98" s="4"/>
    </row>
    <row r="99" spans="1:9">
      <c r="A99" s="4" t="s">
        <v>4237</v>
      </c>
      <c r="B99" t="s">
        <v>4238</v>
      </c>
      <c r="C99" s="4" t="s">
        <v>4062</v>
      </c>
      <c r="D99" t="s">
        <v>4239</v>
      </c>
      <c r="E99" s="4"/>
      <c r="F99" s="4"/>
      <c r="G99" s="4"/>
      <c r="H99" s="4"/>
      <c r="I99" s="4"/>
    </row>
    <row r="100" spans="1:9">
      <c r="A100" s="4" t="s">
        <v>1222</v>
      </c>
      <c r="B100" s="4" t="s">
        <v>4240</v>
      </c>
      <c r="C100" s="4" t="s">
        <v>4062</v>
      </c>
      <c r="D100" s="4" t="s">
        <v>4241</v>
      </c>
      <c r="E100" s="4"/>
      <c r="F100" s="4"/>
      <c r="G100" s="4"/>
      <c r="H100" s="4"/>
      <c r="I100" s="4"/>
    </row>
    <row r="101" spans="1:9">
      <c r="A101" s="4" t="s">
        <v>1880</v>
      </c>
      <c r="B101" s="4" t="s">
        <v>4242</v>
      </c>
      <c r="C101" s="4" t="s">
        <v>4062</v>
      </c>
      <c r="D101" s="4"/>
      <c r="E101" s="4"/>
      <c r="F101" s="4"/>
      <c r="G101" s="4">
        <v>1</v>
      </c>
      <c r="H101" s="4">
        <v>2</v>
      </c>
      <c r="I101" s="4"/>
    </row>
    <row r="102" spans="1:9">
      <c r="A102" s="4" t="s">
        <v>3907</v>
      </c>
      <c r="B102" s="4" t="s">
        <v>4243</v>
      </c>
      <c r="C102" s="4" t="s">
        <v>4062</v>
      </c>
      <c r="D102" s="4"/>
      <c r="E102" s="4"/>
      <c r="F102" s="4"/>
      <c r="G102" s="4">
        <v>1</v>
      </c>
      <c r="H102" s="4">
        <v>3000</v>
      </c>
      <c r="I102" s="4"/>
    </row>
    <row r="103" spans="1:9">
      <c r="A103" s="4" t="s">
        <v>2065</v>
      </c>
      <c r="B103" s="4" t="s">
        <v>4244</v>
      </c>
      <c r="C103" s="4" t="s">
        <v>4062</v>
      </c>
      <c r="D103" s="4"/>
      <c r="E103" s="4"/>
      <c r="F103" s="4"/>
      <c r="G103" s="4">
        <v>1</v>
      </c>
      <c r="H103" s="4">
        <v>30</v>
      </c>
      <c r="I103" s="4"/>
    </row>
    <row r="104" spans="1:9">
      <c r="A104" s="4" t="s">
        <v>3570</v>
      </c>
      <c r="B104" s="4" t="s">
        <v>4245</v>
      </c>
      <c r="C104" s="4" t="s">
        <v>4062</v>
      </c>
      <c r="D104" s="4" t="s">
        <v>4246</v>
      </c>
      <c r="E104" s="4"/>
      <c r="F104" s="4"/>
      <c r="G104" s="4"/>
      <c r="H104" s="4"/>
      <c r="I104" s="4"/>
    </row>
    <row r="105" spans="1:9" ht="17.100000000000001" customHeight="1">
      <c r="A105" s="4" t="s">
        <v>2985</v>
      </c>
      <c r="B105" t="s">
        <v>4247</v>
      </c>
      <c r="C105" s="4" t="s">
        <v>4062</v>
      </c>
      <c r="D105" t="s">
        <v>4248</v>
      </c>
      <c r="E105" s="4"/>
      <c r="F105" s="4"/>
      <c r="G105" s="4"/>
      <c r="H105" s="4"/>
      <c r="I105" s="4"/>
    </row>
    <row r="106" spans="1:9" ht="16.149999999999999" customHeight="1">
      <c r="A106" s="4" t="s">
        <v>4249</v>
      </c>
      <c r="B106" s="4" t="s">
        <v>4250</v>
      </c>
      <c r="C106" s="4" t="s">
        <v>4062</v>
      </c>
      <c r="D106" s="4"/>
      <c r="E106" s="4"/>
      <c r="F106" s="4"/>
      <c r="G106" s="4">
        <v>1</v>
      </c>
      <c r="H106" s="4">
        <v>34</v>
      </c>
      <c r="I106" s="4"/>
    </row>
    <row r="107" spans="1:9">
      <c r="A107" s="4" t="s">
        <v>2404</v>
      </c>
      <c r="B107" s="4" t="s">
        <v>4251</v>
      </c>
      <c r="C107" s="4" t="s">
        <v>4062</v>
      </c>
      <c r="D107" s="4" t="s">
        <v>4252</v>
      </c>
      <c r="E107" s="4"/>
      <c r="F107" s="4"/>
      <c r="G107" s="4"/>
      <c r="H107" s="4"/>
      <c r="I107" s="4"/>
    </row>
    <row r="108" spans="1:9">
      <c r="A108" s="4" t="s">
        <v>2021</v>
      </c>
      <c r="B108" t="s">
        <v>4253</v>
      </c>
      <c r="C108" s="4" t="s">
        <v>4062</v>
      </c>
      <c r="D108" t="s">
        <v>4254</v>
      </c>
      <c r="E108" s="4"/>
      <c r="F108" s="4"/>
      <c r="G108" s="4"/>
      <c r="H108" s="4"/>
      <c r="I108" s="4"/>
    </row>
    <row r="109" spans="1:9">
      <c r="A109" s="4" t="s">
        <v>1029</v>
      </c>
      <c r="B109" s="4" t="s">
        <v>4255</v>
      </c>
      <c r="C109" s="4" t="s">
        <v>4062</v>
      </c>
      <c r="D109" s="4"/>
      <c r="E109" s="4"/>
      <c r="F109" s="4"/>
      <c r="G109" s="4">
        <v>1</v>
      </c>
      <c r="H109" s="4">
        <v>35</v>
      </c>
      <c r="I109" s="4"/>
    </row>
    <row r="110" spans="1:9">
      <c r="A110" s="4" t="s">
        <v>2018</v>
      </c>
      <c r="B110" s="4" t="s">
        <v>4256</v>
      </c>
      <c r="C110" s="4" t="s">
        <v>4062</v>
      </c>
      <c r="D110" s="4" t="s">
        <v>4257</v>
      </c>
      <c r="E110" s="4"/>
      <c r="F110" s="4"/>
      <c r="G110" s="4"/>
      <c r="H110" s="4"/>
      <c r="I110" s="4"/>
    </row>
    <row r="111" spans="1:9">
      <c r="A111" s="4" t="s">
        <v>886</v>
      </c>
      <c r="B111" s="4" t="s">
        <v>4258</v>
      </c>
      <c r="C111" s="4" t="s">
        <v>4062</v>
      </c>
      <c r="D111" s="4" t="s">
        <v>4259</v>
      </c>
      <c r="E111" s="4"/>
      <c r="F111" s="4"/>
      <c r="G111" s="4"/>
      <c r="H111" s="4"/>
      <c r="I111" s="4"/>
    </row>
    <row r="112" spans="1:9">
      <c r="A112" s="4" t="s">
        <v>2232</v>
      </c>
      <c r="B112" s="4" t="s">
        <v>4260</v>
      </c>
      <c r="C112" s="4" t="s">
        <v>4062</v>
      </c>
      <c r="D112" s="4"/>
      <c r="E112" s="4"/>
      <c r="F112" s="4"/>
      <c r="G112" s="4">
        <v>1</v>
      </c>
      <c r="H112" s="4">
        <v>37</v>
      </c>
      <c r="I112" s="4"/>
    </row>
    <row r="113" spans="1:9">
      <c r="A113" s="4" t="s">
        <v>1516</v>
      </c>
      <c r="B113" s="4" t="s">
        <v>4261</v>
      </c>
      <c r="C113" s="4" t="s">
        <v>4062</v>
      </c>
      <c r="D113" s="4" t="s">
        <v>4262</v>
      </c>
      <c r="E113" s="4"/>
      <c r="F113" s="4"/>
      <c r="G113" s="4"/>
      <c r="H113" s="4"/>
      <c r="I113" s="4"/>
    </row>
    <row r="114" spans="1:9">
      <c r="A114" s="4" t="s">
        <v>2285</v>
      </c>
      <c r="B114" s="4" t="s">
        <v>4263</v>
      </c>
      <c r="C114" s="4" t="s">
        <v>4062</v>
      </c>
      <c r="D114" s="4" t="s">
        <v>4264</v>
      </c>
      <c r="E114" s="4"/>
      <c r="F114" s="4"/>
      <c r="G114" s="4"/>
      <c r="H114" s="4"/>
      <c r="I114" s="4"/>
    </row>
    <row r="115" spans="1:9">
      <c r="A115" s="4" t="s">
        <v>1218</v>
      </c>
      <c r="B115" s="4" t="s">
        <v>4265</v>
      </c>
      <c r="C115" s="4" t="s">
        <v>4062</v>
      </c>
      <c r="D115" s="4" t="s">
        <v>4266</v>
      </c>
      <c r="E115" s="4"/>
      <c r="F115" s="4"/>
      <c r="G115" s="4">
        <v>1</v>
      </c>
      <c r="H115" s="4">
        <v>40</v>
      </c>
      <c r="I115" s="4"/>
    </row>
    <row r="116" spans="1:9">
      <c r="A116" s="4" t="s">
        <v>879</v>
      </c>
      <c r="B116" s="4" t="s">
        <v>4267</v>
      </c>
      <c r="C116" s="4" t="s">
        <v>4062</v>
      </c>
      <c r="D116" s="4"/>
      <c r="E116" s="4"/>
      <c r="F116" s="4"/>
      <c r="G116" s="4">
        <v>1</v>
      </c>
      <c r="H116" s="4">
        <v>40</v>
      </c>
      <c r="I116" s="4"/>
    </row>
    <row r="117" spans="1:9">
      <c r="A117" s="4" t="s">
        <v>2033</v>
      </c>
      <c r="B117" s="4" t="s">
        <v>4268</v>
      </c>
      <c r="C117" s="4" t="s">
        <v>4062</v>
      </c>
      <c r="D117" s="4"/>
      <c r="E117" s="4"/>
      <c r="F117" s="4"/>
      <c r="G117" s="4">
        <v>1</v>
      </c>
      <c r="H117" s="4">
        <v>45</v>
      </c>
      <c r="I117" s="4"/>
    </row>
    <row r="118" spans="1:9">
      <c r="A118" s="4" t="s">
        <v>2879</v>
      </c>
      <c r="B118" s="4" t="s">
        <v>4269</v>
      </c>
      <c r="C118" s="4" t="s">
        <v>4062</v>
      </c>
      <c r="D118" s="4"/>
      <c r="E118" s="4"/>
      <c r="F118" s="4"/>
      <c r="G118" s="4">
        <v>1</v>
      </c>
      <c r="H118" s="4">
        <v>49</v>
      </c>
      <c r="I118" s="4"/>
    </row>
    <row r="119" spans="1:9">
      <c r="A119" s="4" t="s">
        <v>1593</v>
      </c>
      <c r="B119" s="4" t="s">
        <v>4270</v>
      </c>
      <c r="C119" s="4" t="s">
        <v>4062</v>
      </c>
      <c r="D119" t="s">
        <v>4271</v>
      </c>
      <c r="E119" s="4"/>
      <c r="F119" s="4"/>
      <c r="G119" s="4"/>
      <c r="H119" s="4"/>
      <c r="I119" s="4"/>
    </row>
    <row r="120" spans="1:9">
      <c r="A120" s="4" t="s">
        <v>4272</v>
      </c>
      <c r="B120" t="s">
        <v>4273</v>
      </c>
      <c r="C120" s="4" t="s">
        <v>4062</v>
      </c>
      <c r="D120" t="s">
        <v>4274</v>
      </c>
      <c r="E120" s="4"/>
      <c r="F120" s="4"/>
      <c r="G120" s="4"/>
      <c r="H120" s="4"/>
      <c r="I120" s="4"/>
    </row>
    <row r="121" spans="1:9">
      <c r="A121" s="4" t="s">
        <v>1019</v>
      </c>
      <c r="B121" s="4" t="s">
        <v>4275</v>
      </c>
      <c r="C121" s="4" t="s">
        <v>4062</v>
      </c>
      <c r="D121" s="4" t="s">
        <v>4276</v>
      </c>
      <c r="E121" s="4"/>
      <c r="F121" s="4"/>
      <c r="G121" s="4"/>
      <c r="H121" s="4"/>
      <c r="I121" s="4"/>
    </row>
    <row r="122" spans="1:9">
      <c r="A122" s="4" t="s">
        <v>2765</v>
      </c>
      <c r="B122" s="4" t="s">
        <v>4277</v>
      </c>
      <c r="C122" s="4" t="s">
        <v>4062</v>
      </c>
      <c r="D122" s="4"/>
      <c r="E122" s="4"/>
      <c r="F122" s="4"/>
      <c r="G122" s="4">
        <v>1</v>
      </c>
      <c r="H122" s="4">
        <v>4</v>
      </c>
      <c r="I122" s="4"/>
    </row>
    <row r="123" spans="1:9">
      <c r="A123" s="4" t="s">
        <v>2119</v>
      </c>
      <c r="B123" s="4" t="s">
        <v>4278</v>
      </c>
      <c r="C123" s="4" t="s">
        <v>4062</v>
      </c>
      <c r="D123" s="4"/>
      <c r="E123" s="4"/>
      <c r="F123" s="4"/>
      <c r="G123" s="4">
        <v>1</v>
      </c>
      <c r="H123" s="4">
        <v>500</v>
      </c>
      <c r="I123" s="4"/>
    </row>
    <row r="124" spans="1:9">
      <c r="A124" s="4" t="s">
        <v>1450</v>
      </c>
      <c r="B124" s="4" t="s">
        <v>4279</v>
      </c>
      <c r="C124" s="4" t="s">
        <v>4062</v>
      </c>
      <c r="D124" s="4" t="s">
        <v>4280</v>
      </c>
      <c r="E124" s="4"/>
      <c r="F124" s="4"/>
      <c r="G124" s="4">
        <v>1</v>
      </c>
      <c r="H124" s="4">
        <v>50</v>
      </c>
      <c r="I124" s="4"/>
    </row>
    <row r="125" spans="1:9">
      <c r="A125" s="4" t="s">
        <v>1699</v>
      </c>
      <c r="B125" s="4" t="s">
        <v>4281</v>
      </c>
      <c r="C125" s="4" t="s">
        <v>4062</v>
      </c>
      <c r="D125" s="4"/>
      <c r="E125" s="4"/>
      <c r="F125" s="4"/>
      <c r="G125" s="4">
        <v>1</v>
      </c>
      <c r="H125" s="4">
        <v>50</v>
      </c>
      <c r="I125" s="4"/>
    </row>
    <row r="126" spans="1:9">
      <c r="A126" s="4" t="s">
        <v>3344</v>
      </c>
      <c r="B126" s="4" t="s">
        <v>4282</v>
      </c>
      <c r="C126" s="4" t="s">
        <v>4062</v>
      </c>
      <c r="D126" t="s">
        <v>4283</v>
      </c>
      <c r="E126" s="4"/>
      <c r="F126" s="4"/>
      <c r="G126" s="4"/>
      <c r="H126" s="4"/>
      <c r="I126" s="4"/>
    </row>
    <row r="127" spans="1:9">
      <c r="A127" s="4" t="s">
        <v>3253</v>
      </c>
      <c r="B127" s="4" t="s">
        <v>4284</v>
      </c>
      <c r="C127" s="4" t="s">
        <v>4062</v>
      </c>
      <c r="D127" s="4" t="s">
        <v>4285</v>
      </c>
      <c r="E127" s="4"/>
      <c r="F127" s="4"/>
      <c r="G127" s="4"/>
      <c r="H127" s="4"/>
      <c r="I127" s="4"/>
    </row>
    <row r="128" spans="1:9">
      <c r="A128" s="133" t="s">
        <v>955</v>
      </c>
      <c r="B128" s="133" t="s">
        <v>4286</v>
      </c>
      <c r="C128" s="133" t="s">
        <v>4062</v>
      </c>
      <c r="D128" s="133" t="s">
        <v>4287</v>
      </c>
      <c r="E128" s="133"/>
      <c r="F128" s="133"/>
      <c r="G128" s="133"/>
      <c r="H128" s="133"/>
      <c r="I128" s="133"/>
    </row>
    <row r="129" spans="1:9">
      <c r="A129" s="115" t="s">
        <v>2631</v>
      </c>
      <c r="B129" s="4" t="s">
        <v>4288</v>
      </c>
      <c r="C129" s="116" t="s">
        <v>4062</v>
      </c>
      <c r="D129" s="4" t="s">
        <v>4285</v>
      </c>
      <c r="E129" s="4"/>
      <c r="F129" s="4"/>
      <c r="G129" s="4"/>
      <c r="H129" s="4"/>
      <c r="I129" s="4"/>
    </row>
    <row r="130" spans="1:9">
      <c r="A130" s="4" t="s">
        <v>2890</v>
      </c>
      <c r="B130" s="4" t="s">
        <v>4289</v>
      </c>
      <c r="C130" s="4" t="s">
        <v>4062</v>
      </c>
      <c r="D130" s="4" t="s">
        <v>4290</v>
      </c>
      <c r="E130" s="4"/>
      <c r="F130" s="4"/>
      <c r="G130" s="4"/>
      <c r="H130" s="4"/>
      <c r="I130" s="4"/>
    </row>
    <row r="131" spans="1:9">
      <c r="A131" s="4" t="s">
        <v>1126</v>
      </c>
      <c r="B131" s="4" t="s">
        <v>4291</v>
      </c>
      <c r="C131" s="4" t="s">
        <v>4062</v>
      </c>
      <c r="D131" s="4" t="s">
        <v>4292</v>
      </c>
      <c r="E131" s="4"/>
      <c r="F131" s="4"/>
      <c r="G131" s="4"/>
      <c r="H131" s="4"/>
      <c r="I131" s="4"/>
    </row>
    <row r="132" spans="1:9">
      <c r="A132" s="4" t="s">
        <v>1042</v>
      </c>
      <c r="B132" s="4" t="s">
        <v>4293</v>
      </c>
      <c r="C132" s="4" t="s">
        <v>4062</v>
      </c>
      <c r="D132" s="4"/>
      <c r="E132" s="4"/>
      <c r="F132" s="4"/>
      <c r="G132" s="4">
        <v>1</v>
      </c>
      <c r="H132" s="4">
        <v>6</v>
      </c>
      <c r="I132" s="4"/>
    </row>
    <row r="133" spans="1:9">
      <c r="A133" s="4" t="s">
        <v>873</v>
      </c>
      <c r="B133" s="4" t="s">
        <v>4294</v>
      </c>
      <c r="C133" s="4" t="s">
        <v>4062</v>
      </c>
      <c r="D133" s="4"/>
      <c r="E133" s="4"/>
      <c r="F133" s="4"/>
      <c r="G133" s="4">
        <v>1</v>
      </c>
      <c r="H133" s="4">
        <v>70</v>
      </c>
      <c r="I133" s="4"/>
    </row>
    <row r="134" spans="1:9">
      <c r="A134" s="4" t="s">
        <v>3289</v>
      </c>
      <c r="B134" s="4" t="s">
        <v>4295</v>
      </c>
      <c r="C134" s="4" t="s">
        <v>4062</v>
      </c>
      <c r="D134" s="4"/>
      <c r="E134" s="4"/>
      <c r="F134" s="4"/>
      <c r="G134" s="4">
        <v>1</v>
      </c>
      <c r="H134" s="4">
        <v>758</v>
      </c>
      <c r="I134" s="4"/>
    </row>
    <row r="135" spans="1:9">
      <c r="A135" s="4" t="s">
        <v>2227</v>
      </c>
      <c r="B135" s="4" t="s">
        <v>4296</v>
      </c>
      <c r="C135" s="4" t="s">
        <v>4062</v>
      </c>
      <c r="D135" s="4"/>
      <c r="E135" s="4"/>
      <c r="F135" s="4"/>
      <c r="G135" s="4">
        <v>1</v>
      </c>
      <c r="H135" s="4">
        <v>76</v>
      </c>
      <c r="I135" s="4"/>
    </row>
    <row r="136" spans="1:9">
      <c r="A136" s="4" t="s">
        <v>3398</v>
      </c>
      <c r="B136" s="4" t="s">
        <v>4297</v>
      </c>
      <c r="C136" s="4" t="s">
        <v>4062</v>
      </c>
      <c r="D136" s="4" t="s">
        <v>4298</v>
      </c>
      <c r="E136" s="4"/>
      <c r="F136" s="4"/>
      <c r="G136" s="4"/>
      <c r="H136" s="4"/>
      <c r="I136" s="4"/>
    </row>
    <row r="137" spans="1:9">
      <c r="A137" s="4" t="s">
        <v>2350</v>
      </c>
      <c r="B137" s="4" t="s">
        <v>4299</v>
      </c>
      <c r="C137" s="4" t="s">
        <v>4062</v>
      </c>
      <c r="D137" s="4" t="s">
        <v>4148</v>
      </c>
      <c r="E137" s="4"/>
      <c r="F137" s="4"/>
      <c r="G137" s="4"/>
      <c r="H137" s="4"/>
      <c r="I137" s="4"/>
    </row>
    <row r="138" spans="1:9">
      <c r="A138" s="4" t="s">
        <v>3274</v>
      </c>
      <c r="B138" s="4" t="s">
        <v>4300</v>
      </c>
      <c r="C138" s="4" t="s">
        <v>4062</v>
      </c>
      <c r="D138" s="4"/>
      <c r="E138" s="4"/>
      <c r="F138" s="4"/>
      <c r="G138" s="4">
        <v>1</v>
      </c>
      <c r="H138" s="4">
        <v>8000</v>
      </c>
      <c r="I138" s="4"/>
    </row>
    <row r="139" spans="1:9">
      <c r="A139" s="4" t="s">
        <v>1751</v>
      </c>
      <c r="B139" s="4" t="s">
        <v>4301</v>
      </c>
      <c r="C139" s="4" t="s">
        <v>4062</v>
      </c>
      <c r="D139" t="s">
        <v>4302</v>
      </c>
      <c r="E139" s="4"/>
      <c r="F139" s="4"/>
      <c r="G139" s="4"/>
      <c r="H139" s="4"/>
      <c r="I139" s="4"/>
    </row>
    <row r="140" spans="1:9">
      <c r="A140" s="4" t="s">
        <v>2332</v>
      </c>
      <c r="B140" s="4" t="s">
        <v>4303</v>
      </c>
      <c r="C140" s="4" t="s">
        <v>4062</v>
      </c>
      <c r="D140" s="4"/>
      <c r="E140" s="4"/>
      <c r="F140" s="4"/>
      <c r="G140" s="4">
        <v>1</v>
      </c>
      <c r="H140" s="4">
        <v>8</v>
      </c>
      <c r="I140" s="4"/>
    </row>
    <row r="141" spans="1:9">
      <c r="A141" s="4" t="s">
        <v>4304</v>
      </c>
      <c r="B141" s="4" t="s">
        <v>4305</v>
      </c>
      <c r="C141" s="4" t="s">
        <v>4062</v>
      </c>
      <c r="D141" t="s">
        <v>4306</v>
      </c>
      <c r="E141" s="4"/>
      <c r="F141" s="4"/>
      <c r="G141" s="4"/>
      <c r="H141" s="4"/>
      <c r="I141" s="4"/>
    </row>
    <row r="142" spans="1:9">
      <c r="A142" s="4" t="s">
        <v>2093</v>
      </c>
      <c r="B142" s="4" t="s">
        <v>4307</v>
      </c>
      <c r="C142" s="4" t="s">
        <v>4062</v>
      </c>
      <c r="D142" s="4" t="s">
        <v>4308</v>
      </c>
      <c r="E142" s="4"/>
      <c r="F142" s="4"/>
      <c r="G142" s="4"/>
      <c r="H142" s="4"/>
      <c r="I142" s="4"/>
    </row>
    <row r="143" spans="1:9">
      <c r="A143" s="4" t="s">
        <v>1984</v>
      </c>
      <c r="B143" s="4" t="s">
        <v>4309</v>
      </c>
      <c r="C143" s="4" t="s">
        <v>4062</v>
      </c>
      <c r="D143" s="4" t="s">
        <v>4310</v>
      </c>
      <c r="E143" s="4"/>
      <c r="F143" s="4"/>
      <c r="G143" s="4"/>
      <c r="H143" s="4"/>
      <c r="I143" s="4"/>
    </row>
    <row r="144" spans="1:9">
      <c r="A144" s="4" t="s">
        <v>4311</v>
      </c>
      <c r="B144" s="4" t="s">
        <v>4312</v>
      </c>
      <c r="C144" s="4" t="s">
        <v>4062</v>
      </c>
      <c r="D144" s="4"/>
      <c r="E144" s="4"/>
      <c r="F144" s="4"/>
      <c r="G144" s="4">
        <v>1</v>
      </c>
      <c r="H144" s="4">
        <v>9</v>
      </c>
      <c r="I144" s="4"/>
    </row>
    <row r="145" spans="1:9">
      <c r="A145" s="4" t="s">
        <v>3298</v>
      </c>
      <c r="B145" s="4" t="s">
        <v>4313</v>
      </c>
      <c r="C145" s="4" t="s">
        <v>4062</v>
      </c>
      <c r="D145" t="s">
        <v>4314</v>
      </c>
      <c r="E145" s="4"/>
      <c r="F145" s="4"/>
      <c r="G145" s="4"/>
      <c r="H145" s="4"/>
      <c r="I145" s="4"/>
    </row>
    <row r="146" spans="1:9">
      <c r="A146" s="4" t="s">
        <v>3716</v>
      </c>
      <c r="B146" s="4" t="s">
        <v>4315</v>
      </c>
      <c r="C146" s="4" t="s">
        <v>4062</v>
      </c>
      <c r="D146" s="4" t="s">
        <v>4216</v>
      </c>
      <c r="E146" s="4"/>
      <c r="F146" s="4"/>
      <c r="G146" s="4"/>
      <c r="H146" s="4"/>
      <c r="I146" s="4"/>
    </row>
    <row r="147" spans="1:9">
      <c r="A147" s="4" t="s">
        <v>3321</v>
      </c>
      <c r="B147" s="4" t="s">
        <v>4316</v>
      </c>
      <c r="C147" s="4" t="s">
        <v>4062</v>
      </c>
      <c r="D147" t="s">
        <v>4317</v>
      </c>
      <c r="E147" s="4"/>
      <c r="F147" s="4"/>
      <c r="G147" s="4"/>
      <c r="H147" s="4"/>
      <c r="I147" s="4"/>
    </row>
    <row r="148" spans="1:9">
      <c r="A148" s="4" t="s">
        <v>3268</v>
      </c>
      <c r="B148" s="4" t="s">
        <v>4318</v>
      </c>
      <c r="C148" s="4" t="s">
        <v>4062</v>
      </c>
      <c r="D148" t="s">
        <v>4319</v>
      </c>
      <c r="E148" s="4"/>
      <c r="F148" s="4"/>
      <c r="G148" s="4"/>
      <c r="H148" s="4"/>
      <c r="I148" s="4"/>
    </row>
    <row r="149" spans="1:9">
      <c r="A149" s="4" t="s">
        <v>3357</v>
      </c>
      <c r="B149" s="4" t="s">
        <v>4320</v>
      </c>
      <c r="C149" s="4" t="s">
        <v>4062</v>
      </c>
      <c r="D149" s="4"/>
      <c r="E149" s="4"/>
      <c r="F149" s="4"/>
      <c r="G149" s="4">
        <v>2</v>
      </c>
      <c r="H149" s="4">
        <v>226</v>
      </c>
      <c r="I149" s="4"/>
    </row>
    <row r="150" spans="1:9">
      <c r="A150" s="4" t="s">
        <v>4321</v>
      </c>
      <c r="B150" s="4" t="s">
        <v>4322</v>
      </c>
      <c r="C150" s="4" t="s">
        <v>4062</v>
      </c>
      <c r="D150" s="4" t="s">
        <v>4323</v>
      </c>
      <c r="E150" s="4"/>
      <c r="F150" s="4"/>
      <c r="G150" s="4"/>
      <c r="H150" s="4"/>
      <c r="I150" s="4"/>
    </row>
    <row r="151" spans="1:9">
      <c r="A151" s="4" t="s">
        <v>1462</v>
      </c>
      <c r="B151" s="4" t="s">
        <v>4324</v>
      </c>
      <c r="C151" s="4" t="s">
        <v>4062</v>
      </c>
      <c r="D151" t="s">
        <v>4325</v>
      </c>
      <c r="E151" s="4"/>
      <c r="F151" s="4"/>
      <c r="G151" s="4"/>
      <c r="H151" s="4"/>
      <c r="I151" s="4"/>
    </row>
    <row r="152" spans="1:9">
      <c r="A152" s="4" t="s">
        <v>2013</v>
      </c>
      <c r="B152" s="4" t="s">
        <v>4326</v>
      </c>
      <c r="C152" s="4" t="s">
        <v>4062</v>
      </c>
      <c r="D152" s="4" t="s">
        <v>4327</v>
      </c>
      <c r="E152" s="4"/>
      <c r="F152" s="4"/>
      <c r="G152" s="4"/>
      <c r="H152" s="4"/>
      <c r="I152" s="4"/>
    </row>
    <row r="153" spans="1:9">
      <c r="A153" s="4" t="s">
        <v>2958</v>
      </c>
      <c r="B153" s="4" t="s">
        <v>4328</v>
      </c>
      <c r="C153" s="4" t="s">
        <v>4062</v>
      </c>
      <c r="D153" t="s">
        <v>4329</v>
      </c>
      <c r="E153" s="4"/>
      <c r="F153" s="4"/>
      <c r="G153" s="4"/>
      <c r="H153" s="4"/>
      <c r="I153" s="4"/>
    </row>
    <row r="154" spans="1:9">
      <c r="A154" s="4" t="s">
        <v>3104</v>
      </c>
      <c r="B154" s="4" t="s">
        <v>4330</v>
      </c>
      <c r="C154" s="4" t="s">
        <v>4062</v>
      </c>
      <c r="D154" t="s">
        <v>4331</v>
      </c>
      <c r="E154" s="4"/>
      <c r="F154" s="4"/>
      <c r="G154" s="4"/>
      <c r="H154" s="4"/>
      <c r="I154" s="4"/>
    </row>
    <row r="155" spans="1:9">
      <c r="A155" s="4" t="s">
        <v>2501</v>
      </c>
      <c r="B155" s="4" t="s">
        <v>4332</v>
      </c>
      <c r="C155" s="4" t="s">
        <v>4062</v>
      </c>
      <c r="D155" s="4"/>
      <c r="E155" s="4"/>
      <c r="F155" s="4"/>
      <c r="G155" s="4">
        <v>4</v>
      </c>
      <c r="H155" s="4">
        <v>45</v>
      </c>
      <c r="I155" s="4"/>
    </row>
    <row r="156" spans="1:9">
      <c r="A156" s="4" t="s">
        <v>3310</v>
      </c>
      <c r="B156" s="4" t="s">
        <v>4333</v>
      </c>
      <c r="C156" s="4" t="s">
        <v>4062</v>
      </c>
      <c r="D156" t="s">
        <v>4334</v>
      </c>
      <c r="E156" s="4"/>
      <c r="F156" s="4"/>
      <c r="G156" s="4"/>
      <c r="H156" s="4"/>
      <c r="I156" s="4"/>
    </row>
    <row r="157" spans="1:9">
      <c r="A157" s="4" t="s">
        <v>1239</v>
      </c>
      <c r="B157" s="4" t="s">
        <v>4335</v>
      </c>
      <c r="C157" s="4" t="s">
        <v>4062</v>
      </c>
      <c r="D157" t="s">
        <v>4336</v>
      </c>
      <c r="E157" s="4"/>
      <c r="F157" s="4"/>
      <c r="G157" s="4"/>
      <c r="H157" s="4"/>
      <c r="I157" s="4"/>
    </row>
    <row r="158" spans="1:9">
      <c r="A158" s="4" t="s">
        <v>1920</v>
      </c>
      <c r="B158" s="4" t="s">
        <v>4337</v>
      </c>
      <c r="C158" s="4" t="s">
        <v>4062</v>
      </c>
      <c r="D158" s="4" t="s">
        <v>4338</v>
      </c>
      <c r="E158" s="4"/>
      <c r="F158" s="4"/>
      <c r="G158" s="4"/>
      <c r="H158" s="4"/>
      <c r="I158" s="4"/>
    </row>
    <row r="159" spans="1:9">
      <c r="A159" s="4" t="s">
        <v>3362</v>
      </c>
      <c r="B159" s="4" t="s">
        <v>4339</v>
      </c>
      <c r="C159" s="4" t="s">
        <v>4062</v>
      </c>
      <c r="D159" s="4"/>
      <c r="E159" s="4"/>
      <c r="F159" s="4"/>
      <c r="G159" s="4">
        <v>72</v>
      </c>
      <c r="H159" s="4">
        <v>296</v>
      </c>
      <c r="I159" s="4"/>
    </row>
    <row r="160" spans="1:9">
      <c r="A160" s="4" t="s">
        <v>2322</v>
      </c>
      <c r="B160" s="4" t="s">
        <v>4340</v>
      </c>
      <c r="C160" s="4" t="s">
        <v>4062</v>
      </c>
      <c r="D160" s="4" t="s">
        <v>4341</v>
      </c>
      <c r="E160" s="4"/>
      <c r="F160" s="4"/>
      <c r="G160" s="4"/>
      <c r="H160" s="4"/>
      <c r="I160" s="4"/>
    </row>
    <row r="161" spans="1:9">
      <c r="A161" s="4" t="s">
        <v>4342</v>
      </c>
      <c r="B161" s="4" t="s">
        <v>4343</v>
      </c>
      <c r="C161" s="4" t="s">
        <v>4062</v>
      </c>
      <c r="D161" t="s">
        <v>4344</v>
      </c>
      <c r="E161" s="4"/>
      <c r="F161" s="4"/>
      <c r="G161" s="4"/>
      <c r="H161" s="4"/>
      <c r="I161" s="4"/>
    </row>
    <row r="162" spans="1:9">
      <c r="A162" s="4" t="s">
        <v>1694</v>
      </c>
      <c r="B162" s="4" t="s">
        <v>4345</v>
      </c>
      <c r="C162" s="4" t="s">
        <v>4062</v>
      </c>
      <c r="D162" t="s">
        <v>4346</v>
      </c>
      <c r="E162" s="4"/>
      <c r="F162" s="4"/>
      <c r="G162" s="4"/>
      <c r="H162" s="4"/>
      <c r="I162" s="4"/>
    </row>
    <row r="163" spans="1:9">
      <c r="A163" s="4" t="s">
        <v>1703</v>
      </c>
      <c r="B163" s="4" t="s">
        <v>4347</v>
      </c>
      <c r="C163" s="4" t="s">
        <v>4062</v>
      </c>
      <c r="D163" t="s">
        <v>4348</v>
      </c>
      <c r="E163" s="4"/>
      <c r="F163" s="4"/>
      <c r="G163" s="4"/>
      <c r="H163" s="4"/>
      <c r="I163" s="4"/>
    </row>
    <row r="164" spans="1:9">
      <c r="A164" s="4" t="s">
        <v>4349</v>
      </c>
      <c r="B164" s="4" t="s">
        <v>4350</v>
      </c>
      <c r="C164" s="4" t="s">
        <v>4062</v>
      </c>
      <c r="D164" s="4" t="s">
        <v>4351</v>
      </c>
      <c r="E164" s="4"/>
      <c r="F164" s="4"/>
      <c r="G164" s="4"/>
      <c r="H164" s="4"/>
      <c r="I164" s="4"/>
    </row>
    <row r="165" spans="1:9">
      <c r="A165" s="4" t="s">
        <v>1147</v>
      </c>
      <c r="B165" s="4" t="s">
        <v>4352</v>
      </c>
      <c r="C165" s="4" t="s">
        <v>4062</v>
      </c>
      <c r="D165" s="4" t="s">
        <v>4353</v>
      </c>
      <c r="E165" s="4"/>
      <c r="F165" s="4"/>
      <c r="G165" s="4"/>
      <c r="H165" s="4"/>
      <c r="I165" t="s">
        <v>4070</v>
      </c>
    </row>
    <row r="166" spans="1:9">
      <c r="A166" t="s">
        <v>1521</v>
      </c>
      <c r="B166" t="s">
        <v>4354</v>
      </c>
      <c r="C166" t="s">
        <v>4062</v>
      </c>
      <c r="D166" s="4" t="s">
        <v>4355</v>
      </c>
      <c r="I166" t="s">
        <v>4356</v>
      </c>
    </row>
    <row r="167" spans="1:9">
      <c r="A167" s="2" t="s">
        <v>2124</v>
      </c>
      <c r="B167" s="4" t="s">
        <v>4357</v>
      </c>
      <c r="C167" s="4" t="s">
        <v>4062</v>
      </c>
      <c r="D167" s="4"/>
      <c r="E167" s="4"/>
      <c r="F167" s="4"/>
      <c r="G167" s="4"/>
      <c r="H167" s="4"/>
      <c r="I167" s="4"/>
    </row>
    <row r="168" spans="1:9">
      <c r="A168" s="4" t="s">
        <v>912</v>
      </c>
      <c r="B168" s="9" t="s">
        <v>4358</v>
      </c>
      <c r="C168" s="4" t="s">
        <v>4359</v>
      </c>
      <c r="D168" s="4"/>
      <c r="E168" s="4"/>
      <c r="F168" s="4"/>
      <c r="G168" s="4"/>
      <c r="H168" s="4"/>
      <c r="I168" s="9" t="s">
        <v>4360</v>
      </c>
    </row>
    <row r="169" spans="1:9">
      <c r="A169" s="4" t="s">
        <v>1846</v>
      </c>
      <c r="B169" s="4" t="s">
        <v>4361</v>
      </c>
      <c r="C169" s="4" t="s">
        <v>4062</v>
      </c>
      <c r="D169" s="4" t="s">
        <v>4362</v>
      </c>
      <c r="E169" s="4"/>
      <c r="F169" s="4"/>
      <c r="G169" s="4"/>
      <c r="H169" s="4"/>
      <c r="I169" s="4" t="s">
        <v>4363</v>
      </c>
    </row>
  </sheetData>
  <phoneticPr fontId="4" type="noConversion"/>
  <hyperlinks>
    <hyperlink ref="I66" location="ISODateTime!A1" display="Definition: A particular point in the progression of time defined by a mandatory date and a mandatory time component - Voir onglet ISODateTime" xr:uid="{22512F4C-B776-4D8B-BC54-FD3DE88D39FA}"/>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69141-CD80-4CDA-B1AC-E0560DA47537}">
  <sheetPr codeName="Feuil6"/>
  <dimension ref="A1:E889"/>
  <sheetViews>
    <sheetView topLeftCell="A375" zoomScale="110" zoomScaleNormal="110" workbookViewId="0">
      <selection activeCell="D392" sqref="A386:D392"/>
    </sheetView>
  </sheetViews>
  <sheetFormatPr defaultColWidth="11.42578125" defaultRowHeight="14.45"/>
  <cols>
    <col min="1" max="1" width="57.42578125" customWidth="1"/>
    <col min="2" max="2" width="15.28515625" customWidth="1"/>
    <col min="3" max="3" width="33.5703125" customWidth="1"/>
    <col min="4" max="4" width="65.7109375" style="54" customWidth="1"/>
    <col min="6" max="6" width="65.5703125" customWidth="1"/>
  </cols>
  <sheetData>
    <row r="1" spans="1:4" ht="21">
      <c r="A1" s="162" t="s">
        <v>4364</v>
      </c>
      <c r="B1" s="162"/>
      <c r="C1" s="162"/>
      <c r="D1" s="117"/>
    </row>
    <row r="2" spans="1:4">
      <c r="A2" t="s">
        <v>4365</v>
      </c>
      <c r="B2" t="s">
        <v>4366</v>
      </c>
      <c r="C2" t="s">
        <v>4367</v>
      </c>
      <c r="D2" t="s">
        <v>4368</v>
      </c>
    </row>
    <row r="3" spans="1:4">
      <c r="A3" t="s">
        <v>2282</v>
      </c>
      <c r="B3" t="s">
        <v>1209</v>
      </c>
      <c r="C3" t="s">
        <v>4369</v>
      </c>
      <c r="D3" t="s">
        <v>4370</v>
      </c>
    </row>
    <row r="4" spans="1:4">
      <c r="A4" t="s">
        <v>2282</v>
      </c>
      <c r="B4" t="s">
        <v>1209</v>
      </c>
      <c r="C4" t="s">
        <v>4371</v>
      </c>
      <c r="D4" t="s">
        <v>4372</v>
      </c>
    </row>
    <row r="5" spans="1:4">
      <c r="A5" t="s">
        <v>2282</v>
      </c>
      <c r="B5" t="s">
        <v>1209</v>
      </c>
      <c r="C5" t="s">
        <v>4373</v>
      </c>
      <c r="D5" t="s">
        <v>4374</v>
      </c>
    </row>
    <row r="6" spans="1:4">
      <c r="A6" t="s">
        <v>1182</v>
      </c>
      <c r="B6" s="4" t="s">
        <v>1209</v>
      </c>
      <c r="C6" t="s">
        <v>4375</v>
      </c>
      <c r="D6" t="s">
        <v>4376</v>
      </c>
    </row>
    <row r="7" spans="1:4">
      <c r="A7" t="s">
        <v>1182</v>
      </c>
      <c r="B7" s="4" t="s">
        <v>1209</v>
      </c>
      <c r="C7" t="s">
        <v>4377</v>
      </c>
      <c r="D7" t="s">
        <v>4378</v>
      </c>
    </row>
    <row r="8" spans="1:4">
      <c r="A8" t="s">
        <v>1182</v>
      </c>
      <c r="B8" s="4" t="s">
        <v>1209</v>
      </c>
      <c r="C8" t="s">
        <v>4379</v>
      </c>
      <c r="D8" t="s">
        <v>4380</v>
      </c>
    </row>
    <row r="9" spans="1:4">
      <c r="A9" t="s">
        <v>1182</v>
      </c>
      <c r="B9" s="4" t="s">
        <v>1209</v>
      </c>
      <c r="C9" t="s">
        <v>4381</v>
      </c>
      <c r="D9" t="s">
        <v>4382</v>
      </c>
    </row>
    <row r="10" spans="1:4">
      <c r="A10" t="s">
        <v>1182</v>
      </c>
      <c r="B10" s="4" t="s">
        <v>1209</v>
      </c>
      <c r="C10" t="s">
        <v>4383</v>
      </c>
      <c r="D10" t="s">
        <v>4384</v>
      </c>
    </row>
    <row r="11" spans="1:4" ht="12.75" customHeight="1">
      <c r="A11" t="s">
        <v>1182</v>
      </c>
      <c r="B11" s="4" t="s">
        <v>1209</v>
      </c>
      <c r="C11" t="s">
        <v>4385</v>
      </c>
      <c r="D11" t="s">
        <v>4386</v>
      </c>
    </row>
    <row r="12" spans="1:4" ht="15" customHeight="1">
      <c r="A12" t="s">
        <v>1182</v>
      </c>
      <c r="B12" s="4" t="s">
        <v>1209</v>
      </c>
      <c r="C12" t="s">
        <v>4387</v>
      </c>
      <c r="D12" t="s">
        <v>4388</v>
      </c>
    </row>
    <row r="13" spans="1:4">
      <c r="A13" t="s">
        <v>1182</v>
      </c>
      <c r="B13" s="4" t="s">
        <v>1209</v>
      </c>
      <c r="C13" t="s">
        <v>4389</v>
      </c>
      <c r="D13" t="s">
        <v>4390</v>
      </c>
    </row>
    <row r="14" spans="1:4">
      <c r="A14" t="s">
        <v>1182</v>
      </c>
      <c r="B14" s="4" t="s">
        <v>1209</v>
      </c>
      <c r="C14" t="s">
        <v>4391</v>
      </c>
      <c r="D14" t="s">
        <v>4392</v>
      </c>
    </row>
    <row r="15" spans="1:4">
      <c r="A15" t="s">
        <v>2640</v>
      </c>
      <c r="B15" s="4" t="s">
        <v>1209</v>
      </c>
      <c r="C15" t="s">
        <v>4393</v>
      </c>
      <c r="D15" t="s">
        <v>4394</v>
      </c>
    </row>
    <row r="16" spans="1:4">
      <c r="A16" t="s">
        <v>2640</v>
      </c>
      <c r="B16" s="4" t="s">
        <v>1209</v>
      </c>
      <c r="C16" t="s">
        <v>4395</v>
      </c>
      <c r="D16" t="s">
        <v>4396</v>
      </c>
    </row>
    <row r="17" spans="1:4">
      <c r="A17" t="s">
        <v>2640</v>
      </c>
      <c r="B17" s="4" t="s">
        <v>1209</v>
      </c>
      <c r="C17" t="s">
        <v>4397</v>
      </c>
      <c r="D17" t="s">
        <v>4398</v>
      </c>
    </row>
    <row r="18" spans="1:4">
      <c r="A18" t="s">
        <v>2640</v>
      </c>
      <c r="B18" s="4" t="s">
        <v>1209</v>
      </c>
      <c r="C18" t="s">
        <v>4399</v>
      </c>
      <c r="D18" t="s">
        <v>4400</v>
      </c>
    </row>
    <row r="19" spans="1:4">
      <c r="A19" t="s">
        <v>2640</v>
      </c>
      <c r="B19" s="4" t="s">
        <v>1209</v>
      </c>
      <c r="C19" t="s">
        <v>4401</v>
      </c>
      <c r="D19" t="s">
        <v>4402</v>
      </c>
    </row>
    <row r="20" spans="1:4">
      <c r="A20" s="67" t="s">
        <v>1530</v>
      </c>
      <c r="B20" s="52" t="s">
        <v>1209</v>
      </c>
      <c r="C20" s="67" t="s">
        <v>4403</v>
      </c>
      <c r="D20" s="68" t="s">
        <v>4404</v>
      </c>
    </row>
    <row r="21" spans="1:4">
      <c r="A21" s="67" t="s">
        <v>1530</v>
      </c>
      <c r="B21" s="52" t="s">
        <v>1209</v>
      </c>
      <c r="C21" s="67" t="s">
        <v>4405</v>
      </c>
      <c r="D21" s="68" t="s">
        <v>4406</v>
      </c>
    </row>
    <row r="22" spans="1:4">
      <c r="A22" s="4" t="s">
        <v>3434</v>
      </c>
      <c r="B22" s="4" t="s">
        <v>1209</v>
      </c>
      <c r="C22" s="4" t="s">
        <v>4407</v>
      </c>
      <c r="D22" s="4" t="s">
        <v>4408</v>
      </c>
    </row>
    <row r="23" spans="1:4">
      <c r="A23" s="4" t="s">
        <v>3434</v>
      </c>
      <c r="B23" s="4" t="s">
        <v>1209</v>
      </c>
      <c r="C23" s="4" t="s">
        <v>4409</v>
      </c>
      <c r="D23" s="4" t="s">
        <v>4410</v>
      </c>
    </row>
    <row r="24" spans="1:4">
      <c r="A24" s="4" t="s">
        <v>3434</v>
      </c>
      <c r="B24" s="4" t="s">
        <v>1209</v>
      </c>
      <c r="C24" s="4" t="s">
        <v>4411</v>
      </c>
      <c r="D24" s="4" t="s">
        <v>4412</v>
      </c>
    </row>
    <row r="25" spans="1:4">
      <c r="A25" s="4" t="s">
        <v>3434</v>
      </c>
      <c r="B25" s="4" t="s">
        <v>1209</v>
      </c>
      <c r="C25" s="4" t="s">
        <v>4413</v>
      </c>
      <c r="D25" s="4" t="s">
        <v>4414</v>
      </c>
    </row>
    <row r="26" spans="1:4">
      <c r="A26" s="4" t="s">
        <v>3434</v>
      </c>
      <c r="B26" s="4" t="s">
        <v>1209</v>
      </c>
      <c r="C26" s="4" t="s">
        <v>4415</v>
      </c>
      <c r="D26" s="4" t="s">
        <v>4416</v>
      </c>
    </row>
    <row r="27" spans="1:4">
      <c r="A27" s="4" t="s">
        <v>3434</v>
      </c>
      <c r="B27" s="4" t="s">
        <v>1209</v>
      </c>
      <c r="C27" s="4" t="s">
        <v>4417</v>
      </c>
      <c r="D27" s="4" t="s">
        <v>4418</v>
      </c>
    </row>
    <row r="28" spans="1:4">
      <c r="A28" s="4" t="s">
        <v>3434</v>
      </c>
      <c r="B28" s="4" t="s">
        <v>1209</v>
      </c>
      <c r="C28" s="4" t="s">
        <v>4419</v>
      </c>
      <c r="D28" s="4" t="s">
        <v>4420</v>
      </c>
    </row>
    <row r="29" spans="1:4">
      <c r="A29" s="4" t="s">
        <v>3434</v>
      </c>
      <c r="B29" s="4" t="s">
        <v>1209</v>
      </c>
      <c r="C29" s="4" t="s">
        <v>4421</v>
      </c>
      <c r="D29" s="4" t="s">
        <v>4422</v>
      </c>
    </row>
    <row r="30" spans="1:4">
      <c r="A30" t="s">
        <v>1889</v>
      </c>
      <c r="B30" t="s">
        <v>1209</v>
      </c>
      <c r="C30" t="s">
        <v>4423</v>
      </c>
      <c r="D30" t="s">
        <v>4424</v>
      </c>
    </row>
    <row r="31" spans="1:4">
      <c r="A31" t="s">
        <v>1889</v>
      </c>
      <c r="B31" t="s">
        <v>1209</v>
      </c>
      <c r="C31" t="s">
        <v>4425</v>
      </c>
      <c r="D31" t="s">
        <v>4426</v>
      </c>
    </row>
    <row r="32" spans="1:4">
      <c r="A32" t="s">
        <v>1889</v>
      </c>
      <c r="B32" t="s">
        <v>1209</v>
      </c>
      <c r="C32" t="s">
        <v>4427</v>
      </c>
      <c r="D32" t="s">
        <v>4428</v>
      </c>
    </row>
    <row r="33" spans="1:5">
      <c r="A33" t="s">
        <v>1889</v>
      </c>
      <c r="B33" t="s">
        <v>1209</v>
      </c>
      <c r="C33" t="s">
        <v>4429</v>
      </c>
      <c r="D33" t="s">
        <v>4430</v>
      </c>
    </row>
    <row r="34" spans="1:5">
      <c r="A34" t="s">
        <v>1889</v>
      </c>
      <c r="B34" t="s">
        <v>1209</v>
      </c>
      <c r="C34" t="s">
        <v>4431</v>
      </c>
      <c r="D34" t="s">
        <v>4432</v>
      </c>
    </row>
    <row r="35" spans="1:5">
      <c r="A35" t="s">
        <v>1889</v>
      </c>
      <c r="B35" t="s">
        <v>1209</v>
      </c>
      <c r="C35" t="s">
        <v>4433</v>
      </c>
      <c r="D35" t="s">
        <v>4434</v>
      </c>
    </row>
    <row r="36" spans="1:5">
      <c r="A36" t="s">
        <v>1889</v>
      </c>
      <c r="B36" t="s">
        <v>1209</v>
      </c>
      <c r="C36" t="s">
        <v>4435</v>
      </c>
      <c r="D36" t="s">
        <v>4436</v>
      </c>
    </row>
    <row r="37" spans="1:5">
      <c r="A37" t="s">
        <v>1889</v>
      </c>
      <c r="B37" t="s">
        <v>1209</v>
      </c>
      <c r="C37" t="s">
        <v>4437</v>
      </c>
      <c r="D37" t="s">
        <v>4438</v>
      </c>
    </row>
    <row r="38" spans="1:5">
      <c r="A38" t="s">
        <v>1006</v>
      </c>
      <c r="B38" s="4" t="s">
        <v>1209</v>
      </c>
      <c r="C38" t="s">
        <v>4439</v>
      </c>
      <c r="D38" t="s">
        <v>4440</v>
      </c>
    </row>
    <row r="39" spans="1:5">
      <c r="A39" t="s">
        <v>1006</v>
      </c>
      <c r="B39" s="4" t="s">
        <v>1209</v>
      </c>
      <c r="C39" t="s">
        <v>4441</v>
      </c>
      <c r="D39" t="s">
        <v>4442</v>
      </c>
    </row>
    <row r="40" spans="1:5">
      <c r="A40" t="s">
        <v>1006</v>
      </c>
      <c r="B40" s="4" t="s">
        <v>1209</v>
      </c>
      <c r="C40" t="s">
        <v>4443</v>
      </c>
      <c r="D40" t="s">
        <v>4444</v>
      </c>
      <c r="E40" s="8"/>
    </row>
    <row r="41" spans="1:5">
      <c r="A41" t="s">
        <v>1006</v>
      </c>
      <c r="B41" s="4" t="s">
        <v>1209</v>
      </c>
      <c r="C41" t="s">
        <v>4445</v>
      </c>
      <c r="D41" t="s">
        <v>4446</v>
      </c>
    </row>
    <row r="42" spans="1:5">
      <c r="A42" t="s">
        <v>1006</v>
      </c>
      <c r="B42" s="4" t="s">
        <v>1209</v>
      </c>
      <c r="C42" t="s">
        <v>4447</v>
      </c>
      <c r="D42" t="s">
        <v>29</v>
      </c>
    </row>
    <row r="43" spans="1:5">
      <c r="A43" t="s">
        <v>891</v>
      </c>
      <c r="B43" s="4" t="s">
        <v>1699</v>
      </c>
      <c r="C43" t="s">
        <v>4448</v>
      </c>
      <c r="D43" t="s">
        <v>4448</v>
      </c>
    </row>
    <row r="44" spans="1:5">
      <c r="A44" t="s">
        <v>891</v>
      </c>
      <c r="B44" s="4" t="s">
        <v>1699</v>
      </c>
      <c r="C44" t="s">
        <v>4449</v>
      </c>
      <c r="D44" t="s">
        <v>4449</v>
      </c>
    </row>
    <row r="45" spans="1:5">
      <c r="A45" t="s">
        <v>891</v>
      </c>
      <c r="B45" s="4" t="s">
        <v>1699</v>
      </c>
      <c r="C45" t="s">
        <v>4450</v>
      </c>
      <c r="D45" t="s">
        <v>4450</v>
      </c>
    </row>
    <row r="46" spans="1:5">
      <c r="A46" t="s">
        <v>891</v>
      </c>
      <c r="B46" s="4" t="s">
        <v>1699</v>
      </c>
      <c r="C46" t="s">
        <v>4451</v>
      </c>
      <c r="D46" t="s">
        <v>4451</v>
      </c>
    </row>
    <row r="47" spans="1:5">
      <c r="A47" t="s">
        <v>891</v>
      </c>
      <c r="B47" s="4" t="s">
        <v>1699</v>
      </c>
      <c r="C47" t="s">
        <v>4452</v>
      </c>
      <c r="D47" t="s">
        <v>4452</v>
      </c>
    </row>
    <row r="48" spans="1:5">
      <c r="A48" t="s">
        <v>891</v>
      </c>
      <c r="B48" s="4" t="s">
        <v>1699</v>
      </c>
      <c r="C48" s="67" t="s">
        <v>4453</v>
      </c>
      <c r="D48" s="67" t="s">
        <v>4453</v>
      </c>
    </row>
    <row r="49" spans="1:4">
      <c r="A49" t="s">
        <v>891</v>
      </c>
      <c r="B49" s="4" t="s">
        <v>1699</v>
      </c>
      <c r="C49" s="67" t="s">
        <v>4454</v>
      </c>
      <c r="D49" s="67" t="s">
        <v>4454</v>
      </c>
    </row>
    <row r="50" spans="1:4">
      <c r="A50" t="s">
        <v>891</v>
      </c>
      <c r="B50" s="4" t="s">
        <v>1699</v>
      </c>
      <c r="C50" s="67" t="s">
        <v>4455</v>
      </c>
      <c r="D50" s="67" t="s">
        <v>4455</v>
      </c>
    </row>
    <row r="51" spans="1:4">
      <c r="A51" s="4" t="s">
        <v>894</v>
      </c>
      <c r="B51" s="4" t="s">
        <v>1209</v>
      </c>
      <c r="C51" s="4" t="s">
        <v>4456</v>
      </c>
      <c r="D51" s="4" t="s">
        <v>4457</v>
      </c>
    </row>
    <row r="52" spans="1:4">
      <c r="A52" s="4" t="s">
        <v>894</v>
      </c>
      <c r="B52" s="4" t="s">
        <v>1209</v>
      </c>
      <c r="C52" s="4" t="s">
        <v>4458</v>
      </c>
      <c r="D52" s="4" t="s">
        <v>4459</v>
      </c>
    </row>
    <row r="53" spans="1:4" ht="14.25" customHeight="1">
      <c r="A53" s="4" t="s">
        <v>894</v>
      </c>
      <c r="B53" s="4" t="s">
        <v>1209</v>
      </c>
      <c r="C53" s="4" t="s">
        <v>4460</v>
      </c>
      <c r="D53" s="4" t="s">
        <v>4461</v>
      </c>
    </row>
    <row r="54" spans="1:4">
      <c r="A54" s="4" t="s">
        <v>2651</v>
      </c>
      <c r="B54" s="4" t="s">
        <v>1209</v>
      </c>
      <c r="C54" s="4" t="s">
        <v>4462</v>
      </c>
      <c r="D54" s="4" t="s">
        <v>4463</v>
      </c>
    </row>
    <row r="55" spans="1:4">
      <c r="A55" s="4" t="s">
        <v>2651</v>
      </c>
      <c r="B55" s="4" t="s">
        <v>1209</v>
      </c>
      <c r="C55" s="4" t="s">
        <v>4464</v>
      </c>
      <c r="D55" s="4" t="s">
        <v>4465</v>
      </c>
    </row>
    <row r="56" spans="1:4">
      <c r="A56" s="4" t="s">
        <v>2651</v>
      </c>
      <c r="B56" s="4" t="s">
        <v>1209</v>
      </c>
      <c r="C56" s="4" t="s">
        <v>4466</v>
      </c>
      <c r="D56" s="4" t="s">
        <v>4467</v>
      </c>
    </row>
    <row r="57" spans="1:4">
      <c r="A57" s="4" t="s">
        <v>2651</v>
      </c>
      <c r="B57" s="4" t="s">
        <v>1209</v>
      </c>
      <c r="C57" s="4" t="s">
        <v>4468</v>
      </c>
      <c r="D57" s="4" t="s">
        <v>4469</v>
      </c>
    </row>
    <row r="58" spans="1:4">
      <c r="A58" s="4" t="s">
        <v>2651</v>
      </c>
      <c r="B58" s="4" t="s">
        <v>1209</v>
      </c>
      <c r="C58" s="4" t="s">
        <v>4470</v>
      </c>
      <c r="D58" s="4" t="s">
        <v>4471</v>
      </c>
    </row>
    <row r="59" spans="1:4">
      <c r="A59" s="4" t="s">
        <v>2655</v>
      </c>
      <c r="B59" s="4" t="s">
        <v>1209</v>
      </c>
      <c r="C59" s="4" t="s">
        <v>4472</v>
      </c>
      <c r="D59" s="9" t="s">
        <v>4473</v>
      </c>
    </row>
    <row r="60" spans="1:4">
      <c r="A60" s="4" t="s">
        <v>2655</v>
      </c>
      <c r="B60" s="4" t="s">
        <v>1209</v>
      </c>
      <c r="C60" s="4" t="s">
        <v>4474</v>
      </c>
      <c r="D60" s="4" t="s">
        <v>4475</v>
      </c>
    </row>
    <row r="61" spans="1:4">
      <c r="A61" s="4" t="s">
        <v>2655</v>
      </c>
      <c r="B61" s="4" t="s">
        <v>1209</v>
      </c>
      <c r="C61" s="4" t="s">
        <v>4476</v>
      </c>
      <c r="D61" s="4" t="s">
        <v>4477</v>
      </c>
    </row>
    <row r="62" spans="1:4">
      <c r="A62" s="4" t="s">
        <v>2655</v>
      </c>
      <c r="B62" s="4" t="s">
        <v>1209</v>
      </c>
      <c r="C62" s="4" t="s">
        <v>4478</v>
      </c>
      <c r="D62" s="9" t="s">
        <v>4479</v>
      </c>
    </row>
    <row r="63" spans="1:4">
      <c r="A63" s="4" t="s">
        <v>2655</v>
      </c>
      <c r="B63" s="4" t="s">
        <v>1209</v>
      </c>
      <c r="C63" s="4" t="s">
        <v>4480</v>
      </c>
      <c r="D63" s="4" t="s">
        <v>4481</v>
      </c>
    </row>
    <row r="64" spans="1:4">
      <c r="A64" s="4" t="s">
        <v>2655</v>
      </c>
      <c r="B64" s="4" t="s">
        <v>1209</v>
      </c>
      <c r="C64" s="4" t="s">
        <v>4482</v>
      </c>
      <c r="D64" s="4" t="s">
        <v>4483</v>
      </c>
    </row>
    <row r="65" spans="1:4">
      <c r="A65" s="4" t="s">
        <v>2659</v>
      </c>
      <c r="B65" s="4" t="s">
        <v>1209</v>
      </c>
      <c r="C65" s="4" t="s">
        <v>4484</v>
      </c>
      <c r="D65" s="4" t="s">
        <v>4485</v>
      </c>
    </row>
    <row r="66" spans="1:4">
      <c r="A66" s="4" t="s">
        <v>2659</v>
      </c>
      <c r="B66" s="4" t="s">
        <v>1209</v>
      </c>
      <c r="C66" s="4" t="s">
        <v>4486</v>
      </c>
      <c r="D66" s="4" t="s">
        <v>4487</v>
      </c>
    </row>
    <row r="67" spans="1:4" ht="15.75" customHeight="1">
      <c r="A67" t="s">
        <v>3455</v>
      </c>
      <c r="B67" t="s">
        <v>1209</v>
      </c>
      <c r="C67" t="s">
        <v>4488</v>
      </c>
      <c r="D67" t="s">
        <v>4489</v>
      </c>
    </row>
    <row r="68" spans="1:4">
      <c r="A68" t="s">
        <v>3455</v>
      </c>
      <c r="B68" t="s">
        <v>1209</v>
      </c>
      <c r="C68" t="s">
        <v>4490</v>
      </c>
      <c r="D68" t="s">
        <v>4491</v>
      </c>
    </row>
    <row r="69" spans="1:4">
      <c r="A69" t="s">
        <v>3455</v>
      </c>
      <c r="B69" t="s">
        <v>1209</v>
      </c>
      <c r="C69" t="s">
        <v>4492</v>
      </c>
      <c r="D69" t="s">
        <v>4493</v>
      </c>
    </row>
    <row r="70" spans="1:4">
      <c r="A70" t="s">
        <v>3455</v>
      </c>
      <c r="B70" t="s">
        <v>1209</v>
      </c>
      <c r="C70" t="s">
        <v>4494</v>
      </c>
      <c r="D70" t="s">
        <v>4495</v>
      </c>
    </row>
    <row r="71" spans="1:4">
      <c r="A71" t="s">
        <v>3455</v>
      </c>
      <c r="B71" t="s">
        <v>1209</v>
      </c>
      <c r="C71" t="s">
        <v>4496</v>
      </c>
      <c r="D71" t="s">
        <v>4497</v>
      </c>
    </row>
    <row r="72" spans="1:4">
      <c r="A72" t="s">
        <v>3455</v>
      </c>
      <c r="B72" t="s">
        <v>1209</v>
      </c>
      <c r="C72" t="s">
        <v>4498</v>
      </c>
      <c r="D72" t="s">
        <v>4499</v>
      </c>
    </row>
    <row r="73" spans="1:4">
      <c r="A73" t="s">
        <v>3455</v>
      </c>
      <c r="B73" t="s">
        <v>1209</v>
      </c>
      <c r="C73" t="s">
        <v>4500</v>
      </c>
      <c r="D73" t="s">
        <v>4501</v>
      </c>
    </row>
    <row r="74" spans="1:4">
      <c r="A74" t="s">
        <v>3455</v>
      </c>
      <c r="B74" t="s">
        <v>1209</v>
      </c>
      <c r="C74" t="s">
        <v>4502</v>
      </c>
      <c r="D74" t="s">
        <v>4503</v>
      </c>
    </row>
    <row r="75" spans="1:4">
      <c r="A75" t="s">
        <v>3455</v>
      </c>
      <c r="B75" t="s">
        <v>1209</v>
      </c>
      <c r="C75" t="s">
        <v>4504</v>
      </c>
      <c r="D75" t="s">
        <v>4505</v>
      </c>
    </row>
    <row r="76" spans="1:4">
      <c r="A76" t="s">
        <v>3455</v>
      </c>
      <c r="B76" t="s">
        <v>1209</v>
      </c>
      <c r="C76" t="s">
        <v>4506</v>
      </c>
      <c r="D76" t="s">
        <v>4507</v>
      </c>
    </row>
    <row r="77" spans="1:4">
      <c r="A77" t="s">
        <v>3455</v>
      </c>
      <c r="B77" t="s">
        <v>1209</v>
      </c>
      <c r="C77" t="s">
        <v>4508</v>
      </c>
      <c r="D77" t="s">
        <v>4509</v>
      </c>
    </row>
    <row r="78" spans="1:4">
      <c r="A78" s="4" t="s">
        <v>3954</v>
      </c>
      <c r="B78" s="4" t="s">
        <v>1209</v>
      </c>
      <c r="C78" s="4" t="s">
        <v>4510</v>
      </c>
      <c r="D78" s="4" t="s">
        <v>4511</v>
      </c>
    </row>
    <row r="79" spans="1:4" ht="15.75" customHeight="1">
      <c r="A79" s="4" t="s">
        <v>3954</v>
      </c>
      <c r="B79" s="4" t="s">
        <v>1209</v>
      </c>
      <c r="C79" s="4" t="s">
        <v>4512</v>
      </c>
      <c r="D79" s="4" t="s">
        <v>4513</v>
      </c>
    </row>
    <row r="80" spans="1:4" ht="15.75" customHeight="1">
      <c r="A80" s="4" t="s">
        <v>3954</v>
      </c>
      <c r="B80" s="4" t="s">
        <v>1209</v>
      </c>
      <c r="C80" s="4" t="s">
        <v>4514</v>
      </c>
      <c r="D80" s="4" t="s">
        <v>4515</v>
      </c>
    </row>
    <row r="81" spans="1:4">
      <c r="A81" s="4" t="s">
        <v>3954</v>
      </c>
      <c r="B81" s="4" t="s">
        <v>1209</v>
      </c>
      <c r="C81" s="4" t="s">
        <v>4516</v>
      </c>
      <c r="D81" s="4" t="s">
        <v>4517</v>
      </c>
    </row>
    <row r="82" spans="1:4">
      <c r="A82" s="4" t="s">
        <v>3954</v>
      </c>
      <c r="B82" s="4" t="s">
        <v>1209</v>
      </c>
      <c r="C82" s="4" t="s">
        <v>4518</v>
      </c>
      <c r="D82" s="4" t="s">
        <v>4519</v>
      </c>
    </row>
    <row r="83" spans="1:4">
      <c r="A83" s="4" t="s">
        <v>3954</v>
      </c>
      <c r="B83" s="4" t="s">
        <v>1209</v>
      </c>
      <c r="C83" s="4" t="s">
        <v>4520</v>
      </c>
      <c r="D83" s="4" t="s">
        <v>4521</v>
      </c>
    </row>
    <row r="84" spans="1:4">
      <c r="A84" t="s">
        <v>1011</v>
      </c>
      <c r="B84" s="4" t="s">
        <v>1209</v>
      </c>
      <c r="C84" t="s">
        <v>4522</v>
      </c>
      <c r="D84" t="s">
        <v>4523</v>
      </c>
    </row>
    <row r="85" spans="1:4">
      <c r="A85" t="s">
        <v>1011</v>
      </c>
      <c r="B85" s="4" t="s">
        <v>1209</v>
      </c>
      <c r="C85" t="s">
        <v>4524</v>
      </c>
      <c r="D85" t="s">
        <v>4525</v>
      </c>
    </row>
    <row r="86" spans="1:4">
      <c r="A86" t="s">
        <v>1011</v>
      </c>
      <c r="B86" s="4" t="s">
        <v>1209</v>
      </c>
      <c r="C86" t="s">
        <v>4526</v>
      </c>
      <c r="D86" t="s">
        <v>4527</v>
      </c>
    </row>
    <row r="87" spans="1:4">
      <c r="A87" t="s">
        <v>2663</v>
      </c>
      <c r="B87" t="s">
        <v>1209</v>
      </c>
      <c r="C87" t="s">
        <v>4528</v>
      </c>
      <c r="D87" t="s">
        <v>4529</v>
      </c>
    </row>
    <row r="88" spans="1:4" ht="28.9">
      <c r="A88" t="s">
        <v>2663</v>
      </c>
      <c r="B88" t="s">
        <v>1209</v>
      </c>
      <c r="C88" t="s">
        <v>4530</v>
      </c>
      <c r="D88" s="8" t="s">
        <v>4531</v>
      </c>
    </row>
    <row r="89" spans="1:4" ht="28.9">
      <c r="A89" t="s">
        <v>2663</v>
      </c>
      <c r="B89" t="s">
        <v>1209</v>
      </c>
      <c r="C89" t="s">
        <v>4532</v>
      </c>
      <c r="D89" s="8" t="s">
        <v>4533</v>
      </c>
    </row>
    <row r="90" spans="1:4">
      <c r="A90" t="s">
        <v>2663</v>
      </c>
      <c r="B90" t="s">
        <v>1209</v>
      </c>
      <c r="C90" t="s">
        <v>4534</v>
      </c>
      <c r="D90" t="s">
        <v>4535</v>
      </c>
    </row>
    <row r="91" spans="1:4">
      <c r="A91" t="s">
        <v>2663</v>
      </c>
      <c r="B91" t="s">
        <v>1209</v>
      </c>
      <c r="C91" t="s">
        <v>4536</v>
      </c>
      <c r="D91" t="s">
        <v>4537</v>
      </c>
    </row>
    <row r="92" spans="1:4">
      <c r="A92" t="s">
        <v>2663</v>
      </c>
      <c r="B92" t="s">
        <v>1209</v>
      </c>
      <c r="C92" t="s">
        <v>4538</v>
      </c>
      <c r="D92" t="s">
        <v>4539</v>
      </c>
    </row>
    <row r="93" spans="1:4">
      <c r="A93" t="s">
        <v>2668</v>
      </c>
      <c r="B93" s="4" t="s">
        <v>1209</v>
      </c>
      <c r="C93" t="s">
        <v>4540</v>
      </c>
      <c r="D93" t="s">
        <v>4541</v>
      </c>
    </row>
    <row r="94" spans="1:4">
      <c r="A94" t="s">
        <v>2668</v>
      </c>
      <c r="B94" s="4" t="s">
        <v>1209</v>
      </c>
      <c r="C94" t="s">
        <v>4542</v>
      </c>
      <c r="D94" t="s">
        <v>4543</v>
      </c>
    </row>
    <row r="95" spans="1:4">
      <c r="A95" t="s">
        <v>2668</v>
      </c>
      <c r="B95" s="4" t="s">
        <v>1209</v>
      </c>
      <c r="C95" t="s">
        <v>4544</v>
      </c>
      <c r="D95" t="s">
        <v>4545</v>
      </c>
    </row>
    <row r="96" spans="1:4">
      <c r="A96" t="s">
        <v>2668</v>
      </c>
      <c r="B96" s="4" t="s">
        <v>1209</v>
      </c>
      <c r="C96" t="s">
        <v>4546</v>
      </c>
      <c r="D96" t="s">
        <v>4547</v>
      </c>
    </row>
    <row r="97" spans="1:4">
      <c r="A97" s="52" t="s">
        <v>2673</v>
      </c>
      <c r="B97" s="4" t="s">
        <v>1209</v>
      </c>
      <c r="C97" s="4" t="s">
        <v>4548</v>
      </c>
      <c r="D97" s="4" t="s">
        <v>4549</v>
      </c>
    </row>
    <row r="98" spans="1:4" ht="21.75" customHeight="1">
      <c r="A98" s="52" t="s">
        <v>2673</v>
      </c>
      <c r="B98" s="4" t="s">
        <v>1209</v>
      </c>
      <c r="C98" s="4" t="s">
        <v>4550</v>
      </c>
      <c r="D98" s="4" t="s">
        <v>4551</v>
      </c>
    </row>
    <row r="99" spans="1:4" ht="23.25" customHeight="1">
      <c r="A99" s="52" t="s">
        <v>2673</v>
      </c>
      <c r="B99" s="4" t="s">
        <v>1209</v>
      </c>
      <c r="C99" s="4" t="s">
        <v>4552</v>
      </c>
      <c r="D99" s="4" t="s">
        <v>4553</v>
      </c>
    </row>
    <row r="100" spans="1:4" ht="19.5" customHeight="1">
      <c r="A100" s="52" t="s">
        <v>2673</v>
      </c>
      <c r="B100" s="4" t="s">
        <v>1209</v>
      </c>
      <c r="C100" s="4" t="s">
        <v>4554</v>
      </c>
      <c r="D100" s="4" t="s">
        <v>4555</v>
      </c>
    </row>
    <row r="101" spans="1:4">
      <c r="A101" s="52" t="s">
        <v>2673</v>
      </c>
      <c r="B101" s="4" t="s">
        <v>1209</v>
      </c>
      <c r="C101" s="4" t="s">
        <v>4556</v>
      </c>
      <c r="D101" s="4" t="s">
        <v>4557</v>
      </c>
    </row>
    <row r="102" spans="1:4">
      <c r="A102" s="4" t="s">
        <v>1546</v>
      </c>
      <c r="B102" s="4" t="s">
        <v>1209</v>
      </c>
      <c r="C102" s="4" t="s">
        <v>4558</v>
      </c>
      <c r="D102" s="4" t="s">
        <v>4559</v>
      </c>
    </row>
    <row r="103" spans="1:4">
      <c r="A103" s="4" t="s">
        <v>1546</v>
      </c>
      <c r="B103" s="4" t="s">
        <v>1209</v>
      </c>
      <c r="C103" s="4" t="s">
        <v>4560</v>
      </c>
      <c r="D103" s="4" t="s">
        <v>4561</v>
      </c>
    </row>
    <row r="104" spans="1:4">
      <c r="A104" t="s">
        <v>2461</v>
      </c>
      <c r="B104" t="s">
        <v>1209</v>
      </c>
      <c r="C104" t="s">
        <v>4562</v>
      </c>
      <c r="D104" t="s">
        <v>4563</v>
      </c>
    </row>
    <row r="105" spans="1:4">
      <c r="A105" t="s">
        <v>2461</v>
      </c>
      <c r="B105" t="s">
        <v>1209</v>
      </c>
      <c r="C105" t="s">
        <v>4456</v>
      </c>
      <c r="D105" t="s">
        <v>4564</v>
      </c>
    </row>
    <row r="106" spans="1:4">
      <c r="A106" t="s">
        <v>2461</v>
      </c>
      <c r="B106" t="s">
        <v>1209</v>
      </c>
      <c r="C106" t="s">
        <v>4565</v>
      </c>
      <c r="D106" t="s">
        <v>4566</v>
      </c>
    </row>
    <row r="107" spans="1:4">
      <c r="A107" s="4" t="s">
        <v>1551</v>
      </c>
      <c r="B107" s="4" t="s">
        <v>1209</v>
      </c>
      <c r="C107" s="17" t="s">
        <v>4567</v>
      </c>
      <c r="D107" s="17" t="s">
        <v>4568</v>
      </c>
    </row>
    <row r="108" spans="1:4" ht="28.9">
      <c r="A108" s="4" t="s">
        <v>1551</v>
      </c>
      <c r="B108" s="4" t="s">
        <v>1209</v>
      </c>
      <c r="C108" s="17" t="s">
        <v>4569</v>
      </c>
      <c r="D108" s="17" t="s">
        <v>4570</v>
      </c>
    </row>
    <row r="109" spans="1:4">
      <c r="A109" s="4" t="s">
        <v>1551</v>
      </c>
      <c r="B109" s="4" t="s">
        <v>1209</v>
      </c>
      <c r="C109" s="17" t="s">
        <v>4571</v>
      </c>
      <c r="D109" s="17" t="s">
        <v>4572</v>
      </c>
    </row>
    <row r="110" spans="1:4">
      <c r="A110" s="4" t="s">
        <v>3469</v>
      </c>
      <c r="B110" s="4" t="s">
        <v>1209</v>
      </c>
      <c r="C110" s="4" t="s">
        <v>4573</v>
      </c>
      <c r="D110" s="4" t="s">
        <v>4574</v>
      </c>
    </row>
    <row r="111" spans="1:4">
      <c r="A111" s="4" t="s">
        <v>3469</v>
      </c>
      <c r="B111" s="4" t="s">
        <v>1209</v>
      </c>
      <c r="C111" s="4" t="s">
        <v>4575</v>
      </c>
      <c r="D111" s="4" t="s">
        <v>4576</v>
      </c>
    </row>
    <row r="112" spans="1:4">
      <c r="A112" s="4" t="s">
        <v>3469</v>
      </c>
      <c r="B112" s="4" t="s">
        <v>1209</v>
      </c>
      <c r="C112" s="4" t="s">
        <v>4577</v>
      </c>
      <c r="D112" s="4" t="s">
        <v>4578</v>
      </c>
    </row>
    <row r="113" spans="1:4">
      <c r="A113" s="4" t="s">
        <v>3469</v>
      </c>
      <c r="B113" s="4" t="s">
        <v>1209</v>
      </c>
      <c r="C113" s="4" t="s">
        <v>4579</v>
      </c>
      <c r="D113" s="4" t="s">
        <v>4580</v>
      </c>
    </row>
    <row r="114" spans="1:4">
      <c r="A114" t="s">
        <v>1026</v>
      </c>
      <c r="B114" s="4" t="s">
        <v>1135</v>
      </c>
      <c r="C114" t="s">
        <v>4581</v>
      </c>
      <c r="D114"/>
    </row>
    <row r="115" spans="1:4">
      <c r="A115" t="s">
        <v>1026</v>
      </c>
      <c r="B115" s="4" t="s">
        <v>1135</v>
      </c>
      <c r="C115" t="s">
        <v>4582</v>
      </c>
      <c r="D115"/>
    </row>
    <row r="116" spans="1:4">
      <c r="A116" t="s">
        <v>1026</v>
      </c>
      <c r="B116" s="4" t="s">
        <v>1135</v>
      </c>
      <c r="C116" t="s">
        <v>4583</v>
      </c>
      <c r="D116"/>
    </row>
    <row r="117" spans="1:4">
      <c r="A117" t="s">
        <v>908</v>
      </c>
      <c r="B117" s="4" t="s">
        <v>1699</v>
      </c>
      <c r="C117" t="s">
        <v>4584</v>
      </c>
      <c r="D117"/>
    </row>
    <row r="118" spans="1:4">
      <c r="A118" t="s">
        <v>908</v>
      </c>
      <c r="B118" s="4" t="s">
        <v>1699</v>
      </c>
      <c r="C118" t="s">
        <v>4585</v>
      </c>
      <c r="D118"/>
    </row>
    <row r="119" spans="1:4">
      <c r="A119" t="s">
        <v>910</v>
      </c>
      <c r="B119" s="4" t="s">
        <v>1699</v>
      </c>
      <c r="C119" t="s">
        <v>4586</v>
      </c>
      <c r="D119"/>
    </row>
    <row r="120" spans="1:4">
      <c r="A120" t="s">
        <v>910</v>
      </c>
      <c r="B120" s="4" t="s">
        <v>1699</v>
      </c>
      <c r="C120" t="s">
        <v>4587</v>
      </c>
      <c r="D120"/>
    </row>
    <row r="121" spans="1:4">
      <c r="A121" s="4" t="s">
        <v>1097</v>
      </c>
      <c r="B121" s="4" t="s">
        <v>1209</v>
      </c>
      <c r="C121" s="4" t="s">
        <v>4484</v>
      </c>
      <c r="D121" s="4" t="s">
        <v>4588</v>
      </c>
    </row>
    <row r="122" spans="1:4">
      <c r="A122" s="4" t="s">
        <v>1097</v>
      </c>
      <c r="B122" s="4" t="s">
        <v>1209</v>
      </c>
      <c r="C122" s="4" t="s">
        <v>854</v>
      </c>
      <c r="D122" s="4" t="s">
        <v>854</v>
      </c>
    </row>
    <row r="123" spans="1:4">
      <c r="A123" s="4" t="s">
        <v>1097</v>
      </c>
      <c r="B123" s="4" t="s">
        <v>1209</v>
      </c>
      <c r="C123" s="4" t="s">
        <v>4589</v>
      </c>
      <c r="D123" s="4" t="s">
        <v>4590</v>
      </c>
    </row>
    <row r="124" spans="1:4">
      <c r="A124" s="4" t="s">
        <v>1097</v>
      </c>
      <c r="B124" s="4" t="s">
        <v>1209</v>
      </c>
      <c r="C124" s="4" t="s">
        <v>4591</v>
      </c>
      <c r="D124" s="4" t="s">
        <v>4592</v>
      </c>
    </row>
    <row r="125" spans="1:4">
      <c r="A125" s="4" t="s">
        <v>1097</v>
      </c>
      <c r="B125" s="4" t="s">
        <v>1209</v>
      </c>
      <c r="C125" s="4" t="s">
        <v>4593</v>
      </c>
      <c r="D125" s="4" t="s">
        <v>4594</v>
      </c>
    </row>
    <row r="126" spans="1:4">
      <c r="A126" s="4" t="s">
        <v>1097</v>
      </c>
      <c r="B126" s="4" t="s">
        <v>1209</v>
      </c>
      <c r="C126" s="4" t="s">
        <v>4595</v>
      </c>
      <c r="D126" s="4" t="s">
        <v>4595</v>
      </c>
    </row>
    <row r="127" spans="1:4">
      <c r="A127" s="4" t="s">
        <v>1097</v>
      </c>
      <c r="B127" s="4" t="s">
        <v>1209</v>
      </c>
      <c r="C127" s="4" t="s">
        <v>4596</v>
      </c>
      <c r="D127" s="4" t="s">
        <v>4597</v>
      </c>
    </row>
    <row r="128" spans="1:4">
      <c r="A128" s="4" t="s">
        <v>1097</v>
      </c>
      <c r="B128" s="4" t="s">
        <v>1209</v>
      </c>
      <c r="C128" s="4" t="s">
        <v>4598</v>
      </c>
      <c r="D128" s="4" t="s">
        <v>4599</v>
      </c>
    </row>
    <row r="129" spans="1:4">
      <c r="A129" s="4" t="s">
        <v>1097</v>
      </c>
      <c r="B129" s="4" t="s">
        <v>1209</v>
      </c>
      <c r="C129" s="4" t="s">
        <v>4600</v>
      </c>
      <c r="D129" s="4" t="s">
        <v>4601</v>
      </c>
    </row>
    <row r="130" spans="1:4">
      <c r="A130" s="4" t="s">
        <v>1097</v>
      </c>
      <c r="B130" s="4" t="s">
        <v>1209</v>
      </c>
      <c r="C130" s="4" t="s">
        <v>4602</v>
      </c>
      <c r="D130" s="4" t="s">
        <v>4603</v>
      </c>
    </row>
    <row r="131" spans="1:4">
      <c r="A131" s="4" t="s">
        <v>1574</v>
      </c>
      <c r="B131" s="4" t="s">
        <v>1209</v>
      </c>
      <c r="C131" s="4" t="s">
        <v>4604</v>
      </c>
      <c r="D131" s="4" t="s">
        <v>4605</v>
      </c>
    </row>
    <row r="132" spans="1:4">
      <c r="A132" s="4" t="s">
        <v>1574</v>
      </c>
      <c r="B132" s="4" t="s">
        <v>1209</v>
      </c>
      <c r="C132" s="4" t="s">
        <v>4606</v>
      </c>
      <c r="D132" s="4" t="s">
        <v>4607</v>
      </c>
    </row>
    <row r="133" spans="1:4">
      <c r="A133" t="s">
        <v>2470</v>
      </c>
      <c r="B133" t="s">
        <v>1209</v>
      </c>
      <c r="C133" t="s">
        <v>4608</v>
      </c>
      <c r="D133" t="s">
        <v>4609</v>
      </c>
    </row>
    <row r="134" spans="1:4">
      <c r="A134" t="s">
        <v>2470</v>
      </c>
      <c r="B134" t="s">
        <v>1209</v>
      </c>
      <c r="C134" t="s">
        <v>4610</v>
      </c>
      <c r="D134" t="s">
        <v>4611</v>
      </c>
    </row>
    <row r="135" spans="1:4">
      <c r="A135" t="s">
        <v>2470</v>
      </c>
      <c r="B135" t="s">
        <v>1209</v>
      </c>
      <c r="C135" t="s">
        <v>4612</v>
      </c>
      <c r="D135" t="s">
        <v>4613</v>
      </c>
    </row>
    <row r="136" spans="1:4">
      <c r="A136" t="s">
        <v>2240</v>
      </c>
      <c r="B136" s="4" t="s">
        <v>1699</v>
      </c>
      <c r="C136" t="s">
        <v>4614</v>
      </c>
      <c r="D136"/>
    </row>
    <row r="137" spans="1:4">
      <c r="A137" t="s">
        <v>2240</v>
      </c>
      <c r="B137" s="4" t="s">
        <v>1699</v>
      </c>
      <c r="C137" t="s">
        <v>4615</v>
      </c>
      <c r="D137"/>
    </row>
    <row r="138" spans="1:4">
      <c r="A138" t="s">
        <v>2240</v>
      </c>
      <c r="B138" s="4" t="s">
        <v>1699</v>
      </c>
      <c r="C138" t="s">
        <v>4616</v>
      </c>
      <c r="D138"/>
    </row>
    <row r="139" spans="1:4">
      <c r="A139" s="52" t="s">
        <v>1974</v>
      </c>
      <c r="B139" s="4" t="s">
        <v>1209</v>
      </c>
      <c r="C139" s="4" t="s">
        <v>4617</v>
      </c>
      <c r="D139" s="4" t="s">
        <v>4618</v>
      </c>
    </row>
    <row r="140" spans="1:4">
      <c r="A140" s="52" t="s">
        <v>1974</v>
      </c>
      <c r="B140" s="4" t="s">
        <v>1209</v>
      </c>
      <c r="C140" s="4" t="s">
        <v>4619</v>
      </c>
      <c r="D140" s="4" t="s">
        <v>4620</v>
      </c>
    </row>
    <row r="141" spans="1:4">
      <c r="A141" s="4" t="s">
        <v>1579</v>
      </c>
      <c r="B141" s="4" t="s">
        <v>1209</v>
      </c>
      <c r="C141" s="4" t="s">
        <v>4621</v>
      </c>
      <c r="D141" s="4" t="s">
        <v>4622</v>
      </c>
    </row>
    <row r="142" spans="1:4">
      <c r="A142" s="4" t="s">
        <v>1579</v>
      </c>
      <c r="B142" s="4" t="s">
        <v>1209</v>
      </c>
      <c r="C142" s="4" t="s">
        <v>4623</v>
      </c>
      <c r="D142" s="4" t="s">
        <v>4624</v>
      </c>
    </row>
    <row r="143" spans="1:4">
      <c r="A143" s="4" t="s">
        <v>1579</v>
      </c>
      <c r="B143" s="4" t="s">
        <v>1209</v>
      </c>
      <c r="C143" s="4" t="s">
        <v>4625</v>
      </c>
      <c r="D143" s="4" t="s">
        <v>4626</v>
      </c>
    </row>
    <row r="144" spans="1:4">
      <c r="A144" s="4" t="s">
        <v>1579</v>
      </c>
      <c r="B144" s="4" t="s">
        <v>1209</v>
      </c>
      <c r="C144" s="4" t="s">
        <v>4627</v>
      </c>
      <c r="D144" s="4" t="s">
        <v>4628</v>
      </c>
    </row>
    <row r="145" spans="1:4">
      <c r="A145" s="4" t="s">
        <v>1579</v>
      </c>
      <c r="B145" s="4" t="s">
        <v>1209</v>
      </c>
      <c r="C145" s="4" t="s">
        <v>4629</v>
      </c>
      <c r="D145" s="4" t="s">
        <v>4630</v>
      </c>
    </row>
    <row r="146" spans="1:4">
      <c r="A146" s="4" t="s">
        <v>1579</v>
      </c>
      <c r="B146" s="4" t="s">
        <v>1209</v>
      </c>
      <c r="C146" s="4" t="s">
        <v>4631</v>
      </c>
      <c r="D146" s="4" t="s">
        <v>4632</v>
      </c>
    </row>
    <row r="147" spans="1:4">
      <c r="A147" s="4" t="s">
        <v>1579</v>
      </c>
      <c r="B147" s="4" t="s">
        <v>1209</v>
      </c>
      <c r="C147" s="4" t="s">
        <v>4633</v>
      </c>
      <c r="D147" s="4" t="s">
        <v>4634</v>
      </c>
    </row>
    <row r="148" spans="1:4">
      <c r="A148" s="4" t="s">
        <v>1579</v>
      </c>
      <c r="B148" s="4" t="s">
        <v>1209</v>
      </c>
      <c r="C148" s="4" t="s">
        <v>4635</v>
      </c>
      <c r="D148" s="4" t="s">
        <v>4636</v>
      </c>
    </row>
    <row r="149" spans="1:4">
      <c r="A149" s="4" t="s">
        <v>1579</v>
      </c>
      <c r="B149" s="4" t="s">
        <v>1209</v>
      </c>
      <c r="C149" s="4" t="s">
        <v>4637</v>
      </c>
      <c r="D149" s="4" t="s">
        <v>4638</v>
      </c>
    </row>
    <row r="150" spans="1:4">
      <c r="A150" t="s">
        <v>1990</v>
      </c>
      <c r="B150" s="4" t="s">
        <v>1699</v>
      </c>
      <c r="C150" t="s">
        <v>4639</v>
      </c>
      <c r="D150"/>
    </row>
    <row r="151" spans="1:4">
      <c r="A151" t="s">
        <v>1990</v>
      </c>
      <c r="B151" s="4" t="s">
        <v>1699</v>
      </c>
      <c r="C151" t="s">
        <v>4640</v>
      </c>
      <c r="D151"/>
    </row>
    <row r="152" spans="1:4">
      <c r="A152" s="52" t="s">
        <v>2693</v>
      </c>
      <c r="B152" s="4" t="s">
        <v>1209</v>
      </c>
      <c r="C152" s="4" t="s">
        <v>4641</v>
      </c>
      <c r="D152" s="4" t="s">
        <v>4642</v>
      </c>
    </row>
    <row r="153" spans="1:4">
      <c r="A153" s="52" t="s">
        <v>2693</v>
      </c>
      <c r="B153" s="4" t="s">
        <v>1209</v>
      </c>
      <c r="C153" s="4" t="s">
        <v>4643</v>
      </c>
      <c r="D153" s="4" t="s">
        <v>4644</v>
      </c>
    </row>
    <row r="154" spans="1:4">
      <c r="A154" s="52" t="s">
        <v>2693</v>
      </c>
      <c r="B154" s="4" t="s">
        <v>1209</v>
      </c>
      <c r="C154" s="4" t="s">
        <v>4645</v>
      </c>
      <c r="D154" s="4" t="s">
        <v>4646</v>
      </c>
    </row>
    <row r="155" spans="1:4">
      <c r="A155" s="52" t="s">
        <v>2693</v>
      </c>
      <c r="B155" s="4" t="s">
        <v>1209</v>
      </c>
      <c r="C155" s="4" t="s">
        <v>4647</v>
      </c>
      <c r="D155" s="4" t="s">
        <v>4648</v>
      </c>
    </row>
    <row r="156" spans="1:4">
      <c r="A156" s="52" t="s">
        <v>2693</v>
      </c>
      <c r="B156" s="4" t="s">
        <v>1209</v>
      </c>
      <c r="C156" s="4" t="s">
        <v>4649</v>
      </c>
      <c r="D156" s="4" t="s">
        <v>4650</v>
      </c>
    </row>
    <row r="157" spans="1:4">
      <c r="A157" t="s">
        <v>2477</v>
      </c>
      <c r="B157" t="s">
        <v>1209</v>
      </c>
      <c r="C157" t="s">
        <v>4651</v>
      </c>
      <c r="D157" t="s">
        <v>4652</v>
      </c>
    </row>
    <row r="158" spans="1:4">
      <c r="A158" t="s">
        <v>2477</v>
      </c>
      <c r="B158" t="s">
        <v>1209</v>
      </c>
      <c r="C158" t="s">
        <v>4653</v>
      </c>
      <c r="D158" t="s">
        <v>4654</v>
      </c>
    </row>
    <row r="159" spans="1:4">
      <c r="A159" t="s">
        <v>2477</v>
      </c>
      <c r="B159" t="s">
        <v>1209</v>
      </c>
      <c r="C159" t="s">
        <v>4655</v>
      </c>
      <c r="D159" t="s">
        <v>4656</v>
      </c>
    </row>
    <row r="160" spans="1:4">
      <c r="A160" t="s">
        <v>2477</v>
      </c>
      <c r="B160" t="s">
        <v>1209</v>
      </c>
      <c r="C160" t="s">
        <v>4657</v>
      </c>
      <c r="D160" t="s">
        <v>4658</v>
      </c>
    </row>
    <row r="161" spans="1:4">
      <c r="A161" t="s">
        <v>2477</v>
      </c>
      <c r="B161" t="s">
        <v>1209</v>
      </c>
      <c r="C161" t="s">
        <v>4659</v>
      </c>
      <c r="D161" t="s">
        <v>4660</v>
      </c>
    </row>
    <row r="162" spans="1:4">
      <c r="A162" s="4" t="s">
        <v>1583</v>
      </c>
      <c r="B162" s="4" t="s">
        <v>1209</v>
      </c>
      <c r="C162" s="4" t="s">
        <v>4462</v>
      </c>
      <c r="D162" s="4" t="s">
        <v>4463</v>
      </c>
    </row>
    <row r="163" spans="1:4">
      <c r="A163" s="4" t="s">
        <v>1583</v>
      </c>
      <c r="B163" s="4" t="s">
        <v>1209</v>
      </c>
      <c r="C163" s="4" t="s">
        <v>4661</v>
      </c>
      <c r="D163" s="4" t="s">
        <v>4662</v>
      </c>
    </row>
    <row r="164" spans="1:4">
      <c r="A164" s="4" t="s">
        <v>1583</v>
      </c>
      <c r="B164" s="4" t="s">
        <v>1209</v>
      </c>
      <c r="C164" s="4" t="s">
        <v>4663</v>
      </c>
      <c r="D164" s="4" t="s">
        <v>4664</v>
      </c>
    </row>
    <row r="165" spans="1:4">
      <c r="A165" s="4" t="s">
        <v>1583</v>
      </c>
      <c r="B165" s="4" t="s">
        <v>1209</v>
      </c>
      <c r="C165" s="4" t="s">
        <v>4665</v>
      </c>
      <c r="D165" s="4" t="s">
        <v>4666</v>
      </c>
    </row>
    <row r="166" spans="1:4">
      <c r="A166" s="4" t="s">
        <v>1583</v>
      </c>
      <c r="B166" s="4" t="s">
        <v>1209</v>
      </c>
      <c r="C166" s="4" t="s">
        <v>4667</v>
      </c>
      <c r="D166" s="4" t="s">
        <v>4668</v>
      </c>
    </row>
    <row r="167" spans="1:4">
      <c r="A167" s="4" t="s">
        <v>1583</v>
      </c>
      <c r="B167" s="4" t="s">
        <v>1209</v>
      </c>
      <c r="C167" s="4" t="s">
        <v>4669</v>
      </c>
      <c r="D167" s="4" t="s">
        <v>4670</v>
      </c>
    </row>
    <row r="168" spans="1:4">
      <c r="A168" s="4" t="s">
        <v>1583</v>
      </c>
      <c r="B168" s="4" t="s">
        <v>1209</v>
      </c>
      <c r="C168" s="4" t="s">
        <v>4671</v>
      </c>
      <c r="D168" s="4" t="s">
        <v>4672</v>
      </c>
    </row>
    <row r="169" spans="1:4">
      <c r="A169" t="s">
        <v>2481</v>
      </c>
      <c r="B169" t="s">
        <v>1209</v>
      </c>
      <c r="C169" t="s">
        <v>4673</v>
      </c>
      <c r="D169" t="s">
        <v>4674</v>
      </c>
    </row>
    <row r="170" spans="1:4">
      <c r="A170" t="s">
        <v>2481</v>
      </c>
      <c r="B170" t="s">
        <v>1209</v>
      </c>
      <c r="C170" t="s">
        <v>4675</v>
      </c>
      <c r="D170" t="s">
        <v>4676</v>
      </c>
    </row>
    <row r="171" spans="1:4">
      <c r="A171" s="4" t="s">
        <v>1587</v>
      </c>
      <c r="B171" s="4" t="s">
        <v>1209</v>
      </c>
      <c r="C171" s="4" t="s">
        <v>4677</v>
      </c>
      <c r="D171" s="4" t="s">
        <v>4678</v>
      </c>
    </row>
    <row r="172" spans="1:4">
      <c r="A172" s="4" t="s">
        <v>1587</v>
      </c>
      <c r="B172" s="4" t="s">
        <v>1209</v>
      </c>
      <c r="C172" s="4" t="s">
        <v>4679</v>
      </c>
      <c r="D172" s="4" t="s">
        <v>4680</v>
      </c>
    </row>
    <row r="173" spans="1:4">
      <c r="A173" s="4" t="s">
        <v>1587</v>
      </c>
      <c r="B173" s="4" t="s">
        <v>1209</v>
      </c>
      <c r="C173" s="4" t="s">
        <v>4681</v>
      </c>
      <c r="D173" s="4" t="s">
        <v>4682</v>
      </c>
    </row>
    <row r="174" spans="1:4">
      <c r="A174" s="4" t="s">
        <v>1587</v>
      </c>
      <c r="B174" s="4" t="s">
        <v>1209</v>
      </c>
      <c r="C174" s="4" t="s">
        <v>4683</v>
      </c>
      <c r="D174" s="4" t="s">
        <v>4684</v>
      </c>
    </row>
    <row r="175" spans="1:4">
      <c r="A175" s="4" t="s">
        <v>1587</v>
      </c>
      <c r="B175" s="4" t="s">
        <v>1209</v>
      </c>
      <c r="C175" s="4" t="s">
        <v>4685</v>
      </c>
      <c r="D175" s="4" t="s">
        <v>4686</v>
      </c>
    </row>
    <row r="176" spans="1:4">
      <c r="A176" s="4" t="s">
        <v>1587</v>
      </c>
      <c r="B176" s="4" t="s">
        <v>1209</v>
      </c>
      <c r="C176" s="4" t="s">
        <v>4687</v>
      </c>
      <c r="D176" s="4" t="s">
        <v>4660</v>
      </c>
    </row>
    <row r="177" spans="1:4">
      <c r="A177" s="4" t="s">
        <v>3983</v>
      </c>
      <c r="B177" s="4" t="s">
        <v>1209</v>
      </c>
      <c r="C177" s="4" t="s">
        <v>4688</v>
      </c>
      <c r="D177" s="4" t="s">
        <v>4689</v>
      </c>
    </row>
    <row r="178" spans="1:4">
      <c r="A178" s="4" t="s">
        <v>3983</v>
      </c>
      <c r="B178" s="4" t="s">
        <v>1209</v>
      </c>
      <c r="C178" s="4" t="s">
        <v>4690</v>
      </c>
      <c r="D178" s="4" t="s">
        <v>4691</v>
      </c>
    </row>
    <row r="179" spans="1:4">
      <c r="A179" s="4" t="s">
        <v>3983</v>
      </c>
      <c r="B179" s="4" t="s">
        <v>1209</v>
      </c>
      <c r="C179" s="4" t="s">
        <v>4692</v>
      </c>
      <c r="D179" s="4" t="s">
        <v>4693</v>
      </c>
    </row>
    <row r="180" spans="1:4">
      <c r="A180" s="4" t="s">
        <v>3983</v>
      </c>
      <c r="B180" s="4" t="s">
        <v>1209</v>
      </c>
      <c r="C180" s="4" t="s">
        <v>4694</v>
      </c>
      <c r="D180" s="4" t="s">
        <v>4695</v>
      </c>
    </row>
    <row r="181" spans="1:4">
      <c r="A181" s="4" t="s">
        <v>3983</v>
      </c>
      <c r="B181" s="4" t="s">
        <v>1209</v>
      </c>
      <c r="C181" s="4" t="s">
        <v>4696</v>
      </c>
      <c r="D181" s="4" t="s">
        <v>4697</v>
      </c>
    </row>
    <row r="182" spans="1:4">
      <c r="A182" s="4" t="s">
        <v>1999</v>
      </c>
      <c r="B182" s="4" t="s">
        <v>1209</v>
      </c>
      <c r="C182" s="4" t="s">
        <v>4698</v>
      </c>
      <c r="D182" s="4" t="s">
        <v>4699</v>
      </c>
    </row>
    <row r="183" spans="1:4">
      <c r="A183" s="4" t="s">
        <v>1999</v>
      </c>
      <c r="B183" s="4" t="s">
        <v>1209</v>
      </c>
      <c r="C183" s="4" t="s">
        <v>4700</v>
      </c>
      <c r="D183" s="4" t="s">
        <v>4701</v>
      </c>
    </row>
    <row r="184" spans="1:4">
      <c r="A184" s="4" t="s">
        <v>1999</v>
      </c>
      <c r="B184" s="4" t="s">
        <v>1209</v>
      </c>
      <c r="C184" s="4" t="s">
        <v>4702</v>
      </c>
      <c r="D184" s="4" t="s">
        <v>4703</v>
      </c>
    </row>
    <row r="185" spans="1:4">
      <c r="A185" s="4" t="s">
        <v>1999</v>
      </c>
      <c r="B185" s="4" t="s">
        <v>1209</v>
      </c>
      <c r="C185" s="4" t="s">
        <v>4704</v>
      </c>
      <c r="D185" s="4" t="s">
        <v>4705</v>
      </c>
    </row>
    <row r="186" spans="1:4">
      <c r="A186" s="4" t="s">
        <v>1999</v>
      </c>
      <c r="B186" s="4" t="s">
        <v>1209</v>
      </c>
      <c r="C186" s="4" t="s">
        <v>4706</v>
      </c>
      <c r="D186" s="4" t="s">
        <v>4707</v>
      </c>
    </row>
    <row r="187" spans="1:4">
      <c r="A187" s="4" t="s">
        <v>1999</v>
      </c>
      <c r="B187" s="4" t="s">
        <v>1209</v>
      </c>
      <c r="C187" s="4" t="s">
        <v>4708</v>
      </c>
      <c r="D187" s="4" t="s">
        <v>4709</v>
      </c>
    </row>
    <row r="188" spans="1:4">
      <c r="A188" s="52" t="s">
        <v>2485</v>
      </c>
      <c r="B188" s="4" t="s">
        <v>1209</v>
      </c>
      <c r="C188" s="22" t="s">
        <v>4710</v>
      </c>
      <c r="D188" s="4" t="s">
        <v>4711</v>
      </c>
    </row>
    <row r="189" spans="1:4">
      <c r="A189" s="52" t="s">
        <v>2485</v>
      </c>
      <c r="B189" s="4" t="s">
        <v>1209</v>
      </c>
      <c r="C189" s="4" t="s">
        <v>4712</v>
      </c>
      <c r="D189" s="4" t="s">
        <v>4713</v>
      </c>
    </row>
    <row r="190" spans="1:4">
      <c r="A190" s="52" t="s">
        <v>2485</v>
      </c>
      <c r="B190" s="4" t="s">
        <v>1209</v>
      </c>
      <c r="C190" s="4" t="s">
        <v>4623</v>
      </c>
      <c r="D190" s="4" t="s">
        <v>4714</v>
      </c>
    </row>
    <row r="191" spans="1:4">
      <c r="A191" s="52" t="s">
        <v>2485</v>
      </c>
      <c r="B191" s="4" t="s">
        <v>1209</v>
      </c>
      <c r="C191" s="4" t="s">
        <v>4625</v>
      </c>
      <c r="D191" s="4" t="s">
        <v>4715</v>
      </c>
    </row>
    <row r="192" spans="1:4">
      <c r="A192" s="52" t="s">
        <v>2485</v>
      </c>
      <c r="B192" s="4" t="s">
        <v>1209</v>
      </c>
      <c r="C192" s="4" t="s">
        <v>4716</v>
      </c>
      <c r="D192" s="4" t="s">
        <v>4717</v>
      </c>
    </row>
    <row r="193" spans="1:4" ht="21" customHeight="1">
      <c r="A193" s="52" t="s">
        <v>2485</v>
      </c>
      <c r="B193" s="4" t="s">
        <v>1209</v>
      </c>
      <c r="C193" s="4" t="s">
        <v>4629</v>
      </c>
      <c r="D193" s="4" t="s">
        <v>4630</v>
      </c>
    </row>
    <row r="194" spans="1:4">
      <c r="A194" s="52" t="s">
        <v>2485</v>
      </c>
      <c r="B194" s="4" t="s">
        <v>1209</v>
      </c>
      <c r="C194" s="4" t="s">
        <v>4718</v>
      </c>
      <c r="D194" s="4" t="s">
        <v>4719</v>
      </c>
    </row>
    <row r="195" spans="1:4">
      <c r="A195" s="52" t="s">
        <v>2485</v>
      </c>
      <c r="B195" s="4" t="s">
        <v>1209</v>
      </c>
      <c r="C195" s="4" t="s">
        <v>4720</v>
      </c>
      <c r="D195" s="4" t="s">
        <v>4721</v>
      </c>
    </row>
    <row r="196" spans="1:4">
      <c r="A196" s="52" t="s">
        <v>2485</v>
      </c>
      <c r="B196" s="4" t="s">
        <v>1209</v>
      </c>
      <c r="C196" s="4" t="s">
        <v>4602</v>
      </c>
      <c r="D196" s="4" t="s">
        <v>4603</v>
      </c>
    </row>
    <row r="197" spans="1:4">
      <c r="A197" t="s">
        <v>2485</v>
      </c>
      <c r="B197" t="s">
        <v>1209</v>
      </c>
      <c r="C197" t="s">
        <v>4722</v>
      </c>
      <c r="D197" t="s">
        <v>4723</v>
      </c>
    </row>
    <row r="198" spans="1:4">
      <c r="A198" t="s">
        <v>2485</v>
      </c>
      <c r="B198" t="s">
        <v>1209</v>
      </c>
      <c r="C198" t="s">
        <v>4724</v>
      </c>
      <c r="D198" t="s">
        <v>4636</v>
      </c>
    </row>
    <row r="199" spans="1:4">
      <c r="A199" s="4" t="s">
        <v>2007</v>
      </c>
      <c r="B199" s="4" t="s">
        <v>1209</v>
      </c>
      <c r="C199" s="4" t="s">
        <v>4725</v>
      </c>
      <c r="D199" s="4" t="s">
        <v>4726</v>
      </c>
    </row>
    <row r="200" spans="1:4">
      <c r="A200" s="52" t="s">
        <v>1604</v>
      </c>
      <c r="B200" s="4" t="s">
        <v>1209</v>
      </c>
      <c r="C200" s="4" t="s">
        <v>4727</v>
      </c>
      <c r="D200" s="4" t="s">
        <v>4728</v>
      </c>
    </row>
    <row r="201" spans="1:4">
      <c r="A201" s="52" t="s">
        <v>1604</v>
      </c>
      <c r="B201" s="4" t="s">
        <v>1209</v>
      </c>
      <c r="C201" s="4" t="s">
        <v>4729</v>
      </c>
      <c r="D201" s="4" t="s">
        <v>4730</v>
      </c>
    </row>
    <row r="202" spans="1:4" ht="28.9">
      <c r="A202" s="52" t="s">
        <v>1604</v>
      </c>
      <c r="B202" s="4" t="s">
        <v>1209</v>
      </c>
      <c r="C202" s="4" t="s">
        <v>4731</v>
      </c>
      <c r="D202" s="9" t="s">
        <v>4732</v>
      </c>
    </row>
    <row r="203" spans="1:4">
      <c r="A203" s="52" t="s">
        <v>1604</v>
      </c>
      <c r="B203" s="4" t="s">
        <v>1209</v>
      </c>
      <c r="C203" s="4" t="s">
        <v>4733</v>
      </c>
      <c r="D203" s="4" t="s">
        <v>4734</v>
      </c>
    </row>
    <row r="204" spans="1:4">
      <c r="A204" s="52" t="s">
        <v>1604</v>
      </c>
      <c r="B204" s="4" t="s">
        <v>1209</v>
      </c>
      <c r="C204" s="4" t="s">
        <v>4735</v>
      </c>
      <c r="D204" s="4" t="s">
        <v>4736</v>
      </c>
    </row>
    <row r="205" spans="1:4">
      <c r="A205" s="52" t="s">
        <v>1604</v>
      </c>
      <c r="B205" s="4" t="s">
        <v>1209</v>
      </c>
      <c r="C205" s="4" t="s">
        <v>4737</v>
      </c>
      <c r="D205" s="4" t="s">
        <v>4738</v>
      </c>
    </row>
    <row r="206" spans="1:4">
      <c r="A206" s="52" t="s">
        <v>1611</v>
      </c>
      <c r="B206" s="4" t="s">
        <v>1209</v>
      </c>
      <c r="C206" s="4" t="s">
        <v>4739</v>
      </c>
      <c r="D206" s="4" t="s">
        <v>4740</v>
      </c>
    </row>
    <row r="207" spans="1:4">
      <c r="A207" s="52" t="s">
        <v>1611</v>
      </c>
      <c r="B207" s="4" t="s">
        <v>1209</v>
      </c>
      <c r="C207" s="4" t="s">
        <v>4741</v>
      </c>
      <c r="D207" s="4" t="s">
        <v>4742</v>
      </c>
    </row>
    <row r="208" spans="1:4">
      <c r="A208" s="52" t="s">
        <v>3509</v>
      </c>
      <c r="B208" s="4" t="s">
        <v>1209</v>
      </c>
      <c r="C208" s="4" t="s">
        <v>4743</v>
      </c>
      <c r="D208" s="4" t="s">
        <v>4744</v>
      </c>
    </row>
    <row r="209" spans="1:4">
      <c r="A209" s="52" t="s">
        <v>3509</v>
      </c>
      <c r="B209" s="4" t="s">
        <v>1209</v>
      </c>
      <c r="C209" s="4" t="s">
        <v>4745</v>
      </c>
      <c r="D209" s="4" t="s">
        <v>4746</v>
      </c>
    </row>
    <row r="210" spans="1:4">
      <c r="A210" s="4" t="s">
        <v>2702</v>
      </c>
      <c r="B210" s="4" t="s">
        <v>1209</v>
      </c>
      <c r="C210" s="4" t="s">
        <v>4393</v>
      </c>
      <c r="D210" s="4" t="s">
        <v>4394</v>
      </c>
    </row>
    <row r="211" spans="1:4">
      <c r="A211" s="4" t="s">
        <v>2702</v>
      </c>
      <c r="B211" s="4" t="s">
        <v>1209</v>
      </c>
      <c r="C211" t="s">
        <v>4395</v>
      </c>
      <c r="D211" t="s">
        <v>4396</v>
      </c>
    </row>
    <row r="212" spans="1:4">
      <c r="A212" s="4" t="s">
        <v>2702</v>
      </c>
      <c r="B212" s="4" t="s">
        <v>1209</v>
      </c>
      <c r="C212" t="s">
        <v>4747</v>
      </c>
      <c r="D212" t="s">
        <v>4400</v>
      </c>
    </row>
    <row r="213" spans="1:4">
      <c r="A213" s="4" t="s">
        <v>2702</v>
      </c>
      <c r="B213" s="4" t="s">
        <v>1209</v>
      </c>
      <c r="C213" t="s">
        <v>4748</v>
      </c>
      <c r="D213" t="s">
        <v>4711</v>
      </c>
    </row>
    <row r="214" spans="1:4">
      <c r="A214" s="4" t="s">
        <v>3985</v>
      </c>
      <c r="B214" s="4" t="s">
        <v>1209</v>
      </c>
      <c r="C214" s="4" t="s">
        <v>4688</v>
      </c>
      <c r="D214" s="4" t="s">
        <v>4689</v>
      </c>
    </row>
    <row r="215" spans="1:4">
      <c r="A215" s="4" t="s">
        <v>3985</v>
      </c>
      <c r="B215" s="4" t="s">
        <v>1209</v>
      </c>
      <c r="C215" s="4" t="s">
        <v>4690</v>
      </c>
      <c r="D215" s="4" t="s">
        <v>4691</v>
      </c>
    </row>
    <row r="216" spans="1:4">
      <c r="A216" s="4" t="s">
        <v>3985</v>
      </c>
      <c r="B216" s="4" t="s">
        <v>1209</v>
      </c>
      <c r="C216" s="4" t="s">
        <v>4749</v>
      </c>
      <c r="D216" s="4" t="s">
        <v>4750</v>
      </c>
    </row>
    <row r="217" spans="1:4">
      <c r="A217" t="s">
        <v>2492</v>
      </c>
      <c r="B217" t="s">
        <v>1209</v>
      </c>
      <c r="C217" t="s">
        <v>4748</v>
      </c>
      <c r="D217" t="s">
        <v>4711</v>
      </c>
    </row>
    <row r="218" spans="1:4">
      <c r="A218" t="s">
        <v>2492</v>
      </c>
      <c r="B218" t="s">
        <v>1209</v>
      </c>
      <c r="C218" t="s">
        <v>4751</v>
      </c>
      <c r="D218" t="s">
        <v>4752</v>
      </c>
    </row>
    <row r="219" spans="1:4">
      <c r="A219" t="s">
        <v>2492</v>
      </c>
      <c r="B219" t="s">
        <v>1209</v>
      </c>
      <c r="C219" t="s">
        <v>4623</v>
      </c>
      <c r="D219" t="s">
        <v>4714</v>
      </c>
    </row>
    <row r="220" spans="1:4">
      <c r="A220" t="s">
        <v>2492</v>
      </c>
      <c r="B220" t="s">
        <v>1209</v>
      </c>
      <c r="C220" t="s">
        <v>4629</v>
      </c>
      <c r="D220" t="s">
        <v>4630</v>
      </c>
    </row>
    <row r="221" spans="1:4">
      <c r="A221" t="s">
        <v>2492</v>
      </c>
      <c r="B221" t="s">
        <v>1209</v>
      </c>
      <c r="C221" t="s">
        <v>4659</v>
      </c>
      <c r="D221" t="s">
        <v>4660</v>
      </c>
    </row>
    <row r="222" spans="1:4">
      <c r="A222" s="4" t="s">
        <v>1597</v>
      </c>
      <c r="B222" s="4" t="s">
        <v>1209</v>
      </c>
      <c r="C222" s="4" t="s">
        <v>4753</v>
      </c>
      <c r="D222" s="4" t="s">
        <v>4754</v>
      </c>
    </row>
    <row r="223" spans="1:4">
      <c r="A223" s="4" t="s">
        <v>1597</v>
      </c>
      <c r="B223" s="4" t="s">
        <v>1209</v>
      </c>
      <c r="C223" s="4" t="s">
        <v>4755</v>
      </c>
      <c r="D223" s="4" t="s">
        <v>4756</v>
      </c>
    </row>
    <row r="224" spans="1:4">
      <c r="A224" s="4" t="s">
        <v>2309</v>
      </c>
      <c r="B224" s="4" t="s">
        <v>1209</v>
      </c>
      <c r="C224" s="4" t="s">
        <v>4757</v>
      </c>
      <c r="D224" s="4" t="s">
        <v>4758</v>
      </c>
    </row>
    <row r="225" spans="1:4">
      <c r="A225" s="4" t="s">
        <v>2309</v>
      </c>
      <c r="B225" s="4" t="s">
        <v>1209</v>
      </c>
      <c r="C225" s="4" t="s">
        <v>4759</v>
      </c>
      <c r="D225" s="4" t="s">
        <v>4760</v>
      </c>
    </row>
    <row r="226" spans="1:4" ht="16.5" customHeight="1">
      <c r="A226" t="s">
        <v>915</v>
      </c>
      <c r="B226" s="4" t="s">
        <v>1699</v>
      </c>
      <c r="C226" t="s">
        <v>4761</v>
      </c>
      <c r="D226"/>
    </row>
    <row r="227" spans="1:4" ht="21" customHeight="1">
      <c r="A227" t="s">
        <v>915</v>
      </c>
      <c r="B227" s="4" t="s">
        <v>1699</v>
      </c>
      <c r="C227" t="s">
        <v>4762</v>
      </c>
      <c r="D227"/>
    </row>
    <row r="228" spans="1:4" ht="21" customHeight="1">
      <c r="A228" t="s">
        <v>915</v>
      </c>
      <c r="B228" s="4" t="s">
        <v>1699</v>
      </c>
      <c r="C228" t="s">
        <v>4763</v>
      </c>
      <c r="D228"/>
    </row>
    <row r="229" spans="1:4" ht="16.5" customHeight="1">
      <c r="A229" t="s">
        <v>1039</v>
      </c>
      <c r="B229" t="s">
        <v>1135</v>
      </c>
      <c r="C229" t="s">
        <v>4588</v>
      </c>
      <c r="D229" t="s">
        <v>4764</v>
      </c>
    </row>
    <row r="230" spans="1:4" ht="21" customHeight="1">
      <c r="A230" t="s">
        <v>1039</v>
      </c>
      <c r="B230" t="s">
        <v>1135</v>
      </c>
      <c r="C230" t="s">
        <v>4765</v>
      </c>
      <c r="D230" t="s">
        <v>4766</v>
      </c>
    </row>
    <row r="231" spans="1:4" ht="16.5" customHeight="1">
      <c r="A231" t="s">
        <v>1039</v>
      </c>
      <c r="B231" t="s">
        <v>1135</v>
      </c>
      <c r="C231" t="s">
        <v>4767</v>
      </c>
      <c r="D231" t="s">
        <v>4768</v>
      </c>
    </row>
    <row r="232" spans="1:4">
      <c r="A232" t="s">
        <v>1039</v>
      </c>
      <c r="B232" t="s">
        <v>1135</v>
      </c>
      <c r="C232" t="s">
        <v>4769</v>
      </c>
      <c r="D232" t="s">
        <v>4770</v>
      </c>
    </row>
    <row r="233" spans="1:4">
      <c r="A233" s="4" t="s">
        <v>1039</v>
      </c>
      <c r="B233" s="4" t="s">
        <v>1135</v>
      </c>
      <c r="C233" s="4" t="s">
        <v>4771</v>
      </c>
      <c r="D233" s="4" t="s">
        <v>4601</v>
      </c>
    </row>
    <row r="234" spans="1:4">
      <c r="A234" s="4" t="s">
        <v>1995</v>
      </c>
      <c r="B234" s="4" t="s">
        <v>1209</v>
      </c>
      <c r="C234" s="4" t="s">
        <v>4772</v>
      </c>
      <c r="D234" s="4" t="s">
        <v>4773</v>
      </c>
    </row>
    <row r="235" spans="1:4">
      <c r="A235" s="86" t="s">
        <v>1995</v>
      </c>
      <c r="B235" s="86" t="s">
        <v>1209</v>
      </c>
      <c r="C235" s="86" t="s">
        <v>4774</v>
      </c>
      <c r="D235" s="86" t="s">
        <v>4775</v>
      </c>
    </row>
    <row r="236" spans="1:4">
      <c r="A236" s="86" t="s">
        <v>1995</v>
      </c>
      <c r="B236" s="86" t="s">
        <v>1209</v>
      </c>
      <c r="C236" s="86" t="s">
        <v>4776</v>
      </c>
      <c r="D236" s="86" t="s">
        <v>4777</v>
      </c>
    </row>
    <row r="237" spans="1:4">
      <c r="A237" s="86" t="s">
        <v>1995</v>
      </c>
      <c r="B237" s="86" t="s">
        <v>1209</v>
      </c>
      <c r="C237" s="86" t="s">
        <v>4778</v>
      </c>
      <c r="D237" s="86" t="s">
        <v>4779</v>
      </c>
    </row>
    <row r="238" spans="1:4">
      <c r="A238" s="86" t="s">
        <v>1995</v>
      </c>
      <c r="B238" s="86" t="s">
        <v>1209</v>
      </c>
      <c r="C238" s="86" t="s">
        <v>4780</v>
      </c>
      <c r="D238" s="86" t="s">
        <v>4781</v>
      </c>
    </row>
    <row r="239" spans="1:4">
      <c r="A239" s="86" t="s">
        <v>1995</v>
      </c>
      <c r="B239" s="86" t="s">
        <v>1209</v>
      </c>
      <c r="C239" s="86" t="s">
        <v>4782</v>
      </c>
      <c r="D239" s="86" t="s">
        <v>4783</v>
      </c>
    </row>
    <row r="240" spans="1:4">
      <c r="A240" s="86" t="s">
        <v>1995</v>
      </c>
      <c r="B240" s="86" t="s">
        <v>1209</v>
      </c>
      <c r="C240" s="86" t="s">
        <v>4784</v>
      </c>
      <c r="D240" s="86" t="s">
        <v>4785</v>
      </c>
    </row>
    <row r="241" spans="1:4">
      <c r="A241" s="4" t="s">
        <v>2705</v>
      </c>
      <c r="B241" s="4" t="s">
        <v>1209</v>
      </c>
      <c r="C241" s="4" t="s">
        <v>4786</v>
      </c>
      <c r="D241" s="4" t="s">
        <v>4787</v>
      </c>
    </row>
    <row r="242" spans="1:4">
      <c r="A242" s="4" t="s">
        <v>2705</v>
      </c>
      <c r="B242" s="4" t="s">
        <v>1209</v>
      </c>
      <c r="C242" s="4" t="s">
        <v>4788</v>
      </c>
      <c r="D242" s="4" t="s">
        <v>4789</v>
      </c>
    </row>
    <row r="243" spans="1:4" ht="21.75" customHeight="1">
      <c r="A243" s="4" t="s">
        <v>2705</v>
      </c>
      <c r="B243" s="4" t="s">
        <v>1209</v>
      </c>
      <c r="C243" s="4" t="s">
        <v>4790</v>
      </c>
      <c r="D243" s="4" t="s">
        <v>4791</v>
      </c>
    </row>
    <row r="244" spans="1:4">
      <c r="A244" s="4" t="s">
        <v>2705</v>
      </c>
      <c r="B244" s="4" t="s">
        <v>1209</v>
      </c>
      <c r="C244" s="4" t="s">
        <v>4792</v>
      </c>
      <c r="D244" s="4" t="s">
        <v>4793</v>
      </c>
    </row>
    <row r="245" spans="1:4">
      <c r="A245" t="s">
        <v>3921</v>
      </c>
      <c r="B245" t="s">
        <v>1209</v>
      </c>
      <c r="C245" t="s">
        <v>4393</v>
      </c>
      <c r="D245" s="4" t="s">
        <v>4394</v>
      </c>
    </row>
    <row r="246" spans="1:4">
      <c r="A246" t="s">
        <v>3921</v>
      </c>
      <c r="B246" t="s">
        <v>1209</v>
      </c>
      <c r="C246" t="s">
        <v>4395</v>
      </c>
      <c r="D246" t="s">
        <v>4794</v>
      </c>
    </row>
    <row r="247" spans="1:4">
      <c r="A247" t="s">
        <v>965</v>
      </c>
      <c r="B247" t="s">
        <v>1209</v>
      </c>
      <c r="C247" t="s">
        <v>4795</v>
      </c>
      <c r="D247" t="s">
        <v>4795</v>
      </c>
    </row>
    <row r="248" spans="1:4">
      <c r="A248" t="s">
        <v>965</v>
      </c>
      <c r="B248" t="s">
        <v>1209</v>
      </c>
      <c r="C248" t="s">
        <v>4796</v>
      </c>
      <c r="D248" t="s">
        <v>4796</v>
      </c>
    </row>
    <row r="249" spans="1:4">
      <c r="A249" t="s">
        <v>965</v>
      </c>
      <c r="B249" t="s">
        <v>1209</v>
      </c>
      <c r="C249" t="s">
        <v>4797</v>
      </c>
      <c r="D249" t="s">
        <v>4797</v>
      </c>
    </row>
    <row r="250" spans="1:4">
      <c r="A250" t="s">
        <v>1199</v>
      </c>
      <c r="B250" s="4" t="s">
        <v>1209</v>
      </c>
      <c r="C250" t="s">
        <v>4589</v>
      </c>
      <c r="D250" t="s">
        <v>4590</v>
      </c>
    </row>
    <row r="251" spans="1:4">
      <c r="A251" t="s">
        <v>1199</v>
      </c>
      <c r="B251" s="4" t="s">
        <v>1209</v>
      </c>
      <c r="C251" t="s">
        <v>4798</v>
      </c>
      <c r="D251" t="s">
        <v>73</v>
      </c>
    </row>
    <row r="252" spans="1:4">
      <c r="A252" t="s">
        <v>1199</v>
      </c>
      <c r="B252" s="4" t="s">
        <v>1209</v>
      </c>
      <c r="C252" t="s">
        <v>4799</v>
      </c>
      <c r="D252" t="s">
        <v>4800</v>
      </c>
    </row>
    <row r="253" spans="1:4">
      <c r="A253" t="s">
        <v>1199</v>
      </c>
      <c r="B253" s="4" t="s">
        <v>1209</v>
      </c>
      <c r="C253" t="s">
        <v>4801</v>
      </c>
      <c r="D253" t="s">
        <v>4802</v>
      </c>
    </row>
    <row r="254" spans="1:4">
      <c r="A254" t="s">
        <v>1205</v>
      </c>
      <c r="B254" s="4" t="s">
        <v>1209</v>
      </c>
      <c r="C254" t="s">
        <v>4803</v>
      </c>
      <c r="D254" t="s">
        <v>4804</v>
      </c>
    </row>
    <row r="255" spans="1:4">
      <c r="A255" t="s">
        <v>1205</v>
      </c>
      <c r="B255" s="4" t="s">
        <v>1209</v>
      </c>
      <c r="C255" t="s">
        <v>4805</v>
      </c>
      <c r="D255" s="8" t="s">
        <v>4806</v>
      </c>
    </row>
    <row r="256" spans="1:4">
      <c r="A256" t="s">
        <v>1205</v>
      </c>
      <c r="B256" s="4" t="s">
        <v>1209</v>
      </c>
      <c r="C256" t="s">
        <v>4807</v>
      </c>
      <c r="D256" t="s">
        <v>4808</v>
      </c>
    </row>
    <row r="257" spans="1:4">
      <c r="A257" t="s">
        <v>1205</v>
      </c>
      <c r="B257" s="4" t="s">
        <v>1209</v>
      </c>
      <c r="C257" t="s">
        <v>4809</v>
      </c>
      <c r="D257" t="s">
        <v>4810</v>
      </c>
    </row>
    <row r="258" spans="1:4">
      <c r="A258" t="s">
        <v>1205</v>
      </c>
      <c r="B258" s="4" t="s">
        <v>1209</v>
      </c>
      <c r="C258" t="s">
        <v>4801</v>
      </c>
      <c r="D258" t="s">
        <v>4802</v>
      </c>
    </row>
    <row r="259" spans="1:4">
      <c r="A259" s="4" t="s">
        <v>2600</v>
      </c>
      <c r="B259" s="4" t="s">
        <v>1209</v>
      </c>
      <c r="C259" s="4" t="s">
        <v>4811</v>
      </c>
      <c r="D259" s="4" t="s">
        <v>4812</v>
      </c>
    </row>
    <row r="260" spans="1:4">
      <c r="A260" s="4" t="s">
        <v>2906</v>
      </c>
      <c r="B260" s="4" t="s">
        <v>1209</v>
      </c>
      <c r="C260" t="s">
        <v>4813</v>
      </c>
      <c r="D260" t="s">
        <v>4814</v>
      </c>
    </row>
    <row r="261" spans="1:4">
      <c r="A261" s="4" t="s">
        <v>2906</v>
      </c>
      <c r="B261" s="4" t="s">
        <v>1209</v>
      </c>
      <c r="C261" t="s">
        <v>4815</v>
      </c>
      <c r="D261" t="s">
        <v>4816</v>
      </c>
    </row>
    <row r="262" spans="1:4">
      <c r="A262" s="4" t="s">
        <v>2906</v>
      </c>
      <c r="B262" s="4" t="s">
        <v>1209</v>
      </c>
      <c r="C262" t="s">
        <v>4817</v>
      </c>
      <c r="D262" t="s">
        <v>4818</v>
      </c>
    </row>
    <row r="263" spans="1:4">
      <c r="A263" s="4" t="s">
        <v>2906</v>
      </c>
      <c r="B263" s="4" t="s">
        <v>1209</v>
      </c>
      <c r="C263" t="s">
        <v>4819</v>
      </c>
      <c r="D263" t="s">
        <v>4820</v>
      </c>
    </row>
    <row r="264" spans="1:4">
      <c r="A264" s="4" t="s">
        <v>2906</v>
      </c>
      <c r="B264" s="4" t="s">
        <v>1209</v>
      </c>
      <c r="C264" t="s">
        <v>4821</v>
      </c>
      <c r="D264" t="s">
        <v>4822</v>
      </c>
    </row>
    <row r="265" spans="1:4">
      <c r="A265" s="4" t="s">
        <v>2906</v>
      </c>
      <c r="B265" s="4" t="s">
        <v>1209</v>
      </c>
      <c r="C265" t="s">
        <v>4823</v>
      </c>
      <c r="D265" t="s">
        <v>4824</v>
      </c>
    </row>
    <row r="266" spans="1:4">
      <c r="A266" s="4" t="s">
        <v>2906</v>
      </c>
      <c r="B266" s="4" t="s">
        <v>1209</v>
      </c>
      <c r="C266" t="s">
        <v>4825</v>
      </c>
      <c r="D266" t="s">
        <v>4826</v>
      </c>
    </row>
    <row r="267" spans="1:4">
      <c r="A267" s="4" t="s">
        <v>2906</v>
      </c>
      <c r="B267" s="4" t="s">
        <v>1209</v>
      </c>
      <c r="C267" t="s">
        <v>4827</v>
      </c>
      <c r="D267" t="s">
        <v>4828</v>
      </c>
    </row>
    <row r="268" spans="1:4">
      <c r="A268" s="4" t="s">
        <v>2906</v>
      </c>
      <c r="B268" s="4" t="s">
        <v>1209</v>
      </c>
      <c r="C268" t="s">
        <v>4829</v>
      </c>
      <c r="D268" t="s">
        <v>4830</v>
      </c>
    </row>
    <row r="269" spans="1:4">
      <c r="A269" s="4" t="s">
        <v>2906</v>
      </c>
      <c r="B269" s="4" t="s">
        <v>1209</v>
      </c>
      <c r="C269" t="s">
        <v>4831</v>
      </c>
      <c r="D269" t="s">
        <v>4832</v>
      </c>
    </row>
    <row r="270" spans="1:4">
      <c r="A270" s="4" t="s">
        <v>2906</v>
      </c>
      <c r="B270" s="4" t="s">
        <v>1209</v>
      </c>
      <c r="C270" t="s">
        <v>4833</v>
      </c>
      <c r="D270" t="s">
        <v>4834</v>
      </c>
    </row>
    <row r="271" spans="1:4">
      <c r="A271" s="4" t="s">
        <v>2906</v>
      </c>
      <c r="B271" s="4" t="s">
        <v>1209</v>
      </c>
      <c r="C271" t="s">
        <v>4685</v>
      </c>
      <c r="D271" t="s">
        <v>4835</v>
      </c>
    </row>
    <row r="272" spans="1:4">
      <c r="A272" s="4" t="s">
        <v>2906</v>
      </c>
      <c r="B272" s="4" t="s">
        <v>1209</v>
      </c>
      <c r="C272" t="s">
        <v>4836</v>
      </c>
      <c r="D272" t="s">
        <v>4837</v>
      </c>
    </row>
    <row r="273" spans="1:4">
      <c r="A273" s="4" t="s">
        <v>2906</v>
      </c>
      <c r="B273" s="4" t="s">
        <v>1209</v>
      </c>
      <c r="C273" t="s">
        <v>4838</v>
      </c>
      <c r="D273" t="s">
        <v>4839</v>
      </c>
    </row>
    <row r="274" spans="1:4">
      <c r="A274" s="4" t="s">
        <v>2906</v>
      </c>
      <c r="B274" s="4" t="s">
        <v>1209</v>
      </c>
      <c r="C274" t="s">
        <v>4840</v>
      </c>
      <c r="D274" t="s">
        <v>4841</v>
      </c>
    </row>
    <row r="275" spans="1:4">
      <c r="A275" s="4" t="s">
        <v>2906</v>
      </c>
      <c r="B275" s="4" t="s">
        <v>1209</v>
      </c>
      <c r="C275" t="s">
        <v>4842</v>
      </c>
      <c r="D275" t="s">
        <v>4843</v>
      </c>
    </row>
    <row r="276" spans="1:4">
      <c r="A276" s="4" t="s">
        <v>2906</v>
      </c>
      <c r="B276" s="4" t="s">
        <v>1209</v>
      </c>
      <c r="C276" t="s">
        <v>4844</v>
      </c>
      <c r="D276" t="s">
        <v>4845</v>
      </c>
    </row>
    <row r="277" spans="1:4">
      <c r="A277" s="4" t="s">
        <v>2914</v>
      </c>
      <c r="B277" s="4" t="s">
        <v>1209</v>
      </c>
      <c r="C277" t="s">
        <v>4846</v>
      </c>
      <c r="D277" t="s">
        <v>4847</v>
      </c>
    </row>
    <row r="278" spans="1:4">
      <c r="A278" s="4" t="s">
        <v>2914</v>
      </c>
      <c r="B278" s="4" t="s">
        <v>1209</v>
      </c>
      <c r="C278" t="s">
        <v>4848</v>
      </c>
      <c r="D278" t="s">
        <v>4849</v>
      </c>
    </row>
    <row r="279" spans="1:4">
      <c r="A279" s="4" t="s">
        <v>2914</v>
      </c>
      <c r="B279" s="4" t="s">
        <v>1209</v>
      </c>
      <c r="C279" t="s">
        <v>4850</v>
      </c>
      <c r="D279" t="s">
        <v>4851</v>
      </c>
    </row>
    <row r="280" spans="1:4">
      <c r="A280" s="4" t="s">
        <v>2914</v>
      </c>
      <c r="B280" t="s">
        <v>1209</v>
      </c>
      <c r="C280" t="s">
        <v>4462</v>
      </c>
      <c r="D280" t="s">
        <v>4852</v>
      </c>
    </row>
    <row r="281" spans="1:4">
      <c r="A281" s="4" t="s">
        <v>1618</v>
      </c>
      <c r="B281" s="4" t="s">
        <v>1209</v>
      </c>
      <c r="C281" s="4" t="s">
        <v>4798</v>
      </c>
      <c r="D281" s="4" t="s">
        <v>73</v>
      </c>
    </row>
    <row r="282" spans="1:4">
      <c r="A282" s="4" t="s">
        <v>1618</v>
      </c>
      <c r="B282" s="4" t="s">
        <v>1209</v>
      </c>
      <c r="C282" s="4" t="s">
        <v>4799</v>
      </c>
      <c r="D282" s="4" t="s">
        <v>4800</v>
      </c>
    </row>
    <row r="283" spans="1:4">
      <c r="A283" t="s">
        <v>1636</v>
      </c>
      <c r="B283" t="s">
        <v>1209</v>
      </c>
      <c r="C283" t="s">
        <v>4853</v>
      </c>
      <c r="D283" t="s">
        <v>4854</v>
      </c>
    </row>
    <row r="284" spans="1:4">
      <c r="A284" t="s">
        <v>1636</v>
      </c>
      <c r="B284" t="s">
        <v>1209</v>
      </c>
      <c r="C284" t="s">
        <v>4855</v>
      </c>
      <c r="D284" t="s">
        <v>4856</v>
      </c>
    </row>
    <row r="285" spans="1:4">
      <c r="A285" t="s">
        <v>1636</v>
      </c>
      <c r="B285" t="s">
        <v>1209</v>
      </c>
      <c r="C285" t="s">
        <v>4857</v>
      </c>
      <c r="D285" t="s">
        <v>4858</v>
      </c>
    </row>
    <row r="286" spans="1:4">
      <c r="A286" t="s">
        <v>1636</v>
      </c>
      <c r="B286" t="s">
        <v>1209</v>
      </c>
      <c r="C286" t="s">
        <v>4859</v>
      </c>
      <c r="D286" t="s">
        <v>4860</v>
      </c>
    </row>
    <row r="287" spans="1:4">
      <c r="A287" t="s">
        <v>1641</v>
      </c>
      <c r="B287" t="s">
        <v>1209</v>
      </c>
      <c r="C287" t="s">
        <v>4861</v>
      </c>
      <c r="D287" t="s">
        <v>4862</v>
      </c>
    </row>
    <row r="288" spans="1:4">
      <c r="A288" t="s">
        <v>1641</v>
      </c>
      <c r="B288" t="s">
        <v>1209</v>
      </c>
      <c r="C288" t="s">
        <v>4863</v>
      </c>
      <c r="D288" t="s">
        <v>4864</v>
      </c>
    </row>
    <row r="289" spans="1:4">
      <c r="A289" t="s">
        <v>1641</v>
      </c>
      <c r="B289" t="s">
        <v>1209</v>
      </c>
      <c r="C289" t="s">
        <v>4865</v>
      </c>
      <c r="D289" t="s">
        <v>4866</v>
      </c>
    </row>
    <row r="290" spans="1:4">
      <c r="A290" t="s">
        <v>1645</v>
      </c>
      <c r="B290" s="4" t="s">
        <v>1209</v>
      </c>
      <c r="C290" s="75" t="s">
        <v>4867</v>
      </c>
      <c r="D290" t="s">
        <v>4867</v>
      </c>
    </row>
    <row r="291" spans="1:4">
      <c r="A291" t="s">
        <v>1645</v>
      </c>
      <c r="B291" s="4" t="s">
        <v>1209</v>
      </c>
      <c r="C291" s="75" t="s">
        <v>4868</v>
      </c>
      <c r="D291" t="s">
        <v>4869</v>
      </c>
    </row>
    <row r="292" spans="1:4">
      <c r="A292" t="s">
        <v>1645</v>
      </c>
      <c r="B292" s="4" t="s">
        <v>1209</v>
      </c>
      <c r="C292" s="75" t="s">
        <v>4870</v>
      </c>
      <c r="D292" t="s">
        <v>4871</v>
      </c>
    </row>
    <row r="293" spans="1:4">
      <c r="A293" t="s">
        <v>1645</v>
      </c>
      <c r="B293" s="4" t="s">
        <v>1209</v>
      </c>
      <c r="C293" s="75" t="s">
        <v>4872</v>
      </c>
      <c r="D293" t="s">
        <v>4873</v>
      </c>
    </row>
    <row r="294" spans="1:4">
      <c r="A294" t="s">
        <v>1645</v>
      </c>
      <c r="B294" s="4" t="s">
        <v>1209</v>
      </c>
      <c r="C294" s="75" t="s">
        <v>4874</v>
      </c>
      <c r="D294" t="s">
        <v>4875</v>
      </c>
    </row>
    <row r="295" spans="1:4">
      <c r="A295" s="4" t="s">
        <v>1655</v>
      </c>
      <c r="B295" s="4" t="s">
        <v>1209</v>
      </c>
      <c r="C295" s="4" t="s">
        <v>4710</v>
      </c>
      <c r="D295" s="4" t="s">
        <v>4876</v>
      </c>
    </row>
    <row r="296" spans="1:4">
      <c r="A296" s="4" t="s">
        <v>1655</v>
      </c>
      <c r="B296" s="4" t="s">
        <v>1209</v>
      </c>
      <c r="C296" s="4" t="s">
        <v>4877</v>
      </c>
      <c r="D296" s="4" t="s">
        <v>4878</v>
      </c>
    </row>
    <row r="297" spans="1:4">
      <c r="A297" s="4" t="s">
        <v>1655</v>
      </c>
      <c r="B297" s="4" t="s">
        <v>1209</v>
      </c>
      <c r="C297" s="4" t="s">
        <v>4879</v>
      </c>
      <c r="D297" s="4" t="s">
        <v>4880</v>
      </c>
    </row>
    <row r="298" spans="1:4">
      <c r="A298" s="4" t="s">
        <v>1655</v>
      </c>
      <c r="B298" s="4" t="s">
        <v>1209</v>
      </c>
      <c r="C298" s="4" t="s">
        <v>4881</v>
      </c>
      <c r="D298" s="4" t="s">
        <v>4882</v>
      </c>
    </row>
    <row r="299" spans="1:4">
      <c r="A299" s="4" t="s">
        <v>1655</v>
      </c>
      <c r="B299" s="4" t="s">
        <v>1209</v>
      </c>
      <c r="C299" s="4" t="s">
        <v>4883</v>
      </c>
      <c r="D299" s="4" t="s">
        <v>4884</v>
      </c>
    </row>
    <row r="300" spans="1:4">
      <c r="A300" s="4" t="s">
        <v>1655</v>
      </c>
      <c r="B300" s="4" t="s">
        <v>1209</v>
      </c>
      <c r="C300" s="4" t="s">
        <v>4885</v>
      </c>
      <c r="D300" s="4" t="s">
        <v>4886</v>
      </c>
    </row>
    <row r="301" spans="1:4">
      <c r="A301" s="4" t="s">
        <v>1655</v>
      </c>
      <c r="B301" s="4" t="s">
        <v>1209</v>
      </c>
      <c r="C301" s="4" t="s">
        <v>4659</v>
      </c>
      <c r="D301" s="4" t="s">
        <v>4887</v>
      </c>
    </row>
    <row r="302" spans="1:4">
      <c r="A302" s="67" t="s">
        <v>2722</v>
      </c>
      <c r="B302" s="52" t="s">
        <v>1209</v>
      </c>
      <c r="C302" s="67" t="s">
        <v>4888</v>
      </c>
      <c r="D302" s="67" t="s">
        <v>4889</v>
      </c>
    </row>
    <row r="303" spans="1:4">
      <c r="A303" s="67" t="s">
        <v>2722</v>
      </c>
      <c r="B303" s="52" t="s">
        <v>1209</v>
      </c>
      <c r="C303" s="67" t="s">
        <v>4890</v>
      </c>
      <c r="D303" s="67" t="s">
        <v>4891</v>
      </c>
    </row>
    <row r="304" spans="1:4">
      <c r="A304" s="67" t="s">
        <v>2722</v>
      </c>
      <c r="B304" s="52" t="s">
        <v>1209</v>
      </c>
      <c r="C304" s="67" t="s">
        <v>4892</v>
      </c>
      <c r="D304" s="67" t="s">
        <v>4893</v>
      </c>
    </row>
    <row r="305" spans="1:4">
      <c r="A305" s="67" t="s">
        <v>2722</v>
      </c>
      <c r="B305" s="52" t="s">
        <v>1209</v>
      </c>
      <c r="C305" s="67" t="s">
        <v>4894</v>
      </c>
      <c r="D305" s="67" t="s">
        <v>4895</v>
      </c>
    </row>
    <row r="306" spans="1:4">
      <c r="A306" s="67" t="s">
        <v>2722</v>
      </c>
      <c r="B306" s="52" t="s">
        <v>1209</v>
      </c>
      <c r="C306" s="67" t="s">
        <v>4610</v>
      </c>
      <c r="D306" s="67" t="s">
        <v>4896</v>
      </c>
    </row>
    <row r="307" spans="1:4">
      <c r="A307" s="67" t="s">
        <v>2722</v>
      </c>
      <c r="B307" s="52" t="s">
        <v>1209</v>
      </c>
      <c r="C307" s="67" t="s">
        <v>4897</v>
      </c>
      <c r="D307" s="67" t="s">
        <v>4898</v>
      </c>
    </row>
    <row r="308" spans="1:4">
      <c r="A308" s="67" t="s">
        <v>2722</v>
      </c>
      <c r="B308" s="52" t="s">
        <v>1209</v>
      </c>
      <c r="C308" s="67" t="s">
        <v>4899</v>
      </c>
      <c r="D308" s="67" t="s">
        <v>4900</v>
      </c>
    </row>
    <row r="309" spans="1:4">
      <c r="A309" s="67" t="s">
        <v>2722</v>
      </c>
      <c r="B309" s="52" t="s">
        <v>1209</v>
      </c>
      <c r="C309" s="67" t="s">
        <v>4901</v>
      </c>
      <c r="D309" s="67" t="s">
        <v>4902</v>
      </c>
    </row>
    <row r="310" spans="1:4">
      <c r="A310" s="67" t="s">
        <v>2722</v>
      </c>
      <c r="B310" s="52" t="s">
        <v>1209</v>
      </c>
      <c r="C310" s="67" t="s">
        <v>4903</v>
      </c>
      <c r="D310" s="67" t="s">
        <v>4904</v>
      </c>
    </row>
    <row r="311" spans="1:4">
      <c r="A311" s="67" t="s">
        <v>2722</v>
      </c>
      <c r="B311" s="52" t="s">
        <v>1209</v>
      </c>
      <c r="C311" s="67" t="s">
        <v>4421</v>
      </c>
      <c r="D311" s="67" t="s">
        <v>4905</v>
      </c>
    </row>
    <row r="312" spans="1:4">
      <c r="A312" s="67" t="s">
        <v>2722</v>
      </c>
      <c r="B312" s="52" t="s">
        <v>1209</v>
      </c>
      <c r="C312" s="67" t="s">
        <v>4906</v>
      </c>
      <c r="D312" s="67" t="s">
        <v>4907</v>
      </c>
    </row>
    <row r="313" spans="1:4">
      <c r="A313" s="67" t="s">
        <v>2722</v>
      </c>
      <c r="B313" s="52" t="s">
        <v>1209</v>
      </c>
      <c r="C313" s="67" t="s">
        <v>4908</v>
      </c>
      <c r="D313" s="67" t="s">
        <v>4909</v>
      </c>
    </row>
    <row r="314" spans="1:4">
      <c r="A314" t="s">
        <v>1055</v>
      </c>
      <c r="B314" s="4" t="s">
        <v>1209</v>
      </c>
      <c r="C314" t="s">
        <v>4910</v>
      </c>
      <c r="D314" t="s">
        <v>4911</v>
      </c>
    </row>
    <row r="315" spans="1:4">
      <c r="A315" t="s">
        <v>1055</v>
      </c>
      <c r="B315" s="4" t="s">
        <v>1209</v>
      </c>
      <c r="C315" t="s">
        <v>4912</v>
      </c>
      <c r="D315" t="s">
        <v>4913</v>
      </c>
    </row>
    <row r="316" spans="1:4">
      <c r="A316" t="s">
        <v>1055</v>
      </c>
      <c r="B316" s="4" t="s">
        <v>1209</v>
      </c>
      <c r="C316" t="s">
        <v>4914</v>
      </c>
      <c r="D316" t="s">
        <v>4915</v>
      </c>
    </row>
    <row r="317" spans="1:4">
      <c r="A317" t="s">
        <v>3927</v>
      </c>
      <c r="B317" t="s">
        <v>1209</v>
      </c>
      <c r="C317" t="s">
        <v>4916</v>
      </c>
      <c r="D317" t="s">
        <v>4917</v>
      </c>
    </row>
    <row r="318" spans="1:4">
      <c r="A318" t="s">
        <v>3927</v>
      </c>
      <c r="B318" t="s">
        <v>1209</v>
      </c>
      <c r="C318" t="s">
        <v>4918</v>
      </c>
      <c r="D318" t="s">
        <v>4919</v>
      </c>
    </row>
    <row r="319" spans="1:4">
      <c r="A319" t="s">
        <v>3927</v>
      </c>
      <c r="B319" t="s">
        <v>1209</v>
      </c>
      <c r="C319" t="s">
        <v>4920</v>
      </c>
      <c r="D319" t="s">
        <v>4921</v>
      </c>
    </row>
    <row r="320" spans="1:4">
      <c r="A320" t="s">
        <v>3927</v>
      </c>
      <c r="B320" t="s">
        <v>1209</v>
      </c>
      <c r="C320" t="s">
        <v>4922</v>
      </c>
      <c r="D320" t="s">
        <v>4923</v>
      </c>
    </row>
    <row r="321" spans="1:4">
      <c r="A321" s="4" t="s">
        <v>2731</v>
      </c>
      <c r="B321" s="4" t="s">
        <v>1209</v>
      </c>
      <c r="C321" s="4" t="s">
        <v>4924</v>
      </c>
      <c r="D321" s="4" t="s">
        <v>4925</v>
      </c>
    </row>
    <row r="322" spans="1:4">
      <c r="A322" s="4" t="s">
        <v>2731</v>
      </c>
      <c r="B322" s="4" t="s">
        <v>1209</v>
      </c>
      <c r="C322" s="4" t="s">
        <v>854</v>
      </c>
      <c r="D322" s="4" t="s">
        <v>4926</v>
      </c>
    </row>
    <row r="323" spans="1:4">
      <c r="A323" s="4" t="s">
        <v>2731</v>
      </c>
      <c r="B323" s="4" t="s">
        <v>1209</v>
      </c>
      <c r="C323" s="4" t="s">
        <v>4589</v>
      </c>
      <c r="D323" s="4" t="s">
        <v>4927</v>
      </c>
    </row>
    <row r="324" spans="1:4">
      <c r="A324" s="4" t="s">
        <v>2731</v>
      </c>
      <c r="B324" s="4" t="s">
        <v>1209</v>
      </c>
      <c r="C324" s="4" t="s">
        <v>4600</v>
      </c>
      <c r="D324" s="4" t="s">
        <v>4928</v>
      </c>
    </row>
    <row r="325" spans="1:4">
      <c r="A325" s="4" t="s">
        <v>2731</v>
      </c>
      <c r="B325" s="4" t="s">
        <v>1209</v>
      </c>
      <c r="C325" s="4" t="s">
        <v>4591</v>
      </c>
      <c r="D325" s="4" t="s">
        <v>4929</v>
      </c>
    </row>
    <row r="326" spans="1:4">
      <c r="A326" s="4" t="s">
        <v>2731</v>
      </c>
      <c r="B326" s="4" t="s">
        <v>1209</v>
      </c>
      <c r="C326" s="4" t="s">
        <v>4593</v>
      </c>
      <c r="D326" s="4" t="s">
        <v>4930</v>
      </c>
    </row>
    <row r="327" spans="1:4">
      <c r="A327" s="4" t="s">
        <v>2731</v>
      </c>
      <c r="B327" s="4" t="s">
        <v>1209</v>
      </c>
      <c r="C327" s="4" t="s">
        <v>4657</v>
      </c>
      <c r="D327" s="4" t="s">
        <v>4931</v>
      </c>
    </row>
    <row r="328" spans="1:4">
      <c r="A328" t="s">
        <v>1063</v>
      </c>
      <c r="B328" s="4" t="s">
        <v>1209</v>
      </c>
      <c r="C328" t="s">
        <v>4395</v>
      </c>
      <c r="D328" t="s">
        <v>4396</v>
      </c>
    </row>
    <row r="329" spans="1:4" ht="16.5" customHeight="1">
      <c r="A329" t="s">
        <v>1063</v>
      </c>
      <c r="B329" s="4" t="s">
        <v>1209</v>
      </c>
      <c r="C329" t="s">
        <v>4393</v>
      </c>
      <c r="D329" t="s">
        <v>4394</v>
      </c>
    </row>
    <row r="330" spans="1:4">
      <c r="A330" t="s">
        <v>1063</v>
      </c>
      <c r="B330" s="4" t="s">
        <v>1209</v>
      </c>
      <c r="C330" t="s">
        <v>4932</v>
      </c>
      <c r="D330" t="s">
        <v>4933</v>
      </c>
    </row>
    <row r="331" spans="1:4">
      <c r="A331" t="s">
        <v>1063</v>
      </c>
      <c r="B331" s="4" t="s">
        <v>1209</v>
      </c>
      <c r="C331" t="s">
        <v>4934</v>
      </c>
      <c r="D331" t="s">
        <v>4935</v>
      </c>
    </row>
    <row r="332" spans="1:4">
      <c r="A332" t="s">
        <v>3729</v>
      </c>
      <c r="B332" t="s">
        <v>1209</v>
      </c>
      <c r="C332" t="s">
        <v>4936</v>
      </c>
      <c r="D332" t="s">
        <v>4937</v>
      </c>
    </row>
    <row r="333" spans="1:4">
      <c r="A333" t="s">
        <v>3729</v>
      </c>
      <c r="B333" t="s">
        <v>1209</v>
      </c>
      <c r="C333" t="s">
        <v>4938</v>
      </c>
      <c r="D333" t="s">
        <v>4939</v>
      </c>
    </row>
    <row r="334" spans="1:4">
      <c r="A334" s="4" t="s">
        <v>1678</v>
      </c>
      <c r="B334" s="4" t="s">
        <v>1209</v>
      </c>
      <c r="C334" s="4" t="s">
        <v>4940</v>
      </c>
      <c r="D334" s="4" t="s">
        <v>4941</v>
      </c>
    </row>
    <row r="335" spans="1:4">
      <c r="A335" s="4" t="s">
        <v>1678</v>
      </c>
      <c r="B335" s="4" t="s">
        <v>1209</v>
      </c>
      <c r="C335" s="4" t="s">
        <v>4942</v>
      </c>
      <c r="D335" s="4" t="s">
        <v>4943</v>
      </c>
    </row>
    <row r="336" spans="1:4">
      <c r="A336" s="4" t="s">
        <v>1678</v>
      </c>
      <c r="B336" s="4" t="s">
        <v>1209</v>
      </c>
      <c r="C336" s="4" t="s">
        <v>4944</v>
      </c>
      <c r="D336" s="4" t="s">
        <v>4945</v>
      </c>
    </row>
    <row r="337" spans="1:4">
      <c r="A337" s="4" t="s">
        <v>1678</v>
      </c>
      <c r="B337" s="4" t="s">
        <v>1209</v>
      </c>
      <c r="C337" s="4" t="s">
        <v>4946</v>
      </c>
      <c r="D337" s="4" t="s">
        <v>4947</v>
      </c>
    </row>
    <row r="338" spans="1:4" ht="14.1" customHeight="1">
      <c r="A338" s="4" t="s">
        <v>1678</v>
      </c>
      <c r="B338" s="4" t="s">
        <v>1209</v>
      </c>
      <c r="C338" s="4" t="s">
        <v>4948</v>
      </c>
      <c r="D338" s="4" t="s">
        <v>4949</v>
      </c>
    </row>
    <row r="339" spans="1:4">
      <c r="A339" s="4" t="s">
        <v>1678</v>
      </c>
      <c r="B339" s="4" t="s">
        <v>1209</v>
      </c>
      <c r="C339" s="4" t="s">
        <v>4950</v>
      </c>
      <c r="D339" s="4" t="s">
        <v>4951</v>
      </c>
    </row>
    <row r="340" spans="1:4">
      <c r="A340" s="4" t="s">
        <v>1678</v>
      </c>
      <c r="B340" s="4" t="s">
        <v>1209</v>
      </c>
      <c r="C340" s="4" t="s">
        <v>4952</v>
      </c>
      <c r="D340" s="4" t="s">
        <v>4953</v>
      </c>
    </row>
    <row r="341" spans="1:4">
      <c r="A341" s="4" t="s">
        <v>1678</v>
      </c>
      <c r="B341" s="4" t="s">
        <v>1209</v>
      </c>
      <c r="C341" s="4" t="s">
        <v>4954</v>
      </c>
      <c r="D341" s="4" t="s">
        <v>4955</v>
      </c>
    </row>
    <row r="342" spans="1:4">
      <c r="A342" s="4" t="s">
        <v>1682</v>
      </c>
      <c r="B342" s="4" t="s">
        <v>1209</v>
      </c>
      <c r="C342" s="4" t="s">
        <v>4484</v>
      </c>
      <c r="D342" s="4" t="s">
        <v>4588</v>
      </c>
    </row>
    <row r="343" spans="1:4">
      <c r="A343" t="s">
        <v>1068</v>
      </c>
      <c r="B343" s="4" t="s">
        <v>1209</v>
      </c>
      <c r="C343" s="4" t="s">
        <v>4956</v>
      </c>
      <c r="D343" s="4" t="s">
        <v>4957</v>
      </c>
    </row>
    <row r="344" spans="1:4">
      <c r="A344" t="s">
        <v>1068</v>
      </c>
      <c r="B344" s="4" t="s">
        <v>1209</v>
      </c>
      <c r="C344" t="s">
        <v>4958</v>
      </c>
      <c r="D344" t="s">
        <v>4959</v>
      </c>
    </row>
    <row r="345" spans="1:4">
      <c r="A345" t="s">
        <v>1068</v>
      </c>
      <c r="B345" s="4" t="s">
        <v>1209</v>
      </c>
      <c r="C345" t="s">
        <v>4960</v>
      </c>
      <c r="D345" t="s">
        <v>4961</v>
      </c>
    </row>
    <row r="346" spans="1:4">
      <c r="A346" t="s">
        <v>1078</v>
      </c>
      <c r="B346" s="4" t="s">
        <v>1209</v>
      </c>
      <c r="C346" t="s">
        <v>4962</v>
      </c>
      <c r="D346" t="s">
        <v>4963</v>
      </c>
    </row>
    <row r="347" spans="1:4">
      <c r="A347" t="s">
        <v>1078</v>
      </c>
      <c r="B347" s="4" t="s">
        <v>1209</v>
      </c>
      <c r="C347" s="4" t="s">
        <v>4964</v>
      </c>
      <c r="D347" s="4" t="s">
        <v>4965</v>
      </c>
    </row>
    <row r="348" spans="1:4">
      <c r="A348" t="s">
        <v>1078</v>
      </c>
      <c r="B348" s="4" t="s">
        <v>1209</v>
      </c>
      <c r="C348" s="4" t="s">
        <v>4966</v>
      </c>
      <c r="D348" s="4" t="s">
        <v>4967</v>
      </c>
    </row>
    <row r="349" spans="1:4">
      <c r="A349" t="s">
        <v>3566</v>
      </c>
      <c r="B349" t="s">
        <v>1209</v>
      </c>
      <c r="C349" t="s">
        <v>4968</v>
      </c>
      <c r="D349" t="s">
        <v>4969</v>
      </c>
    </row>
    <row r="350" spans="1:4">
      <c r="A350" t="s">
        <v>3566</v>
      </c>
      <c r="B350" t="s">
        <v>1209</v>
      </c>
      <c r="C350" t="s">
        <v>4415</v>
      </c>
      <c r="D350" t="s">
        <v>4970</v>
      </c>
    </row>
    <row r="351" spans="1:4">
      <c r="A351" t="s">
        <v>3566</v>
      </c>
      <c r="B351" t="s">
        <v>1209</v>
      </c>
      <c r="C351" t="s">
        <v>4971</v>
      </c>
      <c r="D351" t="s">
        <v>4972</v>
      </c>
    </row>
    <row r="352" spans="1:4">
      <c r="A352" t="s">
        <v>3566</v>
      </c>
      <c r="B352" t="s">
        <v>1209</v>
      </c>
      <c r="C352" t="s">
        <v>4973</v>
      </c>
      <c r="D352" t="s">
        <v>4660</v>
      </c>
    </row>
    <row r="353" spans="1:4">
      <c r="A353" s="4" t="s">
        <v>2755</v>
      </c>
      <c r="B353" s="4" t="s">
        <v>1209</v>
      </c>
      <c r="C353" s="4" t="s">
        <v>4974</v>
      </c>
      <c r="D353" s="4" t="s">
        <v>4975</v>
      </c>
    </row>
    <row r="354" spans="1:4">
      <c r="A354" s="4" t="s">
        <v>2755</v>
      </c>
      <c r="B354" s="4" t="s">
        <v>1209</v>
      </c>
      <c r="C354" s="4" t="s">
        <v>4976</v>
      </c>
      <c r="D354" s="4" t="s">
        <v>4491</v>
      </c>
    </row>
    <row r="355" spans="1:4">
      <c r="A355" s="4" t="s">
        <v>2755</v>
      </c>
      <c r="B355" s="4" t="s">
        <v>1209</v>
      </c>
      <c r="C355" s="4" t="s">
        <v>4977</v>
      </c>
      <c r="D355" s="4" t="s">
        <v>4978</v>
      </c>
    </row>
    <row r="356" spans="1:4">
      <c r="A356" s="4" t="s">
        <v>2755</v>
      </c>
      <c r="B356" s="4" t="s">
        <v>1209</v>
      </c>
      <c r="C356" s="4" t="s">
        <v>4979</v>
      </c>
      <c r="D356" s="4" t="s">
        <v>4980</v>
      </c>
    </row>
    <row r="357" spans="1:4">
      <c r="A357" s="4" t="s">
        <v>2755</v>
      </c>
      <c r="B357" s="4" t="s">
        <v>1209</v>
      </c>
      <c r="C357" s="4" t="s">
        <v>4981</v>
      </c>
      <c r="D357" s="4" t="s">
        <v>4982</v>
      </c>
    </row>
    <row r="358" spans="1:4">
      <c r="A358" s="4" t="s">
        <v>3987</v>
      </c>
      <c r="B358" s="4" t="s">
        <v>1209</v>
      </c>
      <c r="C358" s="4" t="s">
        <v>4983</v>
      </c>
      <c r="D358" s="4" t="s">
        <v>4984</v>
      </c>
    </row>
    <row r="359" spans="1:4">
      <c r="A359" s="4" t="s">
        <v>3987</v>
      </c>
      <c r="B359" s="4" t="s">
        <v>1209</v>
      </c>
      <c r="C359" s="4" t="s">
        <v>4985</v>
      </c>
      <c r="D359" s="4" t="s">
        <v>4986</v>
      </c>
    </row>
    <row r="360" spans="1:4">
      <c r="A360" s="4" t="s">
        <v>3989</v>
      </c>
      <c r="B360" s="4" t="s">
        <v>1209</v>
      </c>
      <c r="C360" s="4" t="s">
        <v>4987</v>
      </c>
      <c r="D360" s="4" t="s">
        <v>4988</v>
      </c>
    </row>
    <row r="361" spans="1:4">
      <c r="A361" s="4" t="s">
        <v>3989</v>
      </c>
      <c r="B361" s="4" t="s">
        <v>1209</v>
      </c>
      <c r="C361" s="4" t="s">
        <v>4989</v>
      </c>
      <c r="D361" s="4" t="s">
        <v>4990</v>
      </c>
    </row>
    <row r="362" spans="1:4">
      <c r="A362" t="s">
        <v>3939</v>
      </c>
      <c r="B362" s="4" t="s">
        <v>1699</v>
      </c>
      <c r="C362" t="s">
        <v>4991</v>
      </c>
      <c r="D362" t="s">
        <v>4992</v>
      </c>
    </row>
    <row r="363" spans="1:4">
      <c r="A363" t="s">
        <v>3939</v>
      </c>
      <c r="B363" s="4" t="s">
        <v>1699</v>
      </c>
      <c r="C363" t="s">
        <v>4993</v>
      </c>
      <c r="D363" t="s">
        <v>4994</v>
      </c>
    </row>
    <row r="364" spans="1:4">
      <c r="A364" t="s">
        <v>3939</v>
      </c>
      <c r="B364" s="4" t="s">
        <v>1699</v>
      </c>
      <c r="C364" t="s">
        <v>4995</v>
      </c>
      <c r="D364"/>
    </row>
    <row r="365" spans="1:4">
      <c r="A365" t="s">
        <v>3939</v>
      </c>
      <c r="B365" s="4" t="s">
        <v>1699</v>
      </c>
      <c r="C365" t="s">
        <v>4996</v>
      </c>
      <c r="D365" t="s">
        <v>4997</v>
      </c>
    </row>
    <row r="366" spans="1:4">
      <c r="A366" t="s">
        <v>3939</v>
      </c>
      <c r="B366" s="4" t="s">
        <v>1699</v>
      </c>
      <c r="C366" t="s">
        <v>4998</v>
      </c>
      <c r="D366" t="s">
        <v>4999</v>
      </c>
    </row>
    <row r="367" spans="1:4">
      <c r="A367" t="s">
        <v>3939</v>
      </c>
      <c r="B367" s="4" t="s">
        <v>1699</v>
      </c>
      <c r="C367" t="s">
        <v>5000</v>
      </c>
      <c r="D367" t="s">
        <v>5001</v>
      </c>
    </row>
    <row r="368" spans="1:4">
      <c r="A368" t="s">
        <v>3939</v>
      </c>
      <c r="B368" s="4" t="s">
        <v>1699</v>
      </c>
      <c r="C368" t="s">
        <v>5002</v>
      </c>
      <c r="D368" t="s">
        <v>5003</v>
      </c>
    </row>
    <row r="369" spans="1:4">
      <c r="A369" t="s">
        <v>3939</v>
      </c>
      <c r="B369" s="4" t="s">
        <v>1699</v>
      </c>
      <c r="C369" t="s">
        <v>5004</v>
      </c>
      <c r="D369" t="s">
        <v>5005</v>
      </c>
    </row>
    <row r="370" spans="1:4">
      <c r="A370" t="s">
        <v>922</v>
      </c>
      <c r="B370" s="4" t="s">
        <v>1699</v>
      </c>
      <c r="C370" t="s">
        <v>5006</v>
      </c>
      <c r="D370"/>
    </row>
    <row r="371" spans="1:4">
      <c r="A371" t="s">
        <v>922</v>
      </c>
      <c r="B371" s="4" t="s">
        <v>1699</v>
      </c>
      <c r="C371" t="s">
        <v>5007</v>
      </c>
      <c r="D371"/>
    </row>
    <row r="372" spans="1:4">
      <c r="A372" t="s">
        <v>922</v>
      </c>
      <c r="B372" s="4" t="s">
        <v>1699</v>
      </c>
      <c r="C372" t="s">
        <v>5008</v>
      </c>
      <c r="D372"/>
    </row>
    <row r="373" spans="1:4">
      <c r="A373" t="s">
        <v>922</v>
      </c>
      <c r="B373" s="4" t="s">
        <v>1699</v>
      </c>
      <c r="C373" t="s">
        <v>5009</v>
      </c>
      <c r="D373"/>
    </row>
    <row r="374" spans="1:4">
      <c r="A374" t="s">
        <v>922</v>
      </c>
      <c r="B374" s="4" t="s">
        <v>1699</v>
      </c>
      <c r="C374" t="s">
        <v>5010</v>
      </c>
      <c r="D374"/>
    </row>
    <row r="375" spans="1:4">
      <c r="A375" t="s">
        <v>3315</v>
      </c>
      <c r="B375" s="4" t="s">
        <v>3559</v>
      </c>
      <c r="C375" t="s">
        <v>5011</v>
      </c>
      <c r="D375" t="s">
        <v>5012</v>
      </c>
    </row>
    <row r="376" spans="1:4">
      <c r="A376" t="s">
        <v>3315</v>
      </c>
      <c r="B376" s="4" t="s">
        <v>3559</v>
      </c>
      <c r="C376" t="s">
        <v>5013</v>
      </c>
      <c r="D376" t="s">
        <v>5014</v>
      </c>
    </row>
    <row r="377" spans="1:4">
      <c r="A377" t="s">
        <v>3315</v>
      </c>
      <c r="B377" s="4" t="s">
        <v>3559</v>
      </c>
      <c r="C377" t="s">
        <v>5015</v>
      </c>
      <c r="D377" t="s">
        <v>5016</v>
      </c>
    </row>
    <row r="378" spans="1:4">
      <c r="A378" t="s">
        <v>3315</v>
      </c>
      <c r="B378" s="4" t="s">
        <v>3559</v>
      </c>
      <c r="C378" t="s">
        <v>5017</v>
      </c>
      <c r="D378" t="s">
        <v>5018</v>
      </c>
    </row>
    <row r="379" spans="1:4">
      <c r="A379" t="s">
        <v>3997</v>
      </c>
      <c r="B379" t="s">
        <v>1209</v>
      </c>
      <c r="C379" t="s">
        <v>5019</v>
      </c>
      <c r="D379" t="s">
        <v>5020</v>
      </c>
    </row>
    <row r="380" spans="1:4">
      <c r="A380" t="s">
        <v>3997</v>
      </c>
      <c r="B380" t="s">
        <v>1209</v>
      </c>
      <c r="C380" t="s">
        <v>5021</v>
      </c>
      <c r="D380" t="s">
        <v>5022</v>
      </c>
    </row>
    <row r="381" spans="1:4">
      <c r="A381" t="s">
        <v>3997</v>
      </c>
      <c r="B381" t="s">
        <v>1209</v>
      </c>
      <c r="C381" t="s">
        <v>5023</v>
      </c>
      <c r="D381" t="s">
        <v>5024</v>
      </c>
    </row>
    <row r="382" spans="1:4">
      <c r="A382" t="s">
        <v>3997</v>
      </c>
      <c r="B382" t="s">
        <v>1209</v>
      </c>
      <c r="C382" t="s">
        <v>5025</v>
      </c>
      <c r="D382" t="s">
        <v>5026</v>
      </c>
    </row>
    <row r="383" spans="1:4">
      <c r="A383" t="s">
        <v>3997</v>
      </c>
      <c r="B383" t="s">
        <v>1209</v>
      </c>
      <c r="C383" t="s">
        <v>5027</v>
      </c>
      <c r="D383" t="s">
        <v>5028</v>
      </c>
    </row>
    <row r="384" spans="1:4">
      <c r="A384" t="s">
        <v>3997</v>
      </c>
      <c r="B384" t="s">
        <v>1209</v>
      </c>
      <c r="C384" t="s">
        <v>5029</v>
      </c>
      <c r="D384" t="s">
        <v>5030</v>
      </c>
    </row>
    <row r="385" spans="1:4">
      <c r="A385" t="s">
        <v>3997</v>
      </c>
      <c r="B385" t="s">
        <v>1209</v>
      </c>
      <c r="C385" t="s">
        <v>5031</v>
      </c>
      <c r="D385" t="s">
        <v>5032</v>
      </c>
    </row>
    <row r="386" spans="1:4">
      <c r="A386" t="s">
        <v>3997</v>
      </c>
      <c r="B386" t="s">
        <v>1209</v>
      </c>
      <c r="C386" t="s">
        <v>5033</v>
      </c>
      <c r="D386" t="s">
        <v>5034</v>
      </c>
    </row>
    <row r="387" spans="1:4">
      <c r="A387" s="4" t="s">
        <v>2342</v>
      </c>
      <c r="B387" s="4" t="s">
        <v>1209</v>
      </c>
      <c r="C387" s="4" t="s">
        <v>5035</v>
      </c>
      <c r="D387" s="4" t="s">
        <v>5036</v>
      </c>
    </row>
    <row r="388" spans="1:4">
      <c r="A388" s="4" t="s">
        <v>2342</v>
      </c>
      <c r="B388" s="4" t="s">
        <v>1209</v>
      </c>
      <c r="C388" s="4" t="s">
        <v>5037</v>
      </c>
      <c r="D388" s="4" t="s">
        <v>5038</v>
      </c>
    </row>
    <row r="389" spans="1:4">
      <c r="A389" s="4" t="s">
        <v>2342</v>
      </c>
      <c r="B389" s="4" t="s">
        <v>1209</v>
      </c>
      <c r="C389" s="4" t="s">
        <v>5039</v>
      </c>
      <c r="D389" s="4" t="s">
        <v>5040</v>
      </c>
    </row>
    <row r="390" spans="1:4">
      <c r="A390" s="4" t="s">
        <v>2342</v>
      </c>
      <c r="B390" s="4" t="s">
        <v>1209</v>
      </c>
      <c r="C390" s="4" t="s">
        <v>5041</v>
      </c>
      <c r="D390" s="4" t="s">
        <v>5042</v>
      </c>
    </row>
    <row r="391" spans="1:4">
      <c r="A391" s="4" t="s">
        <v>2342</v>
      </c>
      <c r="B391" s="4" t="s">
        <v>1209</v>
      </c>
      <c r="C391" t="s">
        <v>5043</v>
      </c>
      <c r="D391" t="s">
        <v>5044</v>
      </c>
    </row>
    <row r="392" spans="1:4">
      <c r="A392" s="4" t="s">
        <v>2342</v>
      </c>
      <c r="B392" s="4" t="s">
        <v>1209</v>
      </c>
      <c r="C392" t="s">
        <v>5045</v>
      </c>
      <c r="D392" t="s">
        <v>5046</v>
      </c>
    </row>
    <row r="393" spans="1:4">
      <c r="A393" t="s">
        <v>1091</v>
      </c>
      <c r="B393" t="s">
        <v>1209</v>
      </c>
      <c r="C393" t="s">
        <v>5047</v>
      </c>
      <c r="D393" t="s">
        <v>5048</v>
      </c>
    </row>
    <row r="394" spans="1:4">
      <c r="A394" t="s">
        <v>1091</v>
      </c>
      <c r="B394" t="s">
        <v>1209</v>
      </c>
      <c r="C394" t="s">
        <v>5049</v>
      </c>
      <c r="D394" t="s">
        <v>5050</v>
      </c>
    </row>
    <row r="395" spans="1:4">
      <c r="A395" t="s">
        <v>1091</v>
      </c>
      <c r="B395" t="s">
        <v>1209</v>
      </c>
      <c r="C395" t="s">
        <v>5051</v>
      </c>
      <c r="D395" t="s">
        <v>5052</v>
      </c>
    </row>
    <row r="396" spans="1:4">
      <c r="A396" t="s">
        <v>1091</v>
      </c>
      <c r="B396" t="s">
        <v>1209</v>
      </c>
      <c r="C396" t="s">
        <v>5053</v>
      </c>
      <c r="D396" t="s">
        <v>5054</v>
      </c>
    </row>
    <row r="397" spans="1:4">
      <c r="A397" t="s">
        <v>1094</v>
      </c>
      <c r="B397" s="4" t="s">
        <v>1209</v>
      </c>
      <c r="C397" s="4" t="s">
        <v>5055</v>
      </c>
      <c r="D397" s="4" t="s">
        <v>5056</v>
      </c>
    </row>
    <row r="398" spans="1:4">
      <c r="A398" t="s">
        <v>1094</v>
      </c>
      <c r="B398" s="4" t="s">
        <v>1209</v>
      </c>
      <c r="C398" s="4" t="s">
        <v>5057</v>
      </c>
      <c r="D398" s="4" t="s">
        <v>5058</v>
      </c>
    </row>
    <row r="399" spans="1:4">
      <c r="A399" t="s">
        <v>3945</v>
      </c>
      <c r="B399" t="s">
        <v>1209</v>
      </c>
      <c r="C399" t="s">
        <v>5059</v>
      </c>
      <c r="D399" t="s">
        <v>5060</v>
      </c>
    </row>
    <row r="400" spans="1:4">
      <c r="A400" t="s">
        <v>3945</v>
      </c>
      <c r="B400" t="s">
        <v>1209</v>
      </c>
      <c r="C400" t="s">
        <v>5061</v>
      </c>
      <c r="D400" t="s">
        <v>4588</v>
      </c>
    </row>
    <row r="401" spans="1:4">
      <c r="A401" t="s">
        <v>3945</v>
      </c>
      <c r="B401" t="s">
        <v>1209</v>
      </c>
      <c r="C401" t="s">
        <v>5062</v>
      </c>
      <c r="D401" t="s">
        <v>5063</v>
      </c>
    </row>
    <row r="402" spans="1:4">
      <c r="A402" t="s">
        <v>3945</v>
      </c>
      <c r="B402" t="s">
        <v>1209</v>
      </c>
      <c r="C402" t="s">
        <v>5064</v>
      </c>
      <c r="D402" t="s">
        <v>5065</v>
      </c>
    </row>
    <row r="403" spans="1:4">
      <c r="A403" t="s">
        <v>3945</v>
      </c>
      <c r="B403" t="s">
        <v>1209</v>
      </c>
      <c r="C403" t="s">
        <v>5066</v>
      </c>
      <c r="D403" t="s">
        <v>5067</v>
      </c>
    </row>
    <row r="404" spans="1:4">
      <c r="A404" t="s">
        <v>3945</v>
      </c>
      <c r="B404" t="s">
        <v>1209</v>
      </c>
      <c r="C404" t="s">
        <v>5068</v>
      </c>
      <c r="D404" t="s">
        <v>5069</v>
      </c>
    </row>
    <row r="405" spans="1:4">
      <c r="A405" s="4" t="s">
        <v>1213</v>
      </c>
      <c r="B405" s="4" t="s">
        <v>1209</v>
      </c>
      <c r="C405" s="4" t="s">
        <v>4637</v>
      </c>
      <c r="D405" s="4" t="s">
        <v>5070</v>
      </c>
    </row>
    <row r="406" spans="1:4">
      <c r="A406" t="s">
        <v>2519</v>
      </c>
      <c r="B406" t="s">
        <v>1209</v>
      </c>
      <c r="C406" t="s">
        <v>4710</v>
      </c>
      <c r="D406" t="s">
        <v>4711</v>
      </c>
    </row>
    <row r="407" spans="1:4">
      <c r="A407" t="s">
        <v>2519</v>
      </c>
      <c r="B407" t="s">
        <v>1209</v>
      </c>
      <c r="C407" t="s">
        <v>4673</v>
      </c>
      <c r="D407" t="s">
        <v>4674</v>
      </c>
    </row>
    <row r="408" spans="1:4">
      <c r="A408" t="s">
        <v>2519</v>
      </c>
      <c r="B408" t="s">
        <v>1209</v>
      </c>
      <c r="C408" t="s">
        <v>4888</v>
      </c>
      <c r="D408" t="s">
        <v>5071</v>
      </c>
    </row>
    <row r="409" spans="1:4">
      <c r="A409" t="s">
        <v>2519</v>
      </c>
      <c r="B409" t="s">
        <v>1209</v>
      </c>
      <c r="C409" t="s">
        <v>4890</v>
      </c>
      <c r="D409" t="s">
        <v>5072</v>
      </c>
    </row>
    <row r="410" spans="1:4">
      <c r="A410" t="s">
        <v>2519</v>
      </c>
      <c r="B410" t="s">
        <v>1209</v>
      </c>
      <c r="C410" t="s">
        <v>4892</v>
      </c>
      <c r="D410" t="s">
        <v>5073</v>
      </c>
    </row>
    <row r="411" spans="1:4">
      <c r="A411" s="4" t="s">
        <v>2620</v>
      </c>
      <c r="B411" s="4" t="s">
        <v>879</v>
      </c>
      <c r="C411" s="4" t="s">
        <v>5074</v>
      </c>
      <c r="D411" s="4" t="s">
        <v>5074</v>
      </c>
    </row>
    <row r="412" spans="1:4">
      <c r="A412" s="4" t="s">
        <v>2620</v>
      </c>
      <c r="B412" s="4" t="s">
        <v>879</v>
      </c>
      <c r="C412" s="4" t="s">
        <v>5075</v>
      </c>
      <c r="D412" s="4" t="s">
        <v>5075</v>
      </c>
    </row>
    <row r="413" spans="1:4">
      <c r="A413" s="4" t="s">
        <v>2620</v>
      </c>
      <c r="B413" s="4" t="s">
        <v>879</v>
      </c>
      <c r="C413" s="4" t="s">
        <v>5076</v>
      </c>
      <c r="D413" s="4" t="s">
        <v>5076</v>
      </c>
    </row>
    <row r="414" spans="1:4">
      <c r="A414" s="4" t="s">
        <v>2620</v>
      </c>
      <c r="B414" s="4" t="s">
        <v>879</v>
      </c>
      <c r="C414" s="4" t="s">
        <v>5077</v>
      </c>
      <c r="D414" s="4" t="s">
        <v>5077</v>
      </c>
    </row>
    <row r="415" spans="1:4">
      <c r="A415" s="4" t="s">
        <v>2620</v>
      </c>
      <c r="B415" s="4" t="s">
        <v>879</v>
      </c>
      <c r="C415" s="4" t="s">
        <v>5078</v>
      </c>
      <c r="D415" s="4" t="s">
        <v>5078</v>
      </c>
    </row>
    <row r="416" spans="1:4">
      <c r="A416" s="4" t="s">
        <v>2620</v>
      </c>
      <c r="B416" s="4" t="s">
        <v>879</v>
      </c>
      <c r="C416" s="4" t="s">
        <v>5079</v>
      </c>
      <c r="D416" s="4" t="s">
        <v>5079</v>
      </c>
    </row>
    <row r="417" spans="1:4">
      <c r="A417" s="4" t="s">
        <v>2620</v>
      </c>
      <c r="B417" s="4" t="s">
        <v>879</v>
      </c>
      <c r="C417" s="4" t="s">
        <v>5080</v>
      </c>
      <c r="D417" s="4" t="s">
        <v>5080</v>
      </c>
    </row>
    <row r="418" spans="1:4">
      <c r="A418" s="4" t="s">
        <v>2620</v>
      </c>
      <c r="B418" s="4" t="s">
        <v>879</v>
      </c>
      <c r="C418" s="4" t="s">
        <v>5081</v>
      </c>
      <c r="D418" s="4" t="s">
        <v>5081</v>
      </c>
    </row>
    <row r="419" spans="1:4">
      <c r="A419" s="4" t="s">
        <v>2620</v>
      </c>
      <c r="B419" s="4" t="s">
        <v>879</v>
      </c>
      <c r="C419" s="4" t="s">
        <v>5082</v>
      </c>
      <c r="D419" s="4" t="s">
        <v>5082</v>
      </c>
    </row>
    <row r="420" spans="1:4">
      <c r="A420" s="4" t="s">
        <v>2620</v>
      </c>
      <c r="B420" s="4" t="s">
        <v>879</v>
      </c>
      <c r="C420" s="4" t="s">
        <v>5083</v>
      </c>
      <c r="D420" s="4" t="s">
        <v>5083</v>
      </c>
    </row>
    <row r="421" spans="1:4">
      <c r="A421" s="4" t="s">
        <v>2620</v>
      </c>
      <c r="B421" s="4" t="s">
        <v>879</v>
      </c>
      <c r="C421" s="4" t="s">
        <v>5084</v>
      </c>
      <c r="D421" s="4" t="s">
        <v>5084</v>
      </c>
    </row>
    <row r="422" spans="1:4">
      <c r="A422" s="4" t="s">
        <v>2620</v>
      </c>
      <c r="B422" s="4" t="s">
        <v>879</v>
      </c>
      <c r="C422" s="4" t="s">
        <v>5085</v>
      </c>
      <c r="D422" s="4" t="s">
        <v>5085</v>
      </c>
    </row>
    <row r="423" spans="1:4">
      <c r="A423" s="4" t="s">
        <v>2620</v>
      </c>
      <c r="B423" s="4" t="s">
        <v>879</v>
      </c>
      <c r="C423" t="s">
        <v>5086</v>
      </c>
      <c r="D423" t="s">
        <v>5086</v>
      </c>
    </row>
    <row r="424" spans="1:4">
      <c r="A424" s="4" t="s">
        <v>2620</v>
      </c>
      <c r="B424" s="4" t="s">
        <v>879</v>
      </c>
      <c r="C424" t="s">
        <v>5087</v>
      </c>
      <c r="D424" t="s">
        <v>5087</v>
      </c>
    </row>
    <row r="425" spans="1:4">
      <c r="A425" s="4" t="s">
        <v>2620</v>
      </c>
      <c r="B425" s="4" t="s">
        <v>879</v>
      </c>
      <c r="C425" t="s">
        <v>5088</v>
      </c>
      <c r="D425" t="s">
        <v>5088</v>
      </c>
    </row>
    <row r="426" spans="1:4">
      <c r="A426" s="4" t="s">
        <v>2802</v>
      </c>
      <c r="B426" s="4" t="s">
        <v>1209</v>
      </c>
      <c r="C426" s="4" t="s">
        <v>5089</v>
      </c>
      <c r="D426" s="4" t="s">
        <v>5090</v>
      </c>
    </row>
    <row r="427" spans="1:4">
      <c r="A427" s="4" t="s">
        <v>2802</v>
      </c>
      <c r="B427" s="4" t="s">
        <v>1209</v>
      </c>
      <c r="C427" s="4" t="s">
        <v>4888</v>
      </c>
      <c r="D427" s="4" t="s">
        <v>5071</v>
      </c>
    </row>
    <row r="428" spans="1:4">
      <c r="A428" s="4" t="s">
        <v>2802</v>
      </c>
      <c r="B428" s="4" t="s">
        <v>1209</v>
      </c>
      <c r="C428" s="4" t="s">
        <v>5091</v>
      </c>
      <c r="D428" s="4" t="s">
        <v>5072</v>
      </c>
    </row>
    <row r="429" spans="1:4">
      <c r="A429" s="4" t="s">
        <v>2802</v>
      </c>
      <c r="B429" s="4" t="s">
        <v>1209</v>
      </c>
      <c r="C429" s="4" t="s">
        <v>5092</v>
      </c>
      <c r="D429" s="4" t="s">
        <v>5073</v>
      </c>
    </row>
    <row r="430" spans="1:4">
      <c r="A430" s="4" t="s">
        <v>2802</v>
      </c>
      <c r="B430" s="4" t="s">
        <v>1209</v>
      </c>
      <c r="C430" s="4" t="s">
        <v>4894</v>
      </c>
      <c r="D430" s="4" t="s">
        <v>5093</v>
      </c>
    </row>
    <row r="431" spans="1:4">
      <c r="A431" s="4" t="s">
        <v>2802</v>
      </c>
      <c r="B431" s="4" t="s">
        <v>1209</v>
      </c>
      <c r="C431" s="4" t="s">
        <v>5094</v>
      </c>
      <c r="D431" s="4" t="s">
        <v>5095</v>
      </c>
    </row>
    <row r="432" spans="1:4">
      <c r="A432" s="4" t="s">
        <v>2802</v>
      </c>
      <c r="B432" s="4" t="s">
        <v>1209</v>
      </c>
      <c r="C432" s="4" t="s">
        <v>4897</v>
      </c>
      <c r="D432" s="4" t="s">
        <v>5096</v>
      </c>
    </row>
    <row r="433" spans="1:4">
      <c r="A433" s="4" t="s">
        <v>2802</v>
      </c>
      <c r="B433" s="4" t="s">
        <v>1209</v>
      </c>
      <c r="C433" s="4" t="s">
        <v>5097</v>
      </c>
      <c r="D433" s="4" t="s">
        <v>5098</v>
      </c>
    </row>
    <row r="434" spans="1:4">
      <c r="A434" s="4" t="s">
        <v>2802</v>
      </c>
      <c r="B434" s="4" t="s">
        <v>1209</v>
      </c>
      <c r="C434" s="4" t="s">
        <v>5099</v>
      </c>
      <c r="D434" s="4" t="s">
        <v>5100</v>
      </c>
    </row>
    <row r="435" spans="1:4">
      <c r="A435" s="4" t="s">
        <v>2802</v>
      </c>
      <c r="B435" s="4" t="s">
        <v>1209</v>
      </c>
      <c r="C435" s="4" t="s">
        <v>4903</v>
      </c>
      <c r="D435" s="4" t="s">
        <v>5101</v>
      </c>
    </row>
    <row r="436" spans="1:4">
      <c r="A436" s="4" t="s">
        <v>2802</v>
      </c>
      <c r="B436" s="4" t="s">
        <v>1209</v>
      </c>
      <c r="C436" s="4" t="s">
        <v>4421</v>
      </c>
      <c r="D436" s="4" t="s">
        <v>5102</v>
      </c>
    </row>
    <row r="437" spans="1:4">
      <c r="A437" s="4" t="s">
        <v>2802</v>
      </c>
      <c r="B437" s="4" t="s">
        <v>1209</v>
      </c>
      <c r="C437" s="4" t="s">
        <v>4906</v>
      </c>
      <c r="D437" s="4" t="s">
        <v>5103</v>
      </c>
    </row>
    <row r="438" spans="1:4">
      <c r="A438" s="4" t="s">
        <v>2802</v>
      </c>
      <c r="B438" s="4" t="s">
        <v>1209</v>
      </c>
      <c r="C438" s="4" t="s">
        <v>4908</v>
      </c>
      <c r="D438" s="4" t="s">
        <v>5104</v>
      </c>
    </row>
    <row r="439" spans="1:4">
      <c r="A439" s="4" t="s">
        <v>2802</v>
      </c>
      <c r="B439" s="4" t="s">
        <v>1209</v>
      </c>
      <c r="C439" s="4" t="s">
        <v>4602</v>
      </c>
      <c r="D439" s="4" t="s">
        <v>4660</v>
      </c>
    </row>
    <row r="440" spans="1:4">
      <c r="A440" s="4" t="s">
        <v>2815</v>
      </c>
      <c r="B440" s="4" t="s">
        <v>1209</v>
      </c>
      <c r="C440" s="4" t="s">
        <v>4861</v>
      </c>
      <c r="D440" s="4" t="s">
        <v>4862</v>
      </c>
    </row>
    <row r="441" spans="1:4">
      <c r="A441" s="4" t="s">
        <v>2815</v>
      </c>
      <c r="B441" s="4" t="s">
        <v>1209</v>
      </c>
      <c r="C441" s="4" t="s">
        <v>5105</v>
      </c>
      <c r="D441" s="4" t="s">
        <v>5106</v>
      </c>
    </row>
    <row r="442" spans="1:4">
      <c r="A442" s="4" t="s">
        <v>2815</v>
      </c>
      <c r="B442" s="4" t="s">
        <v>1209</v>
      </c>
      <c r="C442" s="4" t="s">
        <v>5107</v>
      </c>
      <c r="D442" s="4" t="s">
        <v>5108</v>
      </c>
    </row>
    <row r="443" spans="1:4">
      <c r="A443" s="4" t="s">
        <v>1713</v>
      </c>
      <c r="B443" s="4" t="s">
        <v>1209</v>
      </c>
      <c r="C443" s="4" t="s">
        <v>4484</v>
      </c>
      <c r="D443" s="4" t="s">
        <v>4588</v>
      </c>
    </row>
    <row r="444" spans="1:4">
      <c r="A444" s="4" t="s">
        <v>1713</v>
      </c>
      <c r="B444" s="4" t="s">
        <v>1209</v>
      </c>
      <c r="C444" s="4" t="s">
        <v>4589</v>
      </c>
      <c r="D444" s="4" t="s">
        <v>5109</v>
      </c>
    </row>
    <row r="445" spans="1:4">
      <c r="A445" s="4" t="s">
        <v>1713</v>
      </c>
      <c r="B445" s="4" t="s">
        <v>1209</v>
      </c>
      <c r="C445" s="4" t="s">
        <v>854</v>
      </c>
      <c r="D445" s="4" t="s">
        <v>854</v>
      </c>
    </row>
    <row r="446" spans="1:4">
      <c r="A446" s="4" t="s">
        <v>1713</v>
      </c>
      <c r="B446" s="4" t="s">
        <v>1209</v>
      </c>
      <c r="C446" s="4" t="s">
        <v>4591</v>
      </c>
      <c r="D446" s="4" t="s">
        <v>4592</v>
      </c>
    </row>
    <row r="447" spans="1:4">
      <c r="A447" s="4" t="s">
        <v>1713</v>
      </c>
      <c r="B447" s="4" t="s">
        <v>1209</v>
      </c>
      <c r="C447" s="4" t="s">
        <v>4600</v>
      </c>
      <c r="D447" s="4" t="s">
        <v>4601</v>
      </c>
    </row>
    <row r="448" spans="1:4">
      <c r="A448" s="4" t="s">
        <v>1713</v>
      </c>
      <c r="B448" s="4" t="s">
        <v>1209</v>
      </c>
      <c r="C448" s="4" t="s">
        <v>4593</v>
      </c>
      <c r="D448" s="4" t="s">
        <v>4594</v>
      </c>
    </row>
    <row r="449" spans="1:4">
      <c r="A449" s="4" t="s">
        <v>1713</v>
      </c>
      <c r="B449" s="4" t="s">
        <v>1209</v>
      </c>
      <c r="C449" s="4" t="s">
        <v>4801</v>
      </c>
      <c r="D449" s="4" t="s">
        <v>5110</v>
      </c>
    </row>
    <row r="450" spans="1:4">
      <c r="A450" s="4" t="s">
        <v>1713</v>
      </c>
      <c r="B450" s="4" t="s">
        <v>1209</v>
      </c>
      <c r="C450" s="4" t="s">
        <v>5111</v>
      </c>
      <c r="D450" s="4" t="s">
        <v>5112</v>
      </c>
    </row>
    <row r="451" spans="1:4">
      <c r="A451" s="67" t="s">
        <v>1720</v>
      </c>
      <c r="B451" s="52" t="s">
        <v>1209</v>
      </c>
      <c r="C451" s="67" t="s">
        <v>5113</v>
      </c>
      <c r="D451" s="67" t="s">
        <v>5114</v>
      </c>
    </row>
    <row r="452" spans="1:4">
      <c r="A452" s="67" t="s">
        <v>1720</v>
      </c>
      <c r="B452" s="52" t="s">
        <v>1209</v>
      </c>
      <c r="C452" s="67" t="s">
        <v>5115</v>
      </c>
      <c r="D452" s="67" t="s">
        <v>5116</v>
      </c>
    </row>
    <row r="453" spans="1:4">
      <c r="A453" s="67" t="s">
        <v>1720</v>
      </c>
      <c r="B453" s="52" t="s">
        <v>1209</v>
      </c>
      <c r="C453" s="67" t="s">
        <v>5117</v>
      </c>
      <c r="D453" s="67" t="s">
        <v>5118</v>
      </c>
    </row>
    <row r="454" spans="1:4">
      <c r="A454" s="67" t="s">
        <v>1720</v>
      </c>
      <c r="B454" s="52" t="s">
        <v>1209</v>
      </c>
      <c r="C454" s="67" t="s">
        <v>5119</v>
      </c>
      <c r="D454" s="67" t="s">
        <v>5120</v>
      </c>
    </row>
    <row r="455" spans="1:4">
      <c r="A455" s="67" t="s">
        <v>1720</v>
      </c>
      <c r="B455" s="52" t="s">
        <v>1209</v>
      </c>
      <c r="C455" s="67" t="s">
        <v>5121</v>
      </c>
      <c r="D455" s="67" t="s">
        <v>5122</v>
      </c>
    </row>
    <row r="456" spans="1:4">
      <c r="A456" s="67" t="s">
        <v>1720</v>
      </c>
      <c r="B456" s="52" t="s">
        <v>1209</v>
      </c>
      <c r="C456" s="67" t="s">
        <v>5123</v>
      </c>
      <c r="D456" s="67" t="s">
        <v>5124</v>
      </c>
    </row>
    <row r="457" spans="1:4">
      <c r="A457" s="67" t="s">
        <v>1720</v>
      </c>
      <c r="B457" s="52" t="s">
        <v>1209</v>
      </c>
      <c r="C457" s="67" t="s">
        <v>5125</v>
      </c>
      <c r="D457" s="67" t="s">
        <v>5126</v>
      </c>
    </row>
    <row r="458" spans="1:4">
      <c r="A458" s="67" t="s">
        <v>1720</v>
      </c>
      <c r="B458" s="52" t="s">
        <v>1209</v>
      </c>
      <c r="C458" s="67" t="s">
        <v>5127</v>
      </c>
      <c r="D458" s="67" t="s">
        <v>5128</v>
      </c>
    </row>
    <row r="459" spans="1:4">
      <c r="A459" s="67" t="s">
        <v>1720</v>
      </c>
      <c r="B459" s="52" t="s">
        <v>1209</v>
      </c>
      <c r="C459" s="67" t="s">
        <v>5129</v>
      </c>
      <c r="D459" s="67" t="s">
        <v>5130</v>
      </c>
    </row>
    <row r="460" spans="1:4">
      <c r="A460" s="67" t="s">
        <v>1720</v>
      </c>
      <c r="B460" s="52" t="s">
        <v>1209</v>
      </c>
      <c r="C460" s="67" t="s">
        <v>5131</v>
      </c>
      <c r="D460" s="67" t="s">
        <v>5132</v>
      </c>
    </row>
    <row r="461" spans="1:4">
      <c r="A461" s="67" t="s">
        <v>1720</v>
      </c>
      <c r="B461" s="52" t="s">
        <v>1209</v>
      </c>
      <c r="C461" s="67" t="s">
        <v>5133</v>
      </c>
      <c r="D461" s="67" t="s">
        <v>5134</v>
      </c>
    </row>
    <row r="462" spans="1:4">
      <c r="A462" s="67" t="s">
        <v>1720</v>
      </c>
      <c r="B462" s="52" t="s">
        <v>1209</v>
      </c>
      <c r="C462" s="67" t="s">
        <v>5135</v>
      </c>
      <c r="D462" s="67" t="s">
        <v>5136</v>
      </c>
    </row>
    <row r="463" spans="1:4">
      <c r="A463" s="67" t="s">
        <v>1724</v>
      </c>
      <c r="B463" s="52" t="s">
        <v>1287</v>
      </c>
      <c r="C463" s="67" t="s">
        <v>5137</v>
      </c>
      <c r="D463" s="67" t="s">
        <v>5138</v>
      </c>
    </row>
    <row r="464" spans="1:4">
      <c r="A464" s="67" t="s">
        <v>1724</v>
      </c>
      <c r="B464" s="52" t="s">
        <v>1287</v>
      </c>
      <c r="C464" s="67" t="s">
        <v>5139</v>
      </c>
      <c r="D464" s="67" t="s">
        <v>5140</v>
      </c>
    </row>
    <row r="465" spans="1:4">
      <c r="A465" t="s">
        <v>3605</v>
      </c>
      <c r="B465" t="s">
        <v>1209</v>
      </c>
      <c r="C465" t="s">
        <v>4673</v>
      </c>
      <c r="D465" t="s">
        <v>4674</v>
      </c>
    </row>
    <row r="466" spans="1:4">
      <c r="A466" t="s">
        <v>3605</v>
      </c>
      <c r="B466" t="s">
        <v>1209</v>
      </c>
      <c r="C466" t="s">
        <v>4659</v>
      </c>
      <c r="D466" t="s">
        <v>4660</v>
      </c>
    </row>
    <row r="467" spans="1:4">
      <c r="A467" s="4" t="s">
        <v>1734</v>
      </c>
      <c r="B467" s="4" t="s">
        <v>1209</v>
      </c>
      <c r="C467" s="22" t="s">
        <v>4621</v>
      </c>
      <c r="D467" s="4" t="s">
        <v>5141</v>
      </c>
    </row>
    <row r="468" spans="1:4">
      <c r="A468" s="4" t="s">
        <v>1734</v>
      </c>
      <c r="B468" s="4" t="s">
        <v>1209</v>
      </c>
      <c r="C468" s="22" t="s">
        <v>4712</v>
      </c>
      <c r="D468" s="4" t="s">
        <v>5142</v>
      </c>
    </row>
    <row r="469" spans="1:4">
      <c r="A469" s="4" t="s">
        <v>1734</v>
      </c>
      <c r="B469" s="4" t="s">
        <v>1209</v>
      </c>
      <c r="C469" s="22" t="s">
        <v>4623</v>
      </c>
      <c r="D469" s="4" t="s">
        <v>5143</v>
      </c>
    </row>
    <row r="470" spans="1:4">
      <c r="A470" s="4" t="s">
        <v>1734</v>
      </c>
      <c r="B470" s="4" t="s">
        <v>1209</v>
      </c>
      <c r="C470" s="22" t="s">
        <v>5144</v>
      </c>
      <c r="D470" s="4" t="s">
        <v>5145</v>
      </c>
    </row>
    <row r="471" spans="1:4">
      <c r="A471" s="4" t="s">
        <v>1734</v>
      </c>
      <c r="B471" s="4" t="s">
        <v>1209</v>
      </c>
      <c r="C471" s="22" t="s">
        <v>5146</v>
      </c>
      <c r="D471" s="4" t="s">
        <v>5147</v>
      </c>
    </row>
    <row r="472" spans="1:4">
      <c r="A472" s="4" t="s">
        <v>1734</v>
      </c>
      <c r="B472" s="4" t="s">
        <v>1209</v>
      </c>
      <c r="C472" s="22" t="s">
        <v>5148</v>
      </c>
      <c r="D472" s="4" t="s">
        <v>5149</v>
      </c>
    </row>
    <row r="473" spans="1:4">
      <c r="A473" s="4" t="s">
        <v>1734</v>
      </c>
      <c r="B473" s="4" t="s">
        <v>1209</v>
      </c>
      <c r="C473" s="22" t="s">
        <v>5150</v>
      </c>
      <c r="D473" s="4" t="s">
        <v>5151</v>
      </c>
    </row>
    <row r="474" spans="1:4">
      <c r="A474" s="4" t="s">
        <v>1734</v>
      </c>
      <c r="B474" s="4" t="s">
        <v>1209</v>
      </c>
      <c r="C474" s="22" t="s">
        <v>5152</v>
      </c>
      <c r="D474" s="4" t="s">
        <v>5153</v>
      </c>
    </row>
    <row r="475" spans="1:4">
      <c r="A475" s="4" t="s">
        <v>1734</v>
      </c>
      <c r="B475" s="4" t="s">
        <v>1209</v>
      </c>
      <c r="C475" s="22" t="s">
        <v>5154</v>
      </c>
      <c r="D475" s="4" t="s">
        <v>5155</v>
      </c>
    </row>
    <row r="476" spans="1:4">
      <c r="A476" s="4" t="s">
        <v>1734</v>
      </c>
      <c r="B476" s="4" t="s">
        <v>1209</v>
      </c>
      <c r="C476" s="22" t="s">
        <v>5156</v>
      </c>
      <c r="D476" s="4" t="s">
        <v>5157</v>
      </c>
    </row>
    <row r="477" spans="1:4">
      <c r="A477" s="4" t="s">
        <v>1734</v>
      </c>
      <c r="B477" s="4" t="s">
        <v>1209</v>
      </c>
      <c r="C477" s="22" t="s">
        <v>5158</v>
      </c>
      <c r="D477" s="4" t="s">
        <v>5159</v>
      </c>
    </row>
    <row r="478" spans="1:4">
      <c r="A478" s="4" t="s">
        <v>1734</v>
      </c>
      <c r="B478" s="4" t="s">
        <v>1209</v>
      </c>
      <c r="C478" s="22" t="s">
        <v>5160</v>
      </c>
      <c r="D478" s="4" t="s">
        <v>5161</v>
      </c>
    </row>
    <row r="479" spans="1:4">
      <c r="A479" s="4" t="s">
        <v>1734</v>
      </c>
      <c r="B479" s="4" t="s">
        <v>1209</v>
      </c>
      <c r="C479" s="22" t="s">
        <v>5162</v>
      </c>
      <c r="D479" s="4" t="s">
        <v>5163</v>
      </c>
    </row>
    <row r="480" spans="1:4">
      <c r="A480" t="s">
        <v>1112</v>
      </c>
      <c r="B480" t="s">
        <v>1209</v>
      </c>
      <c r="C480" t="s">
        <v>853</v>
      </c>
      <c r="D480" t="s">
        <v>5164</v>
      </c>
    </row>
    <row r="481" spans="1:4">
      <c r="A481" t="s">
        <v>1115</v>
      </c>
      <c r="B481" t="s">
        <v>1209</v>
      </c>
      <c r="C481" t="s">
        <v>5165</v>
      </c>
      <c r="D481" t="s">
        <v>5166</v>
      </c>
    </row>
    <row r="482" spans="1:4">
      <c r="A482" t="s">
        <v>1115</v>
      </c>
      <c r="B482" t="s">
        <v>1209</v>
      </c>
      <c r="C482" t="s">
        <v>5167</v>
      </c>
      <c r="D482" t="s">
        <v>5168</v>
      </c>
    </row>
    <row r="483" spans="1:4">
      <c r="A483" t="s">
        <v>1115</v>
      </c>
      <c r="B483" t="s">
        <v>1209</v>
      </c>
      <c r="C483" t="s">
        <v>5169</v>
      </c>
      <c r="D483" t="s">
        <v>5170</v>
      </c>
    </row>
    <row r="484" spans="1:4">
      <c r="A484" t="s">
        <v>1115</v>
      </c>
      <c r="B484" t="s">
        <v>1209</v>
      </c>
      <c r="C484" t="s">
        <v>5171</v>
      </c>
      <c r="D484" t="s">
        <v>5172</v>
      </c>
    </row>
    <row r="485" spans="1:4">
      <c r="A485" s="4" t="s">
        <v>1913</v>
      </c>
      <c r="B485" s="4" t="s">
        <v>1209</v>
      </c>
      <c r="C485" s="4" t="s">
        <v>5173</v>
      </c>
      <c r="D485" s="4" t="s">
        <v>4618</v>
      </c>
    </row>
    <row r="486" spans="1:4">
      <c r="A486" s="4" t="s">
        <v>1913</v>
      </c>
      <c r="B486" s="4" t="s">
        <v>1209</v>
      </c>
      <c r="C486" s="4" t="s">
        <v>5174</v>
      </c>
      <c r="D486" s="4" t="s">
        <v>5175</v>
      </c>
    </row>
    <row r="487" spans="1:4">
      <c r="A487" s="4" t="s">
        <v>1739</v>
      </c>
      <c r="B487" s="4" t="s">
        <v>1209</v>
      </c>
      <c r="C487" s="4" t="s">
        <v>5176</v>
      </c>
      <c r="D487" s="4" t="s">
        <v>5177</v>
      </c>
    </row>
    <row r="488" spans="1:4">
      <c r="A488" s="4" t="s">
        <v>1739</v>
      </c>
      <c r="B488" s="4" t="s">
        <v>1209</v>
      </c>
      <c r="C488" s="4" t="s">
        <v>5178</v>
      </c>
      <c r="D488" s="4" t="s">
        <v>5179</v>
      </c>
    </row>
    <row r="489" spans="1:4">
      <c r="A489" s="4" t="s">
        <v>1739</v>
      </c>
      <c r="B489" s="4" t="s">
        <v>1209</v>
      </c>
      <c r="C489" s="4" t="s">
        <v>5180</v>
      </c>
      <c r="D489" s="4" t="s">
        <v>5181</v>
      </c>
    </row>
    <row r="490" spans="1:4">
      <c r="A490" s="4" t="s">
        <v>1739</v>
      </c>
      <c r="B490" s="4" t="s">
        <v>1209</v>
      </c>
      <c r="C490" s="4" t="s">
        <v>5182</v>
      </c>
      <c r="D490" s="4" t="s">
        <v>5183</v>
      </c>
    </row>
    <row r="491" spans="1:4">
      <c r="A491" s="4" t="s">
        <v>1739</v>
      </c>
      <c r="B491" s="4" t="s">
        <v>1209</v>
      </c>
      <c r="C491" s="4" t="s">
        <v>5184</v>
      </c>
      <c r="D491" s="4" t="s">
        <v>5185</v>
      </c>
    </row>
    <row r="492" spans="1:4">
      <c r="A492" s="4" t="s">
        <v>1739</v>
      </c>
      <c r="B492" s="4" t="s">
        <v>1209</v>
      </c>
      <c r="C492" s="4" t="s">
        <v>5186</v>
      </c>
      <c r="D492" s="4" t="s">
        <v>5187</v>
      </c>
    </row>
    <row r="493" spans="1:4">
      <c r="A493" s="4" t="s">
        <v>1739</v>
      </c>
      <c r="B493" s="4" t="s">
        <v>1209</v>
      </c>
      <c r="C493" s="4" t="s">
        <v>5188</v>
      </c>
      <c r="D493" s="4" t="s">
        <v>5189</v>
      </c>
    </row>
    <row r="494" spans="1:4">
      <c r="A494" s="4" t="s">
        <v>1739</v>
      </c>
      <c r="B494" s="4" t="s">
        <v>1209</v>
      </c>
      <c r="C494" s="4" t="s">
        <v>5190</v>
      </c>
      <c r="D494" s="4" t="s">
        <v>5191</v>
      </c>
    </row>
    <row r="495" spans="1:4">
      <c r="A495" s="4" t="s">
        <v>1739</v>
      </c>
      <c r="B495" s="4" t="s">
        <v>1209</v>
      </c>
      <c r="C495" t="s">
        <v>5192</v>
      </c>
      <c r="D495" t="s">
        <v>5193</v>
      </c>
    </row>
    <row r="496" spans="1:4">
      <c r="A496" s="4" t="s">
        <v>1739</v>
      </c>
      <c r="B496" s="4" t="s">
        <v>1209</v>
      </c>
      <c r="C496" t="s">
        <v>5194</v>
      </c>
      <c r="D496" t="s">
        <v>5195</v>
      </c>
    </row>
    <row r="497" spans="1:4">
      <c r="A497" s="4" t="s">
        <v>1739</v>
      </c>
      <c r="B497" s="4" t="s">
        <v>1209</v>
      </c>
      <c r="C497" t="s">
        <v>5196</v>
      </c>
      <c r="D497" t="s">
        <v>5197</v>
      </c>
    </row>
    <row r="498" spans="1:4">
      <c r="A498" t="s">
        <v>3326</v>
      </c>
      <c r="B498" s="4" t="s">
        <v>3559</v>
      </c>
      <c r="C498" t="s">
        <v>5198</v>
      </c>
      <c r="D498" t="s">
        <v>5199</v>
      </c>
    </row>
    <row r="499" spans="1:4">
      <c r="A499" t="s">
        <v>3326</v>
      </c>
      <c r="B499" s="4" t="s">
        <v>3559</v>
      </c>
      <c r="C499" t="s">
        <v>5200</v>
      </c>
      <c r="D499" t="s">
        <v>5201</v>
      </c>
    </row>
    <row r="500" spans="1:4">
      <c r="A500" t="s">
        <v>3326</v>
      </c>
      <c r="B500" s="4" t="s">
        <v>3559</v>
      </c>
      <c r="C500" t="s">
        <v>5202</v>
      </c>
      <c r="D500" t="s">
        <v>5203</v>
      </c>
    </row>
    <row r="501" spans="1:4">
      <c r="A501" t="s">
        <v>3326</v>
      </c>
      <c r="B501" s="4" t="s">
        <v>3559</v>
      </c>
      <c r="C501" t="s">
        <v>4874</v>
      </c>
      <c r="D501" t="s">
        <v>4875</v>
      </c>
    </row>
    <row r="502" spans="1:4">
      <c r="A502" t="s">
        <v>3330</v>
      </c>
      <c r="B502" s="4" t="s">
        <v>1209</v>
      </c>
      <c r="C502" t="s">
        <v>5204</v>
      </c>
      <c r="D502" t="s">
        <v>5205</v>
      </c>
    </row>
    <row r="503" spans="1:4">
      <c r="A503" t="s">
        <v>3330</v>
      </c>
      <c r="B503" s="4" t="s">
        <v>1209</v>
      </c>
      <c r="C503" t="s">
        <v>5206</v>
      </c>
      <c r="D503" t="s">
        <v>5207</v>
      </c>
    </row>
    <row r="504" spans="1:4">
      <c r="A504" t="s">
        <v>3330</v>
      </c>
      <c r="B504" s="4" t="s">
        <v>1209</v>
      </c>
      <c r="C504" t="s">
        <v>5208</v>
      </c>
      <c r="D504" t="s">
        <v>5209</v>
      </c>
    </row>
    <row r="505" spans="1:4">
      <c r="A505" t="s">
        <v>3330</v>
      </c>
      <c r="B505" s="4" t="s">
        <v>1209</v>
      </c>
      <c r="C505" t="s">
        <v>5210</v>
      </c>
      <c r="D505" t="s">
        <v>5211</v>
      </c>
    </row>
    <row r="506" spans="1:4">
      <c r="A506" t="s">
        <v>3330</v>
      </c>
      <c r="B506" s="4" t="s">
        <v>1209</v>
      </c>
      <c r="C506" t="s">
        <v>5212</v>
      </c>
      <c r="D506" t="s">
        <v>5213</v>
      </c>
    </row>
    <row r="507" spans="1:4">
      <c r="A507" t="s">
        <v>3330</v>
      </c>
      <c r="B507" s="4" t="s">
        <v>1209</v>
      </c>
      <c r="C507" t="s">
        <v>5214</v>
      </c>
      <c r="D507" t="s">
        <v>5215</v>
      </c>
    </row>
    <row r="508" spans="1:4">
      <c r="A508" s="4" t="s">
        <v>3330</v>
      </c>
      <c r="B508" s="4" t="s">
        <v>1209</v>
      </c>
      <c r="C508" s="4" t="s">
        <v>5216</v>
      </c>
      <c r="D508" t="s">
        <v>5217</v>
      </c>
    </row>
    <row r="509" spans="1:4">
      <c r="A509" s="4" t="s">
        <v>1226</v>
      </c>
      <c r="B509" s="4" t="s">
        <v>1209</v>
      </c>
      <c r="C509" s="22" t="s">
        <v>4621</v>
      </c>
      <c r="D509" s="4" t="s">
        <v>5218</v>
      </c>
    </row>
    <row r="510" spans="1:4">
      <c r="A510" s="4" t="s">
        <v>1226</v>
      </c>
      <c r="B510" s="4" t="s">
        <v>1209</v>
      </c>
      <c r="C510" s="22" t="s">
        <v>5219</v>
      </c>
      <c r="D510" s="4" t="s">
        <v>5220</v>
      </c>
    </row>
    <row r="511" spans="1:4">
      <c r="A511" s="4" t="s">
        <v>1226</v>
      </c>
      <c r="B511" s="4" t="s">
        <v>1209</v>
      </c>
      <c r="C511" s="22" t="s">
        <v>5221</v>
      </c>
      <c r="D511" s="4" t="s">
        <v>5222</v>
      </c>
    </row>
    <row r="512" spans="1:4">
      <c r="A512" s="4" t="s">
        <v>1226</v>
      </c>
      <c r="B512" s="4" t="s">
        <v>1209</v>
      </c>
      <c r="C512" s="22" t="s">
        <v>5223</v>
      </c>
      <c r="D512" s="4" t="s">
        <v>5224</v>
      </c>
    </row>
    <row r="513" spans="1:4">
      <c r="A513" t="s">
        <v>2531</v>
      </c>
      <c r="B513" t="s">
        <v>1209</v>
      </c>
      <c r="C513" t="s">
        <v>4673</v>
      </c>
      <c r="D513" t="s">
        <v>4674</v>
      </c>
    </row>
    <row r="514" spans="1:4">
      <c r="A514" t="s">
        <v>2531</v>
      </c>
      <c r="B514" t="s">
        <v>1209</v>
      </c>
      <c r="C514" t="s">
        <v>4710</v>
      </c>
      <c r="D514" t="s">
        <v>4711</v>
      </c>
    </row>
    <row r="515" spans="1:4">
      <c r="A515" t="s">
        <v>2531</v>
      </c>
      <c r="B515" t="s">
        <v>1209</v>
      </c>
      <c r="C515" t="s">
        <v>5225</v>
      </c>
      <c r="D515" t="s">
        <v>5226</v>
      </c>
    </row>
    <row r="516" spans="1:4">
      <c r="A516" t="s">
        <v>2531</v>
      </c>
      <c r="B516" t="s">
        <v>1209</v>
      </c>
      <c r="C516" t="s">
        <v>5227</v>
      </c>
      <c r="D516" t="s">
        <v>5228</v>
      </c>
    </row>
    <row r="517" spans="1:4">
      <c r="A517" t="s">
        <v>2531</v>
      </c>
      <c r="B517" t="s">
        <v>1209</v>
      </c>
      <c r="C517" t="s">
        <v>5229</v>
      </c>
      <c r="D517" t="s">
        <v>5230</v>
      </c>
    </row>
    <row r="518" spans="1:4">
      <c r="A518" t="s">
        <v>2531</v>
      </c>
      <c r="B518" t="s">
        <v>1209</v>
      </c>
      <c r="C518" t="s">
        <v>5231</v>
      </c>
      <c r="D518" t="s">
        <v>5232</v>
      </c>
    </row>
    <row r="519" spans="1:4">
      <c r="A519" t="s">
        <v>2531</v>
      </c>
      <c r="B519" t="s">
        <v>1209</v>
      </c>
      <c r="C519" t="s">
        <v>5233</v>
      </c>
      <c r="D519" t="s">
        <v>5234</v>
      </c>
    </row>
    <row r="520" spans="1:4">
      <c r="A520" t="s">
        <v>2531</v>
      </c>
      <c r="B520" t="s">
        <v>1209</v>
      </c>
      <c r="C520" t="s">
        <v>5235</v>
      </c>
      <c r="D520" t="s">
        <v>5236</v>
      </c>
    </row>
    <row r="521" spans="1:4">
      <c r="A521" t="s">
        <v>3335</v>
      </c>
      <c r="B521" s="4" t="s">
        <v>1209</v>
      </c>
      <c r="D521"/>
    </row>
    <row r="522" spans="1:4">
      <c r="A522" t="s">
        <v>3335</v>
      </c>
      <c r="B522" s="4" t="s">
        <v>1209</v>
      </c>
      <c r="C522" t="s">
        <v>5237</v>
      </c>
      <c r="D522" t="s">
        <v>5238</v>
      </c>
    </row>
    <row r="523" spans="1:4">
      <c r="A523" t="s">
        <v>3335</v>
      </c>
      <c r="B523" s="4" t="s">
        <v>1209</v>
      </c>
      <c r="C523" t="s">
        <v>5239</v>
      </c>
      <c r="D523" t="s">
        <v>5240</v>
      </c>
    </row>
    <row r="524" spans="1:4">
      <c r="A524" t="s">
        <v>3335</v>
      </c>
      <c r="B524" s="4" t="s">
        <v>1209</v>
      </c>
      <c r="C524" t="s">
        <v>5241</v>
      </c>
      <c r="D524" t="s">
        <v>5242</v>
      </c>
    </row>
    <row r="525" spans="1:4">
      <c r="A525" t="s">
        <v>3335</v>
      </c>
      <c r="B525" s="4" t="s">
        <v>1209</v>
      </c>
      <c r="C525" t="s">
        <v>5243</v>
      </c>
      <c r="D525" t="s">
        <v>5244</v>
      </c>
    </row>
    <row r="526" spans="1:4">
      <c r="A526" s="4" t="s">
        <v>2538</v>
      </c>
      <c r="B526" s="4" t="s">
        <v>1209</v>
      </c>
      <c r="C526" s="4" t="s">
        <v>5245</v>
      </c>
      <c r="D526" s="4" t="s">
        <v>5246</v>
      </c>
    </row>
    <row r="527" spans="1:4">
      <c r="A527" s="4" t="s">
        <v>2538</v>
      </c>
      <c r="B527" s="4" t="s">
        <v>1209</v>
      </c>
      <c r="C527" s="4" t="s">
        <v>5247</v>
      </c>
      <c r="D527" s="4" t="s">
        <v>5248</v>
      </c>
    </row>
    <row r="528" spans="1:4">
      <c r="A528" s="4" t="s">
        <v>2538</v>
      </c>
      <c r="B528" s="4" t="s">
        <v>1209</v>
      </c>
      <c r="C528" s="4" t="s">
        <v>5249</v>
      </c>
      <c r="D528" s="4" t="s">
        <v>5250</v>
      </c>
    </row>
    <row r="529" spans="1:4">
      <c r="A529" s="4" t="s">
        <v>2538</v>
      </c>
      <c r="B529" s="4" t="s">
        <v>1209</v>
      </c>
      <c r="C529" s="4" t="s">
        <v>5251</v>
      </c>
      <c r="D529" s="4" t="s">
        <v>5252</v>
      </c>
    </row>
    <row r="530" spans="1:4">
      <c r="A530" t="s">
        <v>1121</v>
      </c>
      <c r="B530" t="s">
        <v>1209</v>
      </c>
      <c r="C530" t="s">
        <v>5253</v>
      </c>
      <c r="D530" t="s">
        <v>5254</v>
      </c>
    </row>
    <row r="531" spans="1:4">
      <c r="A531" t="s">
        <v>1121</v>
      </c>
      <c r="B531" t="s">
        <v>1209</v>
      </c>
      <c r="C531" t="s">
        <v>5255</v>
      </c>
      <c r="D531" t="s">
        <v>5256</v>
      </c>
    </row>
    <row r="532" spans="1:4">
      <c r="A532" t="s">
        <v>1121</v>
      </c>
      <c r="B532" t="s">
        <v>1209</v>
      </c>
      <c r="C532" t="s">
        <v>5257</v>
      </c>
      <c r="D532" t="s">
        <v>5258</v>
      </c>
    </row>
    <row r="533" spans="1:4">
      <c r="A533" t="s">
        <v>3632</v>
      </c>
      <c r="B533" t="s">
        <v>1209</v>
      </c>
      <c r="C533" t="s">
        <v>5259</v>
      </c>
      <c r="D533" t="s">
        <v>5260</v>
      </c>
    </row>
    <row r="534" spans="1:4">
      <c r="A534" t="s">
        <v>3632</v>
      </c>
      <c r="B534" t="s">
        <v>1209</v>
      </c>
      <c r="C534" t="s">
        <v>5261</v>
      </c>
      <c r="D534" t="s">
        <v>5262</v>
      </c>
    </row>
    <row r="535" spans="1:4">
      <c r="A535" t="s">
        <v>3632</v>
      </c>
      <c r="B535" t="s">
        <v>1209</v>
      </c>
      <c r="C535" t="s">
        <v>5263</v>
      </c>
      <c r="D535" t="s">
        <v>5264</v>
      </c>
    </row>
    <row r="536" spans="1:4">
      <c r="A536" t="s">
        <v>2380</v>
      </c>
      <c r="B536" t="s">
        <v>1209</v>
      </c>
      <c r="C536" t="s">
        <v>4940</v>
      </c>
      <c r="D536" t="s">
        <v>5265</v>
      </c>
    </row>
    <row r="537" spans="1:4">
      <c r="A537" t="s">
        <v>2380</v>
      </c>
      <c r="B537" t="s">
        <v>1209</v>
      </c>
      <c r="C537" t="s">
        <v>5266</v>
      </c>
      <c r="D537" t="s">
        <v>5267</v>
      </c>
    </row>
    <row r="538" spans="1:4">
      <c r="A538" t="s">
        <v>2380</v>
      </c>
      <c r="B538" t="s">
        <v>1209</v>
      </c>
      <c r="C538" t="s">
        <v>5268</v>
      </c>
      <c r="D538" t="s">
        <v>5269</v>
      </c>
    </row>
    <row r="539" spans="1:4">
      <c r="A539" t="s">
        <v>2380</v>
      </c>
      <c r="B539" t="s">
        <v>1209</v>
      </c>
      <c r="C539" t="s">
        <v>5270</v>
      </c>
      <c r="D539" t="s">
        <v>5271</v>
      </c>
    </row>
    <row r="540" spans="1:4">
      <c r="A540" t="s">
        <v>2380</v>
      </c>
      <c r="B540" t="s">
        <v>1209</v>
      </c>
      <c r="C540" t="s">
        <v>5272</v>
      </c>
      <c r="D540" t="s">
        <v>5273</v>
      </c>
    </row>
    <row r="541" spans="1:4">
      <c r="A541" t="s">
        <v>2380</v>
      </c>
      <c r="B541" t="s">
        <v>1209</v>
      </c>
      <c r="C541" t="s">
        <v>4524</v>
      </c>
      <c r="D541" t="s">
        <v>5274</v>
      </c>
    </row>
    <row r="542" spans="1:4">
      <c r="A542" t="s">
        <v>2380</v>
      </c>
      <c r="B542" t="s">
        <v>1209</v>
      </c>
      <c r="C542" t="s">
        <v>5275</v>
      </c>
      <c r="D542" t="s">
        <v>5276</v>
      </c>
    </row>
    <row r="543" spans="1:4">
      <c r="A543" t="s">
        <v>2380</v>
      </c>
      <c r="B543" t="s">
        <v>1209</v>
      </c>
      <c r="C543" t="s">
        <v>5277</v>
      </c>
      <c r="D543" t="s">
        <v>5278</v>
      </c>
    </row>
    <row r="544" spans="1:4">
      <c r="A544" s="4" t="s">
        <v>2840</v>
      </c>
      <c r="B544" s="4" t="s">
        <v>1209</v>
      </c>
      <c r="C544" s="4" t="s">
        <v>4924</v>
      </c>
      <c r="D544" s="4" t="s">
        <v>5279</v>
      </c>
    </row>
    <row r="545" spans="1:4">
      <c r="A545" s="4" t="s">
        <v>2840</v>
      </c>
      <c r="B545" s="4" t="s">
        <v>1209</v>
      </c>
      <c r="C545" s="4" t="s">
        <v>854</v>
      </c>
      <c r="D545" s="4" t="s">
        <v>4926</v>
      </c>
    </row>
    <row r="546" spans="1:4">
      <c r="A546" s="4" t="s">
        <v>2840</v>
      </c>
      <c r="B546" s="4" t="s">
        <v>1209</v>
      </c>
      <c r="C546" s="4" t="s">
        <v>4589</v>
      </c>
      <c r="D546" s="4" t="s">
        <v>4927</v>
      </c>
    </row>
    <row r="547" spans="1:4">
      <c r="A547" s="4" t="s">
        <v>2840</v>
      </c>
      <c r="B547" s="4" t="s">
        <v>1209</v>
      </c>
      <c r="C547" s="4" t="s">
        <v>5280</v>
      </c>
      <c r="D547" s="4" t="s">
        <v>5280</v>
      </c>
    </row>
    <row r="548" spans="1:4">
      <c r="A548" s="4" t="s">
        <v>2840</v>
      </c>
      <c r="B548" s="4" t="s">
        <v>1209</v>
      </c>
      <c r="C548" s="4" t="s">
        <v>4798</v>
      </c>
      <c r="D548" s="4" t="s">
        <v>73</v>
      </c>
    </row>
    <row r="549" spans="1:4">
      <c r="A549" s="4" t="s">
        <v>2840</v>
      </c>
      <c r="B549" s="4" t="s">
        <v>1209</v>
      </c>
      <c r="C549" s="4" t="s">
        <v>4600</v>
      </c>
      <c r="D549" s="4" t="s">
        <v>4928</v>
      </c>
    </row>
    <row r="550" spans="1:4">
      <c r="A550" s="4" t="s">
        <v>2840</v>
      </c>
      <c r="B550" s="4" t="s">
        <v>1209</v>
      </c>
      <c r="C550" s="4" t="s">
        <v>4591</v>
      </c>
      <c r="D550" s="4" t="s">
        <v>5281</v>
      </c>
    </row>
    <row r="551" spans="1:4">
      <c r="A551" s="4" t="s">
        <v>2840</v>
      </c>
      <c r="B551" s="4" t="s">
        <v>1209</v>
      </c>
      <c r="C551" s="4" t="s">
        <v>4593</v>
      </c>
      <c r="D551" s="4" t="s">
        <v>4930</v>
      </c>
    </row>
    <row r="552" spans="1:4">
      <c r="A552" s="4" t="s">
        <v>2840</v>
      </c>
      <c r="B552" s="4" t="s">
        <v>1209</v>
      </c>
      <c r="C552" s="4" t="s">
        <v>4657</v>
      </c>
      <c r="D552" s="4" t="s">
        <v>4931</v>
      </c>
    </row>
    <row r="553" spans="1:4">
      <c r="A553" t="s">
        <v>3642</v>
      </c>
      <c r="B553" s="4" t="s">
        <v>1209</v>
      </c>
      <c r="C553" t="s">
        <v>5282</v>
      </c>
      <c r="D553" t="s">
        <v>5283</v>
      </c>
    </row>
    <row r="554" spans="1:4">
      <c r="A554" t="s">
        <v>3642</v>
      </c>
      <c r="B554" s="4" t="s">
        <v>1209</v>
      </c>
      <c r="C554" t="s">
        <v>4799</v>
      </c>
      <c r="D554" t="s">
        <v>4800</v>
      </c>
    </row>
    <row r="555" spans="1:4">
      <c r="A555" t="s">
        <v>3642</v>
      </c>
      <c r="B555" s="4" t="s">
        <v>1209</v>
      </c>
      <c r="C555" t="s">
        <v>5284</v>
      </c>
      <c r="D555" t="s">
        <v>5285</v>
      </c>
    </row>
    <row r="556" spans="1:4">
      <c r="A556" t="s">
        <v>3642</v>
      </c>
      <c r="B556" s="4" t="s">
        <v>1209</v>
      </c>
      <c r="C556" t="s">
        <v>4798</v>
      </c>
      <c r="D556" t="s">
        <v>5286</v>
      </c>
    </row>
    <row r="557" spans="1:4">
      <c r="A557" t="s">
        <v>3642</v>
      </c>
      <c r="B557" s="4" t="s">
        <v>1209</v>
      </c>
      <c r="C557" t="s">
        <v>5287</v>
      </c>
      <c r="D557" t="s">
        <v>5288</v>
      </c>
    </row>
    <row r="558" spans="1:4">
      <c r="A558" t="s">
        <v>3642</v>
      </c>
      <c r="B558" s="4" t="s">
        <v>1209</v>
      </c>
      <c r="C558" t="s">
        <v>5289</v>
      </c>
      <c r="D558" t="s">
        <v>5290</v>
      </c>
    </row>
    <row r="559" spans="1:4">
      <c r="A559" t="s">
        <v>2921</v>
      </c>
      <c r="B559" s="4" t="s">
        <v>1209</v>
      </c>
      <c r="C559" t="s">
        <v>4801</v>
      </c>
      <c r="D559" t="s">
        <v>5291</v>
      </c>
    </row>
    <row r="560" spans="1:4">
      <c r="A560" t="s">
        <v>2921</v>
      </c>
      <c r="B560" s="4" t="s">
        <v>1209</v>
      </c>
      <c r="C560" t="s">
        <v>5282</v>
      </c>
      <c r="D560" t="s">
        <v>5292</v>
      </c>
    </row>
    <row r="561" spans="1:4">
      <c r="A561" t="s">
        <v>2921</v>
      </c>
      <c r="B561" s="4" t="s">
        <v>1209</v>
      </c>
      <c r="C561" t="s">
        <v>4696</v>
      </c>
      <c r="D561" t="s">
        <v>5293</v>
      </c>
    </row>
    <row r="562" spans="1:4">
      <c r="A562" t="s">
        <v>2921</v>
      </c>
      <c r="B562" s="4" t="s">
        <v>1209</v>
      </c>
      <c r="C562" t="s">
        <v>5294</v>
      </c>
      <c r="D562" t="s">
        <v>5295</v>
      </c>
    </row>
    <row r="563" spans="1:4">
      <c r="A563" t="s">
        <v>3647</v>
      </c>
      <c r="B563" s="4" t="s">
        <v>1209</v>
      </c>
      <c r="C563" t="s">
        <v>5296</v>
      </c>
      <c r="D563" t="s">
        <v>5297</v>
      </c>
    </row>
    <row r="564" spans="1:4">
      <c r="A564" t="s">
        <v>3647</v>
      </c>
      <c r="B564" s="4" t="s">
        <v>1209</v>
      </c>
      <c r="C564" t="s">
        <v>5298</v>
      </c>
      <c r="D564" t="s">
        <v>5299</v>
      </c>
    </row>
    <row r="565" spans="1:4">
      <c r="A565" t="s">
        <v>3647</v>
      </c>
      <c r="B565" s="4" t="s">
        <v>1209</v>
      </c>
      <c r="C565" t="s">
        <v>5284</v>
      </c>
      <c r="D565" t="s">
        <v>5285</v>
      </c>
    </row>
    <row r="566" spans="1:4">
      <c r="A566" t="s">
        <v>4003</v>
      </c>
      <c r="B566" t="s">
        <v>1209</v>
      </c>
      <c r="C566" t="s">
        <v>5300</v>
      </c>
      <c r="D566" t="s">
        <v>5301</v>
      </c>
    </row>
    <row r="567" spans="1:4">
      <c r="A567" t="s">
        <v>4003</v>
      </c>
      <c r="B567" t="s">
        <v>1209</v>
      </c>
      <c r="C567" t="s">
        <v>5302</v>
      </c>
      <c r="D567" t="s">
        <v>5303</v>
      </c>
    </row>
    <row r="568" spans="1:4">
      <c r="A568" t="s">
        <v>4003</v>
      </c>
      <c r="B568" t="s">
        <v>1209</v>
      </c>
      <c r="C568" t="s">
        <v>5304</v>
      </c>
      <c r="D568" t="s">
        <v>5305</v>
      </c>
    </row>
    <row r="569" spans="1:4">
      <c r="A569" t="s">
        <v>4007</v>
      </c>
      <c r="B569" t="s">
        <v>1209</v>
      </c>
      <c r="C569" t="s">
        <v>5306</v>
      </c>
      <c r="D569" t="s">
        <v>5307</v>
      </c>
    </row>
    <row r="570" spans="1:4">
      <c r="A570" t="s">
        <v>4007</v>
      </c>
      <c r="B570" t="s">
        <v>1209</v>
      </c>
      <c r="C570" t="s">
        <v>5308</v>
      </c>
      <c r="D570" t="s">
        <v>5309</v>
      </c>
    </row>
    <row r="571" spans="1:4">
      <c r="A571" t="s">
        <v>4016</v>
      </c>
      <c r="B571" t="s">
        <v>1209</v>
      </c>
      <c r="C571" t="s">
        <v>5310</v>
      </c>
      <c r="D571" t="s">
        <v>5311</v>
      </c>
    </row>
    <row r="572" spans="1:4">
      <c r="A572" t="s">
        <v>4016</v>
      </c>
      <c r="B572" t="s">
        <v>1209</v>
      </c>
      <c r="C572" t="s">
        <v>5312</v>
      </c>
      <c r="D572" t="s">
        <v>5313</v>
      </c>
    </row>
    <row r="573" spans="1:4">
      <c r="A573" t="s">
        <v>4016</v>
      </c>
      <c r="B573" t="s">
        <v>1209</v>
      </c>
      <c r="C573" t="s">
        <v>5314</v>
      </c>
      <c r="D573" t="s">
        <v>5315</v>
      </c>
    </row>
    <row r="574" spans="1:4">
      <c r="A574" s="4" t="s">
        <v>4020</v>
      </c>
      <c r="B574" s="4" t="s">
        <v>1209</v>
      </c>
      <c r="C574" t="s">
        <v>5316</v>
      </c>
      <c r="D574" t="s">
        <v>5317</v>
      </c>
    </row>
    <row r="575" spans="1:4">
      <c r="A575" s="4" t="s">
        <v>4020</v>
      </c>
      <c r="B575" t="s">
        <v>1209</v>
      </c>
      <c r="C575" t="s">
        <v>5318</v>
      </c>
      <c r="D575" t="s">
        <v>5319</v>
      </c>
    </row>
    <row r="576" spans="1:4">
      <c r="A576" s="4" t="s">
        <v>4020</v>
      </c>
      <c r="B576" t="s">
        <v>1209</v>
      </c>
      <c r="C576" t="s">
        <v>5320</v>
      </c>
      <c r="D576" t="s">
        <v>5060</v>
      </c>
    </row>
    <row r="577" spans="1:4">
      <c r="A577" s="4" t="s">
        <v>4020</v>
      </c>
      <c r="B577" t="s">
        <v>1209</v>
      </c>
      <c r="C577" t="s">
        <v>5321</v>
      </c>
      <c r="D577" t="s">
        <v>5322</v>
      </c>
    </row>
    <row r="578" spans="1:4">
      <c r="A578" s="4" t="s">
        <v>4020</v>
      </c>
      <c r="B578" t="s">
        <v>1209</v>
      </c>
      <c r="C578" t="s">
        <v>5323</v>
      </c>
      <c r="D578" t="s">
        <v>5324</v>
      </c>
    </row>
    <row r="579" spans="1:4">
      <c r="A579" t="s">
        <v>2861</v>
      </c>
      <c r="B579" t="s">
        <v>1209</v>
      </c>
      <c r="C579" t="s">
        <v>5325</v>
      </c>
      <c r="D579" t="s">
        <v>5326</v>
      </c>
    </row>
    <row r="580" spans="1:4">
      <c r="A580" t="s">
        <v>2861</v>
      </c>
      <c r="B580" t="s">
        <v>1209</v>
      </c>
      <c r="C580" t="s">
        <v>5327</v>
      </c>
      <c r="D580" t="s">
        <v>5328</v>
      </c>
    </row>
    <row r="581" spans="1:4">
      <c r="A581" t="s">
        <v>2861</v>
      </c>
      <c r="B581" t="s">
        <v>1209</v>
      </c>
      <c r="C581" t="s">
        <v>5329</v>
      </c>
      <c r="D581" t="s">
        <v>5330</v>
      </c>
    </row>
    <row r="582" spans="1:4">
      <c r="A582" t="s">
        <v>2861</v>
      </c>
      <c r="B582" t="s">
        <v>1209</v>
      </c>
      <c r="C582" t="s">
        <v>5331</v>
      </c>
      <c r="D582" t="s">
        <v>5332</v>
      </c>
    </row>
    <row r="583" spans="1:4">
      <c r="A583" t="s">
        <v>2861</v>
      </c>
      <c r="B583" t="s">
        <v>1209</v>
      </c>
      <c r="C583" t="s">
        <v>5333</v>
      </c>
      <c r="D583" t="s">
        <v>5334</v>
      </c>
    </row>
    <row r="584" spans="1:4">
      <c r="A584" t="s">
        <v>2861</v>
      </c>
      <c r="B584" t="s">
        <v>1209</v>
      </c>
      <c r="C584" t="s">
        <v>5335</v>
      </c>
      <c r="D584" t="s">
        <v>5336</v>
      </c>
    </row>
    <row r="585" spans="1:4">
      <c r="A585" t="s">
        <v>1778</v>
      </c>
      <c r="B585" t="s">
        <v>1209</v>
      </c>
      <c r="C585" t="s">
        <v>5337</v>
      </c>
      <c r="D585" t="s">
        <v>5338</v>
      </c>
    </row>
    <row r="586" spans="1:4">
      <c r="A586" t="s">
        <v>1778</v>
      </c>
      <c r="B586" t="s">
        <v>1209</v>
      </c>
      <c r="C586" t="s">
        <v>5339</v>
      </c>
      <c r="D586" t="s">
        <v>5340</v>
      </c>
    </row>
    <row r="587" spans="1:4">
      <c r="A587" t="s">
        <v>1778</v>
      </c>
      <c r="B587" t="s">
        <v>1209</v>
      </c>
      <c r="C587" t="s">
        <v>5341</v>
      </c>
      <c r="D587" t="s">
        <v>5342</v>
      </c>
    </row>
    <row r="588" spans="1:4">
      <c r="A588" t="s">
        <v>1778</v>
      </c>
      <c r="B588" t="s">
        <v>1209</v>
      </c>
      <c r="C588" t="s">
        <v>5343</v>
      </c>
      <c r="D588" t="s">
        <v>5344</v>
      </c>
    </row>
    <row r="589" spans="1:4">
      <c r="A589" t="s">
        <v>1778</v>
      </c>
      <c r="B589" t="s">
        <v>1209</v>
      </c>
      <c r="C589" t="s">
        <v>5345</v>
      </c>
      <c r="D589" t="s">
        <v>5346</v>
      </c>
    </row>
    <row r="590" spans="1:4">
      <c r="A590" t="s">
        <v>1778</v>
      </c>
      <c r="B590" t="s">
        <v>1209</v>
      </c>
      <c r="C590" t="s">
        <v>5347</v>
      </c>
      <c r="D590" t="s">
        <v>5348</v>
      </c>
    </row>
    <row r="591" spans="1:4">
      <c r="A591" t="s">
        <v>1778</v>
      </c>
      <c r="B591" t="s">
        <v>1209</v>
      </c>
      <c r="C591" t="s">
        <v>5349</v>
      </c>
      <c r="D591" t="s">
        <v>5350</v>
      </c>
    </row>
    <row r="592" spans="1:4">
      <c r="A592" t="s">
        <v>1778</v>
      </c>
      <c r="B592" t="s">
        <v>1209</v>
      </c>
      <c r="C592" t="s">
        <v>5351</v>
      </c>
      <c r="D592" t="s">
        <v>5352</v>
      </c>
    </row>
    <row r="593" spans="1:4">
      <c r="A593" t="s">
        <v>1778</v>
      </c>
      <c r="B593" t="s">
        <v>1209</v>
      </c>
      <c r="C593" t="s">
        <v>5353</v>
      </c>
      <c r="D593" t="s">
        <v>5354</v>
      </c>
    </row>
    <row r="594" spans="1:4">
      <c r="A594" t="s">
        <v>1778</v>
      </c>
      <c r="B594" t="s">
        <v>1209</v>
      </c>
      <c r="C594" t="s">
        <v>5355</v>
      </c>
      <c r="D594" t="s">
        <v>5356</v>
      </c>
    </row>
    <row r="595" spans="1:4">
      <c r="A595" t="s">
        <v>1778</v>
      </c>
      <c r="B595" t="s">
        <v>1209</v>
      </c>
      <c r="C595" t="s">
        <v>5180</v>
      </c>
      <c r="D595" t="s">
        <v>5181</v>
      </c>
    </row>
    <row r="596" spans="1:4">
      <c r="A596" t="s">
        <v>1778</v>
      </c>
      <c r="B596" t="s">
        <v>1209</v>
      </c>
      <c r="C596" t="s">
        <v>5357</v>
      </c>
      <c r="D596" t="s">
        <v>5358</v>
      </c>
    </row>
    <row r="597" spans="1:4">
      <c r="A597" t="s">
        <v>1744</v>
      </c>
      <c r="B597" t="s">
        <v>1209</v>
      </c>
      <c r="C597" t="s">
        <v>5359</v>
      </c>
      <c r="D597" t="s">
        <v>5360</v>
      </c>
    </row>
    <row r="598" spans="1:4">
      <c r="A598" t="s">
        <v>1744</v>
      </c>
      <c r="B598" t="s">
        <v>1209</v>
      </c>
      <c r="C598" t="s">
        <v>5361</v>
      </c>
      <c r="D598" t="s">
        <v>5362</v>
      </c>
    </row>
    <row r="599" spans="1:4">
      <c r="A599" t="s">
        <v>1744</v>
      </c>
      <c r="B599" t="s">
        <v>1209</v>
      </c>
      <c r="C599" t="s">
        <v>5363</v>
      </c>
      <c r="D599" t="s">
        <v>5364</v>
      </c>
    </row>
    <row r="600" spans="1:4">
      <c r="A600" t="s">
        <v>1744</v>
      </c>
      <c r="B600" t="s">
        <v>1209</v>
      </c>
      <c r="C600" t="s">
        <v>5365</v>
      </c>
      <c r="D600" t="s">
        <v>5366</v>
      </c>
    </row>
    <row r="601" spans="1:4">
      <c r="A601" t="s">
        <v>1744</v>
      </c>
      <c r="B601" t="s">
        <v>1209</v>
      </c>
      <c r="C601" t="s">
        <v>5367</v>
      </c>
      <c r="D601" t="s">
        <v>5368</v>
      </c>
    </row>
    <row r="602" spans="1:4">
      <c r="A602" t="s">
        <v>1744</v>
      </c>
      <c r="B602" t="s">
        <v>1209</v>
      </c>
      <c r="C602" t="s">
        <v>5369</v>
      </c>
      <c r="D602" t="s">
        <v>5370</v>
      </c>
    </row>
    <row r="603" spans="1:4">
      <c r="A603" t="s">
        <v>1744</v>
      </c>
      <c r="B603" t="s">
        <v>1209</v>
      </c>
      <c r="C603" t="s">
        <v>5371</v>
      </c>
      <c r="D603" t="s">
        <v>5372</v>
      </c>
    </row>
    <row r="604" spans="1:4">
      <c r="A604" t="s">
        <v>1744</v>
      </c>
      <c r="B604" t="s">
        <v>1209</v>
      </c>
      <c r="C604" t="s">
        <v>5373</v>
      </c>
      <c r="D604" t="s">
        <v>5374</v>
      </c>
    </row>
    <row r="605" spans="1:4">
      <c r="A605" t="s">
        <v>1744</v>
      </c>
      <c r="B605" t="s">
        <v>1209</v>
      </c>
      <c r="C605" t="s">
        <v>5375</v>
      </c>
      <c r="D605" t="s">
        <v>5376</v>
      </c>
    </row>
    <row r="606" spans="1:4">
      <c r="A606" t="s">
        <v>1744</v>
      </c>
      <c r="B606" t="s">
        <v>1209</v>
      </c>
      <c r="C606" t="s">
        <v>5377</v>
      </c>
      <c r="D606" t="s">
        <v>5378</v>
      </c>
    </row>
    <row r="607" spans="1:4">
      <c r="A607" t="s">
        <v>1744</v>
      </c>
      <c r="B607" t="s">
        <v>1209</v>
      </c>
      <c r="C607" t="s">
        <v>5379</v>
      </c>
      <c r="D607" t="s">
        <v>5380</v>
      </c>
    </row>
    <row r="608" spans="1:4">
      <c r="A608" t="s">
        <v>1744</v>
      </c>
      <c r="B608" t="s">
        <v>1209</v>
      </c>
      <c r="C608" t="s">
        <v>5381</v>
      </c>
      <c r="D608" t="s">
        <v>5382</v>
      </c>
    </row>
    <row r="609" spans="1:4">
      <c r="A609" t="s">
        <v>1744</v>
      </c>
      <c r="B609" t="s">
        <v>1209</v>
      </c>
      <c r="C609" t="s">
        <v>5383</v>
      </c>
      <c r="D609" t="s">
        <v>5384</v>
      </c>
    </row>
    <row r="610" spans="1:4">
      <c r="A610" t="s">
        <v>1744</v>
      </c>
      <c r="B610" t="s">
        <v>1209</v>
      </c>
      <c r="C610" t="s">
        <v>5385</v>
      </c>
      <c r="D610" t="s">
        <v>5386</v>
      </c>
    </row>
    <row r="611" spans="1:4">
      <c r="A611" t="s">
        <v>1744</v>
      </c>
      <c r="B611" t="s">
        <v>1209</v>
      </c>
      <c r="C611" t="s">
        <v>5387</v>
      </c>
      <c r="D611" t="s">
        <v>5388</v>
      </c>
    </row>
    <row r="612" spans="1:4">
      <c r="A612" t="s">
        <v>3347</v>
      </c>
      <c r="B612" t="s">
        <v>5389</v>
      </c>
      <c r="C612" t="s">
        <v>5390</v>
      </c>
      <c r="D612" t="s">
        <v>5391</v>
      </c>
    </row>
    <row r="613" spans="1:4">
      <c r="A613" t="s">
        <v>3347</v>
      </c>
      <c r="B613" t="s">
        <v>5389</v>
      </c>
      <c r="C613" t="s">
        <v>5392</v>
      </c>
      <c r="D613" t="s">
        <v>5393</v>
      </c>
    </row>
    <row r="614" spans="1:4">
      <c r="A614" t="s">
        <v>3347</v>
      </c>
      <c r="B614" t="s">
        <v>5389</v>
      </c>
      <c r="C614" t="s">
        <v>5394</v>
      </c>
      <c r="D614" t="s">
        <v>5395</v>
      </c>
    </row>
    <row r="615" spans="1:4">
      <c r="A615" t="s">
        <v>3347</v>
      </c>
      <c r="B615" t="s">
        <v>5389</v>
      </c>
      <c r="C615" t="s">
        <v>5396</v>
      </c>
      <c r="D615" t="s">
        <v>5397</v>
      </c>
    </row>
    <row r="616" spans="1:4">
      <c r="A616" t="s">
        <v>3347</v>
      </c>
      <c r="B616" t="s">
        <v>5389</v>
      </c>
      <c r="C616" t="s">
        <v>5398</v>
      </c>
      <c r="D616" t="s">
        <v>5399</v>
      </c>
    </row>
    <row r="617" spans="1:4">
      <c r="A617" t="s">
        <v>3347</v>
      </c>
      <c r="B617" t="s">
        <v>5389</v>
      </c>
      <c r="C617" t="s">
        <v>5400</v>
      </c>
      <c r="D617" t="s">
        <v>5401</v>
      </c>
    </row>
    <row r="618" spans="1:4">
      <c r="A618" t="s">
        <v>3347</v>
      </c>
      <c r="B618" t="s">
        <v>5389</v>
      </c>
      <c r="C618" t="s">
        <v>5402</v>
      </c>
      <c r="D618" t="s">
        <v>5403</v>
      </c>
    </row>
    <row r="619" spans="1:4">
      <c r="A619" t="s">
        <v>3347</v>
      </c>
      <c r="B619" t="s">
        <v>5389</v>
      </c>
      <c r="C619" t="s">
        <v>5404</v>
      </c>
      <c r="D619" t="s">
        <v>5405</v>
      </c>
    </row>
    <row r="620" spans="1:4">
      <c r="A620" t="s">
        <v>3347</v>
      </c>
      <c r="B620" t="s">
        <v>5389</v>
      </c>
      <c r="C620" t="s">
        <v>5406</v>
      </c>
      <c r="D620" t="s">
        <v>5407</v>
      </c>
    </row>
    <row r="621" spans="1:4">
      <c r="A621" t="s">
        <v>3350</v>
      </c>
      <c r="B621" t="s">
        <v>1034</v>
      </c>
      <c r="C621" t="s">
        <v>5408</v>
      </c>
      <c r="D621" t="s">
        <v>5409</v>
      </c>
    </row>
    <row r="622" spans="1:4">
      <c r="A622" t="s">
        <v>3350</v>
      </c>
      <c r="B622" t="s">
        <v>1034</v>
      </c>
      <c r="C622" t="s">
        <v>5410</v>
      </c>
      <c r="D622" t="s">
        <v>5411</v>
      </c>
    </row>
    <row r="623" spans="1:4">
      <c r="A623" t="s">
        <v>3350</v>
      </c>
      <c r="B623" t="s">
        <v>1034</v>
      </c>
      <c r="C623" t="s">
        <v>5412</v>
      </c>
      <c r="D623" t="s">
        <v>5413</v>
      </c>
    </row>
    <row r="624" spans="1:4">
      <c r="A624" t="s">
        <v>3350</v>
      </c>
      <c r="B624" t="s">
        <v>1034</v>
      </c>
      <c r="C624" t="s">
        <v>5414</v>
      </c>
      <c r="D624" t="s">
        <v>5415</v>
      </c>
    </row>
    <row r="625" spans="1:4">
      <c r="A625" t="s">
        <v>3350</v>
      </c>
      <c r="B625" t="s">
        <v>1034</v>
      </c>
      <c r="C625" t="s">
        <v>5416</v>
      </c>
      <c r="D625" t="s">
        <v>5417</v>
      </c>
    </row>
    <row r="626" spans="1:4">
      <c r="A626" t="s">
        <v>3350</v>
      </c>
      <c r="B626" t="s">
        <v>1034</v>
      </c>
      <c r="C626" t="s">
        <v>5418</v>
      </c>
      <c r="D626" t="s">
        <v>5419</v>
      </c>
    </row>
    <row r="627" spans="1:4">
      <c r="A627" t="s">
        <v>3350</v>
      </c>
      <c r="B627" t="s">
        <v>1034</v>
      </c>
      <c r="C627" t="s">
        <v>5420</v>
      </c>
      <c r="D627" t="s">
        <v>5421</v>
      </c>
    </row>
    <row r="628" spans="1:4">
      <c r="A628" t="s">
        <v>3350</v>
      </c>
      <c r="B628" t="s">
        <v>1034</v>
      </c>
      <c r="C628" t="s">
        <v>5422</v>
      </c>
      <c r="D628" t="s">
        <v>5423</v>
      </c>
    </row>
    <row r="629" spans="1:4">
      <c r="A629" t="s">
        <v>3350</v>
      </c>
      <c r="B629" t="s">
        <v>1034</v>
      </c>
      <c r="C629" t="s">
        <v>5424</v>
      </c>
      <c r="D629" t="s">
        <v>5425</v>
      </c>
    </row>
    <row r="630" spans="1:4">
      <c r="A630" t="s">
        <v>3350</v>
      </c>
      <c r="B630" t="s">
        <v>1034</v>
      </c>
      <c r="C630" t="s">
        <v>5426</v>
      </c>
      <c r="D630" t="s">
        <v>5427</v>
      </c>
    </row>
    <row r="631" spans="1:4">
      <c r="A631" t="s">
        <v>2924</v>
      </c>
      <c r="B631" t="s">
        <v>1209</v>
      </c>
      <c r="C631" t="s">
        <v>5428</v>
      </c>
      <c r="D631" t="s">
        <v>5429</v>
      </c>
    </row>
    <row r="632" spans="1:4">
      <c r="A632" t="s">
        <v>2924</v>
      </c>
      <c r="B632" t="s">
        <v>1209</v>
      </c>
      <c r="C632" t="s">
        <v>5430</v>
      </c>
      <c r="D632" t="s">
        <v>5431</v>
      </c>
    </row>
    <row r="633" spans="1:4">
      <c r="A633" t="s">
        <v>2924</v>
      </c>
      <c r="B633" t="s">
        <v>1209</v>
      </c>
      <c r="C633" t="s">
        <v>5432</v>
      </c>
      <c r="D633" t="s">
        <v>5433</v>
      </c>
    </row>
    <row r="634" spans="1:4">
      <c r="A634" t="s">
        <v>2924</v>
      </c>
      <c r="B634" t="s">
        <v>1209</v>
      </c>
      <c r="C634" t="s">
        <v>5434</v>
      </c>
      <c r="D634" t="s">
        <v>5435</v>
      </c>
    </row>
    <row r="635" spans="1:4">
      <c r="A635" t="s">
        <v>2924</v>
      </c>
      <c r="B635" t="s">
        <v>1209</v>
      </c>
      <c r="C635" t="s">
        <v>5436</v>
      </c>
      <c r="D635" t="s">
        <v>5437</v>
      </c>
    </row>
    <row r="636" spans="1:4">
      <c r="A636" t="s">
        <v>2924</v>
      </c>
      <c r="B636" t="s">
        <v>1209</v>
      </c>
      <c r="C636" t="s">
        <v>5438</v>
      </c>
      <c r="D636" t="s">
        <v>5439</v>
      </c>
    </row>
    <row r="637" spans="1:4">
      <c r="A637" t="s">
        <v>2924</v>
      </c>
      <c r="B637" t="s">
        <v>1209</v>
      </c>
      <c r="C637" t="s">
        <v>5440</v>
      </c>
      <c r="D637" t="s">
        <v>5441</v>
      </c>
    </row>
    <row r="638" spans="1:4">
      <c r="A638" t="s">
        <v>2924</v>
      </c>
      <c r="B638" t="s">
        <v>1209</v>
      </c>
      <c r="C638" t="s">
        <v>5442</v>
      </c>
      <c r="D638" t="s">
        <v>5443</v>
      </c>
    </row>
    <row r="639" spans="1:4">
      <c r="A639" t="s">
        <v>2924</v>
      </c>
      <c r="B639" t="s">
        <v>1209</v>
      </c>
      <c r="C639" t="s">
        <v>5444</v>
      </c>
      <c r="D639" t="s">
        <v>5445</v>
      </c>
    </row>
    <row r="640" spans="1:4">
      <c r="A640" t="s">
        <v>2924</v>
      </c>
      <c r="B640" t="s">
        <v>1209</v>
      </c>
      <c r="C640" t="s">
        <v>5446</v>
      </c>
      <c r="D640" t="s">
        <v>5447</v>
      </c>
    </row>
    <row r="641" spans="1:4">
      <c r="A641" t="s">
        <v>2924</v>
      </c>
      <c r="B641" t="s">
        <v>1209</v>
      </c>
      <c r="C641" t="s">
        <v>5448</v>
      </c>
      <c r="D641" t="s">
        <v>5449</v>
      </c>
    </row>
    <row r="642" spans="1:4">
      <c r="A642" t="s">
        <v>2924</v>
      </c>
      <c r="B642" t="s">
        <v>1209</v>
      </c>
      <c r="C642" t="s">
        <v>5450</v>
      </c>
      <c r="D642" t="s">
        <v>5451</v>
      </c>
    </row>
    <row r="643" spans="1:4">
      <c r="A643" t="s">
        <v>2924</v>
      </c>
      <c r="B643" t="s">
        <v>1209</v>
      </c>
      <c r="C643" t="s">
        <v>5452</v>
      </c>
      <c r="D643" t="s">
        <v>5453</v>
      </c>
    </row>
    <row r="644" spans="1:4">
      <c r="A644" t="s">
        <v>2927</v>
      </c>
      <c r="B644" t="s">
        <v>1209</v>
      </c>
      <c r="C644" t="s">
        <v>5454</v>
      </c>
      <c r="D644" t="s">
        <v>5455</v>
      </c>
    </row>
    <row r="645" spans="1:4">
      <c r="A645" t="s">
        <v>2927</v>
      </c>
      <c r="B645" t="s">
        <v>1209</v>
      </c>
      <c r="C645" t="s">
        <v>5456</v>
      </c>
      <c r="D645" t="s">
        <v>5457</v>
      </c>
    </row>
    <row r="646" spans="1:4">
      <c r="A646" t="s">
        <v>2927</v>
      </c>
      <c r="B646" t="s">
        <v>1209</v>
      </c>
      <c r="C646" t="s">
        <v>5458</v>
      </c>
      <c r="D646" t="s">
        <v>5459</v>
      </c>
    </row>
    <row r="647" spans="1:4">
      <c r="A647" t="s">
        <v>2927</v>
      </c>
      <c r="B647" t="s">
        <v>1209</v>
      </c>
      <c r="C647" t="s">
        <v>5294</v>
      </c>
      <c r="D647" t="s">
        <v>5295</v>
      </c>
    </row>
    <row r="648" spans="1:4">
      <c r="A648" t="s">
        <v>2927</v>
      </c>
      <c r="B648" t="s">
        <v>1209</v>
      </c>
      <c r="C648" t="s">
        <v>5460</v>
      </c>
      <c r="D648" t="s">
        <v>5461</v>
      </c>
    </row>
    <row r="649" spans="1:4">
      <c r="A649" t="s">
        <v>2927</v>
      </c>
      <c r="B649" t="s">
        <v>1209</v>
      </c>
      <c r="C649" t="s">
        <v>5462</v>
      </c>
      <c r="D649" t="s">
        <v>5463</v>
      </c>
    </row>
    <row r="650" spans="1:4">
      <c r="A650" t="s">
        <v>2927</v>
      </c>
      <c r="B650" t="s">
        <v>1209</v>
      </c>
      <c r="C650" t="s">
        <v>5464</v>
      </c>
      <c r="D650" t="s">
        <v>5465</v>
      </c>
    </row>
    <row r="651" spans="1:4">
      <c r="A651" t="s">
        <v>2927</v>
      </c>
      <c r="B651" t="s">
        <v>1209</v>
      </c>
      <c r="C651" t="s">
        <v>5466</v>
      </c>
      <c r="D651" t="s">
        <v>5467</v>
      </c>
    </row>
    <row r="652" spans="1:4">
      <c r="A652" t="s">
        <v>2927</v>
      </c>
      <c r="B652" t="s">
        <v>1209</v>
      </c>
      <c r="C652" t="s">
        <v>5468</v>
      </c>
      <c r="D652" t="s">
        <v>5469</v>
      </c>
    </row>
    <row r="653" spans="1:4">
      <c r="A653" t="s">
        <v>2927</v>
      </c>
      <c r="B653" t="s">
        <v>1209</v>
      </c>
      <c r="C653" t="s">
        <v>5470</v>
      </c>
      <c r="D653" t="s">
        <v>5471</v>
      </c>
    </row>
    <row r="654" spans="1:4">
      <c r="A654" t="s">
        <v>2927</v>
      </c>
      <c r="B654" t="s">
        <v>1209</v>
      </c>
      <c r="C654" t="s">
        <v>5472</v>
      </c>
      <c r="D654" t="s">
        <v>5473</v>
      </c>
    </row>
    <row r="655" spans="1:4">
      <c r="A655" t="s">
        <v>2927</v>
      </c>
      <c r="B655" t="s">
        <v>1209</v>
      </c>
      <c r="C655" t="s">
        <v>5474</v>
      </c>
      <c r="D655" t="s">
        <v>5475</v>
      </c>
    </row>
    <row r="656" spans="1:4">
      <c r="A656" t="s">
        <v>2927</v>
      </c>
      <c r="B656" t="s">
        <v>1209</v>
      </c>
      <c r="C656" t="s">
        <v>4801</v>
      </c>
      <c r="D656" t="s">
        <v>5476</v>
      </c>
    </row>
    <row r="657" spans="1:4">
      <c r="A657" t="s">
        <v>1793</v>
      </c>
      <c r="B657" t="s">
        <v>1209</v>
      </c>
      <c r="C657" t="s">
        <v>4710</v>
      </c>
      <c r="D657" t="s">
        <v>4711</v>
      </c>
    </row>
    <row r="658" spans="1:4">
      <c r="A658" t="s">
        <v>1793</v>
      </c>
      <c r="B658" t="s">
        <v>1209</v>
      </c>
      <c r="C658" t="s">
        <v>4673</v>
      </c>
      <c r="D658" t="s">
        <v>4674</v>
      </c>
    </row>
    <row r="659" spans="1:4">
      <c r="A659" t="s">
        <v>1793</v>
      </c>
      <c r="B659" t="s">
        <v>1209</v>
      </c>
      <c r="C659" t="s">
        <v>5477</v>
      </c>
      <c r="D659" t="s">
        <v>5478</v>
      </c>
    </row>
    <row r="660" spans="1:4">
      <c r="A660" t="s">
        <v>1793</v>
      </c>
      <c r="B660" t="s">
        <v>1209</v>
      </c>
      <c r="C660" t="s">
        <v>5479</v>
      </c>
      <c r="D660" t="s">
        <v>5480</v>
      </c>
    </row>
    <row r="661" spans="1:4">
      <c r="A661" t="s">
        <v>1793</v>
      </c>
      <c r="B661" t="s">
        <v>1209</v>
      </c>
      <c r="C661" t="s">
        <v>5481</v>
      </c>
      <c r="D661" t="s">
        <v>5482</v>
      </c>
    </row>
    <row r="662" spans="1:4">
      <c r="A662" t="s">
        <v>1797</v>
      </c>
      <c r="B662" t="s">
        <v>879</v>
      </c>
      <c r="C662" t="s">
        <v>5483</v>
      </c>
      <c r="D662" t="s">
        <v>5483</v>
      </c>
    </row>
    <row r="663" spans="1:4">
      <c r="A663" t="s">
        <v>1797</v>
      </c>
      <c r="B663" t="s">
        <v>879</v>
      </c>
      <c r="C663" t="s">
        <v>5484</v>
      </c>
      <c r="D663" t="s">
        <v>5484</v>
      </c>
    </row>
    <row r="664" spans="1:4">
      <c r="A664" t="s">
        <v>1797</v>
      </c>
      <c r="B664" t="s">
        <v>879</v>
      </c>
      <c r="C664" t="s">
        <v>5485</v>
      </c>
      <c r="D664" t="s">
        <v>5485</v>
      </c>
    </row>
    <row r="665" spans="1:4">
      <c r="A665" t="s">
        <v>1797</v>
      </c>
      <c r="B665" t="s">
        <v>879</v>
      </c>
      <c r="C665" t="s">
        <v>5486</v>
      </c>
      <c r="D665" t="s">
        <v>5486</v>
      </c>
    </row>
    <row r="666" spans="1:4">
      <c r="A666" t="s">
        <v>1797</v>
      </c>
      <c r="B666" t="s">
        <v>879</v>
      </c>
      <c r="C666" t="s">
        <v>5487</v>
      </c>
      <c r="D666" t="s">
        <v>5487</v>
      </c>
    </row>
    <row r="667" spans="1:4">
      <c r="A667" t="s">
        <v>1797</v>
      </c>
      <c r="B667" t="s">
        <v>879</v>
      </c>
      <c r="C667" t="s">
        <v>5488</v>
      </c>
      <c r="D667" t="s">
        <v>5488</v>
      </c>
    </row>
    <row r="668" spans="1:4">
      <c r="A668" t="s">
        <v>2108</v>
      </c>
      <c r="B668" s="4" t="s">
        <v>1699</v>
      </c>
      <c r="C668" t="s">
        <v>5489</v>
      </c>
      <c r="D668"/>
    </row>
    <row r="669" spans="1:4">
      <c r="A669" t="s">
        <v>2108</v>
      </c>
      <c r="B669" s="4" t="s">
        <v>1699</v>
      </c>
      <c r="C669" t="s">
        <v>5490</v>
      </c>
      <c r="D669"/>
    </row>
    <row r="670" spans="1:4">
      <c r="A670" t="s">
        <v>2113</v>
      </c>
      <c r="B670" s="4" t="s">
        <v>1699</v>
      </c>
      <c r="C670" t="s">
        <v>5491</v>
      </c>
      <c r="D670"/>
    </row>
    <row r="671" spans="1:4">
      <c r="A671" t="s">
        <v>2113</v>
      </c>
      <c r="B671" s="4" t="s">
        <v>1699</v>
      </c>
      <c r="C671" t="s">
        <v>5492</v>
      </c>
      <c r="D671"/>
    </row>
    <row r="672" spans="1:4">
      <c r="A672" t="s">
        <v>2113</v>
      </c>
      <c r="B672" s="4" t="s">
        <v>1699</v>
      </c>
      <c r="C672" t="s">
        <v>5493</v>
      </c>
      <c r="D672"/>
    </row>
    <row r="673" spans="1:4">
      <c r="A673" t="s">
        <v>2116</v>
      </c>
      <c r="B673" s="4" t="s">
        <v>1699</v>
      </c>
      <c r="C673" t="s">
        <v>5494</v>
      </c>
      <c r="D673"/>
    </row>
    <row r="674" spans="1:4">
      <c r="A674" t="s">
        <v>2116</v>
      </c>
      <c r="B674" s="4" t="s">
        <v>1699</v>
      </c>
      <c r="C674" t="s">
        <v>5495</v>
      </c>
      <c r="D674"/>
    </row>
    <row r="675" spans="1:4">
      <c r="A675" t="s">
        <v>1800</v>
      </c>
      <c r="B675" t="s">
        <v>1209</v>
      </c>
      <c r="C675" t="s">
        <v>5496</v>
      </c>
      <c r="D675" t="s">
        <v>4463</v>
      </c>
    </row>
    <row r="676" spans="1:4">
      <c r="A676" t="s">
        <v>1800</v>
      </c>
      <c r="B676" t="s">
        <v>1209</v>
      </c>
      <c r="C676" t="s">
        <v>4629</v>
      </c>
      <c r="D676" t="s">
        <v>4630</v>
      </c>
    </row>
    <row r="677" spans="1:4">
      <c r="A677" t="s">
        <v>1800</v>
      </c>
      <c r="B677" t="s">
        <v>1209</v>
      </c>
      <c r="C677" t="s">
        <v>5472</v>
      </c>
      <c r="D677" t="s">
        <v>5497</v>
      </c>
    </row>
    <row r="678" spans="1:4">
      <c r="A678" t="s">
        <v>1800</v>
      </c>
      <c r="B678" t="s">
        <v>1209</v>
      </c>
      <c r="C678" t="s">
        <v>4653</v>
      </c>
      <c r="D678" t="s">
        <v>5498</v>
      </c>
    </row>
    <row r="679" spans="1:4">
      <c r="A679" t="s">
        <v>1800</v>
      </c>
      <c r="B679" t="s">
        <v>1209</v>
      </c>
      <c r="C679" t="s">
        <v>5499</v>
      </c>
      <c r="D679" t="s">
        <v>5500</v>
      </c>
    </row>
    <row r="680" spans="1:4">
      <c r="A680" t="s">
        <v>1800</v>
      </c>
      <c r="B680" t="s">
        <v>1209</v>
      </c>
      <c r="C680" t="s">
        <v>4657</v>
      </c>
      <c r="D680" t="s">
        <v>4931</v>
      </c>
    </row>
    <row r="681" spans="1:4">
      <c r="A681" t="s">
        <v>1800</v>
      </c>
      <c r="B681" t="s">
        <v>1209</v>
      </c>
      <c r="C681" t="s">
        <v>4659</v>
      </c>
      <c r="D681" t="s">
        <v>4660</v>
      </c>
    </row>
    <row r="682" spans="1:4">
      <c r="A682" t="s">
        <v>1252</v>
      </c>
      <c r="B682" s="4" t="s">
        <v>1209</v>
      </c>
      <c r="C682" t="s">
        <v>5501</v>
      </c>
      <c r="D682" t="s">
        <v>5502</v>
      </c>
    </row>
    <row r="683" spans="1:4">
      <c r="A683" t="s">
        <v>1252</v>
      </c>
      <c r="B683" s="4" t="s">
        <v>1209</v>
      </c>
      <c r="C683" t="s">
        <v>5503</v>
      </c>
      <c r="D683" t="s">
        <v>5504</v>
      </c>
    </row>
    <row r="684" spans="1:4">
      <c r="A684" t="s">
        <v>1252</v>
      </c>
      <c r="B684" s="4" t="s">
        <v>1209</v>
      </c>
      <c r="C684" t="s">
        <v>5505</v>
      </c>
      <c r="D684" t="s">
        <v>5506</v>
      </c>
    </row>
    <row r="685" spans="1:4">
      <c r="A685" t="s">
        <v>1252</v>
      </c>
      <c r="B685" s="4" t="s">
        <v>1209</v>
      </c>
      <c r="C685" t="s">
        <v>5507</v>
      </c>
      <c r="D685" t="s">
        <v>5508</v>
      </c>
    </row>
    <row r="686" spans="1:4">
      <c r="A686" t="s">
        <v>1252</v>
      </c>
      <c r="B686" s="4" t="s">
        <v>1209</v>
      </c>
      <c r="C686" t="s">
        <v>4687</v>
      </c>
      <c r="D686" t="s">
        <v>4802</v>
      </c>
    </row>
    <row r="687" spans="1:4">
      <c r="A687" t="s">
        <v>1804</v>
      </c>
      <c r="B687" s="4" t="s">
        <v>1209</v>
      </c>
      <c r="C687" t="s">
        <v>5509</v>
      </c>
      <c r="D687" t="s">
        <v>5510</v>
      </c>
    </row>
    <row r="688" spans="1:4">
      <c r="A688" t="s">
        <v>1260</v>
      </c>
      <c r="B688" s="4" t="s">
        <v>1209</v>
      </c>
      <c r="C688" t="s">
        <v>5511</v>
      </c>
      <c r="D688" t="s">
        <v>4390</v>
      </c>
    </row>
    <row r="689" spans="1:4">
      <c r="A689" t="s">
        <v>1260</v>
      </c>
      <c r="B689" s="4" t="s">
        <v>1209</v>
      </c>
      <c r="C689" t="s">
        <v>4387</v>
      </c>
      <c r="D689" t="s">
        <v>4388</v>
      </c>
    </row>
    <row r="690" spans="1:4">
      <c r="A690" t="s">
        <v>1260</v>
      </c>
      <c r="B690" s="4" t="s">
        <v>1209</v>
      </c>
      <c r="C690" t="s">
        <v>5512</v>
      </c>
      <c r="D690" t="s">
        <v>5513</v>
      </c>
    </row>
    <row r="691" spans="1:4">
      <c r="A691" t="s">
        <v>1260</v>
      </c>
      <c r="B691" s="4" t="s">
        <v>1209</v>
      </c>
      <c r="C691" t="s">
        <v>5514</v>
      </c>
      <c r="D691" t="s">
        <v>5515</v>
      </c>
    </row>
    <row r="692" spans="1:4">
      <c r="A692" t="s">
        <v>1260</v>
      </c>
      <c r="B692" s="4" t="s">
        <v>1209</v>
      </c>
      <c r="C692" t="s">
        <v>5516</v>
      </c>
      <c r="D692" t="s">
        <v>5517</v>
      </c>
    </row>
    <row r="693" spans="1:4">
      <c r="A693" t="s">
        <v>1260</v>
      </c>
      <c r="B693" s="4" t="s">
        <v>1209</v>
      </c>
      <c r="C693" t="s">
        <v>5518</v>
      </c>
      <c r="D693" t="s">
        <v>4380</v>
      </c>
    </row>
    <row r="694" spans="1:4">
      <c r="A694" t="s">
        <v>1260</v>
      </c>
      <c r="B694" s="4" t="s">
        <v>1209</v>
      </c>
      <c r="C694" t="s">
        <v>5519</v>
      </c>
      <c r="D694" t="s">
        <v>4378</v>
      </c>
    </row>
    <row r="695" spans="1:4">
      <c r="A695" t="s">
        <v>1260</v>
      </c>
      <c r="B695" s="4" t="s">
        <v>1209</v>
      </c>
      <c r="C695" t="s">
        <v>5520</v>
      </c>
      <c r="D695" t="s">
        <v>4376</v>
      </c>
    </row>
    <row r="696" spans="1:4">
      <c r="A696" t="s">
        <v>1260</v>
      </c>
      <c r="B696" s="4" t="s">
        <v>1209</v>
      </c>
      <c r="C696" t="s">
        <v>4659</v>
      </c>
      <c r="D696" t="s">
        <v>4660</v>
      </c>
    </row>
    <row r="697" spans="1:4">
      <c r="A697" t="s">
        <v>1260</v>
      </c>
      <c r="B697" s="4" t="s">
        <v>1209</v>
      </c>
      <c r="C697" t="s">
        <v>4687</v>
      </c>
      <c r="D697" t="s">
        <v>4802</v>
      </c>
    </row>
    <row r="698" spans="1:4">
      <c r="A698" t="s">
        <v>1260</v>
      </c>
      <c r="B698" s="4" t="s">
        <v>1209</v>
      </c>
      <c r="C698" t="s">
        <v>5521</v>
      </c>
      <c r="D698" t="s">
        <v>4392</v>
      </c>
    </row>
    <row r="699" spans="1:4">
      <c r="A699" t="s">
        <v>1260</v>
      </c>
      <c r="B699" s="4" t="s">
        <v>1209</v>
      </c>
      <c r="C699" t="s">
        <v>4659</v>
      </c>
      <c r="D699" t="s">
        <v>4660</v>
      </c>
    </row>
    <row r="700" spans="1:4">
      <c r="A700" t="s">
        <v>1264</v>
      </c>
      <c r="B700" s="4" t="s">
        <v>1209</v>
      </c>
      <c r="C700" t="s">
        <v>4687</v>
      </c>
      <c r="D700" t="s">
        <v>5522</v>
      </c>
    </row>
    <row r="701" spans="1:4">
      <c r="A701" t="s">
        <v>1264</v>
      </c>
      <c r="B701" s="4" t="s">
        <v>1209</v>
      </c>
      <c r="C701" t="s">
        <v>5523</v>
      </c>
      <c r="D701" t="s">
        <v>5267</v>
      </c>
    </row>
    <row r="702" spans="1:4">
      <c r="A702" t="s">
        <v>1268</v>
      </c>
      <c r="B702" s="4" t="s">
        <v>1209</v>
      </c>
      <c r="C702" t="s">
        <v>5523</v>
      </c>
      <c r="D702" t="s">
        <v>5267</v>
      </c>
    </row>
    <row r="703" spans="1:4">
      <c r="A703" t="s">
        <v>1268</v>
      </c>
      <c r="B703" s="4" t="s">
        <v>1209</v>
      </c>
      <c r="C703" t="s">
        <v>4687</v>
      </c>
      <c r="D703" t="s">
        <v>5522</v>
      </c>
    </row>
    <row r="704" spans="1:4">
      <c r="A704" t="s">
        <v>1272</v>
      </c>
      <c r="B704" s="4" t="s">
        <v>1209</v>
      </c>
      <c r="C704" t="s">
        <v>5524</v>
      </c>
      <c r="D704" t="s">
        <v>5525</v>
      </c>
    </row>
    <row r="705" spans="1:4">
      <c r="A705" t="s">
        <v>1272</v>
      </c>
      <c r="B705" s="4" t="s">
        <v>1209</v>
      </c>
      <c r="C705" t="s">
        <v>5526</v>
      </c>
      <c r="D705" t="s">
        <v>4662</v>
      </c>
    </row>
    <row r="706" spans="1:4">
      <c r="A706" t="s">
        <v>1272</v>
      </c>
      <c r="B706" s="4" t="s">
        <v>1209</v>
      </c>
      <c r="C706" t="s">
        <v>5527</v>
      </c>
      <c r="D706" t="s">
        <v>5528</v>
      </c>
    </row>
    <row r="707" spans="1:4">
      <c r="A707" t="s">
        <v>1142</v>
      </c>
      <c r="B707" s="4" t="s">
        <v>1209</v>
      </c>
      <c r="C707" t="s">
        <v>5509</v>
      </c>
      <c r="D707" t="s">
        <v>5510</v>
      </c>
    </row>
    <row r="708" spans="1:4">
      <c r="A708" t="s">
        <v>1300</v>
      </c>
      <c r="B708" s="4" t="s">
        <v>1209</v>
      </c>
      <c r="C708" t="s">
        <v>5529</v>
      </c>
      <c r="D708" t="s">
        <v>5090</v>
      </c>
    </row>
    <row r="709" spans="1:4">
      <c r="A709" t="s">
        <v>1300</v>
      </c>
      <c r="B709" s="4" t="s">
        <v>1209</v>
      </c>
      <c r="C709" t="s">
        <v>5530</v>
      </c>
      <c r="D709" t="s">
        <v>5071</v>
      </c>
    </row>
    <row r="710" spans="1:4">
      <c r="A710" t="s">
        <v>1300</v>
      </c>
      <c r="B710" s="4" t="s">
        <v>1209</v>
      </c>
      <c r="C710" t="s">
        <v>4890</v>
      </c>
      <c r="D710" t="s">
        <v>5072</v>
      </c>
    </row>
    <row r="711" spans="1:4">
      <c r="A711" t="s">
        <v>1300</v>
      </c>
      <c r="B711" s="4" t="s">
        <v>1209</v>
      </c>
      <c r="C711" t="s">
        <v>5531</v>
      </c>
      <c r="D711" t="s">
        <v>5073</v>
      </c>
    </row>
    <row r="712" spans="1:4">
      <c r="A712" t="s">
        <v>1300</v>
      </c>
      <c r="B712" s="4" t="s">
        <v>1209</v>
      </c>
      <c r="C712" t="s">
        <v>5532</v>
      </c>
      <c r="D712" t="s">
        <v>5093</v>
      </c>
    </row>
    <row r="713" spans="1:4">
      <c r="A713" t="s">
        <v>1300</v>
      </c>
      <c r="B713" s="4" t="s">
        <v>1209</v>
      </c>
      <c r="C713" t="s">
        <v>5533</v>
      </c>
      <c r="D713" t="s">
        <v>5095</v>
      </c>
    </row>
    <row r="714" spans="1:4">
      <c r="A714" t="s">
        <v>1300</v>
      </c>
      <c r="B714" s="4" t="s">
        <v>1209</v>
      </c>
      <c r="C714" t="s">
        <v>5534</v>
      </c>
      <c r="D714" t="s">
        <v>5535</v>
      </c>
    </row>
    <row r="715" spans="1:4">
      <c r="A715" t="s">
        <v>1300</v>
      </c>
      <c r="B715" s="4" t="s">
        <v>1209</v>
      </c>
      <c r="C715" t="s">
        <v>5097</v>
      </c>
      <c r="D715" t="s">
        <v>5098</v>
      </c>
    </row>
    <row r="716" spans="1:4">
      <c r="A716" t="s">
        <v>1300</v>
      </c>
      <c r="B716" s="4" t="s">
        <v>1209</v>
      </c>
      <c r="C716" t="s">
        <v>5099</v>
      </c>
      <c r="D716" t="s">
        <v>5100</v>
      </c>
    </row>
    <row r="717" spans="1:4">
      <c r="A717" t="s">
        <v>1300</v>
      </c>
      <c r="B717" s="4" t="s">
        <v>1209</v>
      </c>
      <c r="C717" t="s">
        <v>5536</v>
      </c>
      <c r="D717" t="s">
        <v>5537</v>
      </c>
    </row>
    <row r="718" spans="1:4">
      <c r="A718" t="s">
        <v>1300</v>
      </c>
      <c r="B718" s="4" t="s">
        <v>1209</v>
      </c>
      <c r="C718" t="s">
        <v>5538</v>
      </c>
      <c r="D718" t="s">
        <v>5539</v>
      </c>
    </row>
    <row r="719" spans="1:4">
      <c r="A719" t="s">
        <v>1300</v>
      </c>
      <c r="B719" s="4" t="s">
        <v>1209</v>
      </c>
      <c r="C719" t="s">
        <v>5540</v>
      </c>
      <c r="D719" t="s">
        <v>5541</v>
      </c>
    </row>
    <row r="720" spans="1:4">
      <c r="A720" t="s">
        <v>1300</v>
      </c>
      <c r="B720" s="4" t="s">
        <v>1209</v>
      </c>
      <c r="C720" t="s">
        <v>5542</v>
      </c>
      <c r="D720" t="s">
        <v>5543</v>
      </c>
    </row>
    <row r="721" spans="1:4">
      <c r="A721" t="s">
        <v>1300</v>
      </c>
      <c r="B721" s="4" t="s">
        <v>1209</v>
      </c>
      <c r="C721" t="s">
        <v>4687</v>
      </c>
      <c r="D721" t="s">
        <v>4660</v>
      </c>
    </row>
    <row r="722" spans="1:4">
      <c r="A722" t="s">
        <v>1808</v>
      </c>
      <c r="B722" t="s">
        <v>1209</v>
      </c>
      <c r="C722" t="s">
        <v>5544</v>
      </c>
      <c r="D722" t="s">
        <v>5545</v>
      </c>
    </row>
    <row r="723" spans="1:4">
      <c r="A723" t="s">
        <v>1808</v>
      </c>
      <c r="B723" t="s">
        <v>1209</v>
      </c>
      <c r="C723" t="s">
        <v>5546</v>
      </c>
      <c r="D723" t="s">
        <v>5547</v>
      </c>
    </row>
    <row r="724" spans="1:4">
      <c r="A724" t="s">
        <v>1808</v>
      </c>
      <c r="B724" t="s">
        <v>1209</v>
      </c>
      <c r="C724" t="s">
        <v>5548</v>
      </c>
      <c r="D724" t="s">
        <v>5549</v>
      </c>
    </row>
    <row r="725" spans="1:4">
      <c r="A725" t="s">
        <v>1808</v>
      </c>
      <c r="B725" t="s">
        <v>1209</v>
      </c>
      <c r="C725" t="s">
        <v>5550</v>
      </c>
      <c r="D725" t="s">
        <v>5551</v>
      </c>
    </row>
    <row r="726" spans="1:4">
      <c r="A726" t="s">
        <v>1808</v>
      </c>
      <c r="B726" t="s">
        <v>1209</v>
      </c>
      <c r="C726" t="s">
        <v>5552</v>
      </c>
      <c r="D726" t="s">
        <v>5553</v>
      </c>
    </row>
    <row r="727" spans="1:4">
      <c r="A727" t="s">
        <v>1808</v>
      </c>
      <c r="B727" t="s">
        <v>1209</v>
      </c>
      <c r="C727" t="s">
        <v>5554</v>
      </c>
      <c r="D727" t="s">
        <v>5555</v>
      </c>
    </row>
    <row r="728" spans="1:4">
      <c r="A728" t="s">
        <v>1808</v>
      </c>
      <c r="B728" t="s">
        <v>1209</v>
      </c>
      <c r="C728" t="s">
        <v>5556</v>
      </c>
      <c r="D728" t="s">
        <v>5557</v>
      </c>
    </row>
    <row r="729" spans="1:4">
      <c r="A729" t="s">
        <v>1808</v>
      </c>
      <c r="B729" t="s">
        <v>1209</v>
      </c>
      <c r="C729" t="s">
        <v>4687</v>
      </c>
      <c r="D729" t="s">
        <v>4660</v>
      </c>
    </row>
    <row r="730" spans="1:4">
      <c r="A730" t="s">
        <v>1808</v>
      </c>
      <c r="B730" t="s">
        <v>1209</v>
      </c>
      <c r="C730" t="s">
        <v>5558</v>
      </c>
      <c r="D730" t="s">
        <v>5559</v>
      </c>
    </row>
    <row r="731" spans="1:4">
      <c r="A731" t="s">
        <v>1808</v>
      </c>
      <c r="B731" t="s">
        <v>1209</v>
      </c>
      <c r="C731" t="s">
        <v>5560</v>
      </c>
      <c r="D731" t="s">
        <v>5561</v>
      </c>
    </row>
    <row r="732" spans="1:4">
      <c r="A732" t="s">
        <v>1808</v>
      </c>
      <c r="B732" t="s">
        <v>1209</v>
      </c>
      <c r="C732" t="s">
        <v>5562</v>
      </c>
      <c r="D732" t="s">
        <v>5563</v>
      </c>
    </row>
    <row r="733" spans="1:4">
      <c r="A733" t="s">
        <v>1808</v>
      </c>
      <c r="B733" t="s">
        <v>1209</v>
      </c>
      <c r="C733" t="s">
        <v>5564</v>
      </c>
      <c r="D733" t="s">
        <v>5565</v>
      </c>
    </row>
    <row r="734" spans="1:4">
      <c r="A734" t="s">
        <v>1808</v>
      </c>
      <c r="B734" t="s">
        <v>1209</v>
      </c>
      <c r="C734" t="s">
        <v>5566</v>
      </c>
      <c r="D734" t="s">
        <v>5567</v>
      </c>
    </row>
    <row r="735" spans="1:4">
      <c r="A735" t="s">
        <v>1808</v>
      </c>
      <c r="B735" t="s">
        <v>1209</v>
      </c>
      <c r="C735" t="s">
        <v>4659</v>
      </c>
      <c r="D735" t="s">
        <v>4660</v>
      </c>
    </row>
    <row r="736" spans="1:4">
      <c r="A736" t="s">
        <v>1808</v>
      </c>
      <c r="B736" t="s">
        <v>1209</v>
      </c>
      <c r="C736" t="s">
        <v>5568</v>
      </c>
      <c r="D736" t="s">
        <v>5569</v>
      </c>
    </row>
    <row r="737" spans="1:4">
      <c r="A737" t="s">
        <v>1808</v>
      </c>
      <c r="B737" t="s">
        <v>1209</v>
      </c>
      <c r="C737" t="s">
        <v>5570</v>
      </c>
      <c r="D737" t="s">
        <v>5571</v>
      </c>
    </row>
    <row r="738" spans="1:4">
      <c r="A738" t="s">
        <v>1808</v>
      </c>
      <c r="B738" t="s">
        <v>1209</v>
      </c>
      <c r="C738" t="s">
        <v>4612</v>
      </c>
      <c r="D738" t="s">
        <v>5572</v>
      </c>
    </row>
    <row r="739" spans="1:4">
      <c r="A739" t="s">
        <v>1808</v>
      </c>
      <c r="B739" t="s">
        <v>1209</v>
      </c>
      <c r="C739" t="s">
        <v>5573</v>
      </c>
      <c r="D739" t="s">
        <v>5574</v>
      </c>
    </row>
    <row r="740" spans="1:4">
      <c r="A740" t="s">
        <v>1808</v>
      </c>
      <c r="B740" t="s">
        <v>1209</v>
      </c>
      <c r="C740" t="s">
        <v>5573</v>
      </c>
      <c r="D740" t="s">
        <v>5575</v>
      </c>
    </row>
    <row r="741" spans="1:4">
      <c r="A741" t="s">
        <v>1808</v>
      </c>
      <c r="B741" t="s">
        <v>1209</v>
      </c>
      <c r="C741" t="s">
        <v>5576</v>
      </c>
      <c r="D741" t="s">
        <v>5577</v>
      </c>
    </row>
    <row r="742" spans="1:4">
      <c r="A742" t="s">
        <v>1808</v>
      </c>
      <c r="B742" t="s">
        <v>1209</v>
      </c>
      <c r="C742" t="s">
        <v>5578</v>
      </c>
      <c r="D742" t="s">
        <v>5579</v>
      </c>
    </row>
    <row r="743" spans="1:4">
      <c r="A743" t="s">
        <v>1808</v>
      </c>
      <c r="B743" t="s">
        <v>1209</v>
      </c>
      <c r="C743" t="s">
        <v>5580</v>
      </c>
      <c r="D743" t="s">
        <v>5581</v>
      </c>
    </row>
    <row r="744" spans="1:4">
      <c r="A744" t="s">
        <v>1808</v>
      </c>
      <c r="B744" t="s">
        <v>1209</v>
      </c>
      <c r="C744" t="s">
        <v>4659</v>
      </c>
      <c r="D744" t="s">
        <v>4660</v>
      </c>
    </row>
    <row r="745" spans="1:4">
      <c r="A745" t="s">
        <v>1151</v>
      </c>
      <c r="B745" s="4" t="s">
        <v>1209</v>
      </c>
      <c r="C745" t="s">
        <v>5509</v>
      </c>
      <c r="D745" t="s">
        <v>5510</v>
      </c>
    </row>
    <row r="746" spans="1:4">
      <c r="A746" s="2" t="s">
        <v>3748</v>
      </c>
      <c r="B746" s="4" t="s">
        <v>1209</v>
      </c>
      <c r="C746" t="s">
        <v>5509</v>
      </c>
      <c r="D746" t="s">
        <v>5510</v>
      </c>
    </row>
    <row r="747" spans="1:4">
      <c r="A747" s="2" t="s">
        <v>2390</v>
      </c>
      <c r="B747" s="4" t="s">
        <v>1209</v>
      </c>
      <c r="C747" t="s">
        <v>5509</v>
      </c>
      <c r="D747" t="s">
        <v>5510</v>
      </c>
    </row>
    <row r="748" spans="1:4">
      <c r="A748" s="2" t="s">
        <v>3712</v>
      </c>
      <c r="B748" s="4" t="s">
        <v>1209</v>
      </c>
      <c r="C748" t="s">
        <v>5509</v>
      </c>
      <c r="D748" t="s">
        <v>5510</v>
      </c>
    </row>
    <row r="749" spans="1:4">
      <c r="A749" t="s">
        <v>4039</v>
      </c>
      <c r="B749" t="s">
        <v>1209</v>
      </c>
      <c r="D749" t="s">
        <v>5582</v>
      </c>
    </row>
    <row r="750" spans="1:4">
      <c r="A750" t="s">
        <v>4039</v>
      </c>
      <c r="B750" t="s">
        <v>1209</v>
      </c>
      <c r="D750" t="s">
        <v>5583</v>
      </c>
    </row>
    <row r="751" spans="1:4">
      <c r="A751" t="s">
        <v>4039</v>
      </c>
      <c r="B751" t="s">
        <v>1209</v>
      </c>
      <c r="D751" t="s">
        <v>5584</v>
      </c>
    </row>
    <row r="752" spans="1:4">
      <c r="A752" t="s">
        <v>4044</v>
      </c>
      <c r="B752" t="s">
        <v>1209</v>
      </c>
      <c r="D752" t="s">
        <v>5585</v>
      </c>
    </row>
    <row r="753" spans="1:4">
      <c r="A753" t="s">
        <v>4044</v>
      </c>
      <c r="B753" t="s">
        <v>1209</v>
      </c>
      <c r="D753" t="s">
        <v>5586</v>
      </c>
    </row>
    <row r="754" spans="1:4">
      <c r="A754" t="s">
        <v>4044</v>
      </c>
      <c r="B754" t="s">
        <v>1209</v>
      </c>
      <c r="D754" t="s">
        <v>5587</v>
      </c>
    </row>
    <row r="755" spans="1:4">
      <c r="A755" t="s">
        <v>4044</v>
      </c>
      <c r="B755" t="s">
        <v>1209</v>
      </c>
      <c r="D755" t="s">
        <v>4660</v>
      </c>
    </row>
    <row r="756" spans="1:4">
      <c r="A756" t="s">
        <v>4049</v>
      </c>
      <c r="B756" t="s">
        <v>1209</v>
      </c>
      <c r="C756" t="s">
        <v>5588</v>
      </c>
      <c r="D756" t="s">
        <v>5589</v>
      </c>
    </row>
    <row r="757" spans="1:4">
      <c r="A757" t="s">
        <v>4049</v>
      </c>
      <c r="B757" t="s">
        <v>1209</v>
      </c>
      <c r="C757" t="s">
        <v>5590</v>
      </c>
      <c r="D757" t="s">
        <v>5591</v>
      </c>
    </row>
    <row r="758" spans="1:4">
      <c r="A758" t="s">
        <v>4049</v>
      </c>
      <c r="B758" t="s">
        <v>1209</v>
      </c>
      <c r="C758" t="s">
        <v>5592</v>
      </c>
      <c r="D758" t="s">
        <v>5593</v>
      </c>
    </row>
    <row r="759" spans="1:4">
      <c r="A759" t="s">
        <v>4049</v>
      </c>
      <c r="B759" t="s">
        <v>1209</v>
      </c>
      <c r="C759" t="s">
        <v>5594</v>
      </c>
      <c r="D759" t="s">
        <v>5595</v>
      </c>
    </row>
    <row r="760" spans="1:4">
      <c r="A760" t="s">
        <v>1382</v>
      </c>
      <c r="B760" s="4" t="s">
        <v>1209</v>
      </c>
      <c r="C760" t="s">
        <v>5596</v>
      </c>
      <c r="D760" t="s">
        <v>5597</v>
      </c>
    </row>
    <row r="761" spans="1:4">
      <c r="A761" t="s">
        <v>1382</v>
      </c>
      <c r="B761" s="4" t="s">
        <v>1209</v>
      </c>
      <c r="C761" t="s">
        <v>4623</v>
      </c>
      <c r="D761" t="s">
        <v>4624</v>
      </c>
    </row>
    <row r="762" spans="1:4">
      <c r="A762" t="s">
        <v>1382</v>
      </c>
      <c r="B762" s="4" t="s">
        <v>1209</v>
      </c>
      <c r="C762" t="s">
        <v>4712</v>
      </c>
      <c r="D762" t="s">
        <v>5598</v>
      </c>
    </row>
    <row r="763" spans="1:4">
      <c r="A763" t="s">
        <v>1386</v>
      </c>
      <c r="B763" s="4" t="s">
        <v>1209</v>
      </c>
      <c r="C763" t="s">
        <v>5599</v>
      </c>
      <c r="D763" t="s">
        <v>5600</v>
      </c>
    </row>
    <row r="764" spans="1:4">
      <c r="A764" t="s">
        <v>1386</v>
      </c>
      <c r="B764" s="4" t="s">
        <v>1209</v>
      </c>
      <c r="C764" t="s">
        <v>5601</v>
      </c>
      <c r="D764" t="s">
        <v>5602</v>
      </c>
    </row>
    <row r="765" spans="1:4">
      <c r="A765" t="s">
        <v>1386</v>
      </c>
      <c r="B765" s="4" t="s">
        <v>1209</v>
      </c>
      <c r="C765" t="s">
        <v>4687</v>
      </c>
      <c r="D765" t="s">
        <v>4802</v>
      </c>
    </row>
    <row r="766" spans="1:4">
      <c r="A766" t="s">
        <v>1386</v>
      </c>
      <c r="B766" s="4" t="s">
        <v>1209</v>
      </c>
      <c r="C766" t="s">
        <v>5339</v>
      </c>
      <c r="D766" t="s">
        <v>5340</v>
      </c>
    </row>
    <row r="767" spans="1:4">
      <c r="A767" t="s">
        <v>1386</v>
      </c>
      <c r="B767" s="4" t="s">
        <v>1209</v>
      </c>
      <c r="C767" t="s">
        <v>5603</v>
      </c>
      <c r="D767" t="s">
        <v>5604</v>
      </c>
    </row>
    <row r="768" spans="1:4">
      <c r="A768" t="s">
        <v>1386</v>
      </c>
      <c r="B768" s="4" t="s">
        <v>1209</v>
      </c>
      <c r="C768" t="s">
        <v>5605</v>
      </c>
      <c r="D768" t="s">
        <v>5606</v>
      </c>
    </row>
    <row r="769" spans="1:4">
      <c r="A769" t="s">
        <v>1386</v>
      </c>
      <c r="B769" s="4" t="s">
        <v>1209</v>
      </c>
      <c r="C769" t="s">
        <v>5607</v>
      </c>
      <c r="D769" t="s">
        <v>5608</v>
      </c>
    </row>
    <row r="770" spans="1:4">
      <c r="A770" t="s">
        <v>1386</v>
      </c>
      <c r="B770" s="4" t="s">
        <v>1209</v>
      </c>
      <c r="C770" t="s">
        <v>5607</v>
      </c>
      <c r="D770" t="s">
        <v>5609</v>
      </c>
    </row>
    <row r="771" spans="1:4">
      <c r="A771" t="s">
        <v>1386</v>
      </c>
      <c r="B771" s="4" t="s">
        <v>1209</v>
      </c>
      <c r="C771" t="s">
        <v>5610</v>
      </c>
      <c r="D771" t="s">
        <v>5611</v>
      </c>
    </row>
    <row r="772" spans="1:4">
      <c r="A772" t="s">
        <v>1390</v>
      </c>
      <c r="B772" s="4" t="s">
        <v>1209</v>
      </c>
      <c r="C772" t="s">
        <v>5612</v>
      </c>
      <c r="D772" t="s">
        <v>5613</v>
      </c>
    </row>
    <row r="773" spans="1:4">
      <c r="A773" t="s">
        <v>1390</v>
      </c>
      <c r="B773" s="4" t="s">
        <v>1209</v>
      </c>
      <c r="C773" t="s">
        <v>5614</v>
      </c>
      <c r="D773" t="s">
        <v>5615</v>
      </c>
    </row>
    <row r="774" spans="1:4">
      <c r="A774" t="s">
        <v>1390</v>
      </c>
      <c r="B774" s="4" t="s">
        <v>1209</v>
      </c>
      <c r="C774" t="s">
        <v>5616</v>
      </c>
      <c r="D774" t="s">
        <v>5617</v>
      </c>
    </row>
    <row r="775" spans="1:4">
      <c r="A775" t="s">
        <v>1390</v>
      </c>
      <c r="B775" s="4" t="s">
        <v>1209</v>
      </c>
      <c r="C775" t="s">
        <v>5618</v>
      </c>
      <c r="D775" t="s">
        <v>5619</v>
      </c>
    </row>
    <row r="776" spans="1:4">
      <c r="A776" s="2" t="s">
        <v>3808</v>
      </c>
      <c r="B776" s="4" t="s">
        <v>1209</v>
      </c>
      <c r="C776" t="s">
        <v>5509</v>
      </c>
      <c r="D776" t="s">
        <v>5510</v>
      </c>
    </row>
    <row r="777" spans="1:4">
      <c r="A777" t="s">
        <v>1162</v>
      </c>
      <c r="B777" s="4" t="s">
        <v>1209</v>
      </c>
      <c r="C777" t="s">
        <v>5620</v>
      </c>
      <c r="D777" t="s">
        <v>5621</v>
      </c>
    </row>
    <row r="778" spans="1:4">
      <c r="A778" t="s">
        <v>1162</v>
      </c>
      <c r="B778" s="4" t="s">
        <v>1209</v>
      </c>
      <c r="C778" t="s">
        <v>5622</v>
      </c>
      <c r="D778" t="s">
        <v>5623</v>
      </c>
    </row>
    <row r="779" spans="1:4">
      <c r="A779" t="s">
        <v>1414</v>
      </c>
    </row>
    <row r="780" spans="1:4">
      <c r="A780" t="s">
        <v>1421</v>
      </c>
      <c r="B780" t="s">
        <v>1209</v>
      </c>
      <c r="C780" t="s">
        <v>5624</v>
      </c>
      <c r="D780" t="s">
        <v>5625</v>
      </c>
    </row>
    <row r="781" spans="1:4">
      <c r="A781" t="s">
        <v>1421</v>
      </c>
      <c r="B781" t="s">
        <v>1209</v>
      </c>
      <c r="C781" t="s">
        <v>5626</v>
      </c>
      <c r="D781" t="s">
        <v>5627</v>
      </c>
    </row>
    <row r="782" spans="1:4">
      <c r="A782" t="s">
        <v>1421</v>
      </c>
      <c r="B782" t="s">
        <v>1209</v>
      </c>
      <c r="C782" t="s">
        <v>5628</v>
      </c>
      <c r="D782" t="s">
        <v>5629</v>
      </c>
    </row>
    <row r="783" spans="1:4">
      <c r="A783" t="s">
        <v>1421</v>
      </c>
      <c r="B783" t="s">
        <v>1209</v>
      </c>
      <c r="C783" t="s">
        <v>5630</v>
      </c>
      <c r="D783" t="s">
        <v>5631</v>
      </c>
    </row>
    <row r="784" spans="1:4">
      <c r="A784" t="s">
        <v>1421</v>
      </c>
      <c r="B784" t="s">
        <v>1209</v>
      </c>
      <c r="C784" t="s">
        <v>5632</v>
      </c>
      <c r="D784" t="s">
        <v>5633</v>
      </c>
    </row>
    <row r="785" spans="1:4">
      <c r="A785" t="s">
        <v>1421</v>
      </c>
      <c r="B785" t="s">
        <v>1209</v>
      </c>
      <c r="C785" t="s">
        <v>5634</v>
      </c>
      <c r="D785" t="s">
        <v>5635</v>
      </c>
    </row>
    <row r="786" spans="1:4">
      <c r="A786" t="s">
        <v>1421</v>
      </c>
      <c r="B786" t="s">
        <v>1209</v>
      </c>
      <c r="C786" t="s">
        <v>5636</v>
      </c>
      <c r="D786" t="s">
        <v>5637</v>
      </c>
    </row>
    <row r="787" spans="1:4">
      <c r="A787" t="s">
        <v>1421</v>
      </c>
      <c r="B787" t="s">
        <v>1209</v>
      </c>
      <c r="C787" t="s">
        <v>5638</v>
      </c>
      <c r="D787" t="s">
        <v>5639</v>
      </c>
    </row>
    <row r="788" spans="1:4">
      <c r="A788" t="s">
        <v>1421</v>
      </c>
      <c r="B788" t="s">
        <v>1209</v>
      </c>
      <c r="C788" t="s">
        <v>5640</v>
      </c>
      <c r="D788" t="s">
        <v>5641</v>
      </c>
    </row>
    <row r="789" spans="1:4">
      <c r="A789" t="s">
        <v>1421</v>
      </c>
      <c r="B789" t="s">
        <v>1209</v>
      </c>
      <c r="C789" t="s">
        <v>4687</v>
      </c>
      <c r="D789" t="s">
        <v>4802</v>
      </c>
    </row>
    <row r="790" spans="1:4">
      <c r="A790" t="s">
        <v>1421</v>
      </c>
      <c r="B790" t="s">
        <v>1209</v>
      </c>
      <c r="C790" t="s">
        <v>5642</v>
      </c>
      <c r="D790" t="s">
        <v>5643</v>
      </c>
    </row>
    <row r="791" spans="1:4">
      <c r="A791" t="s">
        <v>1421</v>
      </c>
      <c r="B791" t="s">
        <v>1209</v>
      </c>
      <c r="C791" t="s">
        <v>5644</v>
      </c>
      <c r="D791" t="s">
        <v>5645</v>
      </c>
    </row>
    <row r="792" spans="1:4">
      <c r="A792" t="s">
        <v>1421</v>
      </c>
      <c r="B792" t="s">
        <v>1209</v>
      </c>
      <c r="C792" t="s">
        <v>5646</v>
      </c>
      <c r="D792" t="s">
        <v>5647</v>
      </c>
    </row>
    <row r="793" spans="1:4">
      <c r="A793" t="s">
        <v>1421</v>
      </c>
      <c r="B793" t="s">
        <v>1209</v>
      </c>
      <c r="C793" t="s">
        <v>5648</v>
      </c>
      <c r="D793" t="s">
        <v>5649</v>
      </c>
    </row>
    <row r="794" spans="1:4">
      <c r="A794" t="s">
        <v>1421</v>
      </c>
      <c r="B794" t="s">
        <v>1209</v>
      </c>
      <c r="C794" t="s">
        <v>4687</v>
      </c>
      <c r="D794" t="s">
        <v>4802</v>
      </c>
    </row>
    <row r="795" spans="1:4">
      <c r="A795" t="s">
        <v>1421</v>
      </c>
      <c r="B795" t="s">
        <v>1209</v>
      </c>
      <c r="C795" t="s">
        <v>5650</v>
      </c>
      <c r="D795" t="s">
        <v>5651</v>
      </c>
    </row>
    <row r="796" spans="1:4">
      <c r="A796" t="s">
        <v>1421</v>
      </c>
      <c r="B796" t="s">
        <v>1209</v>
      </c>
      <c r="C796" t="s">
        <v>5652</v>
      </c>
      <c r="D796" t="s">
        <v>5653</v>
      </c>
    </row>
    <row r="797" spans="1:4">
      <c r="A797" t="s">
        <v>1421</v>
      </c>
      <c r="B797" t="s">
        <v>1209</v>
      </c>
      <c r="C797" t="s">
        <v>5654</v>
      </c>
      <c r="D797" t="s">
        <v>5655</v>
      </c>
    </row>
    <row r="798" spans="1:4">
      <c r="A798" t="s">
        <v>1421</v>
      </c>
      <c r="B798" t="s">
        <v>1209</v>
      </c>
      <c r="C798" t="s">
        <v>5656</v>
      </c>
      <c r="D798" t="s">
        <v>5657</v>
      </c>
    </row>
    <row r="799" spans="1:4">
      <c r="A799" t="s">
        <v>1421</v>
      </c>
      <c r="B799" t="s">
        <v>1209</v>
      </c>
      <c r="C799" t="s">
        <v>5658</v>
      </c>
      <c r="D799" t="s">
        <v>5659</v>
      </c>
    </row>
    <row r="800" spans="1:4">
      <c r="A800" t="s">
        <v>1421</v>
      </c>
      <c r="B800" t="s">
        <v>1209</v>
      </c>
      <c r="C800" t="s">
        <v>5660</v>
      </c>
      <c r="D800" t="s">
        <v>5661</v>
      </c>
    </row>
    <row r="801" spans="1:4">
      <c r="A801" t="s">
        <v>1421</v>
      </c>
      <c r="B801" t="s">
        <v>1209</v>
      </c>
      <c r="C801" t="s">
        <v>5662</v>
      </c>
      <c r="D801" t="s">
        <v>5663</v>
      </c>
    </row>
    <row r="802" spans="1:4">
      <c r="A802" t="s">
        <v>1421</v>
      </c>
      <c r="B802" t="s">
        <v>1209</v>
      </c>
      <c r="C802" t="s">
        <v>5664</v>
      </c>
      <c r="D802" t="s">
        <v>5665</v>
      </c>
    </row>
    <row r="803" spans="1:4">
      <c r="A803" t="s">
        <v>1421</v>
      </c>
      <c r="B803" t="s">
        <v>1209</v>
      </c>
      <c r="C803" t="s">
        <v>5666</v>
      </c>
      <c r="D803" t="s">
        <v>5667</v>
      </c>
    </row>
    <row r="804" spans="1:4">
      <c r="A804" t="s">
        <v>1421</v>
      </c>
      <c r="B804" t="s">
        <v>1209</v>
      </c>
      <c r="C804" t="s">
        <v>5668</v>
      </c>
      <c r="D804" t="s">
        <v>5669</v>
      </c>
    </row>
    <row r="805" spans="1:4">
      <c r="A805" t="s">
        <v>1421</v>
      </c>
      <c r="B805" t="s">
        <v>1209</v>
      </c>
      <c r="C805" t="s">
        <v>5670</v>
      </c>
      <c r="D805" t="s">
        <v>5671</v>
      </c>
    </row>
    <row r="806" spans="1:4">
      <c r="A806" t="s">
        <v>1421</v>
      </c>
      <c r="B806" t="s">
        <v>1209</v>
      </c>
      <c r="C806" t="s">
        <v>5672</v>
      </c>
      <c r="D806" t="s">
        <v>5673</v>
      </c>
    </row>
    <row r="807" spans="1:4">
      <c r="A807" t="s">
        <v>1425</v>
      </c>
      <c r="B807" t="s">
        <v>1209</v>
      </c>
    </row>
    <row r="808" spans="1:4">
      <c r="A808" t="s">
        <v>1435</v>
      </c>
      <c r="B808" s="4" t="s">
        <v>1209</v>
      </c>
      <c r="C808" t="s">
        <v>5674</v>
      </c>
      <c r="D808" t="s">
        <v>5675</v>
      </c>
    </row>
    <row r="809" spans="1:4">
      <c r="A809" t="s">
        <v>1435</v>
      </c>
      <c r="B809" s="4" t="s">
        <v>1209</v>
      </c>
      <c r="C809" t="s">
        <v>4441</v>
      </c>
      <c r="D809" t="s">
        <v>5676</v>
      </c>
    </row>
    <row r="810" spans="1:4">
      <c r="A810" t="s">
        <v>1832</v>
      </c>
      <c r="B810" s="4" t="s">
        <v>1209</v>
      </c>
      <c r="C810" t="s">
        <v>5509</v>
      </c>
      <c r="D810" t="s">
        <v>5510</v>
      </c>
    </row>
    <row r="811" spans="1:4">
      <c r="A811" t="s">
        <v>991</v>
      </c>
      <c r="B811" s="4" t="s">
        <v>1209</v>
      </c>
      <c r="C811" t="s">
        <v>5677</v>
      </c>
      <c r="D811" t="s">
        <v>5678</v>
      </c>
    </row>
    <row r="812" spans="1:4">
      <c r="A812" t="s">
        <v>991</v>
      </c>
      <c r="B812" s="4" t="s">
        <v>1209</v>
      </c>
      <c r="C812" t="s">
        <v>5679</v>
      </c>
      <c r="D812" t="s">
        <v>5680</v>
      </c>
    </row>
    <row r="813" spans="1:4">
      <c r="A813" s="4" t="s">
        <v>3375</v>
      </c>
      <c r="B813" s="4" t="s">
        <v>1209</v>
      </c>
      <c r="C813" s="4" t="s">
        <v>5681</v>
      </c>
      <c r="D813" s="4" t="s">
        <v>5682</v>
      </c>
    </row>
    <row r="814" spans="1:4">
      <c r="A814" s="4" t="s">
        <v>3375</v>
      </c>
      <c r="B814" s="4" t="s">
        <v>1209</v>
      </c>
      <c r="C814" s="4" t="s">
        <v>5683</v>
      </c>
      <c r="D814" s="4" t="s">
        <v>5684</v>
      </c>
    </row>
    <row r="815" spans="1:4">
      <c r="A815" s="67" t="s">
        <v>3385</v>
      </c>
      <c r="B815" s="52" t="s">
        <v>1287</v>
      </c>
      <c r="C815" s="67" t="s">
        <v>5685</v>
      </c>
      <c r="D815" s="67" t="s">
        <v>5686</v>
      </c>
    </row>
    <row r="816" spans="1:4">
      <c r="A816" s="67" t="s">
        <v>3385</v>
      </c>
      <c r="B816" s="52" t="s">
        <v>1287</v>
      </c>
      <c r="C816" s="67" t="s">
        <v>5687</v>
      </c>
      <c r="D816" s="67" t="s">
        <v>5688</v>
      </c>
    </row>
    <row r="817" spans="1:4">
      <c r="A817" s="67" t="s">
        <v>3385</v>
      </c>
      <c r="B817" s="52" t="s">
        <v>1287</v>
      </c>
      <c r="C817" s="67" t="s">
        <v>5689</v>
      </c>
      <c r="D817" s="67" t="s">
        <v>5690</v>
      </c>
    </row>
    <row r="818" spans="1:4">
      <c r="A818" s="67" t="s">
        <v>3385</v>
      </c>
      <c r="B818" s="52" t="s">
        <v>1287</v>
      </c>
      <c r="C818" s="67" t="s">
        <v>5691</v>
      </c>
      <c r="D818" s="67" t="s">
        <v>5692</v>
      </c>
    </row>
    <row r="819" spans="1:4">
      <c r="A819" s="67" t="s">
        <v>3385</v>
      </c>
      <c r="B819" s="52" t="s">
        <v>1287</v>
      </c>
      <c r="C819" s="67" t="s">
        <v>5693</v>
      </c>
      <c r="D819" s="67" t="s">
        <v>5694</v>
      </c>
    </row>
    <row r="820" spans="1:4">
      <c r="A820" s="67" t="s">
        <v>3385</v>
      </c>
      <c r="B820" s="52" t="s">
        <v>1287</v>
      </c>
      <c r="C820" s="67" t="s">
        <v>5695</v>
      </c>
      <c r="D820" s="67" t="s">
        <v>5696</v>
      </c>
    </row>
    <row r="821" spans="1:4">
      <c r="A821" s="67" t="s">
        <v>3385</v>
      </c>
      <c r="B821" s="52" t="s">
        <v>1287</v>
      </c>
      <c r="C821" s="67" t="s">
        <v>5697</v>
      </c>
      <c r="D821" s="67" t="s">
        <v>5698</v>
      </c>
    </row>
    <row r="822" spans="1:4">
      <c r="A822" s="67" t="s">
        <v>3385</v>
      </c>
      <c r="B822" s="52" t="s">
        <v>1287</v>
      </c>
      <c r="C822" s="67" t="s">
        <v>5699</v>
      </c>
      <c r="D822" s="67" t="s">
        <v>5700</v>
      </c>
    </row>
    <row r="823" spans="1:4">
      <c r="A823" s="67" t="s">
        <v>3385</v>
      </c>
      <c r="B823" s="52" t="s">
        <v>1287</v>
      </c>
      <c r="C823" s="67" t="s">
        <v>5701</v>
      </c>
      <c r="D823" s="67" t="s">
        <v>5702</v>
      </c>
    </row>
    <row r="824" spans="1:4">
      <c r="A824" s="67" t="s">
        <v>3385</v>
      </c>
      <c r="B824" s="52" t="s">
        <v>1287</v>
      </c>
      <c r="C824" s="67" t="s">
        <v>5703</v>
      </c>
      <c r="D824" s="67" t="s">
        <v>5704</v>
      </c>
    </row>
    <row r="825" spans="1:4">
      <c r="A825" s="67" t="s">
        <v>3385</v>
      </c>
      <c r="B825" s="52" t="s">
        <v>1287</v>
      </c>
      <c r="C825" s="67" t="s">
        <v>5705</v>
      </c>
      <c r="D825" s="67" t="s">
        <v>5706</v>
      </c>
    </row>
    <row r="826" spans="1:4">
      <c r="A826" s="67" t="s">
        <v>3385</v>
      </c>
      <c r="B826" s="52" t="s">
        <v>1287</v>
      </c>
      <c r="C826" s="67" t="s">
        <v>5707</v>
      </c>
      <c r="D826" s="67" t="s">
        <v>5708</v>
      </c>
    </row>
    <row r="827" spans="1:4">
      <c r="A827" s="67" t="s">
        <v>3385</v>
      </c>
      <c r="B827" s="52" t="s">
        <v>1287</v>
      </c>
      <c r="C827" s="67" t="s">
        <v>5709</v>
      </c>
      <c r="D827" s="67" t="s">
        <v>5710</v>
      </c>
    </row>
    <row r="828" spans="1:4">
      <c r="A828" s="67" t="s">
        <v>3385</v>
      </c>
      <c r="B828" s="52" t="s">
        <v>1287</v>
      </c>
      <c r="C828" s="67" t="s">
        <v>5711</v>
      </c>
      <c r="D828" s="67" t="s">
        <v>5712</v>
      </c>
    </row>
    <row r="829" spans="1:4">
      <c r="A829" s="67" t="s">
        <v>3385</v>
      </c>
      <c r="B829" s="52" t="s">
        <v>1287</v>
      </c>
      <c r="C829" s="67" t="s">
        <v>5713</v>
      </c>
      <c r="D829" s="67" t="s">
        <v>5714</v>
      </c>
    </row>
    <row r="830" spans="1:4">
      <c r="A830" s="67" t="s">
        <v>3385</v>
      </c>
      <c r="B830" s="52" t="s">
        <v>1287</v>
      </c>
      <c r="C830" s="67" t="s">
        <v>5715</v>
      </c>
      <c r="D830" s="67" t="s">
        <v>5716</v>
      </c>
    </row>
    <row r="831" spans="1:4">
      <c r="A831" s="67" t="s">
        <v>3385</v>
      </c>
      <c r="B831" s="52" t="s">
        <v>1287</v>
      </c>
      <c r="C831" s="67" t="s">
        <v>5717</v>
      </c>
      <c r="D831" s="67" t="s">
        <v>5718</v>
      </c>
    </row>
    <row r="832" spans="1:4">
      <c r="A832" s="67" t="s">
        <v>3385</v>
      </c>
      <c r="B832" s="52" t="s">
        <v>1287</v>
      </c>
      <c r="C832" s="67" t="s">
        <v>5719</v>
      </c>
      <c r="D832" s="67" t="s">
        <v>5720</v>
      </c>
    </row>
    <row r="833" spans="1:4">
      <c r="A833" s="67" t="s">
        <v>3385</v>
      </c>
      <c r="B833" s="52" t="s">
        <v>1287</v>
      </c>
      <c r="C833" s="67" t="s">
        <v>5721</v>
      </c>
      <c r="D833" s="67" t="s">
        <v>5722</v>
      </c>
    </row>
    <row r="834" spans="1:4">
      <c r="A834" s="67" t="s">
        <v>3385</v>
      </c>
      <c r="B834" s="52" t="s">
        <v>1287</v>
      </c>
      <c r="C834" s="67" t="s">
        <v>5723</v>
      </c>
      <c r="D834" s="67" t="s">
        <v>5724</v>
      </c>
    </row>
    <row r="835" spans="1:4">
      <c r="A835" s="67" t="s">
        <v>3385</v>
      </c>
      <c r="B835" s="52" t="s">
        <v>1287</v>
      </c>
      <c r="C835" s="67" t="s">
        <v>5725</v>
      </c>
      <c r="D835" s="67" t="s">
        <v>5726</v>
      </c>
    </row>
    <row r="836" spans="1:4">
      <c r="A836" s="67" t="s">
        <v>3385</v>
      </c>
      <c r="B836" s="52" t="s">
        <v>1287</v>
      </c>
      <c r="C836" s="67" t="s">
        <v>5727</v>
      </c>
      <c r="D836" s="67" t="s">
        <v>5728</v>
      </c>
    </row>
    <row r="837" spans="1:4">
      <c r="A837" s="67" t="s">
        <v>3385</v>
      </c>
      <c r="B837" s="52" t="s">
        <v>1287</v>
      </c>
      <c r="C837" s="67" t="s">
        <v>5729</v>
      </c>
      <c r="D837" s="67" t="s">
        <v>5730</v>
      </c>
    </row>
    <row r="838" spans="1:4">
      <c r="A838" s="67" t="s">
        <v>3385</v>
      </c>
      <c r="B838" s="52" t="s">
        <v>1287</v>
      </c>
      <c r="C838" s="67" t="s">
        <v>5731</v>
      </c>
      <c r="D838" s="67" t="s">
        <v>5732</v>
      </c>
    </row>
    <row r="839" spans="1:4">
      <c r="A839" s="67" t="s">
        <v>3385</v>
      </c>
      <c r="B839" s="52" t="s">
        <v>1287</v>
      </c>
      <c r="C839" s="67" t="s">
        <v>5733</v>
      </c>
      <c r="D839" s="67" t="s">
        <v>5734</v>
      </c>
    </row>
    <row r="840" spans="1:4">
      <c r="A840" s="67" t="s">
        <v>3385</v>
      </c>
      <c r="B840" s="52" t="s">
        <v>1287</v>
      </c>
      <c r="C840" s="67" t="s">
        <v>5735</v>
      </c>
      <c r="D840" s="67" t="s">
        <v>5736</v>
      </c>
    </row>
    <row r="841" spans="1:4">
      <c r="A841" s="67" t="s">
        <v>3385</v>
      </c>
      <c r="B841" s="52" t="s">
        <v>1287</v>
      </c>
      <c r="C841" s="67" t="s">
        <v>5737</v>
      </c>
      <c r="D841" s="67" t="s">
        <v>5738</v>
      </c>
    </row>
    <row r="842" spans="1:4" ht="28.9">
      <c r="A842" s="4" t="s">
        <v>3391</v>
      </c>
      <c r="B842" s="4" t="s">
        <v>1209</v>
      </c>
      <c r="C842" s="4" t="s">
        <v>5739</v>
      </c>
      <c r="D842" s="9" t="s">
        <v>5740</v>
      </c>
    </row>
    <row r="843" spans="1:4">
      <c r="A843" s="4" t="s">
        <v>3391</v>
      </c>
      <c r="B843" s="4" t="s">
        <v>1209</v>
      </c>
      <c r="C843" s="4" t="s">
        <v>4462</v>
      </c>
      <c r="D843" s="4" t="s">
        <v>4463</v>
      </c>
    </row>
    <row r="844" spans="1:4">
      <c r="A844" s="4" t="s">
        <v>3391</v>
      </c>
      <c r="B844" s="4" t="s">
        <v>1209</v>
      </c>
      <c r="C844" s="4" t="s">
        <v>4462</v>
      </c>
      <c r="D844" s="4" t="s">
        <v>5741</v>
      </c>
    </row>
    <row r="845" spans="1:4">
      <c r="A845" s="4" t="s">
        <v>3391</v>
      </c>
      <c r="B845" s="4" t="s">
        <v>1209</v>
      </c>
      <c r="C845" s="4" t="s">
        <v>5742</v>
      </c>
      <c r="D845" s="4" t="s">
        <v>5743</v>
      </c>
    </row>
    <row r="846" spans="1:4">
      <c r="A846" s="4" t="s">
        <v>3391</v>
      </c>
      <c r="B846" s="4" t="s">
        <v>1209</v>
      </c>
      <c r="C846" s="4" t="s">
        <v>5744</v>
      </c>
      <c r="D846" s="4" t="s">
        <v>5745</v>
      </c>
    </row>
    <row r="847" spans="1:4">
      <c r="A847" s="4" t="s">
        <v>3391</v>
      </c>
      <c r="B847" s="4" t="s">
        <v>1209</v>
      </c>
      <c r="C847" s="4" t="s">
        <v>5746</v>
      </c>
      <c r="D847" s="4" t="s">
        <v>5747</v>
      </c>
    </row>
    <row r="848" spans="1:4">
      <c r="A848" s="4" t="s">
        <v>3391</v>
      </c>
      <c r="B848" s="4" t="s">
        <v>1209</v>
      </c>
      <c r="C848" s="4" t="s">
        <v>5748</v>
      </c>
      <c r="D848" s="4" t="s">
        <v>5749</v>
      </c>
    </row>
    <row r="849" spans="1:4">
      <c r="A849" s="4" t="s">
        <v>3391</v>
      </c>
      <c r="B849" s="4" t="s">
        <v>1209</v>
      </c>
      <c r="C849" s="4" t="s">
        <v>5750</v>
      </c>
      <c r="D849" s="4" t="s">
        <v>5751</v>
      </c>
    </row>
    <row r="850" spans="1:4">
      <c r="A850" s="4" t="s">
        <v>3391</v>
      </c>
      <c r="B850" s="4" t="s">
        <v>1209</v>
      </c>
      <c r="C850" s="4" t="s">
        <v>5742</v>
      </c>
      <c r="D850" s="4" t="s">
        <v>5743</v>
      </c>
    </row>
    <row r="851" spans="1:4">
      <c r="A851" s="4" t="s">
        <v>3168</v>
      </c>
      <c r="B851" s="4" t="s">
        <v>1209</v>
      </c>
      <c r="C851" s="22" t="s">
        <v>4710</v>
      </c>
      <c r="D851" s="4" t="s">
        <v>4711</v>
      </c>
    </row>
    <row r="852" spans="1:4">
      <c r="A852" s="4" t="s">
        <v>3168</v>
      </c>
      <c r="B852" s="4" t="s">
        <v>1209</v>
      </c>
      <c r="C852" s="22" t="s">
        <v>5752</v>
      </c>
      <c r="D852" s="4" t="s">
        <v>5753</v>
      </c>
    </row>
    <row r="853" spans="1:4">
      <c r="A853" s="4" t="s">
        <v>3168</v>
      </c>
      <c r="B853" s="4" t="s">
        <v>1209</v>
      </c>
      <c r="C853" s="22" t="s">
        <v>5754</v>
      </c>
      <c r="D853" s="4" t="s">
        <v>5755</v>
      </c>
    </row>
    <row r="854" spans="1:4">
      <c r="A854" t="s">
        <v>1850</v>
      </c>
      <c r="B854" t="s">
        <v>1209</v>
      </c>
      <c r="C854" t="s">
        <v>5756</v>
      </c>
      <c r="D854" t="s">
        <v>5757</v>
      </c>
    </row>
    <row r="855" spans="1:4">
      <c r="A855" t="s">
        <v>1850</v>
      </c>
      <c r="B855" t="s">
        <v>1209</v>
      </c>
      <c r="C855" t="s">
        <v>5758</v>
      </c>
      <c r="D855" t="s">
        <v>5759</v>
      </c>
    </row>
    <row r="856" spans="1:4">
      <c r="A856" t="s">
        <v>1850</v>
      </c>
      <c r="B856" t="s">
        <v>1209</v>
      </c>
      <c r="C856" t="s">
        <v>5760</v>
      </c>
      <c r="D856" t="s">
        <v>5761</v>
      </c>
    </row>
    <row r="857" spans="1:4">
      <c r="A857" s="4" t="s">
        <v>1854</v>
      </c>
      <c r="B857" s="4" t="s">
        <v>1209</v>
      </c>
      <c r="C857" s="4" t="s">
        <v>5762</v>
      </c>
      <c r="D857" s="4" t="s">
        <v>5763</v>
      </c>
    </row>
    <row r="858" spans="1:4">
      <c r="A858" s="4" t="s">
        <v>1854</v>
      </c>
      <c r="B858" s="4" t="s">
        <v>1209</v>
      </c>
      <c r="C858" s="4" t="s">
        <v>5764</v>
      </c>
      <c r="D858" s="4" t="s">
        <v>5765</v>
      </c>
    </row>
    <row r="859" spans="1:4">
      <c r="A859" s="4" t="s">
        <v>1854</v>
      </c>
      <c r="B859" s="4" t="s">
        <v>1209</v>
      </c>
      <c r="C859" s="4" t="s">
        <v>5766</v>
      </c>
      <c r="D859" s="4" t="s">
        <v>5767</v>
      </c>
    </row>
    <row r="860" spans="1:4">
      <c r="A860" s="4" t="s">
        <v>1854</v>
      </c>
      <c r="B860" s="4" t="s">
        <v>1209</v>
      </c>
      <c r="C860" s="4" t="s">
        <v>5768</v>
      </c>
      <c r="D860" s="4" t="s">
        <v>5769</v>
      </c>
    </row>
    <row r="861" spans="1:4">
      <c r="A861" s="4" t="s">
        <v>1854</v>
      </c>
      <c r="B861" s="4" t="s">
        <v>1209</v>
      </c>
      <c r="C861" s="4" t="s">
        <v>5770</v>
      </c>
      <c r="D861" s="4" t="s">
        <v>5771</v>
      </c>
    </row>
    <row r="862" spans="1:4">
      <c r="A862" s="4" t="s">
        <v>1854</v>
      </c>
      <c r="B862" s="4" t="s">
        <v>1209</v>
      </c>
      <c r="C862" s="4" t="s">
        <v>5772</v>
      </c>
      <c r="D862" s="4" t="s">
        <v>5773</v>
      </c>
    </row>
    <row r="863" spans="1:4">
      <c r="A863" s="4" t="s">
        <v>1854</v>
      </c>
      <c r="B863" s="4" t="s">
        <v>1209</v>
      </c>
      <c r="C863" s="4" t="s">
        <v>5774</v>
      </c>
      <c r="D863" s="4" t="s">
        <v>5775</v>
      </c>
    </row>
    <row r="864" spans="1:4">
      <c r="A864" s="4" t="s">
        <v>1854</v>
      </c>
      <c r="B864" s="4" t="s">
        <v>1209</v>
      </c>
      <c r="C864" s="4" t="s">
        <v>5776</v>
      </c>
      <c r="D864" s="4" t="s">
        <v>5777</v>
      </c>
    </row>
    <row r="865" spans="1:4">
      <c r="A865" s="4" t="s">
        <v>1854</v>
      </c>
      <c r="B865" s="4" t="s">
        <v>1209</v>
      </c>
      <c r="C865" s="4" t="s">
        <v>5778</v>
      </c>
      <c r="D865" s="4" t="s">
        <v>5779</v>
      </c>
    </row>
    <row r="866" spans="1:4">
      <c r="A866" s="4" t="s">
        <v>1854</v>
      </c>
      <c r="B866" s="4" t="s">
        <v>1209</v>
      </c>
      <c r="C866" s="4" t="s">
        <v>5550</v>
      </c>
      <c r="D866" s="4" t="s">
        <v>5780</v>
      </c>
    </row>
    <row r="867" spans="1:4">
      <c r="A867" s="4" t="s">
        <v>1854</v>
      </c>
      <c r="B867" s="4" t="s">
        <v>1209</v>
      </c>
      <c r="C867" s="4" t="s">
        <v>5781</v>
      </c>
      <c r="D867" s="4" t="s">
        <v>5782</v>
      </c>
    </row>
    <row r="868" spans="1:4">
      <c r="A868" s="4" t="s">
        <v>1854</v>
      </c>
      <c r="B868" s="4" t="s">
        <v>1209</v>
      </c>
      <c r="C868" s="4" t="s">
        <v>5783</v>
      </c>
      <c r="D868" t="s">
        <v>5784</v>
      </c>
    </row>
    <row r="869" spans="1:4">
      <c r="A869" s="4" t="s">
        <v>1854</v>
      </c>
      <c r="B869" s="4" t="s">
        <v>1209</v>
      </c>
      <c r="C869" s="4" t="s">
        <v>5785</v>
      </c>
      <c r="D869" t="s">
        <v>5786</v>
      </c>
    </row>
    <row r="870" spans="1:4">
      <c r="A870" s="4" t="s">
        <v>1854</v>
      </c>
      <c r="B870" s="4" t="s">
        <v>1209</v>
      </c>
      <c r="C870" s="4" t="s">
        <v>5787</v>
      </c>
      <c r="D870" t="s">
        <v>5788</v>
      </c>
    </row>
    <row r="871" spans="1:4">
      <c r="A871" s="4" t="s">
        <v>1854</v>
      </c>
      <c r="B871" s="4" t="s">
        <v>1209</v>
      </c>
      <c r="C871" s="4" t="s">
        <v>5789</v>
      </c>
      <c r="D871" t="s">
        <v>5790</v>
      </c>
    </row>
    <row r="872" spans="1:4">
      <c r="A872" s="4" t="s">
        <v>1854</v>
      </c>
      <c r="B872" s="4" t="s">
        <v>1209</v>
      </c>
      <c r="C872" s="4" t="s">
        <v>5791</v>
      </c>
      <c r="D872" t="s">
        <v>5792</v>
      </c>
    </row>
    <row r="873" spans="1:4">
      <c r="A873" t="s">
        <v>2871</v>
      </c>
      <c r="B873" t="s">
        <v>1209</v>
      </c>
      <c r="C873" t="s">
        <v>4486</v>
      </c>
      <c r="D873" t="s">
        <v>5793</v>
      </c>
    </row>
    <row r="874" spans="1:4">
      <c r="A874" t="s">
        <v>1861</v>
      </c>
      <c r="B874" s="4" t="s">
        <v>1209</v>
      </c>
      <c r="C874" t="s">
        <v>5794</v>
      </c>
      <c r="D874" t="s">
        <v>5795</v>
      </c>
    </row>
    <row r="875" spans="1:4">
      <c r="A875" t="s">
        <v>1861</v>
      </c>
      <c r="B875" s="4" t="s">
        <v>1209</v>
      </c>
      <c r="C875" t="s">
        <v>5796</v>
      </c>
      <c r="D875" t="s">
        <v>5797</v>
      </c>
    </row>
    <row r="876" spans="1:4">
      <c r="A876" t="s">
        <v>1861</v>
      </c>
      <c r="B876" s="4" t="s">
        <v>1209</v>
      </c>
      <c r="C876" t="s">
        <v>5798</v>
      </c>
      <c r="D876" t="s">
        <v>5799</v>
      </c>
    </row>
    <row r="877" spans="1:4">
      <c r="A877" t="s">
        <v>1861</v>
      </c>
      <c r="B877" s="4" t="s">
        <v>1209</v>
      </c>
      <c r="C877" t="s">
        <v>5800</v>
      </c>
      <c r="D877" t="s">
        <v>5801</v>
      </c>
    </row>
    <row r="878" spans="1:4">
      <c r="A878" t="s">
        <v>1861</v>
      </c>
      <c r="B878" s="4" t="s">
        <v>1209</v>
      </c>
      <c r="C878" t="s">
        <v>5802</v>
      </c>
      <c r="D878" t="s">
        <v>5803</v>
      </c>
    </row>
    <row r="879" spans="1:4">
      <c r="A879" t="s">
        <v>1861</v>
      </c>
      <c r="B879" s="4" t="s">
        <v>1209</v>
      </c>
      <c r="C879" t="s">
        <v>5804</v>
      </c>
      <c r="D879" t="s">
        <v>5805</v>
      </c>
    </row>
    <row r="880" spans="1:4">
      <c r="A880" t="s">
        <v>1861</v>
      </c>
      <c r="B880" s="4" t="s">
        <v>1209</v>
      </c>
      <c r="C880" t="s">
        <v>5806</v>
      </c>
      <c r="D880" t="s">
        <v>5807</v>
      </c>
    </row>
    <row r="881" spans="1:4">
      <c r="A881" s="4" t="s">
        <v>1870</v>
      </c>
      <c r="B881" s="4" t="s">
        <v>1209</v>
      </c>
      <c r="C881" s="22" t="s">
        <v>5808</v>
      </c>
      <c r="D881" s="4" t="s">
        <v>3114</v>
      </c>
    </row>
    <row r="882" spans="1:4">
      <c r="A882" s="4" t="s">
        <v>1870</v>
      </c>
      <c r="B882" s="4" t="s">
        <v>1209</v>
      </c>
      <c r="C882" s="22" t="s">
        <v>5809</v>
      </c>
      <c r="D882" s="4" t="s">
        <v>3086</v>
      </c>
    </row>
    <row r="883" spans="1:4">
      <c r="A883" s="4" t="s">
        <v>2645</v>
      </c>
      <c r="B883" s="4" t="s">
        <v>1209</v>
      </c>
      <c r="C883" t="s">
        <v>5810</v>
      </c>
      <c r="D883" t="s">
        <v>5811</v>
      </c>
    </row>
    <row r="884" spans="1:4">
      <c r="A884" s="4" t="s">
        <v>2645</v>
      </c>
      <c r="B884" s="4" t="s">
        <v>1209</v>
      </c>
      <c r="C884" t="s">
        <v>5812</v>
      </c>
      <c r="D884" t="s">
        <v>5813</v>
      </c>
    </row>
    <row r="885" spans="1:4">
      <c r="A885" s="4" t="s">
        <v>2645</v>
      </c>
      <c r="B885" s="4" t="s">
        <v>1209</v>
      </c>
      <c r="C885" t="s">
        <v>5814</v>
      </c>
      <c r="D885" t="s">
        <v>5815</v>
      </c>
    </row>
    <row r="886" spans="1:4">
      <c r="A886" s="4" t="s">
        <v>2608</v>
      </c>
      <c r="B886" s="4" t="s">
        <v>1209</v>
      </c>
      <c r="C886" s="4" t="s">
        <v>5816</v>
      </c>
      <c r="D886" s="4" t="s">
        <v>5817</v>
      </c>
    </row>
    <row r="887" spans="1:4">
      <c r="A887" s="4" t="s">
        <v>2608</v>
      </c>
      <c r="B887" s="4" t="s">
        <v>1209</v>
      </c>
      <c r="C887" s="4" t="s">
        <v>5818</v>
      </c>
      <c r="D887" s="4" t="s">
        <v>5819</v>
      </c>
    </row>
    <row r="888" spans="1:4">
      <c r="A888" s="4" t="s">
        <v>2608</v>
      </c>
      <c r="B888" s="4" t="s">
        <v>1209</v>
      </c>
      <c r="C888" s="4" t="s">
        <v>4801</v>
      </c>
      <c r="D888" s="4" t="s">
        <v>4802</v>
      </c>
    </row>
    <row r="889" spans="1:4">
      <c r="D889"/>
    </row>
  </sheetData>
  <mergeCells count="1">
    <mergeCell ref="A1:C1"/>
  </mergeCells>
  <phoneticPr fontId="4"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98487-3C0A-4D4C-B9B3-BF8C7ED0FEDB}">
  <sheetPr codeName="Feuil3"/>
  <dimension ref="A2:H906"/>
  <sheetViews>
    <sheetView topLeftCell="L18" workbookViewId="0">
      <selection activeCell="L18" sqref="L18"/>
    </sheetView>
  </sheetViews>
  <sheetFormatPr defaultColWidth="11.42578125" defaultRowHeight="14.45"/>
  <cols>
    <col min="1" max="1" width="29.7109375" customWidth="1"/>
    <col min="2" max="2" width="25.28515625" customWidth="1"/>
    <col min="3" max="3" width="27" hidden="1" customWidth="1"/>
    <col min="4" max="4" width="26.28515625" hidden="1" customWidth="1"/>
    <col min="5" max="5" width="31.28515625" customWidth="1"/>
    <col min="6" max="6" width="29.28515625" customWidth="1"/>
    <col min="7" max="7" width="34.28515625" hidden="1" customWidth="1"/>
    <col min="8" max="8" width="45.28515625" hidden="1" customWidth="1"/>
  </cols>
  <sheetData>
    <row r="2" spans="1:8">
      <c r="A2" t="s">
        <v>5820</v>
      </c>
      <c r="B2" t="s">
        <v>5821</v>
      </c>
      <c r="C2" t="s">
        <v>5822</v>
      </c>
      <c r="D2" t="s">
        <v>5823</v>
      </c>
      <c r="E2" t="s">
        <v>5824</v>
      </c>
      <c r="F2" t="s">
        <v>5825</v>
      </c>
      <c r="G2" t="s">
        <v>5826</v>
      </c>
      <c r="H2" t="s">
        <v>5827</v>
      </c>
    </row>
    <row r="3" spans="1:8">
      <c r="A3" t="str">
        <f>DICO_Export!D3</f>
        <v>error</v>
      </c>
      <c r="B3" t="str">
        <f>DICO_Export!E3</f>
        <v>code</v>
      </c>
      <c r="C3" t="e">
        <f>#REF!</f>
        <v>#REF!</v>
      </c>
      <c r="D3" t="e">
        <f>#REF!</f>
        <v>#REF!</v>
      </c>
      <c r="E3" t="str">
        <f t="shared" ref="E3" si="0">LEFT(A3,1)&amp;SUBSTITUTE(SUBSTITUTE(SUBSTITUTE(SUBSTITUTE(SUBSTITUTE(SUBSTITUTE(SUBSTITUTE(RIGHT(A3,LEN(A3)-1),"a"," "),"e"," "),"i"," "),"o"," "),"u"," "),"y"," ")," ","")</f>
        <v>errr</v>
      </c>
      <c r="F3" t="str">
        <f t="shared" ref="F3" si="1">LEFT(B3,1)&amp;SUBSTITUTE(SUBSTITUTE(SUBSTITUTE(SUBSTITUTE(SUBSTITUTE(SUBSTITUTE(SUBSTITUTE(RIGHT(B3,LEN(B3)-1),"a"," "),"e"," "),"i"," "),"o"," "),"u"," "),"y"," ")," ","")</f>
        <v>cd</v>
      </c>
      <c r="G3" t="e">
        <f t="shared" ref="G3:G66" si="2">LEFT(C3,1)&amp;SUBSTITUTE(SUBSTITUTE(SUBSTITUTE(SUBSTITUTE(SUBSTITUTE(SUBSTITUTE(SUBSTITUTE(RIGHT(C3,LEN(C3)-1),"a"," "),"e"," "),"i"," "),"o"," "),"u"," "),"y"," ")," ","")</f>
        <v>#REF!</v>
      </c>
      <c r="H3" t="e">
        <f t="shared" ref="H3:H66" si="3">LEFT(D3,1)&amp;SUBSTITUTE(SUBSTITUTE(SUBSTITUTE(SUBSTITUTE(SUBSTITUTE(SUBSTITUTE(SUBSTITUTE(RIGHT(D3,LEN(D3)-1),"a"," "),"e"," "),"i"," "),"o"," "),"u"," "),"y"," ")," ","")</f>
        <v>#REF!</v>
      </c>
    </row>
    <row r="4" spans="1:8">
      <c r="A4" t="str">
        <f>DICO_Export!D4</f>
        <v>error</v>
      </c>
      <c r="B4" t="str">
        <f>DICO_Export!E4</f>
        <v>developerText</v>
      </c>
      <c r="C4" t="e">
        <f>#REF!</f>
        <v>#REF!</v>
      </c>
      <c r="D4" t="e">
        <f>#REF!</f>
        <v>#REF!</v>
      </c>
      <c r="E4" t="str">
        <f t="shared" ref="E4:E67" si="4">LEFT(A4,1)&amp;SUBSTITUTE(SUBSTITUTE(SUBSTITUTE(SUBSTITUTE(SUBSTITUTE(SUBSTITUTE(SUBSTITUTE(RIGHT(A4,LEN(A4)-1),"a"," "),"e"," "),"i"," "),"o"," "),"u"," "),"y"," ")," ","")</f>
        <v>errr</v>
      </c>
      <c r="F4" t="str">
        <f t="shared" ref="F4:F67" si="5">LEFT(B4,1)&amp;SUBSTITUTE(SUBSTITUTE(SUBSTITUTE(SUBSTITUTE(SUBSTITUTE(SUBSTITUTE(SUBSTITUTE(RIGHT(B4,LEN(B4)-1),"a"," "),"e"," "),"i"," "),"o"," "),"u"," "),"y"," ")," ","")</f>
        <v>dvlprTxt</v>
      </c>
      <c r="G4" t="e">
        <f t="shared" si="2"/>
        <v>#REF!</v>
      </c>
      <c r="H4" t="e">
        <f t="shared" si="3"/>
        <v>#REF!</v>
      </c>
    </row>
    <row r="5" spans="1:8">
      <c r="A5" t="str">
        <f>DICO_Export!D5</f>
        <v>error</v>
      </c>
      <c r="B5" t="str">
        <f>DICO_Export!E5</f>
        <v>moreInfo</v>
      </c>
      <c r="C5" t="e">
        <f>#REF!</f>
        <v>#REF!</v>
      </c>
      <c r="D5" t="e">
        <f>#REF!</f>
        <v>#REF!</v>
      </c>
      <c r="E5" t="str">
        <f t="shared" si="4"/>
        <v>errr</v>
      </c>
      <c r="F5" t="str">
        <f t="shared" si="5"/>
        <v>mrInf</v>
      </c>
      <c r="G5" t="e">
        <f t="shared" si="2"/>
        <v>#REF!</v>
      </c>
      <c r="H5" t="e">
        <f t="shared" si="3"/>
        <v>#REF!</v>
      </c>
    </row>
    <row r="6" spans="1:8">
      <c r="A6" t="str">
        <f>DICO_Export!D6</f>
        <v>error</v>
      </c>
      <c r="B6" t="str">
        <f>DICO_Export!E6</f>
        <v>text</v>
      </c>
      <c r="C6" t="e">
        <f>#REF!</f>
        <v>#REF!</v>
      </c>
      <c r="D6" t="e">
        <f>#REF!</f>
        <v>#REF!</v>
      </c>
      <c r="E6" t="str">
        <f t="shared" si="4"/>
        <v>errr</v>
      </c>
      <c r="F6" t="str">
        <f t="shared" si="5"/>
        <v>txt</v>
      </c>
      <c r="G6" t="e">
        <f t="shared" si="2"/>
        <v>#REF!</v>
      </c>
      <c r="H6" t="e">
        <f t="shared" si="3"/>
        <v>#REF!</v>
      </c>
    </row>
    <row r="7" spans="1:8">
      <c r="A7" t="str">
        <f>DICO_Export!D7</f>
        <v>httpStatus</v>
      </c>
      <c r="B7" t="str">
        <f>DICO_Export!E7</f>
        <v>httpCode</v>
      </c>
      <c r="C7" t="e">
        <f>#REF!</f>
        <v>#REF!</v>
      </c>
      <c r="D7" t="e">
        <f>#REF!</f>
        <v>#REF!</v>
      </c>
      <c r="E7" t="str">
        <f t="shared" si="4"/>
        <v>httpStts</v>
      </c>
      <c r="F7" t="str">
        <f t="shared" si="5"/>
        <v>httpCd</v>
      </c>
      <c r="G7" t="e">
        <f t="shared" si="2"/>
        <v>#REF!</v>
      </c>
      <c r="H7" t="e">
        <f t="shared" si="3"/>
        <v>#REF!</v>
      </c>
    </row>
    <row r="8" spans="1:8">
      <c r="A8" t="str">
        <f>DICO_Export!D8</f>
        <v>httpStatus</v>
      </c>
      <c r="B8" t="str">
        <f>DICO_Export!E8</f>
        <v>requestId</v>
      </c>
      <c r="C8" t="e">
        <f>#REF!</f>
        <v>#REF!</v>
      </c>
      <c r="D8" t="e">
        <f>#REF!</f>
        <v>#REF!</v>
      </c>
      <c r="E8" t="str">
        <f t="shared" si="4"/>
        <v>httpStts</v>
      </c>
      <c r="F8" t="str">
        <f t="shared" si="5"/>
        <v>rqstId</v>
      </c>
      <c r="G8" t="e">
        <f t="shared" si="2"/>
        <v>#REF!</v>
      </c>
      <c r="H8" t="e">
        <f t="shared" si="3"/>
        <v>#REF!</v>
      </c>
    </row>
    <row r="9" spans="1:8">
      <c r="A9" t="str">
        <f>DICO_Export!D9</f>
        <v>cardContext</v>
      </c>
      <c r="B9" t="str">
        <f>DICO_Export!E9</f>
        <v>acquiringChannel</v>
      </c>
      <c r="C9" t="e">
        <f>#REF!</f>
        <v>#REF!</v>
      </c>
      <c r="D9" t="e">
        <f>#REF!</f>
        <v>#REF!</v>
      </c>
      <c r="E9" t="str">
        <f t="shared" si="4"/>
        <v>crdCntxt</v>
      </c>
      <c r="F9" t="str">
        <f t="shared" si="5"/>
        <v>acqrngChnnl</v>
      </c>
      <c r="G9" t="e">
        <f t="shared" si="2"/>
        <v>#REF!</v>
      </c>
      <c r="H9" t="e">
        <f t="shared" si="3"/>
        <v>#REF!</v>
      </c>
    </row>
    <row r="10" spans="1:8">
      <c r="A10" t="str">
        <f>DICO_Export!D10</f>
        <v>cardContext</v>
      </c>
      <c r="B10" t="str">
        <f>DICO_Export!E10</f>
        <v>actionOnCard</v>
      </c>
      <c r="C10" t="e">
        <f>#REF!</f>
        <v>#REF!</v>
      </c>
      <c r="D10" t="e">
        <f>#REF!</f>
        <v>#REF!</v>
      </c>
      <c r="E10" t="str">
        <f t="shared" si="4"/>
        <v>crdCntxt</v>
      </c>
      <c r="F10" t="str">
        <f t="shared" si="5"/>
        <v>actnOnCrd</v>
      </c>
      <c r="G10" t="e">
        <f t="shared" si="2"/>
        <v>#REF!</v>
      </c>
      <c r="H10" t="e">
        <f t="shared" si="3"/>
        <v>#REF!</v>
      </c>
    </row>
    <row r="11" spans="1:8">
      <c r="A11" t="str">
        <f>DICO_Export!D11</f>
        <v>cardContext</v>
      </c>
      <c r="B11" t="str">
        <f>DICO_Export!E11</f>
        <v>activationCodeForNoShowInvoice</v>
      </c>
      <c r="C11" t="e">
        <f>#REF!</f>
        <v>#REF!</v>
      </c>
      <c r="D11" t="e">
        <f>#REF!</f>
        <v>#REF!</v>
      </c>
      <c r="E11" t="str">
        <f t="shared" si="4"/>
        <v>crdCntxt</v>
      </c>
      <c r="F11" t="str">
        <f t="shared" si="5"/>
        <v>actvtnCdFrNShwInvc</v>
      </c>
      <c r="G11" t="e">
        <f t="shared" si="2"/>
        <v>#REF!</v>
      </c>
      <c r="H11" t="e">
        <f t="shared" si="3"/>
        <v>#REF!</v>
      </c>
    </row>
    <row r="12" spans="1:8">
      <c r="A12" t="str">
        <f>DICO_Export!D12</f>
        <v>cardContext</v>
      </c>
      <c r="B12" t="str">
        <f>DICO_Export!E12</f>
        <v>activCodePLBSInvoiceRemoteModeOrPreAuthProlongTransaction</v>
      </c>
      <c r="C12" t="e">
        <f>#REF!</f>
        <v>#REF!</v>
      </c>
      <c r="D12" t="e">
        <f>#REF!</f>
        <v>#REF!</v>
      </c>
      <c r="E12" t="str">
        <f t="shared" si="4"/>
        <v>crdCntxt</v>
      </c>
      <c r="F12" t="str">
        <f t="shared" si="5"/>
        <v>actvCdPLBSInvcRmtMdOrPrAthPrlngTrnsctn</v>
      </c>
      <c r="G12" t="e">
        <f t="shared" si="2"/>
        <v>#REF!</v>
      </c>
      <c r="H12" t="e">
        <f t="shared" si="3"/>
        <v>#REF!</v>
      </c>
    </row>
    <row r="13" spans="1:8">
      <c r="A13" t="str">
        <f>DICO_Export!D13</f>
        <v>cardContext</v>
      </c>
      <c r="B13" t="str">
        <f>DICO_Export!E13</f>
        <v>additionalInvoiceActivationCode</v>
      </c>
      <c r="C13" t="e">
        <f>#REF!</f>
        <v>#REF!</v>
      </c>
      <c r="D13" t="e">
        <f>#REF!</f>
        <v>#REF!</v>
      </c>
      <c r="E13" t="str">
        <f t="shared" si="4"/>
        <v>crdCntxt</v>
      </c>
      <c r="F13" t="str">
        <f t="shared" si="5"/>
        <v>addtnlInvcActvtnCd</v>
      </c>
      <c r="G13" t="e">
        <f t="shared" si="2"/>
        <v>#REF!</v>
      </c>
      <c r="H13" t="e">
        <f t="shared" si="3"/>
        <v>#REF!</v>
      </c>
    </row>
    <row r="14" spans="1:8">
      <c r="A14" t="str">
        <f>DICO_Export!D14</f>
        <v>cardContext</v>
      </c>
      <c r="B14" t="str">
        <f>DICO_Export!E14</f>
        <v>blockingReasonCode</v>
      </c>
      <c r="C14" t="e">
        <f>#REF!</f>
        <v>#REF!</v>
      </c>
      <c r="D14" t="e">
        <f>#REF!</f>
        <v>#REF!</v>
      </c>
      <c r="E14" t="str">
        <f t="shared" si="4"/>
        <v>crdCntxt</v>
      </c>
      <c r="F14" t="str">
        <f t="shared" si="5"/>
        <v>blckngRsnCd</v>
      </c>
      <c r="G14" t="e">
        <f t="shared" si="2"/>
        <v>#REF!</v>
      </c>
      <c r="H14" t="e">
        <f t="shared" si="3"/>
        <v>#REF!</v>
      </c>
    </row>
    <row r="15" spans="1:8">
      <c r="A15" t="str">
        <f>DICO_Export!D15</f>
        <v>cardContext</v>
      </c>
      <c r="B15" t="str">
        <f>DICO_Export!E15</f>
        <v>blockingRegulatoryReasonCode</v>
      </c>
      <c r="C15" t="e">
        <f>#REF!</f>
        <v>#REF!</v>
      </c>
      <c r="D15" t="e">
        <f>#REF!</f>
        <v>#REF!</v>
      </c>
      <c r="E15" t="str">
        <f t="shared" si="4"/>
        <v>crdCntxt</v>
      </c>
      <c r="F15" t="str">
        <f t="shared" si="5"/>
        <v>blckngRgltrRsnCd</v>
      </c>
      <c r="G15" t="e">
        <f t="shared" si="2"/>
        <v>#REF!</v>
      </c>
      <c r="H15" t="e">
        <f t="shared" si="3"/>
        <v>#REF!</v>
      </c>
    </row>
    <row r="16" spans="1:8">
      <c r="A16" t="str">
        <f>DICO_Export!D16</f>
        <v>cardContext</v>
      </c>
      <c r="B16" t="str">
        <f>DICO_Export!E16</f>
        <v>contactlessActionCode</v>
      </c>
      <c r="C16" t="e">
        <f>#REF!</f>
        <v>#REF!</v>
      </c>
      <c r="D16" t="e">
        <f>#REF!</f>
        <v>#REF!</v>
      </c>
      <c r="E16" t="str">
        <f t="shared" si="4"/>
        <v>crdCntxt</v>
      </c>
      <c r="F16" t="str">
        <f t="shared" si="5"/>
        <v>cntctlssActnCd</v>
      </c>
      <c r="G16" t="e">
        <f t="shared" si="2"/>
        <v>#REF!</v>
      </c>
      <c r="H16" t="e">
        <f t="shared" si="3"/>
        <v>#REF!</v>
      </c>
    </row>
    <row r="17" spans="1:8">
      <c r="A17" t="str">
        <f>DICO_Export!D17</f>
        <v>cardContext</v>
      </c>
      <c r="B17" t="str">
        <f>DICO_Export!E17</f>
        <v>contactlessActivationChoiceCode</v>
      </c>
      <c r="C17" t="e">
        <f>#REF!</f>
        <v>#REF!</v>
      </c>
      <c r="D17" t="e">
        <f>#REF!</f>
        <v>#REF!</v>
      </c>
      <c r="E17" t="str">
        <f t="shared" si="4"/>
        <v>crdCntxt</v>
      </c>
      <c r="F17" t="str">
        <f t="shared" si="5"/>
        <v>cntctlssActvtnChcCd</v>
      </c>
      <c r="G17" t="e">
        <f t="shared" si="2"/>
        <v>#REF!</v>
      </c>
      <c r="H17" t="e">
        <f t="shared" si="3"/>
        <v>#REF!</v>
      </c>
    </row>
    <row r="18" spans="1:8">
      <c r="A18" t="str">
        <f>DICO_Export!D18</f>
        <v>cardContext</v>
      </c>
      <c r="B18" t="str">
        <f>DICO_Export!E18</f>
        <v>forcingAuthorised</v>
      </c>
      <c r="C18" t="e">
        <f>#REF!</f>
        <v>#REF!</v>
      </c>
      <c r="D18" t="e">
        <f>#REF!</f>
        <v>#REF!</v>
      </c>
      <c r="E18" t="str">
        <f t="shared" si="4"/>
        <v>crdCntxt</v>
      </c>
      <c r="F18" t="str">
        <f t="shared" si="5"/>
        <v>frcngAthrsd</v>
      </c>
      <c r="G18" t="e">
        <f t="shared" si="2"/>
        <v>#REF!</v>
      </c>
      <c r="H18" t="e">
        <f t="shared" si="3"/>
        <v>#REF!</v>
      </c>
    </row>
    <row r="19" spans="1:8">
      <c r="A19" t="str">
        <f>DICO_Export!D19</f>
        <v>cardContext</v>
      </c>
      <c r="B19" t="str">
        <f>DICO_Export!E19</f>
        <v>lockingActionCode</v>
      </c>
      <c r="C19" t="e">
        <f>#REF!</f>
        <v>#REF!</v>
      </c>
      <c r="D19" t="e">
        <f>#REF!</f>
        <v>#REF!</v>
      </c>
      <c r="E19" t="str">
        <f t="shared" si="4"/>
        <v>crdCntxt</v>
      </c>
      <c r="F19" t="str">
        <f t="shared" si="5"/>
        <v>lckngActnCd</v>
      </c>
      <c r="G19" t="e">
        <f t="shared" si="2"/>
        <v>#REF!</v>
      </c>
      <c r="H19" t="e">
        <f t="shared" si="3"/>
        <v>#REF!</v>
      </c>
    </row>
    <row r="20" spans="1:8">
      <c r="A20" t="str">
        <f>DICO_Export!D20</f>
        <v>cardContext</v>
      </c>
      <c r="B20" t="str">
        <f>DICO_Export!E20</f>
        <v>lockingReasonCode</v>
      </c>
      <c r="C20" t="e">
        <f>#REF!</f>
        <v>#REF!</v>
      </c>
      <c r="D20" t="e">
        <f>#REF!</f>
        <v>#REF!</v>
      </c>
      <c r="E20" t="str">
        <f t="shared" si="4"/>
        <v>crdCntxt</v>
      </c>
      <c r="F20" t="str">
        <f t="shared" si="5"/>
        <v>lckngRsnCd</v>
      </c>
      <c r="G20" t="e">
        <f t="shared" si="2"/>
        <v>#REF!</v>
      </c>
      <c r="H20" t="e">
        <f t="shared" si="3"/>
        <v>#REF!</v>
      </c>
    </row>
    <row r="21" spans="1:8">
      <c r="A21" t="str">
        <f>DICO_Export!D21</f>
        <v>cardContext</v>
      </c>
      <c r="B21" t="str">
        <f>DICO_Export!E21</f>
        <v>maximumLengthOfPAN</v>
      </c>
      <c r="C21" t="e">
        <f>#REF!</f>
        <v>#REF!</v>
      </c>
      <c r="D21" t="e">
        <f>#REF!</f>
        <v>#REF!</v>
      </c>
      <c r="E21" t="str">
        <f t="shared" si="4"/>
        <v>crdCntxt</v>
      </c>
      <c r="F21" t="str">
        <f t="shared" si="5"/>
        <v>mxmmLngthOfPAN</v>
      </c>
      <c r="G21" t="e">
        <f t="shared" si="2"/>
        <v>#REF!</v>
      </c>
      <c r="H21" t="e">
        <f t="shared" si="3"/>
        <v>#REF!</v>
      </c>
    </row>
    <row r="22" spans="1:8">
      <c r="A22" t="str">
        <f>DICO_Export!D22</f>
        <v>cardContext</v>
      </c>
      <c r="B22" t="str">
        <f>DICO_Export!E22</f>
        <v>minimumLengthOfPAN</v>
      </c>
      <c r="C22" t="e">
        <f>#REF!</f>
        <v>#REF!</v>
      </c>
      <c r="D22" t="e">
        <f>#REF!</f>
        <v>#REF!</v>
      </c>
      <c r="E22" t="str">
        <f t="shared" si="4"/>
        <v>crdCntxt</v>
      </c>
      <c r="F22" t="str">
        <f t="shared" si="5"/>
        <v>mnmmLngthOfPAN</v>
      </c>
      <c r="G22" t="e">
        <f t="shared" si="2"/>
        <v>#REF!</v>
      </c>
      <c r="H22" t="e">
        <f t="shared" si="3"/>
        <v>#REF!</v>
      </c>
    </row>
    <row r="23" spans="1:8">
      <c r="A23" t="str">
        <f>DICO_Export!D23</f>
        <v>cardContext</v>
      </c>
      <c r="B23" t="str">
        <f>DICO_Export!E23</f>
        <v>newSecretCodeIndicator</v>
      </c>
      <c r="C23" t="e">
        <f>#REF!</f>
        <v>#REF!</v>
      </c>
      <c r="D23" t="e">
        <f>#REF!</f>
        <v>#REF!</v>
      </c>
      <c r="E23" t="str">
        <f t="shared" si="4"/>
        <v>crdCntxt</v>
      </c>
      <c r="F23" t="str">
        <f t="shared" si="5"/>
        <v>nwScrtCdIndctr</v>
      </c>
      <c r="G23" t="e">
        <f t="shared" si="2"/>
        <v>#REF!</v>
      </c>
      <c r="H23" t="e">
        <f t="shared" si="3"/>
        <v>#REF!</v>
      </c>
    </row>
    <row r="24" spans="1:8">
      <c r="A24" t="str">
        <f>DICO_Export!D24</f>
        <v>cardContext</v>
      </c>
      <c r="B24" t="str">
        <f>DICO_Export!E24</f>
        <v>pinEntryTimer</v>
      </c>
      <c r="C24" t="e">
        <f>#REF!</f>
        <v>#REF!</v>
      </c>
      <c r="D24" t="e">
        <f>#REF!</f>
        <v>#REF!</v>
      </c>
      <c r="E24" t="str">
        <f t="shared" si="4"/>
        <v>crdCntxt</v>
      </c>
      <c r="F24" t="str">
        <f t="shared" si="5"/>
        <v>pnEntrTmr</v>
      </c>
      <c r="G24" t="e">
        <f t="shared" si="2"/>
        <v>#REF!</v>
      </c>
      <c r="H24" t="e">
        <f t="shared" si="3"/>
        <v>#REF!</v>
      </c>
    </row>
    <row r="25" spans="1:8">
      <c r="A25" t="str">
        <f>DICO_Export!D25</f>
        <v>cardContext</v>
      </c>
      <c r="B25" t="str">
        <f>DICO_Export!E25</f>
        <v>processingModeForNSCardApplicationCurrency</v>
      </c>
      <c r="C25" t="e">
        <f>#REF!</f>
        <v>#REF!</v>
      </c>
      <c r="D25" t="e">
        <f>#REF!</f>
        <v>#REF!</v>
      </c>
      <c r="E25" t="str">
        <f t="shared" si="4"/>
        <v>crdCntxt</v>
      </c>
      <c r="F25" t="str">
        <f t="shared" si="5"/>
        <v>prcssngMdFrNSCrdApplctnCrrnc</v>
      </c>
      <c r="G25" t="e">
        <f t="shared" si="2"/>
        <v>#REF!</v>
      </c>
      <c r="H25" t="e">
        <f t="shared" si="3"/>
        <v>#REF!</v>
      </c>
    </row>
    <row r="26" spans="1:8">
      <c r="A26" t="str">
        <f>DICO_Export!D26</f>
        <v>cardContext</v>
      </c>
      <c r="B26" t="str">
        <f>DICO_Export!E26</f>
        <v>remanufacturingIndicator</v>
      </c>
      <c r="C26" t="e">
        <f>#REF!</f>
        <v>#REF!</v>
      </c>
      <c r="D26" t="e">
        <f>#REF!</f>
        <v>#REF!</v>
      </c>
      <c r="E26" t="str">
        <f t="shared" si="4"/>
        <v>crdCntxt</v>
      </c>
      <c r="F26" t="str">
        <f t="shared" si="5"/>
        <v>rmnfctrngIndctr</v>
      </c>
      <c r="G26" t="e">
        <f t="shared" si="2"/>
        <v>#REF!</v>
      </c>
      <c r="H26" t="e">
        <f t="shared" si="3"/>
        <v>#REF!</v>
      </c>
    </row>
    <row r="27" spans="1:8">
      <c r="A27" t="str">
        <f>DICO_Export!D27</f>
        <v>cardContext</v>
      </c>
      <c r="B27" t="str">
        <f>DICO_Export!E27</f>
        <v>secretCodeChoiceIndicator</v>
      </c>
      <c r="C27" t="e">
        <f>#REF!</f>
        <v>#REF!</v>
      </c>
      <c r="D27" t="e">
        <f>#REF!</f>
        <v>#REF!</v>
      </c>
      <c r="E27" t="str">
        <f t="shared" si="4"/>
        <v>crdCntxt</v>
      </c>
      <c r="F27" t="str">
        <f t="shared" si="5"/>
        <v>scrtCdChcIndctr</v>
      </c>
      <c r="G27" t="e">
        <f t="shared" si="2"/>
        <v>#REF!</v>
      </c>
      <c r="H27" t="e">
        <f t="shared" si="3"/>
        <v>#REF!</v>
      </c>
    </row>
    <row r="28" spans="1:8">
      <c r="A28" t="str">
        <f>DICO_Export!D28</f>
        <v>cardContext</v>
      </c>
      <c r="B28" t="str">
        <f>DICO_Export!E28</f>
        <v>secretCodeKnownIndicator</v>
      </c>
      <c r="C28" t="e">
        <f>#REF!</f>
        <v>#REF!</v>
      </c>
      <c r="D28" t="e">
        <f>#REF!</f>
        <v>#REF!</v>
      </c>
      <c r="E28" t="str">
        <f t="shared" si="4"/>
        <v>crdCntxt</v>
      </c>
      <c r="F28" t="str">
        <f t="shared" si="5"/>
        <v>scrtCdKnwnIndctr</v>
      </c>
      <c r="G28" t="e">
        <f t="shared" si="2"/>
        <v>#REF!</v>
      </c>
      <c r="H28" t="e">
        <f t="shared" si="3"/>
        <v>#REF!</v>
      </c>
    </row>
    <row r="29" spans="1:8">
      <c r="A29" t="str">
        <f>DICO_Export!D29</f>
        <v>cardContext</v>
      </c>
      <c r="B29" t="str">
        <f>DICO_Export!E29</f>
        <v>semanticCheckIndicator</v>
      </c>
      <c r="C29" t="e">
        <f>#REF!</f>
        <v>#REF!</v>
      </c>
      <c r="D29" t="e">
        <f>#REF!</f>
        <v>#REF!</v>
      </c>
      <c r="E29" t="str">
        <f t="shared" si="4"/>
        <v>crdCntxt</v>
      </c>
      <c r="F29" t="str">
        <f t="shared" si="5"/>
        <v>smntcChckIndctr</v>
      </c>
      <c r="G29" t="e">
        <f t="shared" si="2"/>
        <v>#REF!</v>
      </c>
      <c r="H29" t="e">
        <f t="shared" si="3"/>
        <v>#REF!</v>
      </c>
    </row>
    <row r="30" spans="1:8">
      <c r="A30" t="str">
        <f>DICO_Export!D30</f>
        <v>cardContext</v>
      </c>
      <c r="B30" t="str">
        <f>DICO_Export!E30</f>
        <v>temp_applicationAIDLength</v>
      </c>
      <c r="C30" t="e">
        <f>#REF!</f>
        <v>#REF!</v>
      </c>
      <c r="D30" t="e">
        <f>#REF!</f>
        <v>#REF!</v>
      </c>
      <c r="E30" t="str">
        <f t="shared" si="4"/>
        <v>crdCntxt</v>
      </c>
      <c r="F30" t="str">
        <f t="shared" si="5"/>
        <v>tmp_pplctnAIDLngth</v>
      </c>
      <c r="G30" t="e">
        <f t="shared" si="2"/>
        <v>#REF!</v>
      </c>
      <c r="H30" t="e">
        <f t="shared" si="3"/>
        <v>#REF!</v>
      </c>
    </row>
    <row r="31" spans="1:8">
      <c r="A31" t="str">
        <f>DICO_Export!D31</f>
        <v>cardContext</v>
      </c>
      <c r="B31" t="str">
        <f>DICO_Export!E31</f>
        <v>temp_cardProductLength</v>
      </c>
      <c r="C31" t="e">
        <f>#REF!</f>
        <v>#REF!</v>
      </c>
      <c r="D31" t="e">
        <f>#REF!</f>
        <v>#REF!</v>
      </c>
      <c r="E31" t="str">
        <f t="shared" si="4"/>
        <v>crdCntxt</v>
      </c>
      <c r="F31" t="str">
        <f t="shared" si="5"/>
        <v>tmp_crdPrdctLngth</v>
      </c>
      <c r="G31" t="e">
        <f t="shared" si="2"/>
        <v>#REF!</v>
      </c>
      <c r="H31" t="e">
        <f t="shared" si="3"/>
        <v>#REF!</v>
      </c>
    </row>
    <row r="32" spans="1:8">
      <c r="A32" t="str">
        <f>DICO_Export!D32</f>
        <v>cardContext</v>
      </c>
      <c r="B32" t="str">
        <f>DICO_Export!E32</f>
        <v>temp_cardProductValue</v>
      </c>
      <c r="C32" t="e">
        <f>#REF!</f>
        <v>#REF!</v>
      </c>
      <c r="D32" t="e">
        <f>#REF!</f>
        <v>#REF!</v>
      </c>
      <c r="E32" t="str">
        <f t="shared" si="4"/>
        <v>crdCntxt</v>
      </c>
      <c r="F32" t="str">
        <f t="shared" si="5"/>
        <v>tmp_crdPrdctVl</v>
      </c>
      <c r="G32" t="e">
        <f t="shared" si="2"/>
        <v>#REF!</v>
      </c>
      <c r="H32" t="e">
        <f t="shared" si="3"/>
        <v>#REF!</v>
      </c>
    </row>
    <row r="33" spans="1:8">
      <c r="A33" t="str">
        <f>DICO_Export!D33</f>
        <v>cardContext</v>
      </c>
      <c r="B33" t="str">
        <f>DICO_Export!E33</f>
        <v>temp_cVMSupported</v>
      </c>
      <c r="C33" t="e">
        <f>#REF!</f>
        <v>#REF!</v>
      </c>
      <c r="D33" t="e">
        <f>#REF!</f>
        <v>#REF!</v>
      </c>
      <c r="E33" t="str">
        <f t="shared" si="4"/>
        <v>crdCntxt</v>
      </c>
      <c r="F33" t="str">
        <f t="shared" si="5"/>
        <v>tmp_cVMSpprtd</v>
      </c>
      <c r="G33" t="e">
        <f t="shared" si="2"/>
        <v>#REF!</v>
      </c>
      <c r="H33" t="e">
        <f t="shared" si="3"/>
        <v>#REF!</v>
      </c>
    </row>
    <row r="34" spans="1:8">
      <c r="A34" t="str">
        <f>DICO_Export!D34</f>
        <v>cardContext</v>
      </c>
      <c r="B34" t="str">
        <f>DICO_Export!E34</f>
        <v>temp_cVMSupportedNoCvmRequired</v>
      </c>
      <c r="C34" t="e">
        <f>#REF!</f>
        <v>#REF!</v>
      </c>
      <c r="D34" t="e">
        <f>#REF!</f>
        <v>#REF!</v>
      </c>
      <c r="E34" t="str">
        <f t="shared" si="4"/>
        <v>crdCntxt</v>
      </c>
      <c r="F34" t="str">
        <f t="shared" si="5"/>
        <v>tmp_cVMSpprtdNCvmRqrd</v>
      </c>
      <c r="G34" t="e">
        <f t="shared" si="2"/>
        <v>#REF!</v>
      </c>
      <c r="H34" t="e">
        <f t="shared" si="3"/>
        <v>#REF!</v>
      </c>
    </row>
    <row r="35" spans="1:8">
      <c r="A35" t="str">
        <f>DICO_Export!D35</f>
        <v>cardContext</v>
      </c>
      <c r="B35" t="str">
        <f>DICO_Export!E35</f>
        <v>temp_defaultEMVDolsForAnEMVCardApplication</v>
      </c>
      <c r="C35" t="e">
        <f>#REF!</f>
        <v>#REF!</v>
      </c>
      <c r="D35" t="e">
        <f>#REF!</f>
        <v>#REF!</v>
      </c>
      <c r="E35" t="str">
        <f t="shared" si="4"/>
        <v>crdCntxt</v>
      </c>
      <c r="F35" t="str">
        <f t="shared" si="5"/>
        <v>tmp_dfltEMVDlsFrAnEMVCrdApplctn</v>
      </c>
      <c r="G35" t="e">
        <f t="shared" si="2"/>
        <v>#REF!</v>
      </c>
      <c r="H35" t="e">
        <f t="shared" si="3"/>
        <v>#REF!</v>
      </c>
    </row>
    <row r="36" spans="1:8">
      <c r="A36" t="str">
        <f>DICO_Export!D36</f>
        <v>cardContext</v>
      </c>
      <c r="B36" t="str">
        <f>DICO_Export!E36</f>
        <v>temp_noOnDeviceCvm</v>
      </c>
      <c r="C36" t="e">
        <f>#REF!</f>
        <v>#REF!</v>
      </c>
      <c r="D36" t="e">
        <f>#REF!</f>
        <v>#REF!</v>
      </c>
      <c r="E36" t="str">
        <f t="shared" si="4"/>
        <v>crdCntxt</v>
      </c>
      <c r="F36" t="str">
        <f t="shared" si="5"/>
        <v>tmp_nOnDvcCvm</v>
      </c>
      <c r="G36" t="e">
        <f t="shared" si="2"/>
        <v>#REF!</v>
      </c>
      <c r="H36" t="e">
        <f t="shared" si="3"/>
        <v>#REF!</v>
      </c>
    </row>
    <row r="37" spans="1:8">
      <c r="A37" t="str">
        <f>DICO_Export!D37</f>
        <v>cardContext</v>
      </c>
      <c r="B37" t="str">
        <f>DICO_Export!E37</f>
        <v>temp_onDeviceCvm</v>
      </c>
      <c r="C37" t="e">
        <f>#REF!</f>
        <v>#REF!</v>
      </c>
      <c r="D37" t="e">
        <f>#REF!</f>
        <v>#REF!</v>
      </c>
      <c r="E37" t="str">
        <f t="shared" si="4"/>
        <v>crdCntxt</v>
      </c>
      <c r="F37" t="str">
        <f t="shared" si="5"/>
        <v>tmp_nDvcCvm</v>
      </c>
      <c r="G37" t="e">
        <f t="shared" si="2"/>
        <v>#REF!</v>
      </c>
      <c r="H37" t="e">
        <f t="shared" si="3"/>
        <v>#REF!</v>
      </c>
    </row>
    <row r="38" spans="1:8">
      <c r="A38" t="str">
        <f>DICO_Export!D38</f>
        <v>cardContext</v>
      </c>
      <c r="B38" t="str">
        <f>DICO_Export!E38</f>
        <v>temp_readerContactlessFloorLimit</v>
      </c>
      <c r="C38" t="e">
        <f>#REF!</f>
        <v>#REF!</v>
      </c>
      <c r="D38" t="e">
        <f>#REF!</f>
        <v>#REF!</v>
      </c>
      <c r="E38" t="str">
        <f t="shared" si="4"/>
        <v>crdCntxt</v>
      </c>
      <c r="F38" t="str">
        <f t="shared" si="5"/>
        <v>tmp_rdrCntctlssFlrLmt</v>
      </c>
      <c r="G38" t="e">
        <f t="shared" si="2"/>
        <v>#REF!</v>
      </c>
      <c r="H38" t="e">
        <f t="shared" si="3"/>
        <v>#REF!</v>
      </c>
    </row>
    <row r="39" spans="1:8">
      <c r="A39" t="str">
        <f>DICO_Export!D39</f>
        <v>cardContext</v>
      </c>
      <c r="B39" t="str">
        <f>DICO_Export!E39</f>
        <v>temp_readerContactlessTransactionLimit</v>
      </c>
      <c r="C39" t="e">
        <f>#REF!</f>
        <v>#REF!</v>
      </c>
      <c r="D39" t="e">
        <f>#REF!</f>
        <v>#REF!</v>
      </c>
      <c r="E39" t="str">
        <f t="shared" si="4"/>
        <v>crdCntxt</v>
      </c>
      <c r="F39" t="str">
        <f t="shared" si="5"/>
        <v>tmp_rdrCntctlssTrnsctnLmt</v>
      </c>
      <c r="G39" t="e">
        <f t="shared" si="2"/>
        <v>#REF!</v>
      </c>
      <c r="H39" t="e">
        <f t="shared" si="3"/>
        <v>#REF!</v>
      </c>
    </row>
    <row r="40" spans="1:8">
      <c r="A40" t="str">
        <f>DICO_Export!D40</f>
        <v>cardContext</v>
      </c>
      <c r="B40" t="str">
        <f>DICO_Export!E40</f>
        <v>temp_readerCvmRequiredLimit</v>
      </c>
      <c r="C40" t="e">
        <f>#REF!</f>
        <v>#REF!</v>
      </c>
      <c r="D40" t="e">
        <f>#REF!</f>
        <v>#REF!</v>
      </c>
      <c r="E40" t="str">
        <f t="shared" si="4"/>
        <v>crdCntxt</v>
      </c>
      <c r="F40" t="str">
        <f t="shared" si="5"/>
        <v>tmp_rdrCvmRqrdLmt</v>
      </c>
      <c r="G40" t="e">
        <f t="shared" si="2"/>
        <v>#REF!</v>
      </c>
      <c r="H40" t="e">
        <f t="shared" si="3"/>
        <v>#REF!</v>
      </c>
    </row>
    <row r="41" spans="1:8">
      <c r="A41" t="str">
        <f>DICO_Export!D41</f>
        <v>cardContext</v>
      </c>
      <c r="B41" t="str">
        <f>DICO_Export!E41</f>
        <v>temp_statusCheckSupportFlag</v>
      </c>
      <c r="C41" t="e">
        <f>#REF!</f>
        <v>#REF!</v>
      </c>
      <c r="D41" t="e">
        <f>#REF!</f>
        <v>#REF!</v>
      </c>
      <c r="E41" t="str">
        <f t="shared" si="4"/>
        <v>crdCntxt</v>
      </c>
      <c r="F41" t="str">
        <f t="shared" si="5"/>
        <v>tmp_sttsChckSpprtFlg</v>
      </c>
      <c r="G41" t="e">
        <f t="shared" si="2"/>
        <v>#REF!</v>
      </c>
      <c r="H41" t="e">
        <f t="shared" si="3"/>
        <v>#REF!</v>
      </c>
    </row>
    <row r="42" spans="1:8">
      <c r="A42" t="str">
        <f>DICO_Export!D42</f>
        <v>cardContext</v>
      </c>
      <c r="B42" t="str">
        <f>DICO_Export!E42</f>
        <v>temp_terminalFloorLimit</v>
      </c>
      <c r="C42" t="e">
        <f>#REF!</f>
        <v>#REF!</v>
      </c>
      <c r="D42" t="e">
        <f>#REF!</f>
        <v>#REF!</v>
      </c>
      <c r="E42" t="str">
        <f t="shared" si="4"/>
        <v>crdCntxt</v>
      </c>
      <c r="F42" t="str">
        <f t="shared" si="5"/>
        <v>tmp_trmnlFlrLmt</v>
      </c>
      <c r="G42" t="e">
        <f t="shared" si="2"/>
        <v>#REF!</v>
      </c>
      <c r="H42" t="e">
        <f t="shared" si="3"/>
        <v>#REF!</v>
      </c>
    </row>
    <row r="43" spans="1:8">
      <c r="A43" t="str">
        <f>DICO_Export!D43</f>
        <v>cardContext</v>
      </c>
      <c r="B43" t="str">
        <f>DICO_Export!E43</f>
        <v>temp_typeOfKernelTransaction</v>
      </c>
      <c r="C43" t="e">
        <f>#REF!</f>
        <v>#REF!</v>
      </c>
      <c r="D43" t="e">
        <f>#REF!</f>
        <v>#REF!</v>
      </c>
      <c r="E43" t="str">
        <f t="shared" si="4"/>
        <v>crdCntxt</v>
      </c>
      <c r="F43" t="str">
        <f t="shared" si="5"/>
        <v>tmp_tpOfKrnlTrnsctn</v>
      </c>
      <c r="G43" t="e">
        <f t="shared" si="2"/>
        <v>#REF!</v>
      </c>
      <c r="H43" t="e">
        <f t="shared" si="3"/>
        <v>#REF!</v>
      </c>
    </row>
    <row r="44" spans="1:8">
      <c r="A44" t="str">
        <f>DICO_Export!D44</f>
        <v>cardContext</v>
      </c>
      <c r="B44" t="str">
        <f>DICO_Export!E44</f>
        <v>temp_zeroAmountAllowedSupportFlag</v>
      </c>
      <c r="C44" t="e">
        <f>#REF!</f>
        <v>#REF!</v>
      </c>
      <c r="D44" t="e">
        <f>#REF!</f>
        <v>#REF!</v>
      </c>
      <c r="E44" t="str">
        <f t="shared" si="4"/>
        <v>crdCntxt</v>
      </c>
      <c r="F44" t="str">
        <f t="shared" si="5"/>
        <v>tmp_zrAmntAllwdSpprtFlg</v>
      </c>
      <c r="G44" t="e">
        <f t="shared" si="2"/>
        <v>#REF!</v>
      </c>
      <c r="H44" t="e">
        <f t="shared" si="3"/>
        <v>#REF!</v>
      </c>
    </row>
    <row r="45" spans="1:8">
      <c r="A45" t="str">
        <f>DICO_Export!D45</f>
        <v>cardContext</v>
      </c>
      <c r="B45" t="str">
        <f>DICO_Export!E45</f>
        <v>temp_zeroAmountForOfflineAllowedFlag</v>
      </c>
      <c r="C45" t="e">
        <f>#REF!</f>
        <v>#REF!</v>
      </c>
      <c r="D45" t="e">
        <f>#REF!</f>
        <v>#REF!</v>
      </c>
      <c r="E45" t="str">
        <f t="shared" si="4"/>
        <v>crdCntxt</v>
      </c>
      <c r="F45" t="str">
        <f t="shared" si="5"/>
        <v>tmp_zrAmntFrOfflnAllwdFlg</v>
      </c>
      <c r="G45" t="e">
        <f t="shared" si="2"/>
        <v>#REF!</v>
      </c>
      <c r="H45" t="e">
        <f t="shared" si="3"/>
        <v>#REF!</v>
      </c>
    </row>
    <row r="46" spans="1:8">
      <c r="A46" t="str">
        <f>DICO_Export!D46</f>
        <v>cardContext</v>
      </c>
      <c r="B46" t="str">
        <f>DICO_Export!E46</f>
        <v>typeOfAuthorisationRequestTrigger</v>
      </c>
      <c r="C46" t="e">
        <f>#REF!</f>
        <v>#REF!</v>
      </c>
      <c r="D46" t="e">
        <f>#REF!</f>
        <v>#REF!</v>
      </c>
      <c r="E46" t="str">
        <f t="shared" si="4"/>
        <v>crdCntxt</v>
      </c>
      <c r="F46" t="str">
        <f t="shared" si="5"/>
        <v>tpOfAthrstnRqstTrggr</v>
      </c>
      <c r="G46" t="e">
        <f t="shared" si="2"/>
        <v>#REF!</v>
      </c>
      <c r="H46" t="e">
        <f t="shared" si="3"/>
        <v>#REF!</v>
      </c>
    </row>
    <row r="47" spans="1:8">
      <c r="A47" t="str">
        <f>DICO_Export!D47</f>
        <v>cardContext</v>
      </c>
      <c r="B47" t="str">
        <f>DICO_Export!E47</f>
        <v>urgentManufacturingIndicator</v>
      </c>
      <c r="C47" t="e">
        <f>#REF!</f>
        <v>#REF!</v>
      </c>
      <c r="D47" t="e">
        <f>#REF!</f>
        <v>#REF!</v>
      </c>
      <c r="E47" t="str">
        <f t="shared" si="4"/>
        <v>crdCntxt</v>
      </c>
      <c r="F47" t="str">
        <f t="shared" si="5"/>
        <v>urgntMnfctrngIndctr</v>
      </c>
      <c r="G47" t="e">
        <f t="shared" si="2"/>
        <v>#REF!</v>
      </c>
      <c r="H47" t="e">
        <f t="shared" si="3"/>
        <v>#REF!</v>
      </c>
    </row>
    <row r="48" spans="1:8">
      <c r="A48" t="str">
        <f>DICO_Export!D48</f>
        <v>merchantParameters</v>
      </c>
      <c r="B48" t="str">
        <f>DICO_Export!E48</f>
        <v>acquiringAllowedServices</v>
      </c>
      <c r="C48" t="e">
        <f>#REF!</f>
        <v>#REF!</v>
      </c>
      <c r="D48" t="e">
        <f>#REF!</f>
        <v>#REF!</v>
      </c>
      <c r="E48" t="str">
        <f t="shared" si="4"/>
        <v>mrchntPrmtrs</v>
      </c>
      <c r="F48" t="str">
        <f t="shared" si="5"/>
        <v>acqrngAllwdSrvcs</v>
      </c>
      <c r="G48" t="e">
        <f t="shared" si="2"/>
        <v>#REF!</v>
      </c>
      <c r="H48" t="e">
        <f t="shared" si="3"/>
        <v>#REF!</v>
      </c>
    </row>
    <row r="49" spans="1:8">
      <c r="A49" t="str">
        <f>DICO_Export!D49</f>
        <v>merchantParameters</v>
      </c>
      <c r="B49" t="str">
        <f>DICO_Export!E49</f>
        <v>additionalInvoiceIndicator</v>
      </c>
      <c r="C49" t="e">
        <f>#REF!</f>
        <v>#REF!</v>
      </c>
      <c r="D49" t="e">
        <f>#REF!</f>
        <v>#REF!</v>
      </c>
      <c r="E49" t="str">
        <f t="shared" si="4"/>
        <v>mrchntPrmtrs</v>
      </c>
      <c r="F49" t="str">
        <f t="shared" si="5"/>
        <v>addtnlInvcIndctr</v>
      </c>
      <c r="G49" t="e">
        <f t="shared" si="2"/>
        <v>#REF!</v>
      </c>
      <c r="H49" t="e">
        <f t="shared" si="3"/>
        <v>#REF!</v>
      </c>
    </row>
    <row r="50" spans="1:8">
      <c r="A50" t="str">
        <f>DICO_Export!D50</f>
        <v>merchantParameters</v>
      </c>
      <c r="B50" t="str">
        <f>DICO_Export!E50</f>
        <v>addressUse</v>
      </c>
      <c r="C50" t="e">
        <f>#REF!</f>
        <v>#REF!</v>
      </c>
      <c r="D50" t="e">
        <f>#REF!</f>
        <v>#REF!</v>
      </c>
      <c r="E50" t="str">
        <f t="shared" si="4"/>
        <v>mrchntPrmtrs</v>
      </c>
      <c r="F50" t="str">
        <f t="shared" si="5"/>
        <v>addrssUs</v>
      </c>
      <c r="G50" t="e">
        <f t="shared" si="2"/>
        <v>#REF!</v>
      </c>
      <c r="H50" t="e">
        <f t="shared" si="3"/>
        <v>#REF!</v>
      </c>
    </row>
    <row r="51" spans="1:8">
      <c r="A51" t="str">
        <f>DICO_Export!D51</f>
        <v>merchantParameters</v>
      </c>
      <c r="B51" t="str">
        <f>DICO_Export!E51</f>
        <v>authorisationFloorLimit</v>
      </c>
      <c r="C51" t="e">
        <f>#REF!</f>
        <v>#REF!</v>
      </c>
      <c r="D51" t="e">
        <f>#REF!</f>
        <v>#REF!</v>
      </c>
      <c r="E51" t="str">
        <f t="shared" si="4"/>
        <v>mrchntPrmtrs</v>
      </c>
      <c r="F51" t="str">
        <f t="shared" si="5"/>
        <v>athrstnFlrLmt</v>
      </c>
      <c r="G51" t="e">
        <f t="shared" si="2"/>
        <v>#REF!</v>
      </c>
      <c r="H51" t="e">
        <f t="shared" si="3"/>
        <v>#REF!</v>
      </c>
    </row>
    <row r="52" spans="1:8">
      <c r="A52" t="str">
        <f>DICO_Export!D52</f>
        <v>merchantParameters</v>
      </c>
      <c r="B52" t="str">
        <f>DICO_Export!E52</f>
        <v>authorisationForcingIndicator</v>
      </c>
      <c r="C52" t="e">
        <f>#REF!</f>
        <v>#REF!</v>
      </c>
      <c r="D52" t="e">
        <f>#REF!</f>
        <v>#REF!</v>
      </c>
      <c r="E52" t="str">
        <f t="shared" si="4"/>
        <v>mrchntPrmtrs</v>
      </c>
      <c r="F52" t="str">
        <f t="shared" si="5"/>
        <v>athrstnFrcngIndctr</v>
      </c>
      <c r="G52" t="e">
        <f t="shared" si="2"/>
        <v>#REF!</v>
      </c>
      <c r="H52" t="e">
        <f t="shared" si="3"/>
        <v>#REF!</v>
      </c>
    </row>
    <row r="53" spans="1:8">
      <c r="A53" t="str">
        <f>DICO_Export!D53</f>
        <v>merchantParameters</v>
      </c>
      <c r="B53" t="str">
        <f>DICO_Export!E53</f>
        <v>authorisedDuplicatedTransactions</v>
      </c>
      <c r="C53" t="e">
        <f>#REF!</f>
        <v>#REF!</v>
      </c>
      <c r="D53" t="e">
        <f>#REF!</f>
        <v>#REF!</v>
      </c>
      <c r="E53" t="str">
        <f t="shared" si="4"/>
        <v>mrchntPrmtrs</v>
      </c>
      <c r="F53" t="str">
        <f t="shared" si="5"/>
        <v>athrsdDplctdTrnsctns</v>
      </c>
      <c r="G53" t="e">
        <f t="shared" si="2"/>
        <v>#REF!</v>
      </c>
      <c r="H53" t="e">
        <f t="shared" si="3"/>
        <v>#REF!</v>
      </c>
    </row>
    <row r="54" spans="1:8">
      <c r="A54" t="str">
        <f>DICO_Export!D54</f>
        <v>merchantParameters</v>
      </c>
      <c r="B54" t="str">
        <f>DICO_Export!E54</f>
        <v>bigAmountControlIndicator</v>
      </c>
      <c r="C54" t="e">
        <f>#REF!</f>
        <v>#REF!</v>
      </c>
      <c r="D54" t="e">
        <f>#REF!</f>
        <v>#REF!</v>
      </c>
      <c r="E54" t="str">
        <f t="shared" si="4"/>
        <v>mrchntPrmtrs</v>
      </c>
      <c r="F54" t="str">
        <f t="shared" si="5"/>
        <v>bgAmntCntrlIndctr</v>
      </c>
      <c r="G54" t="e">
        <f t="shared" si="2"/>
        <v>#REF!</v>
      </c>
      <c r="H54" t="e">
        <f t="shared" si="3"/>
        <v>#REF!</v>
      </c>
    </row>
    <row r="55" spans="1:8">
      <c r="A55" t="str">
        <f>DICO_Export!D55</f>
        <v>merchantParameters</v>
      </c>
      <c r="B55" t="str">
        <f>DICO_Export!E55</f>
        <v>blacklistDistributionIndicator</v>
      </c>
      <c r="C55" t="e">
        <f>#REF!</f>
        <v>#REF!</v>
      </c>
      <c r="D55" t="e">
        <f>#REF!</f>
        <v>#REF!</v>
      </c>
      <c r="E55" t="str">
        <f t="shared" si="4"/>
        <v>mrchntPrmtrs</v>
      </c>
      <c r="F55" t="str">
        <f t="shared" si="5"/>
        <v>blcklstDstrbtnIndctr</v>
      </c>
      <c r="G55" t="e">
        <f t="shared" si="2"/>
        <v>#REF!</v>
      </c>
      <c r="H55" t="e">
        <f t="shared" si="3"/>
        <v>#REF!</v>
      </c>
    </row>
    <row r="56" spans="1:8">
      <c r="A56" t="str">
        <f>DICO_Export!D56</f>
        <v>merchantParameters</v>
      </c>
      <c r="B56" t="str">
        <f>DICO_Export!E56</f>
        <v>blacklistDistributionRegions</v>
      </c>
      <c r="C56" t="e">
        <f>#REF!</f>
        <v>#REF!</v>
      </c>
      <c r="D56" t="e">
        <f>#REF!</f>
        <v>#REF!</v>
      </c>
      <c r="E56" t="str">
        <f t="shared" si="4"/>
        <v>mrchntPrmtrs</v>
      </c>
      <c r="F56" t="str">
        <f t="shared" si="5"/>
        <v>blcklstDstrbtnRgns</v>
      </c>
      <c r="G56" t="e">
        <f t="shared" si="2"/>
        <v>#REF!</v>
      </c>
      <c r="H56" t="e">
        <f t="shared" si="3"/>
        <v>#REF!</v>
      </c>
    </row>
    <row r="57" spans="1:8">
      <c r="A57" t="str">
        <f>DICO_Export!D57</f>
        <v>merchantParameters</v>
      </c>
      <c r="B57" t="str">
        <f>DICO_Export!E57</f>
        <v>businessGroupingIdentifier</v>
      </c>
      <c r="C57" t="e">
        <f>#REF!</f>
        <v>#REF!</v>
      </c>
      <c r="D57" t="e">
        <f>#REF!</f>
        <v>#REF!</v>
      </c>
      <c r="E57" t="str">
        <f t="shared" si="4"/>
        <v>mrchntPrmtrs</v>
      </c>
      <c r="F57" t="str">
        <f t="shared" si="5"/>
        <v>bsnssGrpngIdntfr</v>
      </c>
      <c r="G57" t="e">
        <f t="shared" si="2"/>
        <v>#REF!</v>
      </c>
      <c r="H57" t="e">
        <f t="shared" si="3"/>
        <v>#REF!</v>
      </c>
    </row>
    <row r="58" spans="1:8">
      <c r="A58" t="str">
        <f>DICO_Export!D58</f>
        <v>merchantParameters</v>
      </c>
      <c r="B58" t="str">
        <f>DICO_Export!E58</f>
        <v>cardBlockingListDistributionIndicator</v>
      </c>
      <c r="C58" t="e">
        <f>#REF!</f>
        <v>#REF!</v>
      </c>
      <c r="D58" t="e">
        <f>#REF!</f>
        <v>#REF!</v>
      </c>
      <c r="E58" t="str">
        <f t="shared" si="4"/>
        <v>mrchntPrmtrs</v>
      </c>
      <c r="F58" t="str">
        <f t="shared" si="5"/>
        <v>crdBlckngLstDstrbtnIndctr</v>
      </c>
      <c r="G58" t="e">
        <f t="shared" si="2"/>
        <v>#REF!</v>
      </c>
      <c r="H58" t="e">
        <f t="shared" si="3"/>
        <v>#REF!</v>
      </c>
    </row>
    <row r="59" spans="1:8">
      <c r="A59" t="str">
        <f>DICO_Export!D59</f>
        <v>merchantParameters</v>
      </c>
      <c r="B59" t="str">
        <f>DICO_Export!E59</f>
        <v>chainingCode</v>
      </c>
      <c r="C59" t="e">
        <f>#REF!</f>
        <v>#REF!</v>
      </c>
      <c r="D59" t="e">
        <f>#REF!</f>
        <v>#REF!</v>
      </c>
      <c r="E59" t="str">
        <f t="shared" si="4"/>
        <v>mrchntPrmtrs</v>
      </c>
      <c r="F59" t="str">
        <f t="shared" si="5"/>
        <v>chnngCd</v>
      </c>
      <c r="G59" t="e">
        <f t="shared" si="2"/>
        <v>#REF!</v>
      </c>
      <c r="H59" t="e">
        <f t="shared" si="3"/>
        <v>#REF!</v>
      </c>
    </row>
    <row r="60" spans="1:8">
      <c r="A60" t="str">
        <f>DICO_Export!D60</f>
        <v>merchantParameters</v>
      </c>
      <c r="B60" t="str">
        <f>DICO_Export!E60</f>
        <v>contactlessCreditIndicator</v>
      </c>
      <c r="C60" t="e">
        <f>#REF!</f>
        <v>#REF!</v>
      </c>
      <c r="D60" t="e">
        <f>#REF!</f>
        <v>#REF!</v>
      </c>
      <c r="E60" t="str">
        <f t="shared" si="4"/>
        <v>mrchntPrmtrs</v>
      </c>
      <c r="F60" t="str">
        <f t="shared" si="5"/>
        <v>cntctlssCrdtIndctr</v>
      </c>
      <c r="G60" t="e">
        <f t="shared" si="2"/>
        <v>#REF!</v>
      </c>
      <c r="H60" t="e">
        <f t="shared" si="3"/>
        <v>#REF!</v>
      </c>
    </row>
    <row r="61" spans="1:8">
      <c r="A61" t="str">
        <f>DICO_Export!D61</f>
        <v>merchantParameters</v>
      </c>
      <c r="B61" t="str">
        <f>DICO_Export!E61</f>
        <v>contractCategory</v>
      </c>
      <c r="C61" t="e">
        <f>#REF!</f>
        <v>#REF!</v>
      </c>
      <c r="D61" t="e">
        <f>#REF!</f>
        <v>#REF!</v>
      </c>
      <c r="E61" t="str">
        <f t="shared" si="4"/>
        <v>mrchntPrmtrs</v>
      </c>
      <c r="F61" t="str">
        <f t="shared" si="5"/>
        <v>cntrctCtgr</v>
      </c>
      <c r="G61" t="e">
        <f t="shared" si="2"/>
        <v>#REF!</v>
      </c>
      <c r="H61" t="e">
        <f t="shared" si="3"/>
        <v>#REF!</v>
      </c>
    </row>
    <row r="62" spans="1:8">
      <c r="A62" t="str">
        <f>DICO_Export!D62</f>
        <v>merchantParameters</v>
      </c>
      <c r="B62" t="str">
        <f>DICO_Export!E62</f>
        <v>contractProductCode</v>
      </c>
      <c r="C62" t="e">
        <f>#REF!</f>
        <v>#REF!</v>
      </c>
      <c r="D62" t="e">
        <f>#REF!</f>
        <v>#REF!</v>
      </c>
      <c r="E62" t="str">
        <f t="shared" si="4"/>
        <v>mrchntPrmtrs</v>
      </c>
      <c r="F62" t="str">
        <f t="shared" si="5"/>
        <v>cntrctPrdctCd</v>
      </c>
      <c r="G62" t="e">
        <f t="shared" si="2"/>
        <v>#REF!</v>
      </c>
      <c r="H62" t="e">
        <f t="shared" si="3"/>
        <v>#REF!</v>
      </c>
    </row>
    <row r="63" spans="1:8">
      <c r="A63" t="str">
        <f>DICO_Export!D63</f>
        <v>merchantParameters</v>
      </c>
      <c r="B63" t="str">
        <f>DICO_Export!E63</f>
        <v>creditGroupingIndicator</v>
      </c>
      <c r="C63" t="e">
        <f>#REF!</f>
        <v>#REF!</v>
      </c>
      <c r="D63" t="e">
        <f>#REF!</f>
        <v>#REF!</v>
      </c>
      <c r="E63" t="str">
        <f t="shared" si="4"/>
        <v>mrchntPrmtrs</v>
      </c>
      <c r="F63" t="str">
        <f t="shared" si="5"/>
        <v>crdtGrpngIndctr</v>
      </c>
      <c r="G63" t="e">
        <f t="shared" si="2"/>
        <v>#REF!</v>
      </c>
      <c r="H63" t="e">
        <f t="shared" si="3"/>
        <v>#REF!</v>
      </c>
    </row>
    <row r="64" spans="1:8">
      <c r="A64" t="str">
        <f>DICO_Export!D64</f>
        <v>merchantParameters</v>
      </c>
      <c r="B64" t="str">
        <f>DICO_Export!E64</f>
        <v>creditIndicator</v>
      </c>
      <c r="C64" t="e">
        <f>#REF!</f>
        <v>#REF!</v>
      </c>
      <c r="D64" t="e">
        <f>#REF!</f>
        <v>#REF!</v>
      </c>
      <c r="E64" t="str">
        <f t="shared" si="4"/>
        <v>mrchntPrmtrs</v>
      </c>
      <c r="F64" t="str">
        <f t="shared" si="5"/>
        <v>crdtIndctr</v>
      </c>
      <c r="G64" t="e">
        <f t="shared" si="2"/>
        <v>#REF!</v>
      </c>
      <c r="H64" t="e">
        <f t="shared" si="3"/>
        <v>#REF!</v>
      </c>
    </row>
    <row r="65" spans="1:8">
      <c r="A65" t="str">
        <f>DICO_Export!D65</f>
        <v>merchantParameters</v>
      </c>
      <c r="B65" t="str">
        <f>DICO_Export!E65</f>
        <v>defferedClearingIndicator</v>
      </c>
      <c r="C65" t="e">
        <f>#REF!</f>
        <v>#REF!</v>
      </c>
      <c r="D65" t="e">
        <f>#REF!</f>
        <v>#REF!</v>
      </c>
      <c r="E65" t="str">
        <f t="shared" si="4"/>
        <v>mrchntPrmtrs</v>
      </c>
      <c r="F65" t="str">
        <f t="shared" si="5"/>
        <v>dffrdClrngIndctr</v>
      </c>
      <c r="G65" t="e">
        <f t="shared" si="2"/>
        <v>#REF!</v>
      </c>
      <c r="H65" t="e">
        <f t="shared" si="3"/>
        <v>#REF!</v>
      </c>
    </row>
    <row r="66" spans="1:8">
      <c r="A66" t="str">
        <f>DICO_Export!D66</f>
        <v>merchantParameters</v>
      </c>
      <c r="B66" t="str">
        <f>DICO_Export!E66</f>
        <v>duplicatedTransactionControlIndicator</v>
      </c>
      <c r="C66" t="e">
        <f>#REF!</f>
        <v>#REF!</v>
      </c>
      <c r="D66" t="e">
        <f>#REF!</f>
        <v>#REF!</v>
      </c>
      <c r="E66" t="str">
        <f t="shared" si="4"/>
        <v>mrchntPrmtrs</v>
      </c>
      <c r="F66" t="str">
        <f t="shared" si="5"/>
        <v>dplctdTrnsctnCntrlIndctr</v>
      </c>
      <c r="G66" t="e">
        <f t="shared" si="2"/>
        <v>#REF!</v>
      </c>
      <c r="H66" t="e">
        <f t="shared" si="3"/>
        <v>#REF!</v>
      </c>
    </row>
    <row r="67" spans="1:8">
      <c r="A67" t="str">
        <f>DICO_Export!D67</f>
        <v>merchantParameters</v>
      </c>
      <c r="B67" t="str">
        <f>DICO_Export!E67</f>
        <v>dynamicLineIndicator</v>
      </c>
      <c r="C67" t="e">
        <f>#REF!</f>
        <v>#REF!</v>
      </c>
      <c r="D67" t="e">
        <f>#REF!</f>
        <v>#REF!</v>
      </c>
      <c r="E67" t="str">
        <f t="shared" si="4"/>
        <v>mrchntPrmtrs</v>
      </c>
      <c r="F67" t="str">
        <f t="shared" si="5"/>
        <v>dnmcLnIndctr</v>
      </c>
      <c r="G67" t="e">
        <f t="shared" ref="G67:G130" si="6">LEFT(C67,1)&amp;SUBSTITUTE(SUBSTITUTE(SUBSTITUTE(SUBSTITUTE(SUBSTITUTE(SUBSTITUTE(SUBSTITUTE(RIGHT(C67,LEN(C67)-1),"a"," "),"e"," "),"i"," "),"o"," "),"u"," "),"y"," ")," ","")</f>
        <v>#REF!</v>
      </c>
      <c r="H67" t="e">
        <f t="shared" ref="H67:H130" si="7">LEFT(D67,1)&amp;SUBSTITUTE(SUBSTITUTE(SUBSTITUTE(SUBSTITUTE(SUBSTITUTE(SUBSTITUTE(SUBSTITUTE(RIGHT(D67,LEN(D67)-1),"a"," "),"e"," "),"i"," "),"o"," "),"u"," "),"y"," ")," ","")</f>
        <v>#REF!</v>
      </c>
    </row>
    <row r="68" spans="1:8">
      <c r="A68" t="str">
        <f>DICO_Export!D68</f>
        <v>merchantParameters</v>
      </c>
      <c r="B68" t="str">
        <f>DICO_Export!E68</f>
        <v>feesCumulLevel</v>
      </c>
      <c r="C68" t="e">
        <f>#REF!</f>
        <v>#REF!</v>
      </c>
      <c r="D68" t="e">
        <f>#REF!</f>
        <v>#REF!</v>
      </c>
      <c r="E68" t="str">
        <f t="shared" ref="E68:E131" si="8">LEFT(A68,1)&amp;SUBSTITUTE(SUBSTITUTE(SUBSTITUTE(SUBSTITUTE(SUBSTITUTE(SUBSTITUTE(SUBSTITUTE(RIGHT(A68,LEN(A68)-1),"a"," "),"e"," "),"i"," "),"o"," "),"u"," "),"y"," ")," ","")</f>
        <v>mrchntPrmtrs</v>
      </c>
      <c r="F68" t="str">
        <f t="shared" ref="F68:F131" si="9">LEFT(B68,1)&amp;SUBSTITUTE(SUBSTITUTE(SUBSTITUTE(SUBSTITUTE(SUBSTITUTE(SUBSTITUTE(SUBSTITUTE(RIGHT(B68,LEN(B68)-1),"a"," "),"e"," "),"i"," "),"o"," "),"u"," "),"y"," ")," ","")</f>
        <v>fsCmlLvl</v>
      </c>
      <c r="G68" t="e">
        <f t="shared" si="6"/>
        <v>#REF!</v>
      </c>
      <c r="H68" t="e">
        <f t="shared" si="7"/>
        <v>#REF!</v>
      </c>
    </row>
    <row r="69" spans="1:8">
      <c r="A69" t="str">
        <f>DICO_Export!D69</f>
        <v>merchantParameters</v>
      </c>
      <c r="B69" t="str">
        <f>DICO_Export!E69</f>
        <v>feesDebitPeriod</v>
      </c>
      <c r="C69" t="e">
        <f>#REF!</f>
        <v>#REF!</v>
      </c>
      <c r="D69" t="e">
        <f>#REF!</f>
        <v>#REF!</v>
      </c>
      <c r="E69" t="str">
        <f t="shared" si="8"/>
        <v>mrchntPrmtrs</v>
      </c>
      <c r="F69" t="str">
        <f t="shared" si="9"/>
        <v>fsDbtPrd</v>
      </c>
      <c r="G69" t="e">
        <f t="shared" si="6"/>
        <v>#REF!</v>
      </c>
      <c r="H69" t="e">
        <f t="shared" si="7"/>
        <v>#REF!</v>
      </c>
    </row>
    <row r="70" spans="1:8">
      <c r="A70" t="str">
        <f>DICO_Export!D70</f>
        <v>merchantParameters</v>
      </c>
      <c r="B70" t="str">
        <f>DICO_Export!E70</f>
        <v>feesDeferredDebitIndicator</v>
      </c>
      <c r="C70" t="e">
        <f>#REF!</f>
        <v>#REF!</v>
      </c>
      <c r="D70" t="e">
        <f>#REF!</f>
        <v>#REF!</v>
      </c>
      <c r="E70" t="str">
        <f t="shared" si="8"/>
        <v>mrchntPrmtrs</v>
      </c>
      <c r="F70" t="str">
        <f t="shared" si="9"/>
        <v>fsDfrrdDbtIndctr</v>
      </c>
      <c r="G70" t="e">
        <f t="shared" si="6"/>
        <v>#REF!</v>
      </c>
      <c r="H70" t="e">
        <f t="shared" si="7"/>
        <v>#REF!</v>
      </c>
    </row>
    <row r="71" spans="1:8">
      <c r="A71" t="str">
        <f>DICO_Export!D71</f>
        <v>merchantParameters</v>
      </c>
      <c r="B71" t="str">
        <f>DICO_Export!E71</f>
        <v>forbiddenCardProduct</v>
      </c>
      <c r="C71" t="e">
        <f>#REF!</f>
        <v>#REF!</v>
      </c>
      <c r="D71" t="e">
        <f>#REF!</f>
        <v>#REF!</v>
      </c>
      <c r="E71" t="str">
        <f t="shared" si="8"/>
        <v>mrchntPrmtrs</v>
      </c>
      <c r="F71" t="str">
        <f t="shared" si="9"/>
        <v>frbddnCrdPrdct</v>
      </c>
      <c r="G71" t="e">
        <f t="shared" si="6"/>
        <v>#REF!</v>
      </c>
      <c r="H71" t="e">
        <f t="shared" si="7"/>
        <v>#REF!</v>
      </c>
    </row>
    <row r="72" spans="1:8">
      <c r="A72" t="str">
        <f>DICO_Export!D72</f>
        <v>merchantParameters</v>
      </c>
      <c r="B72" t="str">
        <f>DICO_Export!E72</f>
        <v>fraudReportingIndicator</v>
      </c>
      <c r="C72" t="e">
        <f>#REF!</f>
        <v>#REF!</v>
      </c>
      <c r="D72" t="e">
        <f>#REF!</f>
        <v>#REF!</v>
      </c>
      <c r="E72" t="str">
        <f t="shared" si="8"/>
        <v>mrchntPrmtrs</v>
      </c>
      <c r="F72" t="str">
        <f t="shared" si="9"/>
        <v>frdRprtngIndctr</v>
      </c>
      <c r="G72" t="e">
        <f t="shared" si="6"/>
        <v>#REF!</v>
      </c>
      <c r="H72" t="e">
        <f t="shared" si="7"/>
        <v>#REF!</v>
      </c>
    </row>
    <row r="73" spans="1:8">
      <c r="A73" t="str">
        <f>DICO_Export!D73</f>
        <v>merchantParameters</v>
      </c>
      <c r="B73" t="str">
        <f>DICO_Export!E73</f>
        <v>genericMidControl</v>
      </c>
      <c r="C73" t="e">
        <f>#REF!</f>
        <v>#REF!</v>
      </c>
      <c r="D73" t="e">
        <f>#REF!</f>
        <v>#REF!</v>
      </c>
      <c r="E73" t="str">
        <f t="shared" si="8"/>
        <v>mrchntPrmtrs</v>
      </c>
      <c r="F73" t="str">
        <f t="shared" si="9"/>
        <v>gnrcMdCntrl</v>
      </c>
      <c r="G73" t="e">
        <f t="shared" si="6"/>
        <v>#REF!</v>
      </c>
      <c r="H73" t="e">
        <f t="shared" si="7"/>
        <v>#REF!</v>
      </c>
    </row>
    <row r="74" spans="1:8">
      <c r="A74" t="str">
        <f>DICO_Export!D74</f>
        <v>merchantParameters</v>
      </c>
      <c r="B74" t="str">
        <f>DICO_Export!E74</f>
        <v>governmentControlCountryCode</v>
      </c>
      <c r="C74" t="e">
        <f>#REF!</f>
        <v>#REF!</v>
      </c>
      <c r="D74" t="e">
        <f>#REF!</f>
        <v>#REF!</v>
      </c>
      <c r="E74" t="str">
        <f t="shared" si="8"/>
        <v>mrchntPrmtrs</v>
      </c>
      <c r="F74" t="str">
        <f t="shared" si="9"/>
        <v>gvrnmntCntrlCntrCd</v>
      </c>
      <c r="G74" t="e">
        <f t="shared" si="6"/>
        <v>#REF!</v>
      </c>
      <c r="H74" t="e">
        <f t="shared" si="7"/>
        <v>#REF!</v>
      </c>
    </row>
    <row r="75" spans="1:8">
      <c r="A75" t="str">
        <f>DICO_Export!D75</f>
        <v>merchantParameters</v>
      </c>
      <c r="B75" t="str">
        <f>DICO_Export!E75</f>
        <v>governmentControlIndicator</v>
      </c>
      <c r="C75" t="e">
        <f>#REF!</f>
        <v>#REF!</v>
      </c>
      <c r="D75" t="e">
        <f>#REF!</f>
        <v>#REF!</v>
      </c>
      <c r="E75" t="str">
        <f t="shared" si="8"/>
        <v>mrchntPrmtrs</v>
      </c>
      <c r="F75" t="str">
        <f t="shared" si="9"/>
        <v>gvrnmntCntrlIndctr</v>
      </c>
      <c r="G75" t="e">
        <f t="shared" si="6"/>
        <v>#REF!</v>
      </c>
      <c r="H75" t="e">
        <f t="shared" si="7"/>
        <v>#REF!</v>
      </c>
    </row>
    <row r="76" spans="1:8">
      <c r="A76" t="str">
        <f>DICO_Export!D76</f>
        <v>merchantParameters</v>
      </c>
      <c r="B76" t="str">
        <f>DICO_Export!E76</f>
        <v>grossAmountIndicator</v>
      </c>
      <c r="C76" t="e">
        <f>#REF!</f>
        <v>#REF!</v>
      </c>
      <c r="D76" t="e">
        <f>#REF!</f>
        <v>#REF!</v>
      </c>
      <c r="E76" t="str">
        <f t="shared" si="8"/>
        <v>mrchntPrmtrs</v>
      </c>
      <c r="F76" t="str">
        <f t="shared" si="9"/>
        <v>grssAmntIndctr</v>
      </c>
      <c r="G76" t="e">
        <f t="shared" si="6"/>
        <v>#REF!</v>
      </c>
      <c r="H76" t="e">
        <f t="shared" si="7"/>
        <v>#REF!</v>
      </c>
    </row>
    <row r="77" spans="1:8">
      <c r="A77" t="str">
        <f>DICO_Export!D77</f>
        <v>merchantParameters</v>
      </c>
      <c r="B77" t="str">
        <f>DICO_Export!E77</f>
        <v>ibanUse</v>
      </c>
      <c r="C77" t="e">
        <f>#REF!</f>
        <v>#REF!</v>
      </c>
      <c r="D77" t="e">
        <f>#REF!</f>
        <v>#REF!</v>
      </c>
      <c r="E77" t="str">
        <f t="shared" si="8"/>
        <v>mrchntPrmtrs</v>
      </c>
      <c r="F77" t="str">
        <f t="shared" si="9"/>
        <v>ibnUs</v>
      </c>
      <c r="G77" t="e">
        <f t="shared" si="6"/>
        <v>#REF!</v>
      </c>
      <c r="H77" t="e">
        <f t="shared" si="7"/>
        <v>#REF!</v>
      </c>
    </row>
    <row r="78" spans="1:8">
      <c r="A78" t="str">
        <f>DICO_Export!D78</f>
        <v>merchantParameters</v>
      </c>
      <c r="B78" t="str">
        <f>DICO_Export!E78</f>
        <v>informationRequestIndicator</v>
      </c>
      <c r="C78" t="e">
        <f>#REF!</f>
        <v>#REF!</v>
      </c>
      <c r="D78" t="e">
        <f>#REF!</f>
        <v>#REF!</v>
      </c>
      <c r="E78" t="str">
        <f t="shared" si="8"/>
        <v>mrchntPrmtrs</v>
      </c>
      <c r="F78" t="str">
        <f t="shared" si="9"/>
        <v>infrmtnRqstIndctr</v>
      </c>
      <c r="G78" t="e">
        <f t="shared" si="6"/>
        <v>#REF!</v>
      </c>
      <c r="H78" t="e">
        <f t="shared" si="7"/>
        <v>#REF!</v>
      </c>
    </row>
    <row r="79" spans="1:8">
      <c r="A79" t="str">
        <f>DICO_Export!D79</f>
        <v>merchantParameters</v>
      </c>
      <c r="B79" t="str">
        <f>DICO_Export!E79</f>
        <v>mainGroupingIdentifier</v>
      </c>
      <c r="C79" t="e">
        <f>#REF!</f>
        <v>#REF!</v>
      </c>
      <c r="D79" t="e">
        <f>#REF!</f>
        <v>#REF!</v>
      </c>
      <c r="E79" t="str">
        <f t="shared" si="8"/>
        <v>mrchntPrmtrs</v>
      </c>
      <c r="F79" t="str">
        <f t="shared" si="9"/>
        <v>mnGrpngIdntfr</v>
      </c>
      <c r="G79" t="e">
        <f t="shared" si="6"/>
        <v>#REF!</v>
      </c>
      <c r="H79" t="e">
        <f t="shared" si="7"/>
        <v>#REF!</v>
      </c>
    </row>
    <row r="80" spans="1:8">
      <c r="A80" t="str">
        <f>DICO_Export!D80</f>
        <v>merchantParameters</v>
      </c>
      <c r="B80" t="str">
        <f>DICO_Export!E80</f>
        <v>maximumAuthorisedAmount</v>
      </c>
      <c r="C80" t="e">
        <f>#REF!</f>
        <v>#REF!</v>
      </c>
      <c r="D80" t="e">
        <f>#REF!</f>
        <v>#REF!</v>
      </c>
      <c r="E80" t="str">
        <f t="shared" si="8"/>
        <v>mrchntPrmtrs</v>
      </c>
      <c r="F80" t="str">
        <f t="shared" si="9"/>
        <v>mxmmAthrsdAmnt</v>
      </c>
      <c r="G80" t="e">
        <f t="shared" si="6"/>
        <v>#REF!</v>
      </c>
      <c r="H80" t="e">
        <f t="shared" si="7"/>
        <v>#REF!</v>
      </c>
    </row>
    <row r="81" spans="1:8">
      <c r="A81" t="str">
        <f>DICO_Export!D81</f>
        <v>merchantParameters</v>
      </c>
      <c r="B81" t="str">
        <f>DICO_Export!E81</f>
        <v>maximumAuthorisedCredit</v>
      </c>
      <c r="C81" t="e">
        <f>#REF!</f>
        <v>#REF!</v>
      </c>
      <c r="D81" t="e">
        <f>#REF!</f>
        <v>#REF!</v>
      </c>
      <c r="E81" t="str">
        <f t="shared" si="8"/>
        <v>mrchntPrmtrs</v>
      </c>
      <c r="F81" t="str">
        <f t="shared" si="9"/>
        <v>mxmmAthrsdCrdt</v>
      </c>
      <c r="G81" t="e">
        <f t="shared" si="6"/>
        <v>#REF!</v>
      </c>
      <c r="H81" t="e">
        <f t="shared" si="7"/>
        <v>#REF!</v>
      </c>
    </row>
    <row r="82" spans="1:8">
      <c r="A82" t="str">
        <f>DICO_Export!D82</f>
        <v>merchantParameters</v>
      </c>
      <c r="B82" t="str">
        <f>DICO_Export!E82</f>
        <v>maximumAuthorisedDebit</v>
      </c>
      <c r="C82" t="e">
        <f>#REF!</f>
        <v>#REF!</v>
      </c>
      <c r="D82" t="e">
        <f>#REF!</f>
        <v>#REF!</v>
      </c>
      <c r="E82" t="str">
        <f t="shared" si="8"/>
        <v>mrchntPrmtrs</v>
      </c>
      <c r="F82" t="str">
        <f t="shared" si="9"/>
        <v>mxmmAthrsdDbt</v>
      </c>
      <c r="G82" t="e">
        <f t="shared" si="6"/>
        <v>#REF!</v>
      </c>
      <c r="H82" t="e">
        <f t="shared" si="7"/>
        <v>#REF!</v>
      </c>
    </row>
    <row r="83" spans="1:8">
      <c r="A83" t="str">
        <f>DICO_Export!D83</f>
        <v>merchantParameters</v>
      </c>
      <c r="B83" t="str">
        <f>DICO_Export!E83</f>
        <v>merchantCreditCalculationDate</v>
      </c>
      <c r="C83" t="e">
        <f>#REF!</f>
        <v>#REF!</v>
      </c>
      <c r="D83" t="e">
        <f>#REF!</f>
        <v>#REF!</v>
      </c>
      <c r="E83" t="str">
        <f t="shared" si="8"/>
        <v>mrchntPrmtrs</v>
      </c>
      <c r="F83" t="str">
        <f t="shared" si="9"/>
        <v>mrchntCrdtClcltnDt</v>
      </c>
      <c r="G83" t="e">
        <f t="shared" si="6"/>
        <v>#REF!</v>
      </c>
      <c r="H83" t="e">
        <f t="shared" si="7"/>
        <v>#REF!</v>
      </c>
    </row>
    <row r="84" spans="1:8">
      <c r="A84" t="str">
        <f>DICO_Export!D84</f>
        <v>merchantParameters</v>
      </c>
      <c r="B84" t="str">
        <f>DICO_Export!E84</f>
        <v>merchantFeesAccounting</v>
      </c>
      <c r="C84" t="e">
        <f>#REF!</f>
        <v>#REF!</v>
      </c>
      <c r="D84" t="e">
        <f>#REF!</f>
        <v>#REF!</v>
      </c>
      <c r="E84" t="str">
        <f t="shared" si="8"/>
        <v>mrchntPrmtrs</v>
      </c>
      <c r="F84" t="str">
        <f t="shared" si="9"/>
        <v>mrchntFsAccntng</v>
      </c>
      <c r="G84" t="e">
        <f t="shared" si="6"/>
        <v>#REF!</v>
      </c>
      <c r="H84" t="e">
        <f t="shared" si="7"/>
        <v>#REF!</v>
      </c>
    </row>
    <row r="85" spans="1:8">
      <c r="A85" t="str">
        <f>DICO_Export!D85</f>
        <v>merchantParameters</v>
      </c>
      <c r="B85" t="str">
        <f>DICO_Export!E85</f>
        <v>merchantSchemeChoice</v>
      </c>
      <c r="C85" t="e">
        <f>#REF!</f>
        <v>#REF!</v>
      </c>
      <c r="D85" t="e">
        <f>#REF!</f>
        <v>#REF!</v>
      </c>
      <c r="E85" t="str">
        <f t="shared" si="8"/>
        <v>mrchntPrmtrs</v>
      </c>
      <c r="F85" t="str">
        <f t="shared" si="9"/>
        <v>mrchntSchmChc</v>
      </c>
      <c r="G85" t="e">
        <f t="shared" si="6"/>
        <v>#REF!</v>
      </c>
      <c r="H85" t="e">
        <f t="shared" si="7"/>
        <v>#REF!</v>
      </c>
    </row>
    <row r="86" spans="1:8">
      <c r="A86" t="str">
        <f>DICO_Export!D86</f>
        <v>merchantParameters</v>
      </c>
      <c r="B86" t="str">
        <f>DICO_Export!E86</f>
        <v>noShowIndicator</v>
      </c>
      <c r="C86" t="e">
        <f>#REF!</f>
        <v>#REF!</v>
      </c>
      <c r="D86" t="e">
        <f>#REF!</f>
        <v>#REF!</v>
      </c>
      <c r="E86" t="str">
        <f t="shared" si="8"/>
        <v>mrchntPrmtrs</v>
      </c>
      <c r="F86" t="str">
        <f t="shared" si="9"/>
        <v>nShwIndctr</v>
      </c>
      <c r="G86" t="e">
        <f t="shared" si="6"/>
        <v>#REF!</v>
      </c>
      <c r="H86" t="e">
        <f t="shared" si="7"/>
        <v>#REF!</v>
      </c>
    </row>
    <row r="87" spans="1:8">
      <c r="A87" t="str">
        <f>DICO_Export!D87</f>
        <v>merchantParameters</v>
      </c>
      <c r="B87" t="str">
        <f>DICO_Export!E87</f>
        <v>panTruncationIndicator</v>
      </c>
      <c r="C87" t="e">
        <f>#REF!</f>
        <v>#REF!</v>
      </c>
      <c r="D87" t="e">
        <f>#REF!</f>
        <v>#REF!</v>
      </c>
      <c r="E87" t="str">
        <f t="shared" si="8"/>
        <v>mrchntPrmtrs</v>
      </c>
      <c r="F87" t="str">
        <f t="shared" si="9"/>
        <v>pnTrnctnIndctr</v>
      </c>
      <c r="G87" t="e">
        <f t="shared" si="6"/>
        <v>#REF!</v>
      </c>
      <c r="H87" t="e">
        <f t="shared" si="7"/>
        <v>#REF!</v>
      </c>
    </row>
    <row r="88" spans="1:8">
      <c r="A88" t="str">
        <f>DICO_Export!D88</f>
        <v>merchantParameters</v>
      </c>
      <c r="B88" t="str">
        <f>DICO_Export!E88</f>
        <v>partialAuthorisationIndicator</v>
      </c>
      <c r="C88" t="e">
        <f>#REF!</f>
        <v>#REF!</v>
      </c>
      <c r="D88" t="e">
        <f>#REF!</f>
        <v>#REF!</v>
      </c>
      <c r="E88" t="str">
        <f t="shared" si="8"/>
        <v>mrchntPrmtrs</v>
      </c>
      <c r="F88" t="str">
        <f t="shared" si="9"/>
        <v>prtlAthrstnIndctr</v>
      </c>
      <c r="G88" t="e">
        <f t="shared" si="6"/>
        <v>#REF!</v>
      </c>
      <c r="H88" t="e">
        <f t="shared" si="7"/>
        <v>#REF!</v>
      </c>
    </row>
    <row r="89" spans="1:8">
      <c r="A89" t="str">
        <f>DICO_Export!D89</f>
        <v>merchantParameters</v>
      </c>
      <c r="B89" t="str">
        <f>DICO_Export!E89</f>
        <v>paymentFacilitatorIndicator</v>
      </c>
      <c r="C89" t="e">
        <f>#REF!</f>
        <v>#REF!</v>
      </c>
      <c r="D89" t="e">
        <f>#REF!</f>
        <v>#REF!</v>
      </c>
      <c r="E89" t="str">
        <f t="shared" si="8"/>
        <v>mrchntPrmtrs</v>
      </c>
      <c r="F89" t="str">
        <f t="shared" si="9"/>
        <v>pmntFclttrIndctr</v>
      </c>
      <c r="G89" t="e">
        <f t="shared" si="6"/>
        <v>#REF!</v>
      </c>
      <c r="H89" t="e">
        <f t="shared" si="7"/>
        <v>#REF!</v>
      </c>
    </row>
    <row r="90" spans="1:8">
      <c r="A90" t="str">
        <f>DICO_Export!D90</f>
        <v>merchantParameters</v>
      </c>
      <c r="B90" t="str">
        <f>DICO_Export!E90</f>
        <v>paymentGatewayId</v>
      </c>
      <c r="C90" t="e">
        <f>#REF!</f>
        <v>#REF!</v>
      </c>
      <c r="D90" t="e">
        <f>#REF!</f>
        <v>#REF!</v>
      </c>
      <c r="E90" t="str">
        <f t="shared" si="8"/>
        <v>mrchntPrmtrs</v>
      </c>
      <c r="F90" t="str">
        <f t="shared" si="9"/>
        <v>pmntGtwId</v>
      </c>
      <c r="G90" t="e">
        <f t="shared" si="6"/>
        <v>#REF!</v>
      </c>
      <c r="H90" t="e">
        <f t="shared" si="7"/>
        <v>#REF!</v>
      </c>
    </row>
    <row r="91" spans="1:8">
      <c r="A91" t="str">
        <f>DICO_Export!D91</f>
        <v>merchantParameters</v>
      </c>
      <c r="B91" t="str">
        <f>DICO_Export!E91</f>
        <v>paymentProtocolCategory</v>
      </c>
      <c r="C91" t="e">
        <f>#REF!</f>
        <v>#REF!</v>
      </c>
      <c r="D91" t="e">
        <f>#REF!</f>
        <v>#REF!</v>
      </c>
      <c r="E91" t="str">
        <f t="shared" si="8"/>
        <v>mrchntPrmtrs</v>
      </c>
      <c r="F91" t="str">
        <f t="shared" si="9"/>
        <v>pmntPrtclCtgr</v>
      </c>
      <c r="G91" t="e">
        <f t="shared" si="6"/>
        <v>#REF!</v>
      </c>
      <c r="H91" t="e">
        <f t="shared" si="7"/>
        <v>#REF!</v>
      </c>
    </row>
    <row r="92" spans="1:8">
      <c r="A92" t="str">
        <f>DICO_Export!D92</f>
        <v>merchantParameters</v>
      </c>
      <c r="B92" t="str">
        <f>DICO_Export!E92</f>
        <v>paymentProtocolVersion</v>
      </c>
      <c r="C92" t="e">
        <f>#REF!</f>
        <v>#REF!</v>
      </c>
      <c r="D92" t="e">
        <f>#REF!</f>
        <v>#REF!</v>
      </c>
      <c r="E92" t="str">
        <f t="shared" si="8"/>
        <v>mrchntPrmtrs</v>
      </c>
      <c r="F92" t="str">
        <f t="shared" si="9"/>
        <v>pmntPrtclVrsn</v>
      </c>
      <c r="G92" t="e">
        <f t="shared" si="6"/>
        <v>#REF!</v>
      </c>
      <c r="H92" t="e">
        <f t="shared" si="7"/>
        <v>#REF!</v>
      </c>
    </row>
    <row r="93" spans="1:8">
      <c r="A93" t="str">
        <f>DICO_Export!D93</f>
        <v>merchantParameters</v>
      </c>
      <c r="B93" t="str">
        <f>DICO_Export!E93</f>
        <v>paymentRiskProfile</v>
      </c>
      <c r="C93" t="e">
        <f>#REF!</f>
        <v>#REF!</v>
      </c>
      <c r="D93" t="e">
        <f>#REF!</f>
        <v>#REF!</v>
      </c>
      <c r="E93" t="str">
        <f t="shared" si="8"/>
        <v>mrchntPrmtrs</v>
      </c>
      <c r="F93" t="str">
        <f t="shared" si="9"/>
        <v>pmntRskPrfl</v>
      </c>
      <c r="G93" t="e">
        <f t="shared" si="6"/>
        <v>#REF!</v>
      </c>
      <c r="H93" t="e">
        <f t="shared" si="7"/>
        <v>#REF!</v>
      </c>
    </row>
    <row r="94" spans="1:8">
      <c r="A94" t="str">
        <f>DICO_Export!D94</f>
        <v>merchantParameters</v>
      </c>
      <c r="B94" t="str">
        <f>DICO_Export!E94</f>
        <v>postingCalendar</v>
      </c>
      <c r="C94" t="e">
        <f>#REF!</f>
        <v>#REF!</v>
      </c>
      <c r="D94" t="e">
        <f>#REF!</f>
        <v>#REF!</v>
      </c>
      <c r="E94" t="str">
        <f t="shared" si="8"/>
        <v>mrchntPrmtrs</v>
      </c>
      <c r="F94" t="str">
        <f t="shared" si="9"/>
        <v>pstngClndr</v>
      </c>
      <c r="G94" t="e">
        <f t="shared" si="6"/>
        <v>#REF!</v>
      </c>
      <c r="H94" t="e">
        <f t="shared" si="7"/>
        <v>#REF!</v>
      </c>
    </row>
    <row r="95" spans="1:8">
      <c r="A95" t="str">
        <f>DICO_Export!D95</f>
        <v>merchantParameters</v>
      </c>
      <c r="B95" t="str">
        <f>DICO_Export!E95</f>
        <v>recurringFeesDebitIndicator</v>
      </c>
      <c r="C95" t="e">
        <f>#REF!</f>
        <v>#REF!</v>
      </c>
      <c r="D95" t="e">
        <f>#REF!</f>
        <v>#REF!</v>
      </c>
      <c r="E95" t="str">
        <f t="shared" si="8"/>
        <v>mrchntPrmtrs</v>
      </c>
      <c r="F95" t="str">
        <f t="shared" si="9"/>
        <v>rcrrngFsDbtIndctr</v>
      </c>
      <c r="G95" t="e">
        <f t="shared" si="6"/>
        <v>#REF!</v>
      </c>
      <c r="H95" t="e">
        <f t="shared" si="7"/>
        <v>#REF!</v>
      </c>
    </row>
    <row r="96" spans="1:8">
      <c r="A96" t="str">
        <f>DICO_Export!D96</f>
        <v>merchantParameters</v>
      </c>
      <c r="B96" t="str">
        <f>DICO_Export!E96</f>
        <v>remittanceReceptionCutOff</v>
      </c>
      <c r="C96" t="e">
        <f>#REF!</f>
        <v>#REF!</v>
      </c>
      <c r="D96" t="e">
        <f>#REF!</f>
        <v>#REF!</v>
      </c>
      <c r="E96" t="str">
        <f t="shared" si="8"/>
        <v>mrchntPrmtrs</v>
      </c>
      <c r="F96" t="str">
        <f t="shared" si="9"/>
        <v>rmttncRcptnCtOff</v>
      </c>
      <c r="G96" t="e">
        <f t="shared" si="6"/>
        <v>#REF!</v>
      </c>
      <c r="H96" t="e">
        <f t="shared" si="7"/>
        <v>#REF!</v>
      </c>
    </row>
    <row r="97" spans="1:8">
      <c r="A97" t="str">
        <f>DICO_Export!D97</f>
        <v>merchantParameters</v>
      </c>
      <c r="B97" t="str">
        <f>DICO_Export!E97</f>
        <v>secundaryGroupingIdentifier</v>
      </c>
      <c r="C97" t="e">
        <f>#REF!</f>
        <v>#REF!</v>
      </c>
      <c r="D97" t="e">
        <f>#REF!</f>
        <v>#REF!</v>
      </c>
      <c r="E97" t="str">
        <f t="shared" si="8"/>
        <v>mrchntPrmtrs</v>
      </c>
      <c r="F97" t="str">
        <f t="shared" si="9"/>
        <v>scndrGrpngIdntfr</v>
      </c>
      <c r="G97" t="e">
        <f t="shared" si="6"/>
        <v>#REF!</v>
      </c>
      <c r="H97" t="e">
        <f t="shared" si="7"/>
        <v>#REF!</v>
      </c>
    </row>
    <row r="98" spans="1:8">
      <c r="A98" t="str">
        <f>DICO_Export!D98</f>
        <v>merchantParameters</v>
      </c>
      <c r="B98" t="str">
        <f>DICO_Export!E98</f>
        <v>singleTapIndicator</v>
      </c>
      <c r="C98" t="e">
        <f>#REF!</f>
        <v>#REF!</v>
      </c>
      <c r="D98" t="e">
        <f>#REF!</f>
        <v>#REF!</v>
      </c>
      <c r="E98" t="str">
        <f t="shared" si="8"/>
        <v>mrchntPrmtrs</v>
      </c>
      <c r="F98" t="str">
        <f t="shared" si="9"/>
        <v>snglTpIndctr</v>
      </c>
      <c r="G98" t="e">
        <f t="shared" si="6"/>
        <v>#REF!</v>
      </c>
      <c r="H98" t="e">
        <f t="shared" si="7"/>
        <v>#REF!</v>
      </c>
    </row>
    <row r="99" spans="1:8">
      <c r="A99" t="str">
        <f>DICO_Export!D99</f>
        <v>merchantParameters</v>
      </c>
      <c r="B99" t="str">
        <f>DICO_Export!E99</f>
        <v>statementIndicator</v>
      </c>
      <c r="C99" t="e">
        <f>#REF!</f>
        <v>#REF!</v>
      </c>
      <c r="D99" t="e">
        <f>#REF!</f>
        <v>#REF!</v>
      </c>
      <c r="E99" t="str">
        <f t="shared" si="8"/>
        <v>mrchntPrmtrs</v>
      </c>
      <c r="F99" t="str">
        <f t="shared" si="9"/>
        <v>sttmntIndctr</v>
      </c>
      <c r="G99" t="e">
        <f t="shared" si="6"/>
        <v>#REF!</v>
      </c>
      <c r="H99" t="e">
        <f t="shared" si="7"/>
        <v>#REF!</v>
      </c>
    </row>
    <row r="100" spans="1:8">
      <c r="A100" t="str">
        <f>DICO_Export!D100</f>
        <v>merchantParameters</v>
      </c>
      <c r="B100" t="str">
        <f>DICO_Export!E100</f>
        <v>telecomIndicator</v>
      </c>
      <c r="C100" t="e">
        <f>#REF!</f>
        <v>#REF!</v>
      </c>
      <c r="D100" t="e">
        <f>#REF!</f>
        <v>#REF!</v>
      </c>
      <c r="E100" t="str">
        <f t="shared" si="8"/>
        <v>mrchntPrmtrs</v>
      </c>
      <c r="F100" t="str">
        <f t="shared" si="9"/>
        <v>tlcmIndctr</v>
      </c>
      <c r="G100" t="e">
        <f t="shared" si="6"/>
        <v>#REF!</v>
      </c>
      <c r="H100" t="e">
        <f t="shared" si="7"/>
        <v>#REF!</v>
      </c>
    </row>
    <row r="101" spans="1:8">
      <c r="A101" t="str">
        <f>DICO_Export!D101</f>
        <v>merchantParameters</v>
      </c>
      <c r="B101" t="str">
        <f>DICO_Export!E101</f>
        <v>temp_alphabeticCodeOfCurrency1</v>
      </c>
      <c r="C101" t="e">
        <f>#REF!</f>
        <v>#REF!</v>
      </c>
      <c r="D101" t="e">
        <f>#REF!</f>
        <v>#REF!</v>
      </c>
      <c r="E101" t="str">
        <f t="shared" si="8"/>
        <v>mrchntPrmtrs</v>
      </c>
      <c r="F101" t="str">
        <f t="shared" si="9"/>
        <v>tmp_lphbtcCdOfCrrnc1</v>
      </c>
      <c r="G101" t="e">
        <f t="shared" si="6"/>
        <v>#REF!</v>
      </c>
      <c r="H101" t="e">
        <f t="shared" si="7"/>
        <v>#REF!</v>
      </c>
    </row>
    <row r="102" spans="1:8">
      <c r="A102" t="str">
        <f>DICO_Export!D102</f>
        <v>merchantParameters</v>
      </c>
      <c r="B102" t="str">
        <f>DICO_Export!E102</f>
        <v>temp_commissionProcessingLevelCode</v>
      </c>
      <c r="C102" t="e">
        <f>#REF!</f>
        <v>#REF!</v>
      </c>
      <c r="D102" t="e">
        <f>#REF!</f>
        <v>#REF!</v>
      </c>
      <c r="E102" t="str">
        <f t="shared" si="8"/>
        <v>mrchntPrmtrs</v>
      </c>
      <c r="F102" t="str">
        <f t="shared" si="9"/>
        <v>tmp_cmmssnPrcssngLvlCd</v>
      </c>
      <c r="G102" t="e">
        <f t="shared" si="6"/>
        <v>#REF!</v>
      </c>
      <c r="H102" t="e">
        <f t="shared" si="7"/>
        <v>#REF!</v>
      </c>
    </row>
    <row r="103" spans="1:8">
      <c r="A103" t="str">
        <f>DICO_Export!D103</f>
        <v>merchantParameters</v>
      </c>
      <c r="B103" t="str">
        <f>DICO_Export!E103</f>
        <v>temp_conversionRate</v>
      </c>
      <c r="C103" t="e">
        <f>#REF!</f>
        <v>#REF!</v>
      </c>
      <c r="D103" t="e">
        <f>#REF!</f>
        <v>#REF!</v>
      </c>
      <c r="E103" t="str">
        <f t="shared" si="8"/>
        <v>mrchntPrmtrs</v>
      </c>
      <c r="F103" t="str">
        <f t="shared" si="9"/>
        <v>tmp_cnvrsnRt</v>
      </c>
      <c r="G103" t="e">
        <f t="shared" si="6"/>
        <v>#REF!</v>
      </c>
      <c r="H103" t="e">
        <f t="shared" si="7"/>
        <v>#REF!</v>
      </c>
    </row>
    <row r="104" spans="1:8">
      <c r="A104" t="str">
        <f>DICO_Export!D104</f>
        <v>merchantParameters</v>
      </c>
      <c r="B104" t="str">
        <f>DICO_Export!E104</f>
        <v>temp_genericMerchandIdCheckCode</v>
      </c>
      <c r="C104" t="e">
        <f>#REF!</f>
        <v>#REF!</v>
      </c>
      <c r="D104" t="e">
        <f>#REF!</f>
        <v>#REF!</v>
      </c>
      <c r="E104" t="str">
        <f t="shared" si="8"/>
        <v>mrchntPrmtrs</v>
      </c>
      <c r="F104" t="str">
        <f t="shared" si="9"/>
        <v>tmp_gnrcMrchndIdChckCd</v>
      </c>
      <c r="G104" t="e">
        <f t="shared" si="6"/>
        <v>#REF!</v>
      </c>
      <c r="H104" t="e">
        <f t="shared" si="7"/>
        <v>#REF!</v>
      </c>
    </row>
    <row r="105" spans="1:8">
      <c r="A105" t="str">
        <f>DICO_Export!D105</f>
        <v>merchantParameters</v>
      </c>
      <c r="B105" t="str">
        <f>DICO_Export!E105</f>
        <v>temp_languageAbbreviation</v>
      </c>
      <c r="C105" t="e">
        <f>#REF!</f>
        <v>#REF!</v>
      </c>
      <c r="D105" t="e">
        <f>#REF!</f>
        <v>#REF!</v>
      </c>
      <c r="E105" t="str">
        <f t="shared" si="8"/>
        <v>mrchntPrmtrs</v>
      </c>
      <c r="F105" t="str">
        <f t="shared" si="9"/>
        <v>tmp_lnggAbbrvtn</v>
      </c>
      <c r="G105" t="e">
        <f t="shared" si="6"/>
        <v>#REF!</v>
      </c>
      <c r="H105" t="e">
        <f t="shared" si="7"/>
        <v>#REF!</v>
      </c>
    </row>
    <row r="106" spans="1:8">
      <c r="A106" t="str">
        <f>DICO_Export!D106</f>
        <v>merchantParameters</v>
      </c>
      <c r="B106" t="str">
        <f>DICO_Export!E106</f>
        <v>temp_parametersPANEntryModeForDualApplication</v>
      </c>
      <c r="C106" t="e">
        <f>#REF!</f>
        <v>#REF!</v>
      </c>
      <c r="D106" t="e">
        <f>#REF!</f>
        <v>#REF!</v>
      </c>
      <c r="E106" t="str">
        <f t="shared" si="8"/>
        <v>mrchntPrmtrs</v>
      </c>
      <c r="F106" t="str">
        <f t="shared" si="9"/>
        <v>tmp_prmtrsPANEntrMdFrDlApplctn</v>
      </c>
      <c r="G106" t="e">
        <f t="shared" si="6"/>
        <v>#REF!</v>
      </c>
      <c r="H106" t="e">
        <f t="shared" si="7"/>
        <v>#REF!</v>
      </c>
    </row>
    <row r="107" spans="1:8">
      <c r="A107" t="str">
        <f>DICO_Export!D107</f>
        <v>merchantParameters</v>
      </c>
      <c r="B107" t="str">
        <f>DICO_Export!E107</f>
        <v>temp_signOfTimeDifference</v>
      </c>
      <c r="C107" t="e">
        <f>#REF!</f>
        <v>#REF!</v>
      </c>
      <c r="D107" t="e">
        <f>#REF!</f>
        <v>#REF!</v>
      </c>
      <c r="E107" t="str">
        <f t="shared" si="8"/>
        <v>mrchntPrmtrs</v>
      </c>
      <c r="F107" t="str">
        <f t="shared" si="9"/>
        <v>tmp_sgnOfTmDffrnc</v>
      </c>
      <c r="G107" t="e">
        <f t="shared" si="6"/>
        <v>#REF!</v>
      </c>
      <c r="H107" t="e">
        <f t="shared" si="7"/>
        <v>#REF!</v>
      </c>
    </row>
    <row r="108" spans="1:8">
      <c r="A108" t="str">
        <f>DICO_Export!D108</f>
        <v>merchantParameters</v>
      </c>
      <c r="B108" t="str">
        <f>DICO_Export!E108</f>
        <v>temp_targetPercentageForRandomSelection</v>
      </c>
      <c r="C108" t="e">
        <f>#REF!</f>
        <v>#REF!</v>
      </c>
      <c r="D108" t="e">
        <f>#REF!</f>
        <v>#REF!</v>
      </c>
      <c r="E108" t="str">
        <f t="shared" si="8"/>
        <v>mrchntPrmtrs</v>
      </c>
      <c r="F108" t="str">
        <f t="shared" si="9"/>
        <v>tmp_trgtPrcntgFrRndmSlctn</v>
      </c>
      <c r="G108" t="e">
        <f t="shared" si="6"/>
        <v>#REF!</v>
      </c>
      <c r="H108" t="e">
        <f t="shared" si="7"/>
        <v>#REF!</v>
      </c>
    </row>
    <row r="109" spans="1:8">
      <c r="A109" t="str">
        <f>DICO_Export!D109</f>
        <v>merchantParameters</v>
      </c>
      <c r="B109" t="str">
        <f>DICO_Export!E109</f>
        <v>ticketPrintedMessage</v>
      </c>
      <c r="C109" t="e">
        <f>#REF!</f>
        <v>#REF!</v>
      </c>
      <c r="D109" t="e">
        <f>#REF!</f>
        <v>#REF!</v>
      </c>
      <c r="E109" t="str">
        <f t="shared" si="8"/>
        <v>mrchntPrmtrs</v>
      </c>
      <c r="F109" t="str">
        <f t="shared" si="9"/>
        <v>tcktPrntdMssg</v>
      </c>
      <c r="G109" t="e">
        <f t="shared" si="6"/>
        <v>#REF!</v>
      </c>
      <c r="H109" t="e">
        <f t="shared" si="7"/>
        <v>#REF!</v>
      </c>
    </row>
    <row r="110" spans="1:8">
      <c r="A110" t="str">
        <f>DICO_Export!D110</f>
        <v>merchantParameters</v>
      </c>
      <c r="B110" t="str">
        <f>DICO_Export!E110</f>
        <v>ticketPrintIndicator</v>
      </c>
      <c r="C110" t="e">
        <f>#REF!</f>
        <v>#REF!</v>
      </c>
      <c r="D110" t="e">
        <f>#REF!</f>
        <v>#REF!</v>
      </c>
      <c r="E110" t="str">
        <f t="shared" si="8"/>
        <v>mrchntPrmtrs</v>
      </c>
      <c r="F110" t="str">
        <f t="shared" si="9"/>
        <v>tcktPrntIndctr</v>
      </c>
      <c r="G110" t="e">
        <f t="shared" si="6"/>
        <v>#REF!</v>
      </c>
      <c r="H110" t="e">
        <f t="shared" si="7"/>
        <v>#REF!</v>
      </c>
    </row>
    <row r="111" spans="1:8">
      <c r="A111" t="str">
        <f>DICO_Export!D111</f>
        <v>merchantParameters</v>
      </c>
      <c r="B111" t="str">
        <f>DICO_Export!E111</f>
        <v>transactionNumericStatementIndicator</v>
      </c>
      <c r="C111" t="e">
        <f>#REF!</f>
        <v>#REF!</v>
      </c>
      <c r="D111" t="e">
        <f>#REF!</f>
        <v>#REF!</v>
      </c>
      <c r="E111" t="str">
        <f t="shared" si="8"/>
        <v>mrchntPrmtrs</v>
      </c>
      <c r="F111" t="str">
        <f t="shared" si="9"/>
        <v>trnsctnNmrcSttmntIndctr</v>
      </c>
      <c r="G111" t="e">
        <f t="shared" si="6"/>
        <v>#REF!</v>
      </c>
      <c r="H111" t="e">
        <f t="shared" si="7"/>
        <v>#REF!</v>
      </c>
    </row>
    <row r="112" spans="1:8">
      <c r="A112" t="str">
        <f>DICO_Export!D112</f>
        <v>merchantParameters</v>
      </c>
      <c r="B112" t="str">
        <f>DICO_Export!E112</f>
        <v>transactionPaperStatementIndicator</v>
      </c>
      <c r="C112" t="e">
        <f>#REF!</f>
        <v>#REF!</v>
      </c>
      <c r="D112" t="e">
        <f>#REF!</f>
        <v>#REF!</v>
      </c>
      <c r="E112" t="str">
        <f t="shared" si="8"/>
        <v>mrchntPrmtrs</v>
      </c>
      <c r="F112" t="str">
        <f t="shared" si="9"/>
        <v>trnsctnPprSttmntIndctr</v>
      </c>
      <c r="G112" t="e">
        <f t="shared" si="6"/>
        <v>#REF!</v>
      </c>
      <c r="H112" t="e">
        <f t="shared" si="7"/>
        <v>#REF!</v>
      </c>
    </row>
    <row r="113" spans="1:8">
      <c r="A113" t="str">
        <f>DICO_Export!D113</f>
        <v>merchantParameters</v>
      </c>
      <c r="B113" t="str">
        <f>DICO_Export!E113</f>
        <v>visaVerificationIndicator</v>
      </c>
      <c r="C113" t="e">
        <f>#REF!</f>
        <v>#REF!</v>
      </c>
      <c r="D113" t="e">
        <f>#REF!</f>
        <v>#REF!</v>
      </c>
      <c r="E113" t="str">
        <f t="shared" si="8"/>
        <v>mrchntPrmtrs</v>
      </c>
      <c r="F113" t="str">
        <f t="shared" si="9"/>
        <v>vsVrfctnIndctr</v>
      </c>
      <c r="G113" t="e">
        <f t="shared" si="6"/>
        <v>#REF!</v>
      </c>
      <c r="H113" t="e">
        <f t="shared" si="7"/>
        <v>#REF!</v>
      </c>
    </row>
    <row r="114" spans="1:8">
      <c r="A114" t="str">
        <f>DICO_Export!D114</f>
        <v>merchantParameters</v>
      </c>
      <c r="B114" t="str">
        <f>DICO_Export!E114</f>
        <v>whiteListeDistributionIndicator</v>
      </c>
      <c r="C114" t="e">
        <f>#REF!</f>
        <v>#REF!</v>
      </c>
      <c r="D114" t="e">
        <f>#REF!</f>
        <v>#REF!</v>
      </c>
      <c r="E114" t="str">
        <f t="shared" si="8"/>
        <v>mrchntPrmtrs</v>
      </c>
      <c r="F114" t="str">
        <f t="shared" si="9"/>
        <v>whtLstDstrbtnIndctr</v>
      </c>
      <c r="G114" t="e">
        <f t="shared" si="6"/>
        <v>#REF!</v>
      </c>
      <c r="H114" t="e">
        <f t="shared" si="7"/>
        <v>#REF!</v>
      </c>
    </row>
    <row r="115" spans="1:8">
      <c r="A115" t="str">
        <f>DICO_Export!D115</f>
        <v>pointOfServiceContext</v>
      </c>
      <c r="B115" t="str">
        <f>DICO_Export!E115</f>
        <v>acceptanceSystemCurrentConnectingMode</v>
      </c>
      <c r="C115" t="e">
        <f>#REF!</f>
        <v>#REF!</v>
      </c>
      <c r="D115" t="e">
        <f>#REF!</f>
        <v>#REF!</v>
      </c>
      <c r="E115" t="str">
        <f t="shared" si="8"/>
        <v>pntOfSrvcCntxt</v>
      </c>
      <c r="F115" t="str">
        <f t="shared" si="9"/>
        <v>accptncSstmCrrntCnnctngMd</v>
      </c>
      <c r="G115" t="e">
        <f t="shared" si="6"/>
        <v>#REF!</v>
      </c>
      <c r="H115" t="e">
        <f t="shared" si="7"/>
        <v>#REF!</v>
      </c>
    </row>
    <row r="116" spans="1:8">
      <c r="A116" t="str">
        <f>DICO_Export!D116</f>
        <v>pointOfServiceContext</v>
      </c>
      <c r="B116" t="str">
        <f>DICO_Export!E116</f>
        <v>contactlessApplicationIndicator</v>
      </c>
      <c r="C116" t="e">
        <f>#REF!</f>
        <v>#REF!</v>
      </c>
      <c r="D116" t="e">
        <f>#REF!</f>
        <v>#REF!</v>
      </c>
      <c r="E116" t="str">
        <f t="shared" si="8"/>
        <v>pntOfSrvcCntxt</v>
      </c>
      <c r="F116" t="str">
        <f t="shared" si="9"/>
        <v>cntctlssApplctnIndctr</v>
      </c>
      <c r="G116" t="e">
        <f t="shared" si="6"/>
        <v>#REF!</v>
      </c>
      <c r="H116" t="e">
        <f t="shared" si="7"/>
        <v>#REF!</v>
      </c>
    </row>
    <row r="117" spans="1:8">
      <c r="A117" t="str">
        <f>DICO_Export!D117</f>
        <v>pointOfServiceContext</v>
      </c>
      <c r="B117" t="str">
        <f>DICO_Export!E117</f>
        <v>digitalCommerceCheckinEntity</v>
      </c>
      <c r="C117" t="e">
        <f>#REF!</f>
        <v>#REF!</v>
      </c>
      <c r="D117" t="e">
        <f>#REF!</f>
        <v>#REF!</v>
      </c>
      <c r="E117" t="str">
        <f t="shared" si="8"/>
        <v>pntOfSrvcCntxt</v>
      </c>
      <c r="F117" t="str">
        <f t="shared" si="9"/>
        <v>dgtlCmmrcChcknEntt</v>
      </c>
      <c r="G117" t="e">
        <f t="shared" si="6"/>
        <v>#REF!</v>
      </c>
      <c r="H117" t="e">
        <f t="shared" si="7"/>
        <v>#REF!</v>
      </c>
    </row>
    <row r="118" spans="1:8">
      <c r="A118" t="str">
        <f>DICO_Export!D118</f>
        <v>pointOfServiceContext</v>
      </c>
      <c r="B118" t="str">
        <f>DICO_Export!E118</f>
        <v>digitalCommerceCheckinMethod</v>
      </c>
      <c r="C118" t="e">
        <f>#REF!</f>
        <v>#REF!</v>
      </c>
      <c r="D118" t="e">
        <f>#REF!</f>
        <v>#REF!</v>
      </c>
      <c r="E118" t="str">
        <f t="shared" si="8"/>
        <v>pntOfSrvcCntxt</v>
      </c>
      <c r="F118" t="str">
        <f t="shared" si="9"/>
        <v>dgtlCmmrcChcknMthd</v>
      </c>
      <c r="G118" t="e">
        <f t="shared" si="6"/>
        <v>#REF!</v>
      </c>
      <c r="H118" t="e">
        <f t="shared" si="7"/>
        <v>#REF!</v>
      </c>
    </row>
    <row r="119" spans="1:8">
      <c r="A119" t="str">
        <f>DICO_Export!D119</f>
        <v>pointOfServiceContext</v>
      </c>
      <c r="B119" t="str">
        <f>DICO_Export!E119</f>
        <v>digitalCommerceDomainId</v>
      </c>
      <c r="C119" t="e">
        <f>#REF!</f>
        <v>#REF!</v>
      </c>
      <c r="D119" t="e">
        <f>#REF!</f>
        <v>#REF!</v>
      </c>
      <c r="E119" t="str">
        <f t="shared" si="8"/>
        <v>pntOfSrvcCntxt</v>
      </c>
      <c r="F119" t="str">
        <f t="shared" si="9"/>
        <v>dgtlCmmrcDmnId</v>
      </c>
      <c r="G119" t="e">
        <f t="shared" si="6"/>
        <v>#REF!</v>
      </c>
      <c r="H119" t="e">
        <f t="shared" si="7"/>
        <v>#REF!</v>
      </c>
    </row>
    <row r="120" spans="1:8">
      <c r="A120" t="str">
        <f>DICO_Export!D120</f>
        <v>pointOfServiceContext</v>
      </c>
      <c r="B120" t="str">
        <f>DICO_Export!E120</f>
        <v>digitalCommerceProgram</v>
      </c>
      <c r="C120" t="e">
        <f>#REF!</f>
        <v>#REF!</v>
      </c>
      <c r="D120" t="e">
        <f>#REF!</f>
        <v>#REF!</v>
      </c>
      <c r="E120" t="str">
        <f t="shared" si="8"/>
        <v>pntOfSrvcCntxt</v>
      </c>
      <c r="F120" t="str">
        <f t="shared" si="9"/>
        <v>dgtlCmmrcPrgrm</v>
      </c>
      <c r="G120" t="e">
        <f t="shared" si="6"/>
        <v>#REF!</v>
      </c>
      <c r="H120" t="e">
        <f t="shared" si="7"/>
        <v>#REF!</v>
      </c>
    </row>
    <row r="121" spans="1:8">
      <c r="A121" t="str">
        <f>DICO_Export!D121</f>
        <v>pointOfServiceContext</v>
      </c>
      <c r="B121" t="str">
        <f>DICO_Export!E121</f>
        <v>inputCapabilities</v>
      </c>
      <c r="C121" t="e">
        <f>#REF!</f>
        <v>#REF!</v>
      </c>
      <c r="D121" t="e">
        <f>#REF!</f>
        <v>#REF!</v>
      </c>
      <c r="E121" t="str">
        <f t="shared" si="8"/>
        <v>pntOfSrvcCntxt</v>
      </c>
      <c r="F121" t="str">
        <f t="shared" si="9"/>
        <v>inptCpblts</v>
      </c>
      <c r="G121" t="e">
        <f t="shared" si="6"/>
        <v>#REF!</v>
      </c>
      <c r="H121" t="e">
        <f t="shared" si="7"/>
        <v>#REF!</v>
      </c>
    </row>
    <row r="122" spans="1:8">
      <c r="A122" t="str">
        <f>DICO_Export!D122</f>
        <v>pointOfServiceContext</v>
      </c>
      <c r="B122" t="str">
        <f>DICO_Export!E122</f>
        <v>merchantSchemeTokenizationIndicator</v>
      </c>
      <c r="C122" t="e">
        <f>#REF!</f>
        <v>#REF!</v>
      </c>
      <c r="D122" t="e">
        <f>#REF!</f>
        <v>#REF!</v>
      </c>
      <c r="E122" t="str">
        <f t="shared" si="8"/>
        <v>pntOfSrvcCntxt</v>
      </c>
      <c r="F122" t="str">
        <f t="shared" si="9"/>
        <v>mrchntSchmTknztnIndctr</v>
      </c>
      <c r="G122" t="e">
        <f t="shared" si="6"/>
        <v>#REF!</v>
      </c>
      <c r="H122" t="e">
        <f t="shared" si="7"/>
        <v>#REF!</v>
      </c>
    </row>
    <row r="123" spans="1:8">
      <c r="A123" t="str">
        <f>DICO_Export!D123</f>
        <v>pointOfServiceContext</v>
      </c>
      <c r="B123" t="str">
        <f>DICO_Export!E123</f>
        <v>nameOfTheMessageDisplayedOrPrinted</v>
      </c>
      <c r="C123" t="e">
        <f>#REF!</f>
        <v>#REF!</v>
      </c>
      <c r="D123" t="e">
        <f>#REF!</f>
        <v>#REF!</v>
      </c>
      <c r="E123" t="str">
        <f t="shared" si="8"/>
        <v>pntOfSrvcCntxt</v>
      </c>
      <c r="F123" t="str">
        <f t="shared" si="9"/>
        <v>nmOfThMssgDspldOrPrntd</v>
      </c>
      <c r="G123" t="e">
        <f t="shared" si="6"/>
        <v>#REF!</v>
      </c>
      <c r="H123" t="e">
        <f t="shared" si="7"/>
        <v>#REF!</v>
      </c>
    </row>
    <row r="124" spans="1:8">
      <c r="A124" t="str">
        <f>DICO_Export!D124</f>
        <v>pointOfServiceContext</v>
      </c>
      <c r="B124" t="str">
        <f>DICO_Export!E124</f>
        <v>numberOfTheMessageDisplayedOrPrinted</v>
      </c>
      <c r="C124" t="e">
        <f>#REF!</f>
        <v>#REF!</v>
      </c>
      <c r="D124" t="e">
        <f>#REF!</f>
        <v>#REF!</v>
      </c>
      <c r="E124" t="str">
        <f t="shared" si="8"/>
        <v>pntOfSrvcCntxt</v>
      </c>
      <c r="F124" t="str">
        <f t="shared" si="9"/>
        <v>nmbrOfThMssgDspldOrPrntd</v>
      </c>
      <c r="G124" t="e">
        <f t="shared" si="6"/>
        <v>#REF!</v>
      </c>
      <c r="H124" t="e">
        <f t="shared" si="7"/>
        <v>#REF!</v>
      </c>
    </row>
    <row r="125" spans="1:8">
      <c r="A125" t="str">
        <f>DICO_Export!D125</f>
        <v>pointOfServiceContext</v>
      </c>
      <c r="B125" t="str">
        <f>DICO_Export!E125</f>
        <v>pinEntryCapability</v>
      </c>
      <c r="C125" t="e">
        <f>#REF!</f>
        <v>#REF!</v>
      </c>
      <c r="D125" t="e">
        <f>#REF!</f>
        <v>#REF!</v>
      </c>
      <c r="E125" t="str">
        <f t="shared" si="8"/>
        <v>pntOfSrvcCntxt</v>
      </c>
      <c r="F125" t="str">
        <f t="shared" si="9"/>
        <v>pnEntrCpblt</v>
      </c>
      <c r="G125" t="e">
        <f t="shared" si="6"/>
        <v>#REF!</v>
      </c>
      <c r="H125" t="e">
        <f t="shared" si="7"/>
        <v>#REF!</v>
      </c>
    </row>
    <row r="126" spans="1:8">
      <c r="A126" t="str">
        <f>DICO_Export!D126</f>
        <v>pointOfServiceContext</v>
      </c>
      <c r="B126" t="str">
        <f>DICO_Export!E126</f>
        <v>printCapabilities</v>
      </c>
      <c r="C126" t="e">
        <f>#REF!</f>
        <v>#REF!</v>
      </c>
      <c r="D126" t="e">
        <f>#REF!</f>
        <v>#REF!</v>
      </c>
      <c r="E126" t="str">
        <f t="shared" si="8"/>
        <v>pntOfSrvcCntxt</v>
      </c>
      <c r="F126" t="str">
        <f t="shared" si="9"/>
        <v>prntCpblts</v>
      </c>
      <c r="G126" t="e">
        <f t="shared" si="6"/>
        <v>#REF!</v>
      </c>
      <c r="H126" t="e">
        <f t="shared" si="7"/>
        <v>#REF!</v>
      </c>
    </row>
    <row r="127" spans="1:8">
      <c r="A127" t="str">
        <f>DICO_Export!D127</f>
        <v>pointOfServiceContext</v>
      </c>
      <c r="B127" t="str">
        <f>DICO_Export!E127</f>
        <v>temp_acquiringInstitutionIdentificationCode</v>
      </c>
      <c r="C127" t="e">
        <f>#REF!</f>
        <v>#REF!</v>
      </c>
      <c r="D127" t="e">
        <f>#REF!</f>
        <v>#REF!</v>
      </c>
      <c r="E127" t="str">
        <f t="shared" si="8"/>
        <v>pntOfSrvcCntxt</v>
      </c>
      <c r="F127" t="str">
        <f t="shared" si="9"/>
        <v>tmp_cqrngInstttnIdntfctnCd</v>
      </c>
      <c r="G127" t="e">
        <f t="shared" si="6"/>
        <v>#REF!</v>
      </c>
      <c r="H127" t="e">
        <f t="shared" si="7"/>
        <v>#REF!</v>
      </c>
    </row>
    <row r="128" spans="1:8">
      <c r="A128" t="str">
        <f>DICO_Export!D128</f>
        <v>pointOfServiceContext</v>
      </c>
      <c r="B128" t="str">
        <f>DICO_Export!E128</f>
        <v>temp_aID</v>
      </c>
      <c r="C128" t="e">
        <f>#REF!</f>
        <v>#REF!</v>
      </c>
      <c r="D128" t="e">
        <f>#REF!</f>
        <v>#REF!</v>
      </c>
      <c r="E128" t="str">
        <f t="shared" si="8"/>
        <v>pntOfSrvcCntxt</v>
      </c>
      <c r="F128" t="str">
        <f t="shared" si="9"/>
        <v>tmp_ID</v>
      </c>
      <c r="G128" t="e">
        <f t="shared" si="6"/>
        <v>#REF!</v>
      </c>
      <c r="H128" t="e">
        <f t="shared" si="7"/>
        <v>#REF!</v>
      </c>
    </row>
    <row r="129" spans="1:8">
      <c r="A129" t="str">
        <f>DICO_Export!D129</f>
        <v>pointOfServiceContext</v>
      </c>
      <c r="B129" t="str">
        <f>DICO_Export!E129</f>
        <v>temp_applicationsManagerPublisherCode</v>
      </c>
      <c r="C129" t="e">
        <f>#REF!</f>
        <v>#REF!</v>
      </c>
      <c r="D129" t="e">
        <f>#REF!</f>
        <v>#REF!</v>
      </c>
      <c r="E129" t="str">
        <f t="shared" si="8"/>
        <v>pntOfSrvcCntxt</v>
      </c>
      <c r="F129" t="str">
        <f t="shared" si="9"/>
        <v>tmp_pplctnsMngrPblshrCd</v>
      </c>
      <c r="G129" t="e">
        <f t="shared" si="6"/>
        <v>#REF!</v>
      </c>
      <c r="H129" t="e">
        <f t="shared" si="7"/>
        <v>#REF!</v>
      </c>
    </row>
    <row r="130" spans="1:8">
      <c r="A130" t="str">
        <f>DICO_Export!D130</f>
        <v>pointOfServiceContext</v>
      </c>
      <c r="B130" t="str">
        <f>DICO_Export!E130</f>
        <v>temp_applicationsManagerSoftwareVersionNumber</v>
      </c>
      <c r="C130" t="e">
        <f>#REF!</f>
        <v>#REF!</v>
      </c>
      <c r="D130" t="e">
        <f>#REF!</f>
        <v>#REF!</v>
      </c>
      <c r="E130" t="str">
        <f t="shared" si="8"/>
        <v>pntOfSrvcCntxt</v>
      </c>
      <c r="F130" t="str">
        <f t="shared" si="9"/>
        <v>tmp_pplctnsMngrSftwrVrsnNmbr</v>
      </c>
      <c r="G130" t="e">
        <f t="shared" si="6"/>
        <v>#REF!</v>
      </c>
      <c r="H130" t="e">
        <f t="shared" si="7"/>
        <v>#REF!</v>
      </c>
    </row>
    <row r="131" spans="1:8">
      <c r="A131" t="str">
        <f>DICO_Export!D131</f>
        <v>pointOfServiceContext</v>
      </c>
      <c r="B131" t="str">
        <f>DICO_Export!E131</f>
        <v>temp_applicationSoftwarePublisherCode</v>
      </c>
      <c r="C131" t="e">
        <f>#REF!</f>
        <v>#REF!</v>
      </c>
      <c r="D131" t="e">
        <f>#REF!</f>
        <v>#REF!</v>
      </c>
      <c r="E131" t="str">
        <f t="shared" si="8"/>
        <v>pntOfSrvcCntxt</v>
      </c>
      <c r="F131" t="str">
        <f t="shared" si="9"/>
        <v>tmp_pplctnSftwrPblshrCd</v>
      </c>
      <c r="G131" t="e">
        <f t="shared" ref="G131:G194" si="10">LEFT(C131,1)&amp;SUBSTITUTE(SUBSTITUTE(SUBSTITUTE(SUBSTITUTE(SUBSTITUTE(SUBSTITUTE(SUBSTITUTE(RIGHT(C131,LEN(C131)-1),"a"," "),"e"," "),"i"," "),"o"," "),"u"," "),"y"," ")," ","")</f>
        <v>#REF!</v>
      </c>
      <c r="H131" t="e">
        <f t="shared" ref="H131:H194" si="11">LEFT(D131,1)&amp;SUBSTITUTE(SUBSTITUTE(SUBSTITUTE(SUBSTITUTE(SUBSTITUTE(SUBSTITUTE(SUBSTITUTE(RIGHT(D131,LEN(D131)-1),"a"," "),"e"," "),"i"," "),"o"," "),"u"," "),"y"," ")," ","")</f>
        <v>#REF!</v>
      </c>
    </row>
    <row r="132" spans="1:8">
      <c r="A132" t="str">
        <f>DICO_Export!D132</f>
        <v>pointOfServiceContext</v>
      </c>
      <c r="B132" t="str">
        <f>DICO_Export!E132</f>
        <v>temp_appliedRestriction</v>
      </c>
      <c r="C132" t="e">
        <f>#REF!</f>
        <v>#REF!</v>
      </c>
      <c r="D132" t="e">
        <f>#REF!</f>
        <v>#REF!</v>
      </c>
      <c r="E132" t="str">
        <f t="shared" ref="E132:E195" si="12">LEFT(A132,1)&amp;SUBSTITUTE(SUBSTITUTE(SUBSTITUTE(SUBSTITUTE(SUBSTITUTE(SUBSTITUTE(SUBSTITUTE(RIGHT(A132,LEN(A132)-1),"a"," "),"e"," "),"i"," "),"o"," "),"u"," "),"y"," ")," ","")</f>
        <v>pntOfSrvcCntxt</v>
      </c>
      <c r="F132" t="str">
        <f t="shared" ref="F132:F195" si="13">LEFT(B132,1)&amp;SUBSTITUTE(SUBSTITUTE(SUBSTITUTE(SUBSTITUTE(SUBSTITUTE(SUBSTITUTE(SUBSTITUTE(RIGHT(B132,LEN(B132)-1),"a"," "),"e"," "),"i"," "),"o"," "),"u"," "),"y"," ")," ","")</f>
        <v>tmp_ppldRstrctn</v>
      </c>
      <c r="G132" t="e">
        <f t="shared" si="10"/>
        <v>#REF!</v>
      </c>
      <c r="H132" t="e">
        <f t="shared" si="11"/>
        <v>#REF!</v>
      </c>
    </row>
    <row r="133" spans="1:8">
      <c r="A133" t="str">
        <f>DICO_Export!D133</f>
        <v>pointOfServiceContext</v>
      </c>
      <c r="B133" t="str">
        <f>DICO_Export!E133</f>
        <v>temp_aslternateServiceName</v>
      </c>
      <c r="C133" t="e">
        <f>#REF!</f>
        <v>#REF!</v>
      </c>
      <c r="D133" t="e">
        <f>#REF!</f>
        <v>#REF!</v>
      </c>
      <c r="E133" t="str">
        <f t="shared" si="12"/>
        <v>pntOfSrvcCntxt</v>
      </c>
      <c r="F133" t="str">
        <f t="shared" si="13"/>
        <v>tmp_sltrntSrvcNm</v>
      </c>
      <c r="G133" t="e">
        <f t="shared" si="10"/>
        <v>#REF!</v>
      </c>
      <c r="H133" t="e">
        <f t="shared" si="11"/>
        <v>#REF!</v>
      </c>
    </row>
    <row r="134" spans="1:8">
      <c r="A134" t="str">
        <f>DICO_Export!D134</f>
        <v>pointOfServiceContext</v>
      </c>
      <c r="B134" t="str">
        <f>DICO_Export!E134</f>
        <v>temp_bitmapOfTheCardAcceptorConnectionCapabilites</v>
      </c>
      <c r="C134" t="e">
        <f>#REF!</f>
        <v>#REF!</v>
      </c>
      <c r="D134" t="e">
        <f>#REF!</f>
        <v>#REF!</v>
      </c>
      <c r="E134" t="str">
        <f t="shared" si="12"/>
        <v>pntOfSrvcCntxt</v>
      </c>
      <c r="F134" t="str">
        <f t="shared" si="13"/>
        <v>tmp_btmpOfThCrdAccptrCnnctnCpblts</v>
      </c>
      <c r="G134" t="e">
        <f t="shared" si="10"/>
        <v>#REF!</v>
      </c>
      <c r="H134" t="e">
        <f t="shared" si="11"/>
        <v>#REF!</v>
      </c>
    </row>
    <row r="135" spans="1:8">
      <c r="A135" t="str">
        <f>DICO_Export!D135</f>
        <v>pointOfServiceContext</v>
      </c>
      <c r="B135" t="str">
        <f>DICO_Export!E135</f>
        <v>temp_bitmapOfTheCardacceptorEntryCapabilites</v>
      </c>
      <c r="C135" t="e">
        <f>#REF!</f>
        <v>#REF!</v>
      </c>
      <c r="D135" t="e">
        <f>#REF!</f>
        <v>#REF!</v>
      </c>
      <c r="E135" t="str">
        <f t="shared" si="12"/>
        <v>pntOfSrvcCntxt</v>
      </c>
      <c r="F135" t="str">
        <f t="shared" si="13"/>
        <v>tmp_btmpOfThCrdccptrEntrCpblts</v>
      </c>
      <c r="G135" t="e">
        <f t="shared" si="10"/>
        <v>#REF!</v>
      </c>
      <c r="H135" t="e">
        <f t="shared" si="11"/>
        <v>#REF!</v>
      </c>
    </row>
    <row r="136" spans="1:8">
      <c r="A136" t="str">
        <f>DICO_Export!D136</f>
        <v>pointOfServiceContext</v>
      </c>
      <c r="B136" t="str">
        <f>DICO_Export!E136</f>
        <v>temp_bitmapOfThePOIEntryCapability</v>
      </c>
      <c r="C136" t="e">
        <f>#REF!</f>
        <v>#REF!</v>
      </c>
      <c r="D136" t="e">
        <f>#REF!</f>
        <v>#REF!</v>
      </c>
      <c r="E136" t="str">
        <f t="shared" si="12"/>
        <v>pntOfSrvcCntxt</v>
      </c>
      <c r="F136" t="str">
        <f t="shared" si="13"/>
        <v>tmp_btmpOfThPOIEntrCpblt</v>
      </c>
      <c r="G136" t="e">
        <f t="shared" si="10"/>
        <v>#REF!</v>
      </c>
      <c r="H136" t="e">
        <f t="shared" si="11"/>
        <v>#REF!</v>
      </c>
    </row>
    <row r="137" spans="1:8">
      <c r="A137" t="str">
        <f>DICO_Export!D137</f>
        <v>pointOfServiceContext</v>
      </c>
      <c r="B137" t="str">
        <f>DICO_Export!E137</f>
        <v>temp_callApprovalMode</v>
      </c>
      <c r="C137" t="e">
        <f>#REF!</f>
        <v>#REF!</v>
      </c>
      <c r="D137" t="e">
        <f>#REF!</f>
        <v>#REF!</v>
      </c>
      <c r="E137" t="str">
        <f t="shared" si="12"/>
        <v>pntOfSrvcCntxt</v>
      </c>
      <c r="F137" t="str">
        <f t="shared" si="13"/>
        <v>tmp_cllApprvlMd</v>
      </c>
      <c r="G137" t="e">
        <f t="shared" si="10"/>
        <v>#REF!</v>
      </c>
      <c r="H137" t="e">
        <f t="shared" si="11"/>
        <v>#REF!</v>
      </c>
    </row>
    <row r="138" spans="1:8">
      <c r="A138" t="str">
        <f>DICO_Export!D138</f>
        <v>pointOfServiceContext</v>
      </c>
      <c r="B138" t="str">
        <f>DICO_Export!E138</f>
        <v>temp_calledModeActivationCode</v>
      </c>
      <c r="C138" t="e">
        <f>#REF!</f>
        <v>#REF!</v>
      </c>
      <c r="D138" t="e">
        <f>#REF!</f>
        <v>#REF!</v>
      </c>
      <c r="E138" t="str">
        <f t="shared" si="12"/>
        <v>pntOfSrvcCntxt</v>
      </c>
      <c r="F138" t="str">
        <f t="shared" si="13"/>
        <v>tmp_clldMdActvtnCd</v>
      </c>
      <c r="G138" t="e">
        <f t="shared" si="10"/>
        <v>#REF!</v>
      </c>
      <c r="H138" t="e">
        <f t="shared" si="11"/>
        <v>#REF!</v>
      </c>
    </row>
    <row r="139" spans="1:8">
      <c r="A139" t="str">
        <f>DICO_Export!D139</f>
        <v>pointOfServiceContext</v>
      </c>
      <c r="B139" t="str">
        <f>DICO_Export!E139</f>
        <v>temp_callFrequency</v>
      </c>
      <c r="C139" t="e">
        <f>#REF!</f>
        <v>#REF!</v>
      </c>
      <c r="D139" t="e">
        <f>#REF!</f>
        <v>#REF!</v>
      </c>
      <c r="E139" t="str">
        <f t="shared" si="12"/>
        <v>pntOfSrvcCntxt</v>
      </c>
      <c r="F139" t="str">
        <f t="shared" si="13"/>
        <v>tmp_cllFrqnc</v>
      </c>
      <c r="G139" t="e">
        <f t="shared" si="10"/>
        <v>#REF!</v>
      </c>
      <c r="H139" t="e">
        <f t="shared" si="11"/>
        <v>#REF!</v>
      </c>
    </row>
    <row r="140" spans="1:8">
      <c r="A140" t="str">
        <f>DICO_Export!D140</f>
        <v>pointOfServiceContext</v>
      </c>
      <c r="B140" t="str">
        <f>DICO_Export!E140</f>
        <v>temp_callLocalTimeStart</v>
      </c>
      <c r="C140" t="e">
        <f>#REF!</f>
        <v>#REF!</v>
      </c>
      <c r="D140" t="e">
        <f>#REF!</f>
        <v>#REF!</v>
      </c>
      <c r="E140" t="str">
        <f t="shared" si="12"/>
        <v>pntOfSrvcCntxt</v>
      </c>
      <c r="F140" t="str">
        <f t="shared" si="13"/>
        <v>tmp_cllLclTmStrt</v>
      </c>
      <c r="G140" t="e">
        <f t="shared" si="10"/>
        <v>#REF!</v>
      </c>
      <c r="H140" t="e">
        <f t="shared" si="11"/>
        <v>#REF!</v>
      </c>
    </row>
    <row r="141" spans="1:8">
      <c r="A141" t="str">
        <f>DICO_Export!D141</f>
        <v>pointOfServiceContext</v>
      </c>
      <c r="B141" t="str">
        <f>DICO_Export!E141</f>
        <v>temp_cardAcceptorRAMmemorycapacity</v>
      </c>
      <c r="C141" t="e">
        <f>#REF!</f>
        <v>#REF!</v>
      </c>
      <c r="D141" t="e">
        <f>#REF!</f>
        <v>#REF!</v>
      </c>
      <c r="E141" t="str">
        <f t="shared" si="12"/>
        <v>pntOfSrvcCntxt</v>
      </c>
      <c r="F141" t="str">
        <f t="shared" si="13"/>
        <v>tmp_crdAccptrRAMmmrcpct</v>
      </c>
      <c r="G141" t="e">
        <f t="shared" si="10"/>
        <v>#REF!</v>
      </c>
      <c r="H141" t="e">
        <f t="shared" si="11"/>
        <v>#REF!</v>
      </c>
    </row>
    <row r="142" spans="1:8">
      <c r="A142" t="str">
        <f>DICO_Export!D142</f>
        <v>pointOfServiceContext</v>
      </c>
      <c r="B142" t="str">
        <f>DICO_Export!E142</f>
        <v>temp_cardAcceptorRemainingFlshStorageCapacity</v>
      </c>
      <c r="C142" t="e">
        <f>#REF!</f>
        <v>#REF!</v>
      </c>
      <c r="D142" t="e">
        <f>#REF!</f>
        <v>#REF!</v>
      </c>
      <c r="E142" t="str">
        <f t="shared" si="12"/>
        <v>pntOfSrvcCntxt</v>
      </c>
      <c r="F142" t="str">
        <f t="shared" si="13"/>
        <v>tmp_crdAccptrRmnngFlshStrgCpct</v>
      </c>
      <c r="G142" t="e">
        <f t="shared" si="10"/>
        <v>#REF!</v>
      </c>
      <c r="H142" t="e">
        <f t="shared" si="11"/>
        <v>#REF!</v>
      </c>
    </row>
    <row r="143" spans="1:8">
      <c r="A143" t="str">
        <f>DICO_Export!D143</f>
        <v>pointOfServiceContext</v>
      </c>
      <c r="B143" t="str">
        <f>DICO_Export!E143</f>
        <v>temp_cardAcceptorRemainingRAMStorageCapacity</v>
      </c>
      <c r="C143" t="e">
        <f>#REF!</f>
        <v>#REF!</v>
      </c>
      <c r="D143" t="e">
        <f>#REF!</f>
        <v>#REF!</v>
      </c>
      <c r="E143" t="str">
        <f t="shared" si="12"/>
        <v>pntOfSrvcCntxt</v>
      </c>
      <c r="F143" t="str">
        <f t="shared" si="13"/>
        <v>tmp_crdAccptrRmnngRAMStrgCpct</v>
      </c>
      <c r="G143" t="e">
        <f t="shared" si="10"/>
        <v>#REF!</v>
      </c>
      <c r="H143" t="e">
        <f t="shared" si="11"/>
        <v>#REF!</v>
      </c>
    </row>
    <row r="144" spans="1:8">
      <c r="A144" t="str">
        <f>DICO_Export!D144</f>
        <v>pointOfServiceContext</v>
      </c>
      <c r="B144" t="str">
        <f>DICO_Export!E144</f>
        <v>temp_couplerSpecificationsVersionNumber</v>
      </c>
      <c r="C144" t="e">
        <f>#REF!</f>
        <v>#REF!</v>
      </c>
      <c r="D144" t="e">
        <f>#REF!</f>
        <v>#REF!</v>
      </c>
      <c r="E144" t="str">
        <f t="shared" si="12"/>
        <v>pntOfSrvcCntxt</v>
      </c>
      <c r="F144" t="str">
        <f t="shared" si="13"/>
        <v>tmp_cplrSpcfctnsVrsnNmbr</v>
      </c>
      <c r="G144" t="e">
        <f t="shared" si="10"/>
        <v>#REF!</v>
      </c>
      <c r="H144" t="e">
        <f t="shared" si="11"/>
        <v>#REF!</v>
      </c>
    </row>
    <row r="145" spans="1:8">
      <c r="A145" t="str">
        <f>DICO_Export!D145</f>
        <v>pointOfServiceContext</v>
      </c>
      <c r="B145" t="str">
        <f>DICO_Export!E145</f>
        <v>temp_dataCategory</v>
      </c>
      <c r="C145" t="e">
        <f>#REF!</f>
        <v>#REF!</v>
      </c>
      <c r="D145" t="e">
        <f>#REF!</f>
        <v>#REF!</v>
      </c>
      <c r="E145" t="str">
        <f t="shared" si="12"/>
        <v>pntOfSrvcCntxt</v>
      </c>
      <c r="F145" t="str">
        <f t="shared" si="13"/>
        <v>tmp_dtCtgr</v>
      </c>
      <c r="G145" t="e">
        <f t="shared" si="10"/>
        <v>#REF!</v>
      </c>
      <c r="H145" t="e">
        <f t="shared" si="11"/>
        <v>#REF!</v>
      </c>
    </row>
    <row r="146" spans="1:8">
      <c r="A146" t="str">
        <f>DICO_Export!D146</f>
        <v>pointOfServiceContext</v>
      </c>
      <c r="B146" t="str">
        <f>DICO_Export!E146</f>
        <v>temp_functionActivationCodes</v>
      </c>
      <c r="C146" t="e">
        <f>#REF!</f>
        <v>#REF!</v>
      </c>
      <c r="D146" t="e">
        <f>#REF!</f>
        <v>#REF!</v>
      </c>
      <c r="E146" t="str">
        <f t="shared" si="12"/>
        <v>pntOfSrvcCntxt</v>
      </c>
      <c r="F146" t="str">
        <f t="shared" si="13"/>
        <v>tmp_fnctnActvtnCds</v>
      </c>
      <c r="G146" t="e">
        <f t="shared" si="10"/>
        <v>#REF!</v>
      </c>
      <c r="H146" t="e">
        <f t="shared" si="11"/>
        <v>#REF!</v>
      </c>
    </row>
    <row r="147" spans="1:8">
      <c r="A147" t="str">
        <f>DICO_Export!D147</f>
        <v>pointOfServiceContext</v>
      </c>
      <c r="B147" t="str">
        <f>DICO_Export!E147</f>
        <v>temp_hardwareCouplerVersionNumber</v>
      </c>
      <c r="C147" t="e">
        <f>#REF!</f>
        <v>#REF!</v>
      </c>
      <c r="D147" t="e">
        <f>#REF!</f>
        <v>#REF!</v>
      </c>
      <c r="E147" t="str">
        <f t="shared" si="12"/>
        <v>pntOfSrvcCntxt</v>
      </c>
      <c r="F147" t="str">
        <f t="shared" si="13"/>
        <v>tmp_hrdwrCplrVrsnNmbr</v>
      </c>
      <c r="G147" t="e">
        <f t="shared" si="10"/>
        <v>#REF!</v>
      </c>
      <c r="H147" t="e">
        <f t="shared" si="11"/>
        <v>#REF!</v>
      </c>
    </row>
    <row r="148" spans="1:8">
      <c r="A148" t="str">
        <f>DICO_Export!D148</f>
        <v>pointOfServiceContext</v>
      </c>
      <c r="B148" t="str">
        <f>DICO_Export!E148</f>
        <v>temp_identifier</v>
      </c>
      <c r="C148" t="e">
        <f>#REF!</f>
        <v>#REF!</v>
      </c>
      <c r="D148" t="e">
        <f>#REF!</f>
        <v>#REF!</v>
      </c>
      <c r="E148" t="str">
        <f t="shared" si="12"/>
        <v>pntOfSrvcCntxt</v>
      </c>
      <c r="F148" t="str">
        <f t="shared" si="13"/>
        <v>tmp_dntfr</v>
      </c>
      <c r="G148" t="e">
        <f t="shared" si="10"/>
        <v>#REF!</v>
      </c>
      <c r="H148" t="e">
        <f t="shared" si="11"/>
        <v>#REF!</v>
      </c>
    </row>
    <row r="149" spans="1:8">
      <c r="A149" t="str">
        <f>DICO_Export!D149</f>
        <v>pointOfServiceContext</v>
      </c>
      <c r="B149" t="str">
        <f>DICO_Export!E149</f>
        <v>temp_identifierLength</v>
      </c>
      <c r="C149" t="e">
        <f>#REF!</f>
        <v>#REF!</v>
      </c>
      <c r="D149" t="e">
        <f>#REF!</f>
        <v>#REF!</v>
      </c>
      <c r="E149" t="str">
        <f t="shared" si="12"/>
        <v>pntOfSrvcCntxt</v>
      </c>
      <c r="F149" t="str">
        <f t="shared" si="13"/>
        <v>tmp_dntfrLngth</v>
      </c>
      <c r="G149" t="e">
        <f t="shared" si="10"/>
        <v>#REF!</v>
      </c>
      <c r="H149" t="e">
        <f t="shared" si="11"/>
        <v>#REF!</v>
      </c>
    </row>
    <row r="150" spans="1:8">
      <c r="A150" t="str">
        <f>DICO_Export!D150</f>
        <v>pointOfServiceContext</v>
      </c>
      <c r="B150" t="str">
        <f>DICO_Export!E150</f>
        <v>temp_kernelEditorCode</v>
      </c>
      <c r="C150" t="e">
        <f>#REF!</f>
        <v>#REF!</v>
      </c>
      <c r="D150" t="e">
        <f>#REF!</f>
        <v>#REF!</v>
      </c>
      <c r="E150" t="str">
        <f t="shared" si="12"/>
        <v>pntOfSrvcCntxt</v>
      </c>
      <c r="F150" t="str">
        <f t="shared" si="13"/>
        <v>tmp_krnlEdtrCd</v>
      </c>
      <c r="G150" t="e">
        <f t="shared" si="10"/>
        <v>#REF!</v>
      </c>
      <c r="H150" t="e">
        <f t="shared" si="11"/>
        <v>#REF!</v>
      </c>
    </row>
    <row r="151" spans="1:8">
      <c r="A151" t="str">
        <f>DICO_Export!D151</f>
        <v>pointOfServiceContext</v>
      </c>
      <c r="B151" t="str">
        <f>DICO_Export!E151</f>
        <v>temp_kernelSoftwareVersionReference</v>
      </c>
      <c r="C151" t="e">
        <f>#REF!</f>
        <v>#REF!</v>
      </c>
      <c r="D151" t="e">
        <f>#REF!</f>
        <v>#REF!</v>
      </c>
      <c r="E151" t="str">
        <f t="shared" si="12"/>
        <v>pntOfSrvcCntxt</v>
      </c>
      <c r="F151" t="str">
        <f t="shared" si="13"/>
        <v>tmp_krnlSftwrVrsnRfrnc</v>
      </c>
      <c r="G151" t="e">
        <f t="shared" si="10"/>
        <v>#REF!</v>
      </c>
      <c r="H151" t="e">
        <f t="shared" si="11"/>
        <v>#REF!</v>
      </c>
    </row>
    <row r="152" spans="1:8">
      <c r="A152" t="str">
        <f>DICO_Export!D152</f>
        <v>pointOfServiceContext</v>
      </c>
      <c r="B152" t="str">
        <f>DICO_Export!E152</f>
        <v>temp_lengthOfDataElementToFollow</v>
      </c>
      <c r="C152" t="e">
        <f>#REF!</f>
        <v>#REF!</v>
      </c>
      <c r="D152" t="e">
        <f>#REF!</f>
        <v>#REF!</v>
      </c>
      <c r="E152" t="str">
        <f t="shared" si="12"/>
        <v>pntOfSrvcCntxt</v>
      </c>
      <c r="F152" t="str">
        <f t="shared" si="13"/>
        <v>tmp_lngthOfDtElmntTFllw</v>
      </c>
      <c r="G152" t="e">
        <f t="shared" si="10"/>
        <v>#REF!</v>
      </c>
      <c r="H152" t="e">
        <f t="shared" si="11"/>
        <v>#REF!</v>
      </c>
    </row>
    <row r="153" spans="1:8">
      <c r="A153" t="str">
        <f>DICO_Export!D153</f>
        <v>pointOfServiceContext</v>
      </c>
      <c r="B153" t="str">
        <f>DICO_Export!E153</f>
        <v>temp_localDateAutomaticCall</v>
      </c>
      <c r="C153" t="e">
        <f>#REF!</f>
        <v>#REF!</v>
      </c>
      <c r="D153" t="e">
        <f>#REF!</f>
        <v>#REF!</v>
      </c>
      <c r="E153" t="str">
        <f t="shared" si="12"/>
        <v>pntOfSrvcCntxt</v>
      </c>
      <c r="F153" t="str">
        <f t="shared" si="13"/>
        <v>tmp_lclDtAtmtcCll</v>
      </c>
      <c r="G153" t="e">
        <f t="shared" si="10"/>
        <v>#REF!</v>
      </c>
      <c r="H153" t="e">
        <f t="shared" si="11"/>
        <v>#REF!</v>
      </c>
    </row>
    <row r="154" spans="1:8">
      <c r="A154" t="str">
        <f>DICO_Export!D154</f>
        <v>pointOfServiceContext</v>
      </c>
      <c r="B154" t="str">
        <f>DICO_Export!E154</f>
        <v>temp_localTimeAutomaticCall</v>
      </c>
      <c r="C154" t="e">
        <f>#REF!</f>
        <v>#REF!</v>
      </c>
      <c r="D154" t="e">
        <f>#REF!</f>
        <v>#REF!</v>
      </c>
      <c r="E154" t="str">
        <f t="shared" si="12"/>
        <v>pntOfSrvcCntxt</v>
      </c>
      <c r="F154" t="str">
        <f t="shared" si="13"/>
        <v>tmp_lclTmAtmtcCll</v>
      </c>
      <c r="G154" t="e">
        <f t="shared" si="10"/>
        <v>#REF!</v>
      </c>
      <c r="H154" t="e">
        <f t="shared" si="11"/>
        <v>#REF!</v>
      </c>
    </row>
    <row r="155" spans="1:8">
      <c r="A155" t="str">
        <f>DICO_Export!D155</f>
        <v>pointOfServiceContext</v>
      </c>
      <c r="B155" t="str">
        <f>DICO_Export!E155</f>
        <v>temp_localTimeEnd</v>
      </c>
      <c r="C155" t="e">
        <f>#REF!</f>
        <v>#REF!</v>
      </c>
      <c r="D155" t="e">
        <f>#REF!</f>
        <v>#REF!</v>
      </c>
      <c r="E155" t="str">
        <f t="shared" si="12"/>
        <v>pntOfSrvcCntxt</v>
      </c>
      <c r="F155" t="str">
        <f t="shared" si="13"/>
        <v>tmp_lclTmEnd</v>
      </c>
      <c r="G155" t="e">
        <f t="shared" si="10"/>
        <v>#REF!</v>
      </c>
      <c r="H155" t="e">
        <f t="shared" si="11"/>
        <v>#REF!</v>
      </c>
    </row>
    <row r="156" spans="1:8">
      <c r="A156" t="str">
        <f>DICO_Export!D156</f>
        <v>pointOfServiceContext</v>
      </c>
      <c r="B156" t="str">
        <f>DICO_Export!E156</f>
        <v>temp_magstripeReaderNumber</v>
      </c>
      <c r="C156" t="e">
        <f>#REF!</f>
        <v>#REF!</v>
      </c>
      <c r="D156" t="e">
        <f>#REF!</f>
        <v>#REF!</v>
      </c>
      <c r="E156" t="str">
        <f t="shared" si="12"/>
        <v>pntOfSrvcCntxt</v>
      </c>
      <c r="F156" t="str">
        <f t="shared" si="13"/>
        <v>tmp_mgstrpRdrNmbr</v>
      </c>
      <c r="G156" t="e">
        <f t="shared" si="10"/>
        <v>#REF!</v>
      </c>
      <c r="H156" t="e">
        <f t="shared" si="11"/>
        <v>#REF!</v>
      </c>
    </row>
    <row r="157" spans="1:8">
      <c r="A157" t="str">
        <f>DICO_Export!D157</f>
        <v>pointOfServiceContext</v>
      </c>
      <c r="B157" t="str">
        <f>DICO_Export!E157</f>
        <v>temp_maximumAcceptedCardLifeDuration</v>
      </c>
      <c r="C157" t="e">
        <f>#REF!</f>
        <v>#REF!</v>
      </c>
      <c r="D157" t="e">
        <f>#REF!</f>
        <v>#REF!</v>
      </c>
      <c r="E157" t="str">
        <f t="shared" si="12"/>
        <v>pntOfSrvcCntxt</v>
      </c>
      <c r="F157" t="str">
        <f t="shared" si="13"/>
        <v>tmp_mxmmAccptdCrdLfDrtn</v>
      </c>
      <c r="G157" t="e">
        <f t="shared" si="10"/>
        <v>#REF!</v>
      </c>
      <c r="H157" t="e">
        <f t="shared" si="11"/>
        <v>#REF!</v>
      </c>
    </row>
    <row r="158" spans="1:8">
      <c r="A158" t="str">
        <f>DICO_Export!D158</f>
        <v>pointOfServiceContext</v>
      </c>
      <c r="B158" t="str">
        <f>DICO_Export!E158</f>
        <v>temp_maximumNumberOfCallTests</v>
      </c>
      <c r="C158" t="e">
        <f>#REF!</f>
        <v>#REF!</v>
      </c>
      <c r="D158" t="e">
        <f>#REF!</f>
        <v>#REF!</v>
      </c>
      <c r="E158" t="str">
        <f t="shared" si="12"/>
        <v>pntOfSrvcCntxt</v>
      </c>
      <c r="F158" t="str">
        <f t="shared" si="13"/>
        <v>tmp_mxmmNmbrOfCllTsts</v>
      </c>
      <c r="G158" t="e">
        <f t="shared" si="10"/>
        <v>#REF!</v>
      </c>
      <c r="H158" t="e">
        <f t="shared" si="11"/>
        <v>#REF!</v>
      </c>
    </row>
    <row r="159" spans="1:8">
      <c r="A159" t="str">
        <f>DICO_Export!D159</f>
        <v>pointOfServiceContext</v>
      </c>
      <c r="B159" t="str">
        <f>DICO_Export!E159</f>
        <v>temp_maximumNumberOfMessagesPerMinute</v>
      </c>
      <c r="C159" t="e">
        <f>#REF!</f>
        <v>#REF!</v>
      </c>
      <c r="D159" t="e">
        <f>#REF!</f>
        <v>#REF!</v>
      </c>
      <c r="E159" t="str">
        <f t="shared" si="12"/>
        <v>pntOfSrvcCntxt</v>
      </c>
      <c r="F159" t="str">
        <f t="shared" si="13"/>
        <v>tmp_mxmmNmbrOfMssgsPrMnt</v>
      </c>
      <c r="G159" t="e">
        <f t="shared" si="10"/>
        <v>#REF!</v>
      </c>
      <c r="H159" t="e">
        <f t="shared" si="11"/>
        <v>#REF!</v>
      </c>
    </row>
    <row r="160" spans="1:8">
      <c r="A160" t="str">
        <f>DICO_Export!D160</f>
        <v>pointOfServiceContext</v>
      </c>
      <c r="B160" t="str">
        <f>DICO_Export!E160</f>
        <v>temp_maximumNumberOfRetries</v>
      </c>
      <c r="C160" t="e">
        <f>#REF!</f>
        <v>#REF!</v>
      </c>
      <c r="D160" t="e">
        <f>#REF!</f>
        <v>#REF!</v>
      </c>
      <c r="E160" t="str">
        <f t="shared" si="12"/>
        <v>pntOfSrvcCntxt</v>
      </c>
      <c r="F160" t="str">
        <f t="shared" si="13"/>
        <v>tmp_mxmmNmbrOfRtrs</v>
      </c>
      <c r="G160" t="e">
        <f t="shared" si="10"/>
        <v>#REF!</v>
      </c>
      <c r="H160" t="e">
        <f t="shared" si="11"/>
        <v>#REF!</v>
      </c>
    </row>
    <row r="161" spans="1:8">
      <c r="A161" t="str">
        <f>DICO_Export!D161</f>
        <v>pointOfServiceContext</v>
      </c>
      <c r="B161" t="str">
        <f>DICO_Export!E161</f>
        <v>temp_memoryCardReaderNumber</v>
      </c>
      <c r="C161" t="e">
        <f>#REF!</f>
        <v>#REF!</v>
      </c>
      <c r="D161" t="e">
        <f>#REF!</f>
        <v>#REF!</v>
      </c>
      <c r="E161" t="str">
        <f t="shared" si="12"/>
        <v>pntOfSrvcCntxt</v>
      </c>
      <c r="F161" t="str">
        <f t="shared" si="13"/>
        <v>tmp_mmrCrdRdrNmbr</v>
      </c>
      <c r="G161" t="e">
        <f t="shared" si="10"/>
        <v>#REF!</v>
      </c>
      <c r="H161" t="e">
        <f t="shared" si="11"/>
        <v>#REF!</v>
      </c>
    </row>
    <row r="162" spans="1:8">
      <c r="A162" t="str">
        <f>DICO_Export!D162</f>
        <v>pointOfServiceContext</v>
      </c>
      <c r="B162" t="str">
        <f>DICO_Export!E162</f>
        <v>temp_numberOfSimultaneousConnections</v>
      </c>
      <c r="C162" t="e">
        <f>#REF!</f>
        <v>#REF!</v>
      </c>
      <c r="D162" t="e">
        <f>#REF!</f>
        <v>#REF!</v>
      </c>
      <c r="E162" t="str">
        <f t="shared" si="12"/>
        <v>pntOfSrvcCntxt</v>
      </c>
      <c r="F162" t="str">
        <f t="shared" si="13"/>
        <v>tmp_nmbrOfSmltnsCnnctns</v>
      </c>
      <c r="G162" t="e">
        <f t="shared" si="10"/>
        <v>#REF!</v>
      </c>
      <c r="H162" t="e">
        <f t="shared" si="11"/>
        <v>#REF!</v>
      </c>
    </row>
    <row r="163" spans="1:8">
      <c r="A163" t="str">
        <f>DICO_Export!D163</f>
        <v>pointOfServiceContext</v>
      </c>
      <c r="B163" t="str">
        <f>DICO_Export!E163</f>
        <v>temp_numericCurrencyCode</v>
      </c>
      <c r="C163" t="e">
        <f>#REF!</f>
        <v>#REF!</v>
      </c>
      <c r="D163" t="e">
        <f>#REF!</f>
        <v>#REF!</v>
      </c>
      <c r="E163" t="str">
        <f t="shared" si="12"/>
        <v>pntOfSrvcCntxt</v>
      </c>
      <c r="F163" t="str">
        <f t="shared" si="13"/>
        <v>tmp_nmrcCrrncCd</v>
      </c>
      <c r="G163" t="e">
        <f t="shared" si="10"/>
        <v>#REF!</v>
      </c>
      <c r="H163" t="e">
        <f t="shared" si="11"/>
        <v>#REF!</v>
      </c>
    </row>
    <row r="164" spans="1:8">
      <c r="A164" t="str">
        <f>DICO_Export!D164</f>
        <v>pointOfServiceContext</v>
      </c>
      <c r="B164" t="str">
        <f>DICO_Export!E164</f>
        <v>temp_operatingMode</v>
      </c>
      <c r="C164" t="e">
        <f>#REF!</f>
        <v>#REF!</v>
      </c>
      <c r="D164" t="e">
        <f>#REF!</f>
        <v>#REF!</v>
      </c>
      <c r="E164" t="str">
        <f t="shared" si="12"/>
        <v>pntOfSrvcCntxt</v>
      </c>
      <c r="F164" t="str">
        <f t="shared" si="13"/>
        <v>tmp_prtngMd</v>
      </c>
      <c r="G164" t="e">
        <f t="shared" si="10"/>
        <v>#REF!</v>
      </c>
      <c r="H164" t="e">
        <f t="shared" si="11"/>
        <v>#REF!</v>
      </c>
    </row>
    <row r="165" spans="1:8">
      <c r="A165" t="str">
        <f>DICO_Export!D165</f>
        <v>pointOfServiceContext</v>
      </c>
      <c r="B165" t="str">
        <f>DICO_Export!E165</f>
        <v>temp_ParametersAcquirerTelecommunicationCategory</v>
      </c>
      <c r="C165" t="e">
        <f>#REF!</f>
        <v>#REF!</v>
      </c>
      <c r="D165" t="e">
        <f>#REF!</f>
        <v>#REF!</v>
      </c>
      <c r="E165" t="str">
        <f t="shared" si="12"/>
        <v>pntOfSrvcCntxt</v>
      </c>
      <c r="F165" t="str">
        <f t="shared" si="13"/>
        <v>tmp_PrmtrsAcqrrTlcmmnctnCtgr</v>
      </c>
      <c r="G165" t="e">
        <f t="shared" si="10"/>
        <v>#REF!</v>
      </c>
      <c r="H165" t="e">
        <f t="shared" si="11"/>
        <v>#REF!</v>
      </c>
    </row>
    <row r="166" spans="1:8">
      <c r="A166" t="str">
        <f>DICO_Export!D166</f>
        <v>pointOfServiceContext</v>
      </c>
      <c r="B166" t="str">
        <f>DICO_Export!E166</f>
        <v>temp_poiFlashMemoryCapacity</v>
      </c>
      <c r="C166" t="e">
        <f>#REF!</f>
        <v>#REF!</v>
      </c>
      <c r="D166" t="e">
        <f>#REF!</f>
        <v>#REF!</v>
      </c>
      <c r="E166" t="str">
        <f t="shared" si="12"/>
        <v>pntOfSrvcCntxt</v>
      </c>
      <c r="F166" t="str">
        <f t="shared" si="13"/>
        <v>tmp_pFlshMmrCpct</v>
      </c>
      <c r="G166" t="e">
        <f t="shared" si="10"/>
        <v>#REF!</v>
      </c>
      <c r="H166" t="e">
        <f t="shared" si="11"/>
        <v>#REF!</v>
      </c>
    </row>
    <row r="167" spans="1:8">
      <c r="A167" t="str">
        <f>DICO_Export!D167</f>
        <v>pointOfServiceContext</v>
      </c>
      <c r="B167" t="str">
        <f>DICO_Export!E167</f>
        <v>temp_pOISerialNumber</v>
      </c>
      <c r="C167" t="e">
        <f>#REF!</f>
        <v>#REF!</v>
      </c>
      <c r="D167" t="e">
        <f>#REF!</f>
        <v>#REF!</v>
      </c>
      <c r="E167" t="str">
        <f t="shared" si="12"/>
        <v>pntOfSrvcCntxt</v>
      </c>
      <c r="F167" t="str">
        <f t="shared" si="13"/>
        <v>tmp_pOISrlNmbr</v>
      </c>
      <c r="G167" t="e">
        <f t="shared" si="10"/>
        <v>#REF!</v>
      </c>
      <c r="H167" t="e">
        <f t="shared" si="11"/>
        <v>#REF!</v>
      </c>
    </row>
    <row r="168" spans="1:8">
      <c r="A168" t="str">
        <f>DICO_Export!D168</f>
        <v>pointOfServiceContext</v>
      </c>
      <c r="B168" t="str">
        <f>DICO_Export!E168</f>
        <v>temp_pOSActivity</v>
      </c>
      <c r="C168" t="e">
        <f>#REF!</f>
        <v>#REF!</v>
      </c>
      <c r="D168" t="e">
        <f>#REF!</f>
        <v>#REF!</v>
      </c>
      <c r="E168" t="str">
        <f t="shared" si="12"/>
        <v>pntOfSrvcCntxt</v>
      </c>
      <c r="F168" t="str">
        <f t="shared" si="13"/>
        <v>tmp_pOSActvt</v>
      </c>
      <c r="G168" t="e">
        <f t="shared" si="10"/>
        <v>#REF!</v>
      </c>
      <c r="H168" t="e">
        <f t="shared" si="11"/>
        <v>#REF!</v>
      </c>
    </row>
    <row r="169" spans="1:8">
      <c r="A169" t="str">
        <f>DICO_Export!D169</f>
        <v>pointOfServiceContext</v>
      </c>
      <c r="B169" t="str">
        <f>DICO_Export!E169</f>
        <v>temp_processingIndicator</v>
      </c>
      <c r="C169" t="e">
        <f>#REF!</f>
        <v>#REF!</v>
      </c>
      <c r="D169" t="e">
        <f>#REF!</f>
        <v>#REF!</v>
      </c>
      <c r="E169" t="str">
        <f t="shared" si="12"/>
        <v>pntOfSrvcCntxt</v>
      </c>
      <c r="F169" t="str">
        <f t="shared" si="13"/>
        <v>tmp_prcssngIndctr</v>
      </c>
      <c r="G169" t="e">
        <f t="shared" si="10"/>
        <v>#REF!</v>
      </c>
      <c r="H169" t="e">
        <f t="shared" si="11"/>
        <v>#REF!</v>
      </c>
    </row>
    <row r="170" spans="1:8">
      <c r="A170" t="str">
        <f>DICO_Export!D170</f>
        <v>pointOfServiceContext</v>
      </c>
      <c r="B170" t="str">
        <f>DICO_Export!E170</f>
        <v>temp_receiptCategory</v>
      </c>
      <c r="C170" t="e">
        <f>#REF!</f>
        <v>#REF!</v>
      </c>
      <c r="D170" t="e">
        <f>#REF!</f>
        <v>#REF!</v>
      </c>
      <c r="E170" t="str">
        <f t="shared" si="12"/>
        <v>pntOfSrvcCntxt</v>
      </c>
      <c r="F170" t="str">
        <f t="shared" si="13"/>
        <v>tmp_rcptCtgr</v>
      </c>
      <c r="G170" t="e">
        <f t="shared" si="10"/>
        <v>#REF!</v>
      </c>
      <c r="H170" t="e">
        <f t="shared" si="11"/>
        <v>#REF!</v>
      </c>
    </row>
    <row r="171" spans="1:8">
      <c r="A171" t="str">
        <f>DICO_Export!D171</f>
        <v>pointOfServiceContext</v>
      </c>
      <c r="B171" t="str">
        <f>DICO_Export!E171</f>
        <v>temp_receiptPrintingMode</v>
      </c>
      <c r="C171" t="e">
        <f>#REF!</f>
        <v>#REF!</v>
      </c>
      <c r="D171" t="e">
        <f>#REF!</f>
        <v>#REF!</v>
      </c>
      <c r="E171" t="str">
        <f t="shared" si="12"/>
        <v>pntOfSrvcCntxt</v>
      </c>
      <c r="F171" t="str">
        <f t="shared" si="13"/>
        <v>tmp_rcptPrntngMd</v>
      </c>
      <c r="G171" t="e">
        <f t="shared" si="10"/>
        <v>#REF!</v>
      </c>
      <c r="H171" t="e">
        <f t="shared" si="11"/>
        <v>#REF!</v>
      </c>
    </row>
    <row r="172" spans="1:8">
      <c r="A172" t="str">
        <f>DICO_Export!D172</f>
        <v>pointOfServiceContext</v>
      </c>
      <c r="B172" t="str">
        <f>DICO_Export!E172</f>
        <v>temp_recurrentCallEndDate</v>
      </c>
      <c r="C172" t="e">
        <f>#REF!</f>
        <v>#REF!</v>
      </c>
      <c r="D172" t="e">
        <f>#REF!</f>
        <v>#REF!</v>
      </c>
      <c r="E172" t="str">
        <f t="shared" si="12"/>
        <v>pntOfSrvcCntxt</v>
      </c>
      <c r="F172" t="str">
        <f t="shared" si="13"/>
        <v>tmp_rcrrntCllEndDt</v>
      </c>
      <c r="G172" t="e">
        <f t="shared" si="10"/>
        <v>#REF!</v>
      </c>
      <c r="H172" t="e">
        <f t="shared" si="11"/>
        <v>#REF!</v>
      </c>
    </row>
    <row r="173" spans="1:8">
      <c r="A173" t="str">
        <f>DICO_Export!D173</f>
        <v>pointOfServiceContext</v>
      </c>
      <c r="B173" t="str">
        <f>DICO_Export!E173</f>
        <v>temp_recurrentCallIndicator</v>
      </c>
      <c r="C173" t="e">
        <f>#REF!</f>
        <v>#REF!</v>
      </c>
      <c r="D173" t="e">
        <f>#REF!</f>
        <v>#REF!</v>
      </c>
      <c r="E173" t="str">
        <f t="shared" si="12"/>
        <v>pntOfSrvcCntxt</v>
      </c>
      <c r="F173" t="str">
        <f t="shared" si="13"/>
        <v>tmp_rcrrntCllIndctr</v>
      </c>
      <c r="G173" t="e">
        <f t="shared" si="10"/>
        <v>#REF!</v>
      </c>
      <c r="H173" t="e">
        <f t="shared" si="11"/>
        <v>#REF!</v>
      </c>
    </row>
    <row r="174" spans="1:8">
      <c r="A174" t="str">
        <f>DICO_Export!D174</f>
        <v>pointOfServiceContext</v>
      </c>
      <c r="B174" t="str">
        <f>DICO_Export!E174</f>
        <v>temp_regionIndicator</v>
      </c>
      <c r="C174" t="e">
        <f>#REF!</f>
        <v>#REF!</v>
      </c>
      <c r="D174" t="e">
        <f>#REF!</f>
        <v>#REF!</v>
      </c>
      <c r="E174" t="str">
        <f t="shared" si="12"/>
        <v>pntOfSrvcCntxt</v>
      </c>
      <c r="F174" t="str">
        <f t="shared" si="13"/>
        <v>tmp_rgnIndctr</v>
      </c>
      <c r="G174" t="e">
        <f t="shared" si="10"/>
        <v>#REF!</v>
      </c>
      <c r="H174" t="e">
        <f t="shared" si="11"/>
        <v>#REF!</v>
      </c>
    </row>
    <row r="175" spans="1:8">
      <c r="A175" t="str">
        <f>DICO_Export!D175</f>
        <v>pointOfServiceContext</v>
      </c>
      <c r="B175" t="str">
        <f>DICO_Export!E175</f>
        <v>temp_serviceName</v>
      </c>
      <c r="C175" t="e">
        <f>#REF!</f>
        <v>#REF!</v>
      </c>
      <c r="D175" t="e">
        <f>#REF!</f>
        <v>#REF!</v>
      </c>
      <c r="E175" t="str">
        <f t="shared" si="12"/>
        <v>pntOfSrvcCntxt</v>
      </c>
      <c r="F175" t="str">
        <f t="shared" si="13"/>
        <v>tmp_srvcNm</v>
      </c>
      <c r="G175" t="e">
        <f t="shared" si="10"/>
        <v>#REF!</v>
      </c>
      <c r="H175" t="e">
        <f t="shared" si="11"/>
        <v>#REF!</v>
      </c>
    </row>
    <row r="176" spans="1:8">
      <c r="A176" t="str">
        <f>DICO_Export!D176</f>
        <v>pointOfServiceContext</v>
      </c>
      <c r="B176" t="str">
        <f>DICO_Export!E176</f>
        <v>temp_softwareCouplerVersionNumber</v>
      </c>
      <c r="C176" t="e">
        <f>#REF!</f>
        <v>#REF!</v>
      </c>
      <c r="D176" t="e">
        <f>#REF!</f>
        <v>#REF!</v>
      </c>
      <c r="E176" t="str">
        <f t="shared" si="12"/>
        <v>pntOfSrvcCntxt</v>
      </c>
      <c r="F176" t="str">
        <f t="shared" si="13"/>
        <v>tmp_sftwrCplrVrsnNmbr</v>
      </c>
      <c r="G176" t="e">
        <f t="shared" si="10"/>
        <v>#REF!</v>
      </c>
      <c r="H176" t="e">
        <f t="shared" si="11"/>
        <v>#REF!</v>
      </c>
    </row>
    <row r="177" spans="1:8">
      <c r="A177" t="str">
        <f>DICO_Export!D177</f>
        <v>pointOfServiceContext</v>
      </c>
      <c r="B177" t="str">
        <f>DICO_Export!E177</f>
        <v>temp_softwareVersionNumberOfTheResident</v>
      </c>
      <c r="C177" t="e">
        <f>#REF!</f>
        <v>#REF!</v>
      </c>
      <c r="D177" t="e">
        <f>#REF!</f>
        <v>#REF!</v>
      </c>
      <c r="E177" t="str">
        <f t="shared" si="12"/>
        <v>pntOfSrvcCntxt</v>
      </c>
      <c r="F177" t="str">
        <f t="shared" si="13"/>
        <v>tmp_sftwrVrsnNmbrOfThRsdnt</v>
      </c>
      <c r="G177" t="e">
        <f t="shared" si="10"/>
        <v>#REF!</v>
      </c>
      <c r="H177" t="e">
        <f t="shared" si="11"/>
        <v>#REF!</v>
      </c>
    </row>
    <row r="178" spans="1:8">
      <c r="A178" t="str">
        <f>DICO_Export!D178</f>
        <v>pointOfServiceContext</v>
      </c>
      <c r="B178" t="str">
        <f>DICO_Export!E178</f>
        <v>temp_supportedprotocolFunctions</v>
      </c>
      <c r="C178" t="e">
        <f>#REF!</f>
        <v>#REF!</v>
      </c>
      <c r="D178" t="e">
        <f>#REF!</f>
        <v>#REF!</v>
      </c>
      <c r="E178" t="str">
        <f t="shared" si="12"/>
        <v>pntOfSrvcCntxt</v>
      </c>
      <c r="F178" t="str">
        <f t="shared" si="13"/>
        <v>tmp_spprtdprtclFnctns</v>
      </c>
      <c r="G178" t="e">
        <f t="shared" si="10"/>
        <v>#REF!</v>
      </c>
      <c r="H178" t="e">
        <f t="shared" si="11"/>
        <v>#REF!</v>
      </c>
    </row>
    <row r="179" spans="1:8">
      <c r="A179" t="str">
        <f>DICO_Export!D179</f>
        <v>pointOfServiceContext</v>
      </c>
      <c r="B179" t="str">
        <f>DICO_Export!E179</f>
        <v>temp_switchoverModeToBackupLink</v>
      </c>
      <c r="C179" t="e">
        <f>#REF!</f>
        <v>#REF!</v>
      </c>
      <c r="D179" t="e">
        <f>#REF!</f>
        <v>#REF!</v>
      </c>
      <c r="E179" t="str">
        <f t="shared" si="12"/>
        <v>pntOfSrvcCntxt</v>
      </c>
      <c r="F179" t="str">
        <f t="shared" si="13"/>
        <v>tmp_swtchvrMdTBckpLnk</v>
      </c>
      <c r="G179" t="e">
        <f t="shared" si="10"/>
        <v>#REF!</v>
      </c>
      <c r="H179" t="e">
        <f t="shared" si="11"/>
        <v>#REF!</v>
      </c>
    </row>
    <row r="180" spans="1:8">
      <c r="A180" t="str">
        <f>DICO_Export!D180</f>
        <v>pointOfServiceContext</v>
      </c>
      <c r="B180" t="str">
        <f>DICO_Export!E180</f>
        <v>temp_tableIdentifier</v>
      </c>
      <c r="C180" t="e">
        <f>#REF!</f>
        <v>#REF!</v>
      </c>
      <c r="D180" t="e">
        <f>#REF!</f>
        <v>#REF!</v>
      </c>
      <c r="E180" t="str">
        <f t="shared" si="12"/>
        <v>pntOfSrvcCntxt</v>
      </c>
      <c r="F180" t="str">
        <f t="shared" si="13"/>
        <v>tmp_tblIdntfr</v>
      </c>
      <c r="G180" t="e">
        <f t="shared" si="10"/>
        <v>#REF!</v>
      </c>
      <c r="H180" t="e">
        <f t="shared" si="11"/>
        <v>#REF!</v>
      </c>
    </row>
    <row r="181" spans="1:8">
      <c r="A181" t="str">
        <f>DICO_Export!D181</f>
        <v>pointOfServiceContext</v>
      </c>
      <c r="B181" t="str">
        <f>DICO_Export!E181</f>
        <v>temp_tableStatusCode</v>
      </c>
      <c r="C181" t="e">
        <f>#REF!</f>
        <v>#REF!</v>
      </c>
      <c r="D181" t="e">
        <f>#REF!</f>
        <v>#REF!</v>
      </c>
      <c r="E181" t="str">
        <f t="shared" si="12"/>
        <v>pntOfSrvcCntxt</v>
      </c>
      <c r="F181" t="str">
        <f t="shared" si="13"/>
        <v>tmp_tblSttsCd</v>
      </c>
      <c r="G181" t="e">
        <f t="shared" si="10"/>
        <v>#REF!</v>
      </c>
      <c r="H181" t="e">
        <f t="shared" si="11"/>
        <v>#REF!</v>
      </c>
    </row>
    <row r="182" spans="1:8">
      <c r="A182" t="str">
        <f>DICO_Export!D182</f>
        <v>pointOfServiceContext</v>
      </c>
      <c r="B182" t="str">
        <f>DICO_Export!E182</f>
        <v>temp_tableVersionNumber</v>
      </c>
      <c r="C182" t="e">
        <f>#REF!</f>
        <v>#REF!</v>
      </c>
      <c r="D182" t="e">
        <f>#REF!</f>
        <v>#REF!</v>
      </c>
      <c r="E182" t="str">
        <f t="shared" si="12"/>
        <v>pntOfSrvcCntxt</v>
      </c>
      <c r="F182" t="str">
        <f t="shared" si="13"/>
        <v>tmp_tblVrsnNmbr</v>
      </c>
      <c r="G182" t="e">
        <f t="shared" si="10"/>
        <v>#REF!</v>
      </c>
      <c r="H182" t="e">
        <f t="shared" si="11"/>
        <v>#REF!</v>
      </c>
    </row>
    <row r="183" spans="1:8">
      <c r="A183" t="str">
        <f>DICO_Export!D183</f>
        <v>pointOfServiceContext</v>
      </c>
      <c r="B183" t="str">
        <f>DICO_Export!E183</f>
        <v>temp_technicalActivations</v>
      </c>
      <c r="C183" t="e">
        <f>#REF!</f>
        <v>#REF!</v>
      </c>
      <c r="D183" t="e">
        <f>#REF!</f>
        <v>#REF!</v>
      </c>
      <c r="E183" t="str">
        <f t="shared" si="12"/>
        <v>pntOfSrvcCntxt</v>
      </c>
      <c r="F183" t="str">
        <f t="shared" si="13"/>
        <v>tmp_tchnclActvtns</v>
      </c>
      <c r="G183" t="e">
        <f t="shared" si="10"/>
        <v>#REF!</v>
      </c>
      <c r="H183" t="e">
        <f t="shared" si="11"/>
        <v>#REF!</v>
      </c>
    </row>
    <row r="184" spans="1:8">
      <c r="A184" t="str">
        <f>DICO_Export!D184</f>
        <v>pointOfServiceContext</v>
      </c>
      <c r="B184" t="str">
        <f>DICO_Export!E184</f>
        <v>temp_telecomBillingMode</v>
      </c>
      <c r="C184" t="e">
        <f>#REF!</f>
        <v>#REF!</v>
      </c>
      <c r="D184" t="e">
        <f>#REF!</f>
        <v>#REF!</v>
      </c>
      <c r="E184" t="str">
        <f t="shared" si="12"/>
        <v>pntOfSrvcCntxt</v>
      </c>
      <c r="F184" t="str">
        <f t="shared" si="13"/>
        <v>tmp_tlcmBllngMd</v>
      </c>
      <c r="G184" t="e">
        <f t="shared" si="10"/>
        <v>#REF!</v>
      </c>
      <c r="H184" t="e">
        <f t="shared" si="11"/>
        <v>#REF!</v>
      </c>
    </row>
    <row r="185" spans="1:8">
      <c r="A185" t="str">
        <f>DICO_Export!D185</f>
        <v>pointOfServiceContext</v>
      </c>
      <c r="B185" t="str">
        <f>DICO_Export!E185</f>
        <v>temp_version</v>
      </c>
      <c r="C185" t="e">
        <f>#REF!</f>
        <v>#REF!</v>
      </c>
      <c r="D185" t="e">
        <f>#REF!</f>
        <v>#REF!</v>
      </c>
      <c r="E185" t="str">
        <f t="shared" si="12"/>
        <v>pntOfSrvcCntxt</v>
      </c>
      <c r="F185" t="str">
        <f t="shared" si="13"/>
        <v>tmp_vrsn</v>
      </c>
      <c r="G185" t="e">
        <f t="shared" si="10"/>
        <v>#REF!</v>
      </c>
      <c r="H185" t="e">
        <f t="shared" si="11"/>
        <v>#REF!</v>
      </c>
    </row>
    <row r="186" spans="1:8">
      <c r="A186" t="str">
        <f>DICO_Export!D186</f>
        <v>pointOfServiceContext</v>
      </c>
      <c r="B186" t="str">
        <f>DICO_Export!E186</f>
        <v>temp_versionCBCOM</v>
      </c>
      <c r="C186" t="e">
        <f>#REF!</f>
        <v>#REF!</v>
      </c>
      <c r="D186" t="e">
        <f>#REF!</f>
        <v>#REF!</v>
      </c>
      <c r="E186" t="str">
        <f t="shared" si="12"/>
        <v>pntOfSrvcCntxt</v>
      </c>
      <c r="F186" t="str">
        <f t="shared" si="13"/>
        <v>tmp_vrsnCBCOM</v>
      </c>
      <c r="G186" t="e">
        <f t="shared" si="10"/>
        <v>#REF!</v>
      </c>
      <c r="H186" t="e">
        <f t="shared" si="11"/>
        <v>#REF!</v>
      </c>
    </row>
    <row r="187" spans="1:8">
      <c r="A187" t="str">
        <f>DICO_Export!D187</f>
        <v>pointOfServiceContext</v>
      </c>
      <c r="B187" t="str">
        <f>DICO_Export!E187</f>
        <v>temp_waitTimeBetweenTwoCalls</v>
      </c>
      <c r="C187" t="e">
        <f>#REF!</f>
        <v>#REF!</v>
      </c>
      <c r="D187" t="e">
        <f>#REF!</f>
        <v>#REF!</v>
      </c>
      <c r="E187" t="str">
        <f t="shared" si="12"/>
        <v>pntOfSrvcCntxt</v>
      </c>
      <c r="F187" t="str">
        <f t="shared" si="13"/>
        <v>tmp_wtTmBtwnTwClls</v>
      </c>
      <c r="G187" t="e">
        <f t="shared" si="10"/>
        <v>#REF!</v>
      </c>
      <c r="H187" t="e">
        <f t="shared" si="11"/>
        <v>#REF!</v>
      </c>
    </row>
    <row r="188" spans="1:8">
      <c r="A188" t="str">
        <f>DICO_Export!D188</f>
        <v>pointOfServiceContext</v>
      </c>
      <c r="B188" t="str">
        <f>DICO_Export!E188</f>
        <v>temp_waitTimeInDays</v>
      </c>
      <c r="C188" t="e">
        <f>#REF!</f>
        <v>#REF!</v>
      </c>
      <c r="D188" t="e">
        <f>#REF!</f>
        <v>#REF!</v>
      </c>
      <c r="E188" t="str">
        <f t="shared" si="12"/>
        <v>pntOfSrvcCntxt</v>
      </c>
      <c r="F188" t="str">
        <f t="shared" si="13"/>
        <v>tmp_wtTmInDs</v>
      </c>
      <c r="G188" t="e">
        <f t="shared" si="10"/>
        <v>#REF!</v>
      </c>
      <c r="H188" t="e">
        <f t="shared" si="11"/>
        <v>#REF!</v>
      </c>
    </row>
    <row r="189" spans="1:8">
      <c r="A189" t="str">
        <f>DICO_Export!D189</f>
        <v>pointOfServiceContext</v>
      </c>
      <c r="B189" t="str">
        <f>DICO_Export!E189</f>
        <v>transactionReceiptFooter</v>
      </c>
      <c r="C189" t="e">
        <f>#REF!</f>
        <v>#REF!</v>
      </c>
      <c r="D189" t="e">
        <f>#REF!</f>
        <v>#REF!</v>
      </c>
      <c r="E189" t="str">
        <f t="shared" si="12"/>
        <v>pntOfSrvcCntxt</v>
      </c>
      <c r="F189" t="str">
        <f t="shared" si="13"/>
        <v>trnsctnRcptFtr</v>
      </c>
      <c r="G189" t="e">
        <f t="shared" si="10"/>
        <v>#REF!</v>
      </c>
      <c r="H189" t="e">
        <f t="shared" si="11"/>
        <v>#REF!</v>
      </c>
    </row>
    <row r="190" spans="1:8">
      <c r="A190" t="str">
        <f>DICO_Export!D190</f>
        <v>pointOfServiceContext</v>
      </c>
      <c r="B190" t="str">
        <f>DICO_Export!E190</f>
        <v>transactionReceiptHeader</v>
      </c>
      <c r="C190" t="e">
        <f>#REF!</f>
        <v>#REF!</v>
      </c>
      <c r="D190" t="e">
        <f>#REF!</f>
        <v>#REF!</v>
      </c>
      <c r="E190" t="str">
        <f t="shared" si="12"/>
        <v>pntOfSrvcCntxt</v>
      </c>
      <c r="F190" t="str">
        <f t="shared" si="13"/>
        <v>trnsctnRcptHdr</v>
      </c>
      <c r="G190" t="e">
        <f t="shared" si="10"/>
        <v>#REF!</v>
      </c>
      <c r="H190" t="e">
        <f t="shared" si="11"/>
        <v>#REF!</v>
      </c>
    </row>
    <row r="191" spans="1:8">
      <c r="A191" t="str">
        <f>DICO_Export!D191</f>
        <v>riskContext</v>
      </c>
      <c r="B191" t="str">
        <f>DICO_Export!E191</f>
        <v>delegatedAuthenticationExemptionIndicator</v>
      </c>
      <c r="C191" t="e">
        <f>#REF!</f>
        <v>#REF!</v>
      </c>
      <c r="D191" t="e">
        <f>#REF!</f>
        <v>#REF!</v>
      </c>
      <c r="E191" t="str">
        <f t="shared" si="12"/>
        <v>rskCntxt</v>
      </c>
      <c r="F191" t="str">
        <f t="shared" si="13"/>
        <v>dlgtdAthntctnExmptnIndctr</v>
      </c>
      <c r="G191" t="e">
        <f t="shared" si="10"/>
        <v>#REF!</v>
      </c>
      <c r="H191" t="e">
        <f t="shared" si="11"/>
        <v>#REF!</v>
      </c>
    </row>
    <row r="192" spans="1:8">
      <c r="A192" t="str">
        <f>DICO_Export!D192</f>
        <v>riskContext</v>
      </c>
      <c r="B192" t="str">
        <f>DICO_Export!E192</f>
        <v>multiFactorAuthenticationExemptionIndicator</v>
      </c>
      <c r="C192" t="e">
        <f>#REF!</f>
        <v>#REF!</v>
      </c>
      <c r="D192" t="e">
        <f>#REF!</f>
        <v>#REF!</v>
      </c>
      <c r="E192" t="str">
        <f t="shared" si="12"/>
        <v>rskCntxt</v>
      </c>
      <c r="F192" t="str">
        <f t="shared" si="13"/>
        <v>mltFctrAthntctnExmptnIndctr</v>
      </c>
      <c r="G192" t="e">
        <f t="shared" si="10"/>
        <v>#REF!</v>
      </c>
      <c r="H192" t="e">
        <f t="shared" si="11"/>
        <v>#REF!</v>
      </c>
    </row>
    <row r="193" spans="1:8">
      <c r="A193" t="str">
        <f>DICO_Export!D193</f>
        <v>riskContext</v>
      </c>
      <c r="B193" t="str">
        <f>DICO_Export!E193</f>
        <v>riskAnalysisIndicatorsId</v>
      </c>
      <c r="C193" t="e">
        <f>#REF!</f>
        <v>#REF!</v>
      </c>
      <c r="D193" t="e">
        <f>#REF!</f>
        <v>#REF!</v>
      </c>
      <c r="E193" t="str">
        <f t="shared" si="12"/>
        <v>rskCntxt</v>
      </c>
      <c r="F193" t="str">
        <f t="shared" si="13"/>
        <v>rskAnlssIndctrsId</v>
      </c>
      <c r="G193" t="e">
        <f t="shared" si="10"/>
        <v>#REF!</v>
      </c>
      <c r="H193" t="e">
        <f t="shared" si="11"/>
        <v>#REF!</v>
      </c>
    </row>
    <row r="194" spans="1:8">
      <c r="A194" t="str">
        <f>DICO_Export!D194</f>
        <v>riskContext</v>
      </c>
      <c r="B194" t="str">
        <f>DICO_Export!E194</f>
        <v>riskAnalysisIndicatorsValue</v>
      </c>
      <c r="C194" t="e">
        <f>#REF!</f>
        <v>#REF!</v>
      </c>
      <c r="D194" t="e">
        <f>#REF!</f>
        <v>#REF!</v>
      </c>
      <c r="E194" t="str">
        <f t="shared" si="12"/>
        <v>rskCntxt</v>
      </c>
      <c r="F194" t="str">
        <f t="shared" si="13"/>
        <v>rskAnlssIndctrsVl</v>
      </c>
      <c r="G194" t="e">
        <f t="shared" si="10"/>
        <v>#REF!</v>
      </c>
      <c r="H194" t="e">
        <f t="shared" si="11"/>
        <v>#REF!</v>
      </c>
    </row>
    <row r="195" spans="1:8">
      <c r="A195" t="str">
        <f>DICO_Export!D195</f>
        <v>riskContext</v>
      </c>
      <c r="B195" t="str">
        <f>DICO_Export!E195</f>
        <v>riskPipResponse</v>
      </c>
      <c r="C195" t="e">
        <f>#REF!</f>
        <v>#REF!</v>
      </c>
      <c r="D195" t="e">
        <f>#REF!</f>
        <v>#REF!</v>
      </c>
      <c r="E195" t="str">
        <f t="shared" si="12"/>
        <v>rskCntxt</v>
      </c>
      <c r="F195" t="str">
        <f t="shared" si="13"/>
        <v>rskPpRspns</v>
      </c>
      <c r="G195" t="e">
        <f t="shared" ref="G195:G258" si="14">LEFT(C195,1)&amp;SUBSTITUTE(SUBSTITUTE(SUBSTITUTE(SUBSTITUTE(SUBSTITUTE(SUBSTITUTE(SUBSTITUTE(RIGHT(C195,LEN(C195)-1),"a"," "),"e"," "),"i"," "),"o"," "),"u"," "),"y"," ")," ","")</f>
        <v>#REF!</v>
      </c>
      <c r="H195" t="e">
        <f t="shared" ref="H195:H258" si="15">LEFT(D195,1)&amp;SUBSTITUTE(SUBSTITUTE(SUBSTITUTE(SUBSTITUTE(SUBSTITUTE(SUBSTITUTE(SUBSTITUTE(RIGHT(D195,LEN(D195)-1),"a"," "),"e"," "),"i"," "),"o"," "),"u"," "),"y"," ")," ","")</f>
        <v>#REF!</v>
      </c>
    </row>
    <row r="196" spans="1:8">
      <c r="A196" t="str">
        <f>DICO_Export!D196</f>
        <v>riskContext</v>
      </c>
      <c r="B196" t="str">
        <f>DICO_Export!E196</f>
        <v>riskRecommendation</v>
      </c>
      <c r="C196" t="e">
        <f>#REF!</f>
        <v>#REF!</v>
      </c>
      <c r="D196" t="e">
        <f>#REF!</f>
        <v>#REF!</v>
      </c>
      <c r="E196" t="str">
        <f t="shared" ref="E196:E259" si="16">LEFT(A196,1)&amp;SUBSTITUTE(SUBSTITUTE(SUBSTITUTE(SUBSTITUTE(SUBSTITUTE(SUBSTITUTE(SUBSTITUTE(RIGHT(A196,LEN(A196)-1),"a"," "),"e"," "),"i"," "),"o"," "),"u"," "),"y"," ")," ","")</f>
        <v>rskCntxt</v>
      </c>
      <c r="F196" t="str">
        <f t="shared" ref="F196:F259" si="17">LEFT(B196,1)&amp;SUBSTITUTE(SUBSTITUTE(SUBSTITUTE(SUBSTITUTE(SUBSTITUTE(SUBSTITUTE(SUBSTITUTE(RIGHT(B196,LEN(B196)-1),"a"," "),"e"," "),"i"," "),"o"," "),"u"," "),"y"," ")," ","")</f>
        <v>rskRcmmndtn</v>
      </c>
      <c r="G196" t="e">
        <f t="shared" si="14"/>
        <v>#REF!</v>
      </c>
      <c r="H196" t="e">
        <f t="shared" si="15"/>
        <v>#REF!</v>
      </c>
    </row>
    <row r="197" spans="1:8">
      <c r="A197" t="str">
        <f>DICO_Export!D197</f>
        <v>riskContext</v>
      </c>
      <c r="B197" t="str">
        <f>DICO_Export!E197</f>
        <v>riskRulesId</v>
      </c>
      <c r="C197" t="e">
        <f>#REF!</f>
        <v>#REF!</v>
      </c>
      <c r="D197" t="e">
        <f>#REF!</f>
        <v>#REF!</v>
      </c>
      <c r="E197" t="str">
        <f t="shared" si="16"/>
        <v>rskCntxt</v>
      </c>
      <c r="F197" t="str">
        <f t="shared" si="17"/>
        <v>rskRlsId</v>
      </c>
      <c r="G197" t="e">
        <f t="shared" si="14"/>
        <v>#REF!</v>
      </c>
      <c r="H197" t="e">
        <f t="shared" si="15"/>
        <v>#REF!</v>
      </c>
    </row>
    <row r="198" spans="1:8">
      <c r="A198" t="str">
        <f>DICO_Export!D198</f>
        <v>riskContext</v>
      </c>
      <c r="B198" t="str">
        <f>DICO_Export!E198</f>
        <v>riskScoringServiceData</v>
      </c>
      <c r="C198" t="e">
        <f>#REF!</f>
        <v>#REF!</v>
      </c>
      <c r="D198" t="e">
        <f>#REF!</f>
        <v>#REF!</v>
      </c>
      <c r="E198" t="str">
        <f t="shared" si="16"/>
        <v>rskCntxt</v>
      </c>
      <c r="F198" t="str">
        <f t="shared" si="17"/>
        <v>rskScrngSrvcDt</v>
      </c>
      <c r="G198" t="e">
        <f t="shared" si="14"/>
        <v>#REF!</v>
      </c>
      <c r="H198" t="e">
        <f t="shared" si="15"/>
        <v>#REF!</v>
      </c>
    </row>
    <row r="199" spans="1:8">
      <c r="A199" t="str">
        <f>DICO_Export!D199</f>
        <v>riskContext</v>
      </c>
      <c r="B199" t="str">
        <f>DICO_Export!E199</f>
        <v>riskScoringServiceId</v>
      </c>
      <c r="C199" t="e">
        <f>#REF!</f>
        <v>#REF!</v>
      </c>
      <c r="D199" t="e">
        <f>#REF!</f>
        <v>#REF!</v>
      </c>
      <c r="E199" t="str">
        <f t="shared" si="16"/>
        <v>rskCntxt</v>
      </c>
      <c r="F199" t="str">
        <f t="shared" si="17"/>
        <v>rskScrngSrvcId</v>
      </c>
      <c r="G199" t="e">
        <f t="shared" si="14"/>
        <v>#REF!</v>
      </c>
      <c r="H199" t="e">
        <f t="shared" si="15"/>
        <v>#REF!</v>
      </c>
    </row>
    <row r="200" spans="1:8">
      <c r="A200" t="str">
        <f>DICO_Export!D200</f>
        <v>riskContext</v>
      </c>
      <c r="B200" t="str">
        <f>DICO_Export!E200</f>
        <v>riskTreatmentStatus</v>
      </c>
      <c r="C200" t="e">
        <f>#REF!</f>
        <v>#REF!</v>
      </c>
      <c r="D200" t="e">
        <f>#REF!</f>
        <v>#REF!</v>
      </c>
      <c r="E200" t="str">
        <f t="shared" si="16"/>
        <v>rskCntxt</v>
      </c>
      <c r="F200" t="str">
        <f t="shared" si="17"/>
        <v>rskTrtmntStts</v>
      </c>
      <c r="G200" t="e">
        <f t="shared" si="14"/>
        <v>#REF!</v>
      </c>
      <c r="H200" t="e">
        <f t="shared" si="15"/>
        <v>#REF!</v>
      </c>
    </row>
    <row r="201" spans="1:8">
      <c r="A201" t="str">
        <f>DICO_Export!D201</f>
        <v>riskContext</v>
      </c>
      <c r="B201" t="str">
        <f>DICO_Export!E201</f>
        <v>traExemptionIndicator</v>
      </c>
      <c r="C201" t="e">
        <f>#REF!</f>
        <v>#REF!</v>
      </c>
      <c r="D201" t="e">
        <f>#REF!</f>
        <v>#REF!</v>
      </c>
      <c r="E201" t="str">
        <f t="shared" si="16"/>
        <v>rskCntxt</v>
      </c>
      <c r="F201" t="str">
        <f t="shared" si="17"/>
        <v>trExmptnIndctr</v>
      </c>
      <c r="G201" t="e">
        <f t="shared" si="14"/>
        <v>#REF!</v>
      </c>
      <c r="H201" t="e">
        <f t="shared" si="15"/>
        <v>#REF!</v>
      </c>
    </row>
    <row r="202" spans="1:8">
      <c r="A202" t="str">
        <f>DICO_Export!D202</f>
        <v>riskContext</v>
      </c>
      <c r="B202" t="str">
        <f>DICO_Export!E202</f>
        <v>traScore</v>
      </c>
      <c r="C202" t="e">
        <f>#REF!</f>
        <v>#REF!</v>
      </c>
      <c r="D202" t="e">
        <f>#REF!</f>
        <v>#REF!</v>
      </c>
      <c r="E202" t="str">
        <f t="shared" si="16"/>
        <v>rskCntxt</v>
      </c>
      <c r="F202" t="str">
        <f t="shared" si="17"/>
        <v>trScr</v>
      </c>
      <c r="G202" t="e">
        <f t="shared" si="14"/>
        <v>#REF!</v>
      </c>
      <c r="H202" t="e">
        <f t="shared" si="15"/>
        <v>#REF!</v>
      </c>
    </row>
    <row r="203" spans="1:8">
      <c r="A203" t="str">
        <f>DICO_Export!D203</f>
        <v>terminalParameters</v>
      </c>
      <c r="B203" t="str">
        <f>DICO_Export!E203</f>
        <v>temp_maximumAmountForAForeignCardInAnUnattededTerminal</v>
      </c>
      <c r="C203" t="e">
        <f>#REF!</f>
        <v>#REF!</v>
      </c>
      <c r="D203" t="e">
        <f>#REF!</f>
        <v>#REF!</v>
      </c>
      <c r="E203" t="str">
        <f t="shared" si="16"/>
        <v>trmnlPrmtrs</v>
      </c>
      <c r="F203" t="str">
        <f t="shared" si="17"/>
        <v>tmp_mxmmAmntFrAFrgnCrdInAnUnttddTrmnl</v>
      </c>
      <c r="G203" t="e">
        <f t="shared" si="14"/>
        <v>#REF!</v>
      </c>
      <c r="H203" t="e">
        <f t="shared" si="15"/>
        <v>#REF!</v>
      </c>
    </row>
    <row r="204" spans="1:8">
      <c r="A204" t="str">
        <f>DICO_Export!D204</f>
        <v>terminalParameters</v>
      </c>
      <c r="B204" t="str">
        <f>DICO_Export!E204</f>
        <v>temp_terminalApplicationVersionNumber</v>
      </c>
      <c r="C204" t="e">
        <f>#REF!</f>
        <v>#REF!</v>
      </c>
      <c r="D204" t="e">
        <f>#REF!</f>
        <v>#REF!</v>
      </c>
      <c r="E204" t="str">
        <f t="shared" si="16"/>
        <v>trmnlPrmtrs</v>
      </c>
      <c r="F204" t="str">
        <f t="shared" si="17"/>
        <v>tmp_trmnlApplctnVrsnNmbr</v>
      </c>
      <c r="G204" t="e">
        <f t="shared" si="14"/>
        <v>#REF!</v>
      </c>
      <c r="H204" t="e">
        <f t="shared" si="15"/>
        <v>#REF!</v>
      </c>
    </row>
    <row r="205" spans="1:8">
      <c r="A205" t="str">
        <f>DICO_Export!D205</f>
        <v>transactionContext</v>
      </c>
      <c r="B205" t="str">
        <f>DICO_Export!E205</f>
        <v>acceptanceSystemCardProductCode</v>
      </c>
      <c r="C205" t="e">
        <f>#REF!</f>
        <v>#REF!</v>
      </c>
      <c r="D205" t="e">
        <f>#REF!</f>
        <v>#REF!</v>
      </c>
      <c r="E205" t="str">
        <f t="shared" si="16"/>
        <v>trnsctnCntxt</v>
      </c>
      <c r="F205" t="str">
        <f t="shared" si="17"/>
        <v>accptncSstmCrdPrdctCd</v>
      </c>
      <c r="G205" t="e">
        <f t="shared" si="14"/>
        <v>#REF!</v>
      </c>
      <c r="H205" t="e">
        <f t="shared" si="15"/>
        <v>#REF!</v>
      </c>
    </row>
    <row r="206" spans="1:8">
      <c r="A206" t="str">
        <f>DICO_Export!D206</f>
        <v>transactionContext</v>
      </c>
      <c r="B206" t="str">
        <f>DICO_Export!E206</f>
        <v>acceptorPhoneNumber</v>
      </c>
      <c r="C206" t="e">
        <f>#REF!</f>
        <v>#REF!</v>
      </c>
      <c r="D206" t="e">
        <f>#REF!</f>
        <v>#REF!</v>
      </c>
      <c r="E206" t="str">
        <f t="shared" si="16"/>
        <v>trnsctnCntxt</v>
      </c>
      <c r="F206" t="str">
        <f t="shared" si="17"/>
        <v>accptrPhnNmbr</v>
      </c>
      <c r="G206" t="e">
        <f t="shared" si="14"/>
        <v>#REF!</v>
      </c>
      <c r="H206" t="e">
        <f t="shared" si="15"/>
        <v>#REF!</v>
      </c>
    </row>
    <row r="207" spans="1:8">
      <c r="A207" t="str">
        <f>DICO_Export!D207</f>
        <v>transactionContext</v>
      </c>
      <c r="B207" t="str">
        <f>DICO_Export!E207</f>
        <v>acceptorURLAddress</v>
      </c>
      <c r="C207" t="e">
        <f>#REF!</f>
        <v>#REF!</v>
      </c>
      <c r="D207" t="e">
        <f>#REF!</f>
        <v>#REF!</v>
      </c>
      <c r="E207" t="str">
        <f t="shared" si="16"/>
        <v>trnsctnCntxt</v>
      </c>
      <c r="F207" t="str">
        <f t="shared" si="17"/>
        <v>accptrURLAddrss</v>
      </c>
      <c r="G207" t="e">
        <f t="shared" si="14"/>
        <v>#REF!</v>
      </c>
      <c r="H207" t="e">
        <f t="shared" si="15"/>
        <v>#REF!</v>
      </c>
    </row>
    <row r="208" spans="1:8">
      <c r="A208" t="str">
        <f>DICO_Export!D208</f>
        <v>transactionContext</v>
      </c>
      <c r="B208" t="str">
        <f>DICO_Export!E208</f>
        <v>accountNameVerificationNature</v>
      </c>
      <c r="C208" t="e">
        <f>#REF!</f>
        <v>#REF!</v>
      </c>
      <c r="D208" t="e">
        <f>#REF!</f>
        <v>#REF!</v>
      </c>
      <c r="E208" t="str">
        <f t="shared" si="16"/>
        <v>trnsctnCntxt</v>
      </c>
      <c r="F208" t="str">
        <f t="shared" si="17"/>
        <v>accntNmVrfctnNtr</v>
      </c>
      <c r="G208" t="e">
        <f t="shared" si="14"/>
        <v>#REF!</v>
      </c>
      <c r="H208" t="e">
        <f t="shared" si="15"/>
        <v>#REF!</v>
      </c>
    </row>
    <row r="209" spans="1:8">
      <c r="A209" t="str">
        <f>DICO_Export!D209</f>
        <v>transactionContext</v>
      </c>
      <c r="B209" t="str">
        <f>DICO_Export!E209</f>
        <v>additionalManagmentOfTransfers</v>
      </c>
      <c r="C209" t="e">
        <f>#REF!</f>
        <v>#REF!</v>
      </c>
      <c r="D209" t="e">
        <f>#REF!</f>
        <v>#REF!</v>
      </c>
      <c r="E209" t="str">
        <f t="shared" si="16"/>
        <v>trnsctnCntxt</v>
      </c>
      <c r="F209" t="str">
        <f t="shared" si="17"/>
        <v>addtnlMngmntOfTrnsfrs</v>
      </c>
      <c r="G209" t="e">
        <f t="shared" si="14"/>
        <v>#REF!</v>
      </c>
      <c r="H209" t="e">
        <f t="shared" si="15"/>
        <v>#REF!</v>
      </c>
    </row>
    <row r="210" spans="1:8">
      <c r="A210" t="str">
        <f>DICO_Export!D210</f>
        <v>transactionContext</v>
      </c>
      <c r="B210" t="str">
        <f>DICO_Export!E210</f>
        <v>airlineTicketDestination</v>
      </c>
      <c r="C210" t="e">
        <f>#REF!</f>
        <v>#REF!</v>
      </c>
      <c r="D210" t="e">
        <f>#REF!</f>
        <v>#REF!</v>
      </c>
      <c r="E210" t="str">
        <f t="shared" si="16"/>
        <v>trnsctnCntxt</v>
      </c>
      <c r="F210" t="str">
        <f t="shared" si="17"/>
        <v>arlnTcktDstntn</v>
      </c>
      <c r="G210" t="e">
        <f t="shared" si="14"/>
        <v>#REF!</v>
      </c>
      <c r="H210" t="e">
        <f t="shared" si="15"/>
        <v>#REF!</v>
      </c>
    </row>
    <row r="211" spans="1:8">
      <c r="A211" t="str">
        <f>DICO_Export!D211</f>
        <v>transactionContext</v>
      </c>
      <c r="B211" t="str">
        <f>DICO_Export!E211</f>
        <v>airlineTicketNumber</v>
      </c>
      <c r="C211" t="e">
        <f>#REF!</f>
        <v>#REF!</v>
      </c>
      <c r="D211" t="e">
        <f>#REF!</f>
        <v>#REF!</v>
      </c>
      <c r="E211" t="str">
        <f t="shared" si="16"/>
        <v>trnsctnCntxt</v>
      </c>
      <c r="F211" t="str">
        <f t="shared" si="17"/>
        <v>arlnTcktNmbr</v>
      </c>
      <c r="G211" t="e">
        <f t="shared" si="14"/>
        <v>#REF!</v>
      </c>
      <c r="H211" t="e">
        <f t="shared" si="15"/>
        <v>#REF!</v>
      </c>
    </row>
    <row r="212" spans="1:8">
      <c r="A212" t="str">
        <f>DICO_Export!D212</f>
        <v>transactionContext</v>
      </c>
      <c r="B212" t="str">
        <f>DICO_Export!E212</f>
        <v>applicationSelectionIndicator</v>
      </c>
      <c r="C212" t="e">
        <f>#REF!</f>
        <v>#REF!</v>
      </c>
      <c r="D212" t="e">
        <f>#REF!</f>
        <v>#REF!</v>
      </c>
      <c r="E212" t="str">
        <f t="shared" si="16"/>
        <v>trnsctnCntxt</v>
      </c>
      <c r="F212" t="str">
        <f t="shared" si="17"/>
        <v>applctnSlctnIndctr</v>
      </c>
      <c r="G212" t="e">
        <f t="shared" si="14"/>
        <v>#REF!</v>
      </c>
      <c r="H212" t="e">
        <f t="shared" si="15"/>
        <v>#REF!</v>
      </c>
    </row>
    <row r="213" spans="1:8">
      <c r="A213" t="str">
        <f>DICO_Export!D213</f>
        <v>transactionContext</v>
      </c>
      <c r="B213" t="str">
        <f>DICO_Export!E213</f>
        <v>attendanceContext</v>
      </c>
      <c r="C213" t="e">
        <f>#REF!</f>
        <v>#REF!</v>
      </c>
      <c r="D213" t="e">
        <f>#REF!</f>
        <v>#REF!</v>
      </c>
      <c r="E213" t="str">
        <f t="shared" si="16"/>
        <v>trnsctnCntxt</v>
      </c>
      <c r="F213" t="str">
        <f t="shared" si="17"/>
        <v>attndncCntxt</v>
      </c>
      <c r="G213" t="e">
        <f t="shared" si="14"/>
        <v>#REF!</v>
      </c>
      <c r="H213" t="e">
        <f t="shared" si="15"/>
        <v>#REF!</v>
      </c>
    </row>
    <row r="214" spans="1:8">
      <c r="A214" t="str">
        <f>DICO_Export!D214</f>
        <v>transactionContext</v>
      </c>
      <c r="B214" t="str">
        <f>DICO_Export!E214</f>
        <v>authenticationAmount</v>
      </c>
      <c r="C214" t="e">
        <f>#REF!</f>
        <v>#REF!</v>
      </c>
      <c r="D214" t="e">
        <f>#REF!</f>
        <v>#REF!</v>
      </c>
      <c r="E214" t="str">
        <f t="shared" si="16"/>
        <v>trnsctnCntxt</v>
      </c>
      <c r="F214" t="str">
        <f t="shared" si="17"/>
        <v>athntctnAmnt</v>
      </c>
      <c r="G214" t="e">
        <f t="shared" si="14"/>
        <v>#REF!</v>
      </c>
      <c r="H214" t="e">
        <f t="shared" si="15"/>
        <v>#REF!</v>
      </c>
    </row>
    <row r="215" spans="1:8">
      <c r="A215" t="str">
        <f>DICO_Export!D215</f>
        <v>transactionContext</v>
      </c>
      <c r="B215" t="str">
        <f>DICO_Export!E215</f>
        <v>authenticationDateTime</v>
      </c>
      <c r="C215" t="e">
        <f>#REF!</f>
        <v>#REF!</v>
      </c>
      <c r="D215" t="e">
        <f>#REF!</f>
        <v>#REF!</v>
      </c>
      <c r="E215" t="str">
        <f t="shared" si="16"/>
        <v>trnsctnCntxt</v>
      </c>
      <c r="F215" t="str">
        <f t="shared" si="17"/>
        <v>athntctnDtTm</v>
      </c>
      <c r="G215" t="e">
        <f t="shared" si="14"/>
        <v>#REF!</v>
      </c>
      <c r="H215" t="e">
        <f t="shared" si="15"/>
        <v>#REF!</v>
      </c>
    </row>
    <row r="216" spans="1:8">
      <c r="A216" t="str">
        <f>DICO_Export!D216</f>
        <v>transactionContext</v>
      </c>
      <c r="B216" t="str">
        <f>DICO_Export!E216</f>
        <v>authenticationProgramIndicator</v>
      </c>
      <c r="C216" t="e">
        <f>#REF!</f>
        <v>#REF!</v>
      </c>
      <c r="D216" t="e">
        <f>#REF!</f>
        <v>#REF!</v>
      </c>
      <c r="E216" t="str">
        <f t="shared" si="16"/>
        <v>trnsctnCntxt</v>
      </c>
      <c r="F216" t="str">
        <f t="shared" si="17"/>
        <v>athntctnPrgrmIndctr</v>
      </c>
      <c r="G216" t="e">
        <f t="shared" si="14"/>
        <v>#REF!</v>
      </c>
      <c r="H216" t="e">
        <f t="shared" si="15"/>
        <v>#REF!</v>
      </c>
    </row>
    <row r="217" spans="1:8">
      <c r="A217" t="str">
        <f>DICO_Export!D217</f>
        <v>transactionContext</v>
      </c>
      <c r="B217" t="str">
        <f>DICO_Export!E217</f>
        <v>authorisationUnbundling</v>
      </c>
      <c r="C217" t="e">
        <f>#REF!</f>
        <v>#REF!</v>
      </c>
      <c r="D217" t="e">
        <f>#REF!</f>
        <v>#REF!</v>
      </c>
      <c r="E217" t="str">
        <f t="shared" si="16"/>
        <v>trnsctnCntxt</v>
      </c>
      <c r="F217" t="str">
        <f t="shared" si="17"/>
        <v>athrstnUnbndlng</v>
      </c>
      <c r="G217" t="e">
        <f t="shared" si="14"/>
        <v>#REF!</v>
      </c>
      <c r="H217" t="e">
        <f t="shared" si="15"/>
        <v>#REF!</v>
      </c>
    </row>
    <row r="218" spans="1:8">
      <c r="A218" t="str">
        <f>DICO_Export!D218</f>
        <v>transactionContext</v>
      </c>
      <c r="B218" t="str">
        <f>DICO_Export!E218</f>
        <v>blockedRoute</v>
      </c>
      <c r="C218" t="e">
        <f>#REF!</f>
        <v>#REF!</v>
      </c>
      <c r="D218" t="e">
        <f>#REF!</f>
        <v>#REF!</v>
      </c>
      <c r="E218" t="str">
        <f t="shared" si="16"/>
        <v>trnsctnCntxt</v>
      </c>
      <c r="F218" t="str">
        <f t="shared" si="17"/>
        <v>blckdRt</v>
      </c>
      <c r="G218" t="e">
        <f t="shared" si="14"/>
        <v>#REF!</v>
      </c>
      <c r="H218" t="e">
        <f t="shared" si="15"/>
        <v>#REF!</v>
      </c>
    </row>
    <row r="219" spans="1:8">
      <c r="A219" t="str">
        <f>DICO_Export!D219</f>
        <v>transactionContext</v>
      </c>
      <c r="B219" t="str">
        <f>DICO_Export!E219</f>
        <v>buyingMethod</v>
      </c>
      <c r="C219" t="e">
        <f>#REF!</f>
        <v>#REF!</v>
      </c>
      <c r="D219" t="e">
        <f>#REF!</f>
        <v>#REF!</v>
      </c>
      <c r="E219" t="str">
        <f t="shared" si="16"/>
        <v>trnsctnCntxt</v>
      </c>
      <c r="F219" t="str">
        <f t="shared" si="17"/>
        <v>bngMthd</v>
      </c>
      <c r="G219" t="e">
        <f t="shared" si="14"/>
        <v>#REF!</v>
      </c>
      <c r="H219" t="e">
        <f t="shared" si="15"/>
        <v>#REF!</v>
      </c>
    </row>
    <row r="220" spans="1:8">
      <c r="A220" t="str">
        <f>DICO_Export!D220</f>
        <v>transactionContext</v>
      </c>
      <c r="B220" t="str">
        <f>DICO_Export!E220</f>
        <v>cardDataEntryMode</v>
      </c>
      <c r="C220" t="e">
        <f>#REF!</f>
        <v>#REF!</v>
      </c>
      <c r="D220" t="e">
        <f>#REF!</f>
        <v>#REF!</v>
      </c>
      <c r="E220" t="str">
        <f t="shared" si="16"/>
        <v>trnsctnCntxt</v>
      </c>
      <c r="F220" t="str">
        <f t="shared" si="17"/>
        <v>crdDtEntrMd</v>
      </c>
      <c r="G220" t="e">
        <f t="shared" si="14"/>
        <v>#REF!</v>
      </c>
      <c r="H220" t="e">
        <f t="shared" si="15"/>
        <v>#REF!</v>
      </c>
    </row>
    <row r="221" spans="1:8">
      <c r="A221" t="str">
        <f>DICO_Export!D221</f>
        <v>transactionContext</v>
      </c>
      <c r="B221" t="str">
        <f>DICO_Export!E221</f>
        <v>cardholderAuthenticationMethod</v>
      </c>
      <c r="C221" t="e">
        <f>#REF!</f>
        <v>#REF!</v>
      </c>
      <c r="D221" t="e">
        <f>#REF!</f>
        <v>#REF!</v>
      </c>
      <c r="E221" t="str">
        <f t="shared" si="16"/>
        <v>trnsctnCntxt</v>
      </c>
      <c r="F221" t="str">
        <f t="shared" si="17"/>
        <v>crdhldrAthntctnMthd</v>
      </c>
      <c r="G221" t="e">
        <f t="shared" si="14"/>
        <v>#REF!</v>
      </c>
      <c r="H221" t="e">
        <f t="shared" si="15"/>
        <v>#REF!</v>
      </c>
    </row>
    <row r="222" spans="1:8">
      <c r="A222" t="str">
        <f>DICO_Export!D222</f>
        <v>transactionContext</v>
      </c>
      <c r="B222" t="str">
        <f>DICO_Export!E222</f>
        <v>cardholderPresence</v>
      </c>
      <c r="C222" t="e">
        <f>#REF!</f>
        <v>#REF!</v>
      </c>
      <c r="D222" t="e">
        <f>#REF!</f>
        <v>#REF!</v>
      </c>
      <c r="E222" t="str">
        <f t="shared" si="16"/>
        <v>trnsctnCntxt</v>
      </c>
      <c r="F222" t="str">
        <f t="shared" si="17"/>
        <v>crdhldrPrsnc</v>
      </c>
      <c r="G222" t="e">
        <f t="shared" si="14"/>
        <v>#REF!</v>
      </c>
      <c r="H222" t="e">
        <f t="shared" si="15"/>
        <v>#REF!</v>
      </c>
    </row>
    <row r="223" spans="1:8">
      <c r="A223" t="str">
        <f>DICO_Export!D223</f>
        <v>transactionContext</v>
      </c>
      <c r="B223" t="str">
        <f>DICO_Export!E223</f>
        <v>cardholderPresent</v>
      </c>
      <c r="C223" t="e">
        <f>#REF!</f>
        <v>#REF!</v>
      </c>
      <c r="D223" t="e">
        <f>#REF!</f>
        <v>#REF!</v>
      </c>
      <c r="E223" t="str">
        <f t="shared" si="16"/>
        <v>trnsctnCntxt</v>
      </c>
      <c r="F223" t="str">
        <f t="shared" si="17"/>
        <v>crdhldrPrsnt</v>
      </c>
      <c r="G223" t="e">
        <f t="shared" si="14"/>
        <v>#REF!</v>
      </c>
      <c r="H223" t="e">
        <f t="shared" si="15"/>
        <v>#REF!</v>
      </c>
    </row>
    <row r="224" spans="1:8">
      <c r="A224" t="str">
        <f>DICO_Export!D224</f>
        <v>transactionContext</v>
      </c>
      <c r="B224" t="str">
        <f>DICO_Export!E224</f>
        <v>cardholderVerificationMethod</v>
      </c>
      <c r="C224" t="e">
        <f>#REF!</f>
        <v>#REF!</v>
      </c>
      <c r="D224" t="e">
        <f>#REF!</f>
        <v>#REF!</v>
      </c>
      <c r="E224" t="str">
        <f t="shared" si="16"/>
        <v>trnsctnCntxt</v>
      </c>
      <c r="F224" t="str">
        <f t="shared" si="17"/>
        <v>crdhldrVrfctnMthd</v>
      </c>
      <c r="G224" t="e">
        <f t="shared" si="14"/>
        <v>#REF!</v>
      </c>
      <c r="H224" t="e">
        <f t="shared" si="15"/>
        <v>#REF!</v>
      </c>
    </row>
    <row r="225" spans="1:8">
      <c r="A225" t="str">
        <f>DICO_Export!D225</f>
        <v>transactionContext</v>
      </c>
      <c r="B225" t="str">
        <f>DICO_Export!E225</f>
        <v>cardOnFileAction</v>
      </c>
      <c r="C225" t="e">
        <f>#REF!</f>
        <v>#REF!</v>
      </c>
      <c r="D225" t="e">
        <f>#REF!</f>
        <v>#REF!</v>
      </c>
      <c r="E225" t="str">
        <f t="shared" si="16"/>
        <v>trnsctnCntxt</v>
      </c>
      <c r="F225" t="str">
        <f t="shared" si="17"/>
        <v>crdOnFlActn</v>
      </c>
      <c r="G225" t="e">
        <f t="shared" si="14"/>
        <v>#REF!</v>
      </c>
      <c r="H225" t="e">
        <f t="shared" si="15"/>
        <v>#REF!</v>
      </c>
    </row>
    <row r="226" spans="1:8">
      <c r="A226" t="str">
        <f>DICO_Export!D226</f>
        <v>transactionContext</v>
      </c>
      <c r="B226" t="str">
        <f>DICO_Export!E226</f>
        <v>cardPresent</v>
      </c>
      <c r="C226" t="e">
        <f>#REF!</f>
        <v>#REF!</v>
      </c>
      <c r="D226" t="e">
        <f>#REF!</f>
        <v>#REF!</v>
      </c>
      <c r="E226" t="str">
        <f t="shared" si="16"/>
        <v>trnsctnCntxt</v>
      </c>
      <c r="F226" t="str">
        <f t="shared" si="17"/>
        <v>crdPrsnt</v>
      </c>
      <c r="G226" t="e">
        <f t="shared" si="14"/>
        <v>#REF!</v>
      </c>
      <c r="H226" t="e">
        <f t="shared" si="15"/>
        <v>#REF!</v>
      </c>
    </row>
    <row r="227" spans="1:8">
      <c r="A227" t="str">
        <f>DICO_Export!D227</f>
        <v>transactionContext</v>
      </c>
      <c r="B227" t="str">
        <f>DICO_Export!E227</f>
        <v>cardSecurityCodePresence</v>
      </c>
      <c r="C227" t="e">
        <f>#REF!</f>
        <v>#REF!</v>
      </c>
      <c r="D227" t="e">
        <f>#REF!</f>
        <v>#REF!</v>
      </c>
      <c r="E227" t="str">
        <f t="shared" si="16"/>
        <v>trnsctnCntxt</v>
      </c>
      <c r="F227" t="str">
        <f t="shared" si="17"/>
        <v>crdScrtCdPrsnc</v>
      </c>
      <c r="G227" t="e">
        <f t="shared" si="14"/>
        <v>#REF!</v>
      </c>
      <c r="H227" t="e">
        <f t="shared" si="15"/>
        <v>#REF!</v>
      </c>
    </row>
    <row r="228" spans="1:8">
      <c r="A228" t="str">
        <f>DICO_Export!D228</f>
        <v>transactionContext</v>
      </c>
      <c r="B228" t="str">
        <f>DICO_Export!E228</f>
        <v>cardSecurityCodeValue</v>
      </c>
      <c r="C228" t="e">
        <f>#REF!</f>
        <v>#REF!</v>
      </c>
      <c r="D228" t="e">
        <f>#REF!</f>
        <v>#REF!</v>
      </c>
      <c r="E228" t="str">
        <f t="shared" si="16"/>
        <v>trnsctnCntxt</v>
      </c>
      <c r="F228" t="str">
        <f t="shared" si="17"/>
        <v>crdScrtCdVl</v>
      </c>
      <c r="G228" t="e">
        <f t="shared" si="14"/>
        <v>#REF!</v>
      </c>
      <c r="H228" t="e">
        <f t="shared" si="15"/>
        <v>#REF!</v>
      </c>
    </row>
    <row r="229" spans="1:8">
      <c r="A229" t="str">
        <f>DICO_Export!D229</f>
        <v>transactionContext</v>
      </c>
      <c r="B229" t="str">
        <f>DICO_Export!E229</f>
        <v>cardSecurityCodeVerificationInformation</v>
      </c>
      <c r="C229" t="e">
        <f>#REF!</f>
        <v>#REF!</v>
      </c>
      <c r="D229" t="e">
        <f>#REF!</f>
        <v>#REF!</v>
      </c>
      <c r="E229" t="str">
        <f t="shared" si="16"/>
        <v>trnsctnCntxt</v>
      </c>
      <c r="F229" t="str">
        <f t="shared" si="17"/>
        <v>crdScrtCdVrfctnInfrmtn</v>
      </c>
      <c r="G229" t="e">
        <f t="shared" si="14"/>
        <v>#REF!</v>
      </c>
      <c r="H229" t="e">
        <f t="shared" si="15"/>
        <v>#REF!</v>
      </c>
    </row>
    <row r="230" spans="1:8">
      <c r="A230" t="str">
        <f>DICO_Export!D230</f>
        <v>transactionContext</v>
      </c>
      <c r="B230" t="str">
        <f>DICO_Export!E230</f>
        <v>decisionAlgorithmRoute</v>
      </c>
      <c r="C230" t="e">
        <f>#REF!</f>
        <v>#REF!</v>
      </c>
      <c r="D230" t="e">
        <f>#REF!</f>
        <v>#REF!</v>
      </c>
      <c r="E230" t="str">
        <f t="shared" si="16"/>
        <v>trnsctnCntxt</v>
      </c>
      <c r="F230" t="str">
        <f t="shared" si="17"/>
        <v>dcsnAlgrthmRt</v>
      </c>
      <c r="G230" t="e">
        <f t="shared" si="14"/>
        <v>#REF!</v>
      </c>
      <c r="H230" t="e">
        <f t="shared" si="15"/>
        <v>#REF!</v>
      </c>
    </row>
    <row r="231" spans="1:8">
      <c r="A231" t="str">
        <f>DICO_Export!D231</f>
        <v>transactionContext</v>
      </c>
      <c r="B231" t="str">
        <f>DICO_Export!E231</f>
        <v>domainIndicator</v>
      </c>
      <c r="C231" t="e">
        <f>#REF!</f>
        <v>#REF!</v>
      </c>
      <c r="D231" t="e">
        <f>#REF!</f>
        <v>#REF!</v>
      </c>
      <c r="E231" t="str">
        <f t="shared" si="16"/>
        <v>trnsctnCntxt</v>
      </c>
      <c r="F231" t="str">
        <f t="shared" si="17"/>
        <v>dmnIndctr</v>
      </c>
      <c r="G231" t="e">
        <f t="shared" si="14"/>
        <v>#REF!</v>
      </c>
      <c r="H231" t="e">
        <f t="shared" si="15"/>
        <v>#REF!</v>
      </c>
    </row>
    <row r="232" spans="1:8">
      <c r="A232" t="str">
        <f>DICO_Export!D232</f>
        <v>transactionContext</v>
      </c>
      <c r="B232" t="str">
        <f>DICO_Export!E232</f>
        <v>dualRouteId</v>
      </c>
      <c r="C232" t="e">
        <f>#REF!</f>
        <v>#REF!</v>
      </c>
      <c r="D232" t="e">
        <f>#REF!</f>
        <v>#REF!</v>
      </c>
      <c r="E232" t="str">
        <f t="shared" si="16"/>
        <v>trnsctnCntxt</v>
      </c>
      <c r="F232" t="str">
        <f t="shared" si="17"/>
        <v>dlRtId</v>
      </c>
      <c r="G232" t="e">
        <f t="shared" si="14"/>
        <v>#REF!</v>
      </c>
      <c r="H232" t="e">
        <f t="shared" si="15"/>
        <v>#REF!</v>
      </c>
    </row>
    <row r="233" spans="1:8">
      <c r="A233" t="str">
        <f>DICO_Export!D233</f>
        <v>transactionContext</v>
      </c>
      <c r="B233" t="str">
        <f>DICO_Export!E233</f>
        <v>dualRouteService</v>
      </c>
      <c r="C233" t="e">
        <f>#REF!</f>
        <v>#REF!</v>
      </c>
      <c r="D233" t="e">
        <f>#REF!</f>
        <v>#REF!</v>
      </c>
      <c r="E233" t="str">
        <f t="shared" si="16"/>
        <v>trnsctnCntxt</v>
      </c>
      <c r="F233" t="str">
        <f t="shared" si="17"/>
        <v>dlRtSrvc</v>
      </c>
      <c r="G233" t="e">
        <f t="shared" si="14"/>
        <v>#REF!</v>
      </c>
      <c r="H233" t="e">
        <f t="shared" si="15"/>
        <v>#REF!</v>
      </c>
    </row>
    <row r="234" spans="1:8">
      <c r="A234" t="str">
        <f>DICO_Export!D234</f>
        <v>transactionContext</v>
      </c>
      <c r="B234" t="str">
        <f>DICO_Export!E234</f>
        <v>ecommerceIndicator</v>
      </c>
      <c r="C234" t="e">
        <f>#REF!</f>
        <v>#REF!</v>
      </c>
      <c r="D234" t="e">
        <f>#REF!</f>
        <v>#REF!</v>
      </c>
      <c r="E234" t="str">
        <f t="shared" si="16"/>
        <v>trnsctnCntxt</v>
      </c>
      <c r="F234" t="str">
        <f t="shared" si="17"/>
        <v>ecmmrcIndctr</v>
      </c>
      <c r="G234" t="e">
        <f t="shared" si="14"/>
        <v>#REF!</v>
      </c>
      <c r="H234" t="e">
        <f t="shared" si="15"/>
        <v>#REF!</v>
      </c>
    </row>
    <row r="235" spans="1:8">
      <c r="A235" t="str">
        <f>DICO_Export!D235</f>
        <v>transactionContext</v>
      </c>
      <c r="B235" t="str">
        <f>DICO_Export!E235</f>
        <v>electronicCommerceAuthentication</v>
      </c>
      <c r="C235" t="e">
        <f>#REF!</f>
        <v>#REF!</v>
      </c>
      <c r="D235" t="e">
        <f>#REF!</f>
        <v>#REF!</v>
      </c>
      <c r="E235" t="str">
        <f t="shared" si="16"/>
        <v>trnsctnCntxt</v>
      </c>
      <c r="F235" t="str">
        <f t="shared" si="17"/>
        <v>elctrncCmmrcAthntctn</v>
      </c>
      <c r="G235" t="e">
        <f t="shared" si="14"/>
        <v>#REF!</v>
      </c>
      <c r="H235" t="e">
        <f t="shared" si="15"/>
        <v>#REF!</v>
      </c>
    </row>
    <row r="236" spans="1:8">
      <c r="A236" t="str">
        <f>DICO_Export!D236</f>
        <v>transactionContext</v>
      </c>
      <c r="B236" t="str">
        <f>DICO_Export!E236</f>
        <v>electronicCommercelAuthentificationNature</v>
      </c>
      <c r="C236" t="e">
        <f>#REF!</f>
        <v>#REF!</v>
      </c>
      <c r="D236" t="e">
        <f>#REF!</f>
        <v>#REF!</v>
      </c>
      <c r="E236" t="str">
        <f t="shared" si="16"/>
        <v>trnsctnCntxt</v>
      </c>
      <c r="F236" t="str">
        <f t="shared" si="17"/>
        <v>elctrncCmmrclAthntfctnNtr</v>
      </c>
      <c r="G236" t="e">
        <f t="shared" si="14"/>
        <v>#REF!</v>
      </c>
      <c r="H236" t="e">
        <f t="shared" si="15"/>
        <v>#REF!</v>
      </c>
    </row>
    <row r="237" spans="1:8">
      <c r="A237" t="str">
        <f>DICO_Export!D237</f>
        <v>transactionContext</v>
      </c>
      <c r="B237" t="str">
        <f>DICO_Export!E237</f>
        <v>encryptionAlgorithm</v>
      </c>
      <c r="C237" t="e">
        <f>#REF!</f>
        <v>#REF!</v>
      </c>
      <c r="D237" t="e">
        <f>#REF!</f>
        <v>#REF!</v>
      </c>
      <c r="E237" t="str">
        <f t="shared" si="16"/>
        <v>trnsctnCntxt</v>
      </c>
      <c r="F237" t="str">
        <f t="shared" si="17"/>
        <v>encrptnAlgrthm</v>
      </c>
      <c r="G237" t="e">
        <f t="shared" si="14"/>
        <v>#REF!</v>
      </c>
      <c r="H237" t="e">
        <f t="shared" si="15"/>
        <v>#REF!</v>
      </c>
    </row>
    <row r="238" spans="1:8">
      <c r="A238" t="str">
        <f>DICO_Export!D238</f>
        <v>transactionContext</v>
      </c>
      <c r="B238" t="str">
        <f>DICO_Export!E238</f>
        <v>entryModeEnvironment</v>
      </c>
      <c r="C238" t="e">
        <f>#REF!</f>
        <v>#REF!</v>
      </c>
      <c r="D238" t="e">
        <f>#REF!</f>
        <v>#REF!</v>
      </c>
      <c r="E238" t="str">
        <f t="shared" si="16"/>
        <v>trnsctnCntxt</v>
      </c>
      <c r="F238" t="str">
        <f t="shared" si="17"/>
        <v>entrMdEnvrnmnt</v>
      </c>
      <c r="G238" t="e">
        <f t="shared" si="14"/>
        <v>#REF!</v>
      </c>
      <c r="H238" t="e">
        <f t="shared" si="15"/>
        <v>#REF!</v>
      </c>
    </row>
    <row r="239" spans="1:8">
      <c r="A239" t="str">
        <f>DICO_Export!D239</f>
        <v>transactionContext</v>
      </c>
      <c r="B239" t="str">
        <f>DICO_Export!E239</f>
        <v>extendedEcommerceIndicator</v>
      </c>
      <c r="C239" t="e">
        <f>#REF!</f>
        <v>#REF!</v>
      </c>
      <c r="D239" t="e">
        <f>#REF!</f>
        <v>#REF!</v>
      </c>
      <c r="E239" t="str">
        <f t="shared" si="16"/>
        <v>trnsctnCntxt</v>
      </c>
      <c r="F239" t="str">
        <f t="shared" si="17"/>
        <v>extnddEcmmrcIndctr</v>
      </c>
      <c r="G239" t="e">
        <f t="shared" si="14"/>
        <v>#REF!</v>
      </c>
      <c r="H239" t="e">
        <f t="shared" si="15"/>
        <v>#REF!</v>
      </c>
    </row>
    <row r="240" spans="1:8">
      <c r="A240" t="str">
        <f>DICO_Export!D240</f>
        <v>transactionContext</v>
      </c>
      <c r="B240" t="str">
        <f>DICO_Export!E240</f>
        <v>forwardingId</v>
      </c>
      <c r="C240" t="e">
        <f>#REF!</f>
        <v>#REF!</v>
      </c>
      <c r="D240" t="e">
        <f>#REF!</f>
        <v>#REF!</v>
      </c>
      <c r="E240" t="str">
        <f t="shared" si="16"/>
        <v>trnsctnCntxt</v>
      </c>
      <c r="F240" t="str">
        <f t="shared" si="17"/>
        <v>frwrdngId</v>
      </c>
      <c r="G240" t="e">
        <f t="shared" si="14"/>
        <v>#REF!</v>
      </c>
      <c r="H240" t="e">
        <f t="shared" si="15"/>
        <v>#REF!</v>
      </c>
    </row>
    <row r="241" spans="1:8">
      <c r="A241" t="str">
        <f>DICO_Export!D241</f>
        <v>transactionContext</v>
      </c>
      <c r="B241" t="str">
        <f>DICO_Export!E241</f>
        <v>functionCode</v>
      </c>
      <c r="C241" t="e">
        <f>#REF!</f>
        <v>#REF!</v>
      </c>
      <c r="D241" t="e">
        <f>#REF!</f>
        <v>#REF!</v>
      </c>
      <c r="E241" t="str">
        <f t="shared" si="16"/>
        <v>trnsctnCntxt</v>
      </c>
      <c r="F241" t="str">
        <f t="shared" si="17"/>
        <v>fnctnCd</v>
      </c>
      <c r="G241" t="e">
        <f t="shared" si="14"/>
        <v>#REF!</v>
      </c>
      <c r="H241" t="e">
        <f t="shared" si="15"/>
        <v>#REF!</v>
      </c>
    </row>
    <row r="242" spans="1:8">
      <c r="A242" t="str">
        <f>DICO_Export!D242</f>
        <v>transactionContext</v>
      </c>
      <c r="B242" t="str">
        <f>DICO_Export!E242</f>
        <v>fundsTransferApplicationNature</v>
      </c>
      <c r="C242" t="e">
        <f>#REF!</f>
        <v>#REF!</v>
      </c>
      <c r="D242" t="e">
        <f>#REF!</f>
        <v>#REF!</v>
      </c>
      <c r="E242" t="str">
        <f t="shared" si="16"/>
        <v>trnsctnCntxt</v>
      </c>
      <c r="F242" t="str">
        <f t="shared" si="17"/>
        <v>fndsTrnsfrApplctnNtr</v>
      </c>
      <c r="G242" t="e">
        <f t="shared" si="14"/>
        <v>#REF!</v>
      </c>
      <c r="H242" t="e">
        <f t="shared" si="15"/>
        <v>#REF!</v>
      </c>
    </row>
    <row r="243" spans="1:8">
      <c r="A243" t="str">
        <f>DICO_Export!D243</f>
        <v>transactionContext</v>
      </c>
      <c r="B243" t="str">
        <f>DICO_Export!E243</f>
        <v>fundsTransferTypeIdentifier</v>
      </c>
      <c r="C243" t="e">
        <f>#REF!</f>
        <v>#REF!</v>
      </c>
      <c r="D243" t="e">
        <f>#REF!</f>
        <v>#REF!</v>
      </c>
      <c r="E243" t="str">
        <f t="shared" si="16"/>
        <v>trnsctnCntxt</v>
      </c>
      <c r="F243" t="str">
        <f t="shared" si="17"/>
        <v>fndsTrnsfrTpIdntfr</v>
      </c>
      <c r="G243" t="e">
        <f t="shared" si="14"/>
        <v>#REF!</v>
      </c>
      <c r="H243" t="e">
        <f t="shared" si="15"/>
        <v>#REF!</v>
      </c>
    </row>
    <row r="244" spans="1:8">
      <c r="A244" t="str">
        <f>DICO_Export!D244</f>
        <v>transactionContext</v>
      </c>
      <c r="B244" t="str">
        <f>DICO_Export!E244</f>
        <v>fundsTransferTypeNomenclature</v>
      </c>
      <c r="C244" t="e">
        <f>#REF!</f>
        <v>#REF!</v>
      </c>
      <c r="D244" t="e">
        <f>#REF!</f>
        <v>#REF!</v>
      </c>
      <c r="E244" t="str">
        <f t="shared" si="16"/>
        <v>trnsctnCntxt</v>
      </c>
      <c r="F244" t="str">
        <f t="shared" si="17"/>
        <v>fndsTrnsfrTpNmncltr</v>
      </c>
      <c r="G244" t="e">
        <f t="shared" si="14"/>
        <v>#REF!</v>
      </c>
      <c r="H244" t="e">
        <f t="shared" si="15"/>
        <v>#REF!</v>
      </c>
    </row>
    <row r="245" spans="1:8">
      <c r="A245" t="str">
        <f>DICO_Export!D245</f>
        <v>transactionContext</v>
      </c>
      <c r="B245" t="str">
        <f>DICO_Export!E245</f>
        <v>fundTransferReason</v>
      </c>
      <c r="C245" t="e">
        <f>#REF!</f>
        <v>#REF!</v>
      </c>
      <c r="D245" t="e">
        <f>#REF!</f>
        <v>#REF!</v>
      </c>
      <c r="E245" t="str">
        <f t="shared" si="16"/>
        <v>trnsctnCntxt</v>
      </c>
      <c r="F245" t="str">
        <f t="shared" si="17"/>
        <v>fndTrnsfrRsn</v>
      </c>
      <c r="G245" t="e">
        <f t="shared" si="14"/>
        <v>#REF!</v>
      </c>
      <c r="H245" t="e">
        <f t="shared" si="15"/>
        <v>#REF!</v>
      </c>
    </row>
    <row r="246" spans="1:8">
      <c r="A246" t="str">
        <f>DICO_Export!D246</f>
        <v>transactionContext</v>
      </c>
      <c r="B246" t="str">
        <f>DICO_Export!E246</f>
        <v>internationalAuthorisationNetwork</v>
      </c>
      <c r="C246" t="e">
        <f>#REF!</f>
        <v>#REF!</v>
      </c>
      <c r="D246" t="e">
        <f>#REF!</f>
        <v>#REF!</v>
      </c>
      <c r="E246" t="str">
        <f t="shared" si="16"/>
        <v>trnsctnCntxt</v>
      </c>
      <c r="F246" t="str">
        <f t="shared" si="17"/>
        <v>intrntnlAthrstnNtwrk</v>
      </c>
      <c r="G246" t="e">
        <f t="shared" si="14"/>
        <v>#REF!</v>
      </c>
      <c r="H246" t="e">
        <f t="shared" si="15"/>
        <v>#REF!</v>
      </c>
    </row>
    <row r="247" spans="1:8">
      <c r="A247" t="str">
        <f>DICO_Export!D247</f>
        <v>transactionContext</v>
      </c>
      <c r="B247" t="str">
        <f>DICO_Export!E247</f>
        <v>issuerAuthenticationData</v>
      </c>
      <c r="C247" t="e">
        <f>#REF!</f>
        <v>#REF!</v>
      </c>
      <c r="D247" t="e">
        <f>#REF!</f>
        <v>#REF!</v>
      </c>
      <c r="E247" t="str">
        <f t="shared" si="16"/>
        <v>trnsctnCntxt</v>
      </c>
      <c r="F247" t="str">
        <f t="shared" si="17"/>
        <v>issrAthntctnDt</v>
      </c>
      <c r="G247" t="e">
        <f t="shared" si="14"/>
        <v>#REF!</v>
      </c>
      <c r="H247" t="e">
        <f t="shared" si="15"/>
        <v>#REF!</v>
      </c>
    </row>
    <row r="248" spans="1:8">
      <c r="A248" t="str">
        <f>DICO_Export!D248</f>
        <v>transactionContext</v>
      </c>
      <c r="B248" t="str">
        <f>DICO_Export!E248</f>
        <v>jurisdiction</v>
      </c>
      <c r="C248" t="e">
        <f>#REF!</f>
        <v>#REF!</v>
      </c>
      <c r="D248" t="e">
        <f>#REF!</f>
        <v>#REF!</v>
      </c>
      <c r="E248" t="str">
        <f t="shared" si="16"/>
        <v>trnsctnCntxt</v>
      </c>
      <c r="F248" t="str">
        <f t="shared" si="17"/>
        <v>jrsdctn</v>
      </c>
      <c r="G248" t="e">
        <f t="shared" si="14"/>
        <v>#REF!</v>
      </c>
      <c r="H248" t="e">
        <f t="shared" si="15"/>
        <v>#REF!</v>
      </c>
    </row>
    <row r="249" spans="1:8">
      <c r="A249" t="str">
        <f>DICO_Export!D249</f>
        <v>transactionContext</v>
      </c>
      <c r="B249" t="str">
        <f>DICO_Export!E249</f>
        <v>keySerialNumber</v>
      </c>
      <c r="C249" t="e">
        <f>#REF!</f>
        <v>#REF!</v>
      </c>
      <c r="D249" t="e">
        <f>#REF!</f>
        <v>#REF!</v>
      </c>
      <c r="E249" t="str">
        <f t="shared" si="16"/>
        <v>trnsctnCntxt</v>
      </c>
      <c r="F249" t="str">
        <f t="shared" si="17"/>
        <v>kSrlNmbr</v>
      </c>
      <c r="G249" t="e">
        <f t="shared" si="14"/>
        <v>#REF!</v>
      </c>
      <c r="H249" t="e">
        <f t="shared" si="15"/>
        <v>#REF!</v>
      </c>
    </row>
    <row r="250" spans="1:8">
      <c r="A250" t="str">
        <f>DICO_Export!D250</f>
        <v>transactionContext</v>
      </c>
      <c r="B250" t="str">
        <f>DICO_Export!E250</f>
        <v>manualIndicator</v>
      </c>
      <c r="C250" t="e">
        <f>#REF!</f>
        <v>#REF!</v>
      </c>
      <c r="D250" t="e">
        <f>#REF!</f>
        <v>#REF!</v>
      </c>
      <c r="E250" t="str">
        <f t="shared" si="16"/>
        <v>trnsctnCntxt</v>
      </c>
      <c r="F250" t="str">
        <f t="shared" si="17"/>
        <v>mnlIndctr</v>
      </c>
      <c r="G250" t="e">
        <f t="shared" si="14"/>
        <v>#REF!</v>
      </c>
      <c r="H250" t="e">
        <f t="shared" si="15"/>
        <v>#REF!</v>
      </c>
    </row>
    <row r="251" spans="1:8">
      <c r="A251" t="str">
        <f>DICO_Export!D251</f>
        <v>transactionContext</v>
      </c>
      <c r="B251" t="str">
        <f>DICO_Export!E251</f>
        <v>messageReasonCode</v>
      </c>
      <c r="C251" t="e">
        <f>#REF!</f>
        <v>#REF!</v>
      </c>
      <c r="D251" t="e">
        <f>#REF!</f>
        <v>#REF!</v>
      </c>
      <c r="E251" t="str">
        <f t="shared" si="16"/>
        <v>trnsctnCntxt</v>
      </c>
      <c r="F251" t="str">
        <f t="shared" si="17"/>
        <v>mssgRsnCd</v>
      </c>
      <c r="G251" t="e">
        <f t="shared" si="14"/>
        <v>#REF!</v>
      </c>
      <c r="H251" t="e">
        <f t="shared" si="15"/>
        <v>#REF!</v>
      </c>
    </row>
    <row r="252" spans="1:8">
      <c r="A252" t="str">
        <f>DICO_Export!D252</f>
        <v>transactionContext</v>
      </c>
      <c r="B252" t="str">
        <f>DICO_Export!E252</f>
        <v>networkCodeDualRoute</v>
      </c>
      <c r="C252" t="e">
        <f>#REF!</f>
        <v>#REF!</v>
      </c>
      <c r="D252" t="e">
        <f>#REF!</f>
        <v>#REF!</v>
      </c>
      <c r="E252" t="str">
        <f t="shared" si="16"/>
        <v>trnsctnCntxt</v>
      </c>
      <c r="F252" t="str">
        <f t="shared" si="17"/>
        <v>ntwrkCdDlRt</v>
      </c>
      <c r="G252" t="e">
        <f t="shared" si="14"/>
        <v>#REF!</v>
      </c>
      <c r="H252" t="e">
        <f t="shared" si="15"/>
        <v>#REF!</v>
      </c>
    </row>
    <row r="253" spans="1:8">
      <c r="A253" t="str">
        <f>DICO_Export!D253</f>
        <v>transactionContext</v>
      </c>
      <c r="B253" t="str">
        <f>DICO_Export!E253</f>
        <v>networkCodeNominalRoute</v>
      </c>
      <c r="C253" t="e">
        <f>#REF!</f>
        <v>#REF!</v>
      </c>
      <c r="D253" t="e">
        <f>#REF!</f>
        <v>#REF!</v>
      </c>
      <c r="E253" t="str">
        <f t="shared" si="16"/>
        <v>trnsctnCntxt</v>
      </c>
      <c r="F253" t="str">
        <f t="shared" si="17"/>
        <v>ntwrkCdNmnlRt</v>
      </c>
      <c r="G253" t="e">
        <f t="shared" si="14"/>
        <v>#REF!</v>
      </c>
      <c r="H253" t="e">
        <f t="shared" si="15"/>
        <v>#REF!</v>
      </c>
    </row>
    <row r="254" spans="1:8">
      <c r="A254" t="str">
        <f>DICO_Export!D254</f>
        <v>transactionContext</v>
      </c>
      <c r="B254" t="str">
        <f>DICO_Export!E254</f>
        <v>networkService</v>
      </c>
      <c r="C254" t="e">
        <f>#REF!</f>
        <v>#REF!</v>
      </c>
      <c r="D254" t="e">
        <f>#REF!</f>
        <v>#REF!</v>
      </c>
      <c r="E254" t="str">
        <f t="shared" si="16"/>
        <v>trnsctnCntxt</v>
      </c>
      <c r="F254" t="str">
        <f t="shared" si="17"/>
        <v>ntwrkSrvc</v>
      </c>
      <c r="G254" t="e">
        <f t="shared" si="14"/>
        <v>#REF!</v>
      </c>
      <c r="H254" t="e">
        <f t="shared" si="15"/>
        <v>#REF!</v>
      </c>
    </row>
    <row r="255" spans="1:8">
      <c r="A255" t="str">
        <f>DICO_Export!D255</f>
        <v>transactionContext</v>
      </c>
      <c r="B255" t="str">
        <f>DICO_Export!E255</f>
        <v>networkSubService</v>
      </c>
      <c r="C255" t="e">
        <f>#REF!</f>
        <v>#REF!</v>
      </c>
      <c r="D255" t="e">
        <f>#REF!</f>
        <v>#REF!</v>
      </c>
      <c r="E255" t="str">
        <f t="shared" si="16"/>
        <v>trnsctnCntxt</v>
      </c>
      <c r="F255" t="str">
        <f t="shared" si="17"/>
        <v>ntwrkSbSrvc</v>
      </c>
      <c r="G255" t="e">
        <f t="shared" si="14"/>
        <v>#REF!</v>
      </c>
      <c r="H255" t="e">
        <f t="shared" si="15"/>
        <v>#REF!</v>
      </c>
    </row>
    <row r="256" spans="1:8">
      <c r="A256" t="str">
        <f>DICO_Export!D256</f>
        <v>transactionContext</v>
      </c>
      <c r="B256" t="str">
        <f>DICO_Export!E256</f>
        <v>nominalRouteId</v>
      </c>
      <c r="C256" t="e">
        <f>#REF!</f>
        <v>#REF!</v>
      </c>
      <c r="D256" t="e">
        <f>#REF!</f>
        <v>#REF!</v>
      </c>
      <c r="E256" t="str">
        <f t="shared" si="16"/>
        <v>trnsctnCntxt</v>
      </c>
      <c r="F256" t="str">
        <f t="shared" si="17"/>
        <v>nmnlRtId</v>
      </c>
      <c r="G256" t="e">
        <f t="shared" si="14"/>
        <v>#REF!</v>
      </c>
      <c r="H256" t="e">
        <f t="shared" si="15"/>
        <v>#REF!</v>
      </c>
    </row>
    <row r="257" spans="1:8">
      <c r="A257" t="str">
        <f>DICO_Export!D257</f>
        <v>transactionContext</v>
      </c>
      <c r="B257" t="str">
        <f>DICO_Export!E257</f>
        <v>nominalRouteService</v>
      </c>
      <c r="C257" t="e">
        <f>#REF!</f>
        <v>#REF!</v>
      </c>
      <c r="D257" t="e">
        <f>#REF!</f>
        <v>#REF!</v>
      </c>
      <c r="E257" t="str">
        <f t="shared" si="16"/>
        <v>trnsctnCntxt</v>
      </c>
      <c r="F257" t="str">
        <f t="shared" si="17"/>
        <v>nmnlRtSrvc</v>
      </c>
      <c r="G257" t="e">
        <f t="shared" si="14"/>
        <v>#REF!</v>
      </c>
      <c r="H257" t="e">
        <f t="shared" si="15"/>
        <v>#REF!</v>
      </c>
    </row>
    <row r="258" spans="1:8">
      <c r="A258" t="str">
        <f>DICO_Export!D258</f>
        <v>transactionContext</v>
      </c>
      <c r="B258" t="str">
        <f>DICO_Export!E258</f>
        <v>panEntryMode</v>
      </c>
      <c r="C258" t="e">
        <f>#REF!</f>
        <v>#REF!</v>
      </c>
      <c r="D258" t="e">
        <f>#REF!</f>
        <v>#REF!</v>
      </c>
      <c r="E258" t="str">
        <f t="shared" si="16"/>
        <v>trnsctnCntxt</v>
      </c>
      <c r="F258" t="str">
        <f t="shared" si="17"/>
        <v>pnEntrMd</v>
      </c>
      <c r="G258" t="e">
        <f t="shared" si="14"/>
        <v>#REF!</v>
      </c>
      <c r="H258" t="e">
        <f t="shared" si="15"/>
        <v>#REF!</v>
      </c>
    </row>
    <row r="259" spans="1:8">
      <c r="A259" t="str">
        <f>DICO_Export!D259</f>
        <v>transactionContext</v>
      </c>
      <c r="B259" t="str">
        <f>DICO_Export!E259</f>
        <v>paymentUseCase</v>
      </c>
      <c r="C259" t="e">
        <f>#REF!</f>
        <v>#REF!</v>
      </c>
      <c r="D259" t="e">
        <f>#REF!</f>
        <v>#REF!</v>
      </c>
      <c r="E259" t="str">
        <f t="shared" si="16"/>
        <v>trnsctnCntxt</v>
      </c>
      <c r="F259" t="str">
        <f t="shared" si="17"/>
        <v>pmntUsCs</v>
      </c>
      <c r="G259" t="e">
        <f t="shared" ref="G259:G322" si="18">LEFT(C259,1)&amp;SUBSTITUTE(SUBSTITUTE(SUBSTITUTE(SUBSTITUTE(SUBSTITUTE(SUBSTITUTE(SUBSTITUTE(RIGHT(C259,LEN(C259)-1),"a"," "),"e"," "),"i"," "),"o"," "),"u"," "),"y"," ")," ","")</f>
        <v>#REF!</v>
      </c>
      <c r="H259" t="e">
        <f t="shared" ref="H259:H322" si="19">LEFT(D259,1)&amp;SUBSTITUTE(SUBSTITUTE(SUBSTITUTE(SUBSTITUTE(SUBSTITUTE(SUBSTITUTE(SUBSTITUTE(RIGHT(D259,LEN(D259)-1),"a"," "),"e"," "),"i"," "),"o"," "),"u"," "),"y"," ")," ","")</f>
        <v>#REF!</v>
      </c>
    </row>
    <row r="260" spans="1:8">
      <c r="A260" t="str">
        <f>DICO_Export!D260</f>
        <v>transactionContext</v>
      </c>
      <c r="B260" t="str">
        <f>DICO_Export!E260</f>
        <v>pointOfServiceConditionCode</v>
      </c>
      <c r="C260" t="e">
        <f>#REF!</f>
        <v>#REF!</v>
      </c>
      <c r="D260" t="e">
        <f>#REF!</f>
        <v>#REF!</v>
      </c>
      <c r="E260" t="str">
        <f t="shared" ref="E260:E323" si="20">LEFT(A260,1)&amp;SUBSTITUTE(SUBSTITUTE(SUBSTITUTE(SUBSTITUTE(SUBSTITUTE(SUBSTITUTE(SUBSTITUTE(RIGHT(A260,LEN(A260)-1),"a"," "),"e"," "),"i"," "),"o"," "),"u"," "),"y"," ")," ","")</f>
        <v>trnsctnCntxt</v>
      </c>
      <c r="F260" t="str">
        <f t="shared" ref="F260:F323" si="21">LEFT(B260,1)&amp;SUBSTITUTE(SUBSTITUTE(SUBSTITUTE(SUBSTITUTE(SUBSTITUTE(SUBSTITUTE(SUBSTITUTE(RIGHT(B260,LEN(B260)-1),"a"," "),"e"," "),"i"," "),"o"," "),"u"," "),"y"," ")," ","")</f>
        <v>pntOfSrvcCndtnCd</v>
      </c>
      <c r="G260" t="e">
        <f t="shared" si="18"/>
        <v>#REF!</v>
      </c>
      <c r="H260" t="e">
        <f t="shared" si="19"/>
        <v>#REF!</v>
      </c>
    </row>
    <row r="261" spans="1:8">
      <c r="A261" t="str">
        <f>DICO_Export!D261</f>
        <v>transactionContext</v>
      </c>
      <c r="B261" t="str">
        <f>DICO_Export!E261</f>
        <v>preAuthorisationDuration</v>
      </c>
      <c r="C261" t="e">
        <f>#REF!</f>
        <v>#REF!</v>
      </c>
      <c r="D261" t="e">
        <f>#REF!</f>
        <v>#REF!</v>
      </c>
      <c r="E261" t="str">
        <f t="shared" si="20"/>
        <v>trnsctnCntxt</v>
      </c>
      <c r="F261" t="str">
        <f t="shared" si="21"/>
        <v>prAthrstnDrtn</v>
      </c>
      <c r="G261" t="e">
        <f t="shared" si="18"/>
        <v>#REF!</v>
      </c>
      <c r="H261" t="e">
        <f t="shared" si="19"/>
        <v>#REF!</v>
      </c>
    </row>
    <row r="262" spans="1:8">
      <c r="A262" t="str">
        <f>DICO_Export!D262</f>
        <v>transactionContext</v>
      </c>
      <c r="B262" t="str">
        <f>DICO_Export!E262</f>
        <v>purchaseCode</v>
      </c>
      <c r="C262" t="e">
        <f>#REF!</f>
        <v>#REF!</v>
      </c>
      <c r="D262" t="e">
        <f>#REF!</f>
        <v>#REF!</v>
      </c>
      <c r="E262" t="str">
        <f t="shared" si="20"/>
        <v>trnsctnCntxt</v>
      </c>
      <c r="F262" t="str">
        <f t="shared" si="21"/>
        <v>prchsCd</v>
      </c>
      <c r="G262" t="e">
        <f t="shared" si="18"/>
        <v>#REF!</v>
      </c>
      <c r="H262" t="e">
        <f t="shared" si="19"/>
        <v>#REF!</v>
      </c>
    </row>
    <row r="263" spans="1:8">
      <c r="A263" t="str">
        <f>DICO_Export!D263</f>
        <v>transactionContext</v>
      </c>
      <c r="B263" t="str">
        <f>DICO_Export!E263</f>
        <v>purchaseId</v>
      </c>
      <c r="C263" t="e">
        <f>#REF!</f>
        <v>#REF!</v>
      </c>
      <c r="D263" t="e">
        <f>#REF!</f>
        <v>#REF!</v>
      </c>
      <c r="E263" t="str">
        <f t="shared" si="20"/>
        <v>trnsctnCntxt</v>
      </c>
      <c r="F263" t="str">
        <f t="shared" si="21"/>
        <v>prchsId</v>
      </c>
      <c r="G263" t="e">
        <f t="shared" si="18"/>
        <v>#REF!</v>
      </c>
      <c r="H263" t="e">
        <f t="shared" si="19"/>
        <v>#REF!</v>
      </c>
    </row>
    <row r="264" spans="1:8">
      <c r="A264" t="str">
        <f>DICO_Export!D264</f>
        <v>transactionContext</v>
      </c>
      <c r="B264" t="str">
        <f>DICO_Export!E264</f>
        <v>reasonsForNotHonouringExemptions</v>
      </c>
      <c r="C264" t="e">
        <f>#REF!</f>
        <v>#REF!</v>
      </c>
      <c r="D264" t="e">
        <f>#REF!</f>
        <v>#REF!</v>
      </c>
      <c r="E264" t="str">
        <f t="shared" si="20"/>
        <v>trnsctnCntxt</v>
      </c>
      <c r="F264" t="str">
        <f t="shared" si="21"/>
        <v>rsnsFrNtHnrngExmptns</v>
      </c>
      <c r="G264" t="e">
        <f t="shared" si="18"/>
        <v>#REF!</v>
      </c>
      <c r="H264" t="e">
        <f t="shared" si="19"/>
        <v>#REF!</v>
      </c>
    </row>
    <row r="265" spans="1:8">
      <c r="A265" t="str">
        <f>DICO_Export!D265</f>
        <v>transactionContext</v>
      </c>
      <c r="B265" t="str">
        <f>DICO_Export!E265</f>
        <v>regulatoryAndTechnicalEnvironment</v>
      </c>
      <c r="C265" t="e">
        <f>#REF!</f>
        <v>#REF!</v>
      </c>
      <c r="D265" t="e">
        <f>#REF!</f>
        <v>#REF!</v>
      </c>
      <c r="E265" t="str">
        <f t="shared" si="20"/>
        <v>trnsctnCntxt</v>
      </c>
      <c r="F265" t="str">
        <f t="shared" si="21"/>
        <v>rgltrAndTchnclEnvrnmnt</v>
      </c>
      <c r="G265" t="e">
        <f t="shared" si="18"/>
        <v>#REF!</v>
      </c>
      <c r="H265" t="e">
        <f t="shared" si="19"/>
        <v>#REF!</v>
      </c>
    </row>
    <row r="266" spans="1:8">
      <c r="A266" t="str">
        <f>DICO_Export!D266</f>
        <v>transactionContext</v>
      </c>
      <c r="B266" t="str">
        <f>DICO_Export!E266</f>
        <v>resendCounter</v>
      </c>
      <c r="C266" t="e">
        <f>#REF!</f>
        <v>#REF!</v>
      </c>
      <c r="D266" t="e">
        <f>#REF!</f>
        <v>#REF!</v>
      </c>
      <c r="E266" t="str">
        <f t="shared" si="20"/>
        <v>trnsctnCntxt</v>
      </c>
      <c r="F266" t="str">
        <f t="shared" si="21"/>
        <v>rsndCntr</v>
      </c>
      <c r="G266" t="e">
        <f t="shared" si="18"/>
        <v>#REF!</v>
      </c>
      <c r="H266" t="e">
        <f t="shared" si="19"/>
        <v>#REF!</v>
      </c>
    </row>
    <row r="267" spans="1:8">
      <c r="A267" t="str">
        <f>DICO_Export!D267</f>
        <v>transactionContext</v>
      </c>
      <c r="B267" t="str">
        <f>DICO_Export!E267</f>
        <v>schemeNature</v>
      </c>
      <c r="C267" t="e">
        <f>#REF!</f>
        <v>#REF!</v>
      </c>
      <c r="D267" t="e">
        <f>#REF!</f>
        <v>#REF!</v>
      </c>
      <c r="E267" t="str">
        <f t="shared" si="20"/>
        <v>trnsctnCntxt</v>
      </c>
      <c r="F267" t="str">
        <f t="shared" si="21"/>
        <v>schmNtr</v>
      </c>
      <c r="G267" t="e">
        <f t="shared" si="18"/>
        <v>#REF!</v>
      </c>
      <c r="H267" t="e">
        <f t="shared" si="19"/>
        <v>#REF!</v>
      </c>
    </row>
    <row r="268" spans="1:8">
      <c r="A268" t="str">
        <f>DICO_Export!D268</f>
        <v>transactionContext</v>
      </c>
      <c r="B268" t="str">
        <f>DICO_Export!E268</f>
        <v>securizationNature</v>
      </c>
      <c r="C268" t="e">
        <f>#REF!</f>
        <v>#REF!</v>
      </c>
      <c r="D268" t="e">
        <f>#REF!</f>
        <v>#REF!</v>
      </c>
      <c r="E268" t="str">
        <f t="shared" si="20"/>
        <v>trnsctnCntxt</v>
      </c>
      <c r="F268" t="str">
        <f t="shared" si="21"/>
        <v>scrztnNtr</v>
      </c>
      <c r="G268" t="e">
        <f t="shared" si="18"/>
        <v>#REF!</v>
      </c>
      <c r="H268" t="e">
        <f t="shared" si="19"/>
        <v>#REF!</v>
      </c>
    </row>
    <row r="269" spans="1:8">
      <c r="A269" t="str">
        <f>DICO_Export!D269</f>
        <v>transactionContext</v>
      </c>
      <c r="B269" t="str">
        <f>DICO_Export!E269</f>
        <v>serviceAttribute</v>
      </c>
      <c r="C269" t="e">
        <f>#REF!</f>
        <v>#REF!</v>
      </c>
      <c r="D269" t="e">
        <f>#REF!</f>
        <v>#REF!</v>
      </c>
      <c r="E269" t="str">
        <f t="shared" si="20"/>
        <v>trnsctnCntxt</v>
      </c>
      <c r="F269" t="str">
        <f t="shared" si="21"/>
        <v>srvcAttrbt</v>
      </c>
      <c r="G269" t="e">
        <f t="shared" si="18"/>
        <v>#REF!</v>
      </c>
      <c r="H269" t="e">
        <f t="shared" si="19"/>
        <v>#REF!</v>
      </c>
    </row>
    <row r="270" spans="1:8">
      <c r="A270" t="str">
        <f>DICO_Export!D270</f>
        <v>transactionContext</v>
      </c>
      <c r="B270" t="str">
        <f>DICO_Export!E270</f>
        <v>serviceIndicator</v>
      </c>
      <c r="C270" t="e">
        <f>#REF!</f>
        <v>#REF!</v>
      </c>
      <c r="D270" t="e">
        <f>#REF!</f>
        <v>#REF!</v>
      </c>
      <c r="E270" t="str">
        <f t="shared" si="20"/>
        <v>trnsctnCntxt</v>
      </c>
      <c r="F270" t="str">
        <f t="shared" si="21"/>
        <v>srvcIndctr</v>
      </c>
      <c r="G270" t="e">
        <f t="shared" si="18"/>
        <v>#REF!</v>
      </c>
      <c r="H270" t="e">
        <f t="shared" si="19"/>
        <v>#REF!</v>
      </c>
    </row>
    <row r="271" spans="1:8">
      <c r="A271" t="str">
        <f>DICO_Export!D271</f>
        <v>transactionContext</v>
      </c>
      <c r="B271" t="str">
        <f>DICO_Export!E271</f>
        <v>serviceLocationAddress</v>
      </c>
      <c r="C271" t="e">
        <f>#REF!</f>
        <v>#REF!</v>
      </c>
      <c r="D271" t="e">
        <f>#REF!</f>
        <v>#REF!</v>
      </c>
      <c r="E271" t="str">
        <f t="shared" si="20"/>
        <v>trnsctnCntxt</v>
      </c>
      <c r="F271" t="str">
        <f t="shared" si="21"/>
        <v>srvcLctnAddrss</v>
      </c>
      <c r="G271" t="e">
        <f t="shared" si="18"/>
        <v>#REF!</v>
      </c>
      <c r="H271" t="e">
        <f t="shared" si="19"/>
        <v>#REF!</v>
      </c>
    </row>
    <row r="272" spans="1:8">
      <c r="A272" t="str">
        <f>DICO_Export!D272</f>
        <v>transactionContext</v>
      </c>
      <c r="B272" t="str">
        <f>DICO_Export!E272</f>
        <v>statusOfMessageDisplayPrintCapability</v>
      </c>
      <c r="C272" t="e">
        <f>#REF!</f>
        <v>#REF!</v>
      </c>
      <c r="D272" t="e">
        <f>#REF!</f>
        <v>#REF!</v>
      </c>
      <c r="E272" t="str">
        <f t="shared" si="20"/>
        <v>trnsctnCntxt</v>
      </c>
      <c r="F272" t="str">
        <f t="shared" si="21"/>
        <v>sttsOfMssgDsplPrntCpblt</v>
      </c>
      <c r="G272" t="e">
        <f t="shared" si="18"/>
        <v>#REF!</v>
      </c>
      <c r="H272" t="e">
        <f t="shared" si="19"/>
        <v>#REF!</v>
      </c>
    </row>
    <row r="273" spans="1:8">
      <c r="A273" t="str">
        <f>DICO_Export!D273</f>
        <v>transactionContext</v>
      </c>
      <c r="B273" t="str">
        <f>DICO_Export!E273</f>
        <v>storedDataCategory</v>
      </c>
      <c r="C273" t="e">
        <f>#REF!</f>
        <v>#REF!</v>
      </c>
      <c r="D273" t="e">
        <f>#REF!</f>
        <v>#REF!</v>
      </c>
      <c r="E273" t="str">
        <f t="shared" si="20"/>
        <v>trnsctnCntxt</v>
      </c>
      <c r="F273" t="str">
        <f t="shared" si="21"/>
        <v>strdDtCtgr</v>
      </c>
      <c r="G273" t="e">
        <f t="shared" si="18"/>
        <v>#REF!</v>
      </c>
      <c r="H273" t="e">
        <f t="shared" si="19"/>
        <v>#REF!</v>
      </c>
    </row>
    <row r="274" spans="1:8">
      <c r="A274" t="str">
        <f>DICO_Export!D274</f>
        <v>transactionContext</v>
      </c>
      <c r="B274" t="str">
        <f>DICO_Export!E274</f>
        <v>systemAuthenticatingTheCardholder</v>
      </c>
      <c r="C274" t="e">
        <f>#REF!</f>
        <v>#REF!</v>
      </c>
      <c r="D274" t="e">
        <f>#REF!</f>
        <v>#REF!</v>
      </c>
      <c r="E274" t="str">
        <f t="shared" si="20"/>
        <v>trnsctnCntxt</v>
      </c>
      <c r="F274" t="str">
        <f t="shared" si="21"/>
        <v>sstmAthntctngThCrdhldr</v>
      </c>
      <c r="G274" t="e">
        <f t="shared" si="18"/>
        <v>#REF!</v>
      </c>
      <c r="H274" t="e">
        <f t="shared" si="19"/>
        <v>#REF!</v>
      </c>
    </row>
    <row r="275" spans="1:8">
      <c r="A275" t="str">
        <f>DICO_Export!D275</f>
        <v>transactionContext</v>
      </c>
      <c r="B275" t="str">
        <f>DICO_Export!E275</f>
        <v>temp_authorisationCharacteristicsIndicator</v>
      </c>
      <c r="C275" t="e">
        <f>#REF!</f>
        <v>#REF!</v>
      </c>
      <c r="D275" t="e">
        <f>#REF!</f>
        <v>#REF!</v>
      </c>
      <c r="E275" t="str">
        <f t="shared" si="20"/>
        <v>trnsctnCntxt</v>
      </c>
      <c r="F275" t="str">
        <f t="shared" si="21"/>
        <v>tmp_thrstnChrctrstcsIndctr</v>
      </c>
      <c r="G275" t="e">
        <f t="shared" si="18"/>
        <v>#REF!</v>
      </c>
      <c r="H275" t="e">
        <f t="shared" si="19"/>
        <v>#REF!</v>
      </c>
    </row>
    <row r="276" spans="1:8">
      <c r="A276" t="str">
        <f>DICO_Export!D276</f>
        <v>transactionContext</v>
      </c>
      <c r="B276" t="str">
        <f>DICO_Export!E276</f>
        <v>temp_dialogTelerametrageFunctionCode</v>
      </c>
      <c r="C276" t="e">
        <f>#REF!</f>
        <v>#REF!</v>
      </c>
      <c r="D276" t="e">
        <f>#REF!</f>
        <v>#REF!</v>
      </c>
      <c r="E276" t="str">
        <f t="shared" si="20"/>
        <v>trnsctnCntxt</v>
      </c>
      <c r="F276" t="str">
        <f t="shared" si="21"/>
        <v>tmp_dlgTlrmtrgFnctnCd</v>
      </c>
      <c r="G276" t="e">
        <f t="shared" si="18"/>
        <v>#REF!</v>
      </c>
      <c r="H276" t="e">
        <f t="shared" si="19"/>
        <v>#REF!</v>
      </c>
    </row>
    <row r="277" spans="1:8">
      <c r="A277" t="str">
        <f>DICO_Export!D277</f>
        <v>transactionContext</v>
      </c>
      <c r="B277" t="str">
        <f>DICO_Export!E277</f>
        <v>temp_earlierGMTPeriod</v>
      </c>
      <c r="C277" t="e">
        <f>#REF!</f>
        <v>#REF!</v>
      </c>
      <c r="D277" t="e">
        <f>#REF!</f>
        <v>#REF!</v>
      </c>
      <c r="E277" t="str">
        <f t="shared" si="20"/>
        <v>trnsctnCntxt</v>
      </c>
      <c r="F277" t="str">
        <f t="shared" si="21"/>
        <v>tmp_rlrGMTPrd</v>
      </c>
      <c r="G277" t="e">
        <f t="shared" si="18"/>
        <v>#REF!</v>
      </c>
      <c r="H277" t="e">
        <f t="shared" si="19"/>
        <v>#REF!</v>
      </c>
    </row>
    <row r="278" spans="1:8">
      <c r="A278" t="str">
        <f>DICO_Export!D278</f>
        <v>transactionContext</v>
      </c>
      <c r="B278" t="str">
        <f>DICO_Export!E278</f>
        <v>temp_extendedSelectionSupportFlag</v>
      </c>
      <c r="C278" t="e">
        <f>#REF!</f>
        <v>#REF!</v>
      </c>
      <c r="D278" t="e">
        <f>#REF!</f>
        <v>#REF!</v>
      </c>
      <c r="E278" t="str">
        <f t="shared" si="20"/>
        <v>trnsctnCntxt</v>
      </c>
      <c r="F278" t="str">
        <f t="shared" si="21"/>
        <v>tmp_xtnddSlctnSpprtFlg</v>
      </c>
      <c r="G278" t="e">
        <f t="shared" si="18"/>
        <v>#REF!</v>
      </c>
      <c r="H278" t="e">
        <f t="shared" si="19"/>
        <v>#REF!</v>
      </c>
    </row>
    <row r="279" spans="1:8">
      <c r="A279" t="str">
        <f>DICO_Export!D279</f>
        <v>transactionContext</v>
      </c>
      <c r="B279" t="str">
        <f>DICO_Export!E279</f>
        <v>temp_gMTDifference</v>
      </c>
      <c r="C279" t="e">
        <f>#REF!</f>
        <v>#REF!</v>
      </c>
      <c r="D279" t="e">
        <f>#REF!</f>
        <v>#REF!</v>
      </c>
      <c r="E279" t="str">
        <f t="shared" si="20"/>
        <v>trnsctnCntxt</v>
      </c>
      <c r="F279" t="str">
        <f t="shared" si="21"/>
        <v>tmp_gMTDffrnc</v>
      </c>
      <c r="G279" t="e">
        <f t="shared" si="18"/>
        <v>#REF!</v>
      </c>
      <c r="H279" t="e">
        <f t="shared" si="19"/>
        <v>#REF!</v>
      </c>
    </row>
    <row r="280" spans="1:8">
      <c r="A280" t="str">
        <f>DICO_Export!D280</f>
        <v>transactionContext</v>
      </c>
      <c r="B280" t="str">
        <f>DICO_Export!E280</f>
        <v>temp_laterGMTPeriod</v>
      </c>
      <c r="C280" t="e">
        <f>#REF!</f>
        <v>#REF!</v>
      </c>
      <c r="D280" t="e">
        <f>#REF!</f>
        <v>#REF!</v>
      </c>
      <c r="E280" t="str">
        <f t="shared" si="20"/>
        <v>trnsctnCntxt</v>
      </c>
      <c r="F280" t="str">
        <f t="shared" si="21"/>
        <v>tmp_ltrGMTPrd</v>
      </c>
      <c r="G280" t="e">
        <f t="shared" si="18"/>
        <v>#REF!</v>
      </c>
      <c r="H280" t="e">
        <f t="shared" si="19"/>
        <v>#REF!</v>
      </c>
    </row>
    <row r="281" spans="1:8">
      <c r="A281" t="str">
        <f>DICO_Export!D281</f>
        <v>transactionContext</v>
      </c>
      <c r="B281" t="str">
        <f>DICO_Export!E281</f>
        <v>temp_responseCodeISO</v>
      </c>
      <c r="C281" t="e">
        <f>#REF!</f>
        <v>#REF!</v>
      </c>
      <c r="D281" t="e">
        <f>#REF!</f>
        <v>#REF!</v>
      </c>
      <c r="E281" t="str">
        <f t="shared" si="20"/>
        <v>trnsctnCntxt</v>
      </c>
      <c r="F281" t="str">
        <f t="shared" si="21"/>
        <v>tmp_rspnsCdISO</v>
      </c>
      <c r="G281" t="e">
        <f t="shared" si="18"/>
        <v>#REF!</v>
      </c>
      <c r="H281" t="e">
        <f t="shared" si="19"/>
        <v>#REF!</v>
      </c>
    </row>
    <row r="282" spans="1:8">
      <c r="A282" t="str">
        <f>DICO_Export!D282</f>
        <v>transactionContext</v>
      </c>
      <c r="B282" t="str">
        <f>DICO_Export!E282</f>
        <v>temp_securityTransactionMode</v>
      </c>
      <c r="C282" t="e">
        <f>#REF!</f>
        <v>#REF!</v>
      </c>
      <c r="D282" t="e">
        <f>#REF!</f>
        <v>#REF!</v>
      </c>
      <c r="E282" t="str">
        <f t="shared" si="20"/>
        <v>trnsctnCntxt</v>
      </c>
      <c r="F282" t="str">
        <f t="shared" si="21"/>
        <v>tmp_scrtTrnsctnMd</v>
      </c>
      <c r="G282" t="e">
        <f t="shared" si="18"/>
        <v>#REF!</v>
      </c>
      <c r="H282" t="e">
        <f t="shared" si="19"/>
        <v>#REF!</v>
      </c>
    </row>
    <row r="283" spans="1:8">
      <c r="A283" t="str">
        <f>DICO_Export!D283</f>
        <v>transactionContext</v>
      </c>
      <c r="B283" t="str">
        <f>DICO_Export!E283</f>
        <v>temp_transactionConditions</v>
      </c>
      <c r="C283" t="e">
        <f>#REF!</f>
        <v>#REF!</v>
      </c>
      <c r="D283" t="e">
        <f>#REF!</f>
        <v>#REF!</v>
      </c>
      <c r="E283" t="str">
        <f t="shared" si="20"/>
        <v>trnsctnCntxt</v>
      </c>
      <c r="F283" t="str">
        <f t="shared" si="21"/>
        <v>tmp_trnsctnCndtns</v>
      </c>
      <c r="G283" t="e">
        <f t="shared" si="18"/>
        <v>#REF!</v>
      </c>
      <c r="H283" t="e">
        <f t="shared" si="19"/>
        <v>#REF!</v>
      </c>
    </row>
    <row r="284" spans="1:8">
      <c r="A284" t="str">
        <f>DICO_Export!D284</f>
        <v>transactionContext</v>
      </c>
      <c r="B284" t="str">
        <f>DICO_Export!E284</f>
        <v>temp_treatmentContext</v>
      </c>
      <c r="C284" t="e">
        <f>#REF!</f>
        <v>#REF!</v>
      </c>
      <c r="D284" t="e">
        <f>#REF!</f>
        <v>#REF!</v>
      </c>
      <c r="E284" t="str">
        <f t="shared" si="20"/>
        <v>trnsctnCntxt</v>
      </c>
      <c r="F284" t="str">
        <f t="shared" si="21"/>
        <v>tmp_trtmntCntxt</v>
      </c>
      <c r="G284" t="e">
        <f t="shared" si="18"/>
        <v>#REF!</v>
      </c>
      <c r="H284" t="e">
        <f t="shared" si="19"/>
        <v>#REF!</v>
      </c>
    </row>
    <row r="285" spans="1:8">
      <c r="A285" t="str">
        <f>DICO_Export!D285</f>
        <v>transactionContext</v>
      </c>
      <c r="B285" t="str">
        <f>DICO_Export!E285</f>
        <v>terminalActionCodeDefault</v>
      </c>
      <c r="C285" t="e">
        <f>#REF!</f>
        <v>#REF!</v>
      </c>
      <c r="D285" t="e">
        <f>#REF!</f>
        <v>#REF!</v>
      </c>
      <c r="E285" t="str">
        <f t="shared" si="20"/>
        <v>trnsctnCntxt</v>
      </c>
      <c r="F285" t="str">
        <f t="shared" si="21"/>
        <v>trmnlActnCdDflt</v>
      </c>
      <c r="G285" t="e">
        <f t="shared" si="18"/>
        <v>#REF!</v>
      </c>
      <c r="H285" t="e">
        <f t="shared" si="19"/>
        <v>#REF!</v>
      </c>
    </row>
    <row r="286" spans="1:8">
      <c r="A286" t="str">
        <f>DICO_Export!D286</f>
        <v>transactionContext</v>
      </c>
      <c r="B286" t="str">
        <f>DICO_Export!E286</f>
        <v>terminalActionCodeDenial</v>
      </c>
      <c r="C286" t="e">
        <f>#REF!</f>
        <v>#REF!</v>
      </c>
      <c r="D286" t="e">
        <f>#REF!</f>
        <v>#REF!</v>
      </c>
      <c r="E286" t="str">
        <f t="shared" si="20"/>
        <v>trnsctnCntxt</v>
      </c>
      <c r="F286" t="str">
        <f t="shared" si="21"/>
        <v>trmnlActnCdDnl</v>
      </c>
      <c r="G286" t="e">
        <f t="shared" si="18"/>
        <v>#REF!</v>
      </c>
      <c r="H286" t="e">
        <f t="shared" si="19"/>
        <v>#REF!</v>
      </c>
    </row>
    <row r="287" spans="1:8">
      <c r="A287" t="str">
        <f>DICO_Export!D287</f>
        <v>transactionContext</v>
      </c>
      <c r="B287" t="str">
        <f>DICO_Export!E287</f>
        <v>terminalActionCodeOnline</v>
      </c>
      <c r="C287" t="e">
        <f>#REF!</f>
        <v>#REF!</v>
      </c>
      <c r="D287" t="e">
        <f>#REF!</f>
        <v>#REF!</v>
      </c>
      <c r="E287" t="str">
        <f t="shared" si="20"/>
        <v>trnsctnCntxt</v>
      </c>
      <c r="F287" t="str">
        <f t="shared" si="21"/>
        <v>trmnlActnCdOnln</v>
      </c>
      <c r="G287" t="e">
        <f t="shared" si="18"/>
        <v>#REF!</v>
      </c>
      <c r="H287" t="e">
        <f t="shared" si="19"/>
        <v>#REF!</v>
      </c>
    </row>
    <row r="288" spans="1:8">
      <c r="A288" t="str">
        <f>DICO_Export!D288</f>
        <v>transactionContext</v>
      </c>
      <c r="B288" t="str">
        <f>DICO_Export!E288</f>
        <v>tracabilityEventID</v>
      </c>
      <c r="C288" t="e">
        <f>#REF!</f>
        <v>#REF!</v>
      </c>
      <c r="D288" t="e">
        <f>#REF!</f>
        <v>#REF!</v>
      </c>
      <c r="E288" t="str">
        <f t="shared" si="20"/>
        <v>trnsctnCntxt</v>
      </c>
      <c r="F288" t="str">
        <f t="shared" si="21"/>
        <v>trcbltEvntID</v>
      </c>
      <c r="G288" t="e">
        <f t="shared" si="18"/>
        <v>#REF!</v>
      </c>
      <c r="H288" t="e">
        <f t="shared" si="19"/>
        <v>#REF!</v>
      </c>
    </row>
    <row r="289" spans="1:8">
      <c r="A289" t="str">
        <f>DICO_Export!D289</f>
        <v>transactionContext</v>
      </c>
      <c r="B289" t="str">
        <f>DICO_Export!E289</f>
        <v>traceabilityService</v>
      </c>
      <c r="C289" t="e">
        <f>#REF!</f>
        <v>#REF!</v>
      </c>
      <c r="D289" t="e">
        <f>#REF!</f>
        <v>#REF!</v>
      </c>
      <c r="E289" t="str">
        <f t="shared" si="20"/>
        <v>trnsctnCntxt</v>
      </c>
      <c r="F289" t="str">
        <f t="shared" si="21"/>
        <v>trcbltSrvc</v>
      </c>
      <c r="G289" t="e">
        <f t="shared" si="18"/>
        <v>#REF!</v>
      </c>
      <c r="H289" t="e">
        <f t="shared" si="19"/>
        <v>#REF!</v>
      </c>
    </row>
    <row r="290" spans="1:8">
      <c r="A290" t="str">
        <f>DICO_Export!D290</f>
        <v>transactionContext</v>
      </c>
      <c r="B290" t="str">
        <f>DICO_Export!E290</f>
        <v>transactionNature</v>
      </c>
      <c r="C290" t="e">
        <f>#REF!</f>
        <v>#REF!</v>
      </c>
      <c r="D290" t="e">
        <f>#REF!</f>
        <v>#REF!</v>
      </c>
      <c r="E290" t="str">
        <f t="shared" si="20"/>
        <v>trnsctnCntxt</v>
      </c>
      <c r="F290" t="str">
        <f t="shared" si="21"/>
        <v>trnsctnNtr</v>
      </c>
      <c r="G290" t="e">
        <f t="shared" si="18"/>
        <v>#REF!</v>
      </c>
      <c r="H290" t="e">
        <f t="shared" si="19"/>
        <v>#REF!</v>
      </c>
    </row>
    <row r="291" spans="1:8">
      <c r="A291" t="str">
        <f>DICO_Export!D291</f>
        <v>transactionContext</v>
      </c>
      <c r="B291" t="str">
        <f>DICO_Export!E291</f>
        <v>typeOfMedia</v>
      </c>
      <c r="C291" t="e">
        <f>#REF!</f>
        <v>#REF!</v>
      </c>
      <c r="D291" t="e">
        <f>#REF!</f>
        <v>#REF!</v>
      </c>
      <c r="E291" t="str">
        <f t="shared" si="20"/>
        <v>trnsctnCntxt</v>
      </c>
      <c r="F291" t="str">
        <f t="shared" si="21"/>
        <v>tpOfMd</v>
      </c>
      <c r="G291" t="e">
        <f t="shared" si="18"/>
        <v>#REF!</v>
      </c>
      <c r="H291" t="e">
        <f t="shared" si="19"/>
        <v>#REF!</v>
      </c>
    </row>
    <row r="292" spans="1:8">
      <c r="A292" t="str">
        <f>DICO_Export!D292</f>
        <v>transactionContext</v>
      </c>
      <c r="B292" t="str">
        <f>DICO_Export!E292</f>
        <v>usedKernelId</v>
      </c>
      <c r="C292" t="e">
        <f>#REF!</f>
        <v>#REF!</v>
      </c>
      <c r="D292" t="e">
        <f>#REF!</f>
        <v>#REF!</v>
      </c>
      <c r="E292" t="str">
        <f t="shared" si="20"/>
        <v>trnsctnCntxt</v>
      </c>
      <c r="F292" t="str">
        <f t="shared" si="21"/>
        <v>usdKrnlId</v>
      </c>
      <c r="G292" t="e">
        <f t="shared" si="18"/>
        <v>#REF!</v>
      </c>
      <c r="H292" t="e">
        <f t="shared" si="19"/>
        <v>#REF!</v>
      </c>
    </row>
    <row r="293" spans="1:8">
      <c r="A293" t="str">
        <f>DICO_Export!D293</f>
        <v>transactionContext</v>
      </c>
      <c r="B293" t="str">
        <f>DICO_Export!E293</f>
        <v>uuidContainerCategory</v>
      </c>
      <c r="C293" t="e">
        <f>#REF!</f>
        <v>#REF!</v>
      </c>
      <c r="D293" t="e">
        <f>#REF!</f>
        <v>#REF!</v>
      </c>
      <c r="E293" t="str">
        <f t="shared" si="20"/>
        <v>trnsctnCntxt</v>
      </c>
      <c r="F293" t="str">
        <f t="shared" si="21"/>
        <v>udCntnrCtgr</v>
      </c>
      <c r="G293" t="e">
        <f t="shared" si="18"/>
        <v>#REF!</v>
      </c>
      <c r="H293" t="e">
        <f t="shared" si="19"/>
        <v>#REF!</v>
      </c>
    </row>
    <row r="294" spans="1:8">
      <c r="A294" t="str">
        <f>DICO_Export!D294</f>
        <v>transactionContext</v>
      </c>
      <c r="B294" t="str">
        <f>DICO_Export!E294</f>
        <v>uuidContainerValue</v>
      </c>
      <c r="C294" t="e">
        <f>#REF!</f>
        <v>#REF!</v>
      </c>
      <c r="D294" t="e">
        <f>#REF!</f>
        <v>#REF!</v>
      </c>
      <c r="E294" t="str">
        <f t="shared" si="20"/>
        <v>trnsctnCntxt</v>
      </c>
      <c r="F294" t="str">
        <f t="shared" si="21"/>
        <v>udCntnrVl</v>
      </c>
      <c r="G294" t="e">
        <f t="shared" si="18"/>
        <v>#REF!</v>
      </c>
      <c r="H294" t="e">
        <f t="shared" si="19"/>
        <v>#REF!</v>
      </c>
    </row>
    <row r="295" spans="1:8">
      <c r="A295" t="str">
        <f>DICO_Export!D295</f>
        <v>transactionContext</v>
      </c>
      <c r="B295" t="str">
        <f>DICO_Export!E295</f>
        <v>visaB2BProgramId</v>
      </c>
      <c r="C295" t="e">
        <f>#REF!</f>
        <v>#REF!</v>
      </c>
      <c r="D295" t="e">
        <f>#REF!</f>
        <v>#REF!</v>
      </c>
      <c r="E295" t="str">
        <f t="shared" si="20"/>
        <v>trnsctnCntxt</v>
      </c>
      <c r="F295" t="str">
        <f t="shared" si="21"/>
        <v>vsB2BPrgrmId</v>
      </c>
      <c r="G295" t="e">
        <f t="shared" si="18"/>
        <v>#REF!</v>
      </c>
      <c r="H295" t="e">
        <f t="shared" si="19"/>
        <v>#REF!</v>
      </c>
    </row>
    <row r="296" spans="1:8">
      <c r="A296" t="str">
        <f>DICO_Export!D296</f>
        <v>verification</v>
      </c>
      <c r="B296" t="str">
        <f>DICO_Export!E296</f>
        <v>accountNameRequestValue</v>
      </c>
      <c r="C296" t="e">
        <f>#REF!</f>
        <v>#REF!</v>
      </c>
      <c r="D296" t="e">
        <f>#REF!</f>
        <v>#REF!</v>
      </c>
      <c r="E296" t="str">
        <f t="shared" si="20"/>
        <v>vrfctn</v>
      </c>
      <c r="F296" t="str">
        <f t="shared" si="21"/>
        <v>accntNmRqstVl</v>
      </c>
      <c r="G296" t="e">
        <f t="shared" si="18"/>
        <v>#REF!</v>
      </c>
      <c r="H296" t="e">
        <f t="shared" si="19"/>
        <v>#REF!</v>
      </c>
    </row>
    <row r="297" spans="1:8">
      <c r="A297" t="str">
        <f>DICO_Export!D297</f>
        <v>verification</v>
      </c>
      <c r="B297" t="str">
        <f>DICO_Export!E297</f>
        <v>acknowledgementRequestIndicator</v>
      </c>
      <c r="C297" t="e">
        <f>#REF!</f>
        <v>#REF!</v>
      </c>
      <c r="D297" t="e">
        <f>#REF!</f>
        <v>#REF!</v>
      </c>
      <c r="E297" t="str">
        <f t="shared" si="20"/>
        <v>vrfctn</v>
      </c>
      <c r="F297" t="str">
        <f t="shared" si="21"/>
        <v>acknwldgmntRqstIndctr</v>
      </c>
      <c r="G297" t="e">
        <f t="shared" si="18"/>
        <v>#REF!</v>
      </c>
      <c r="H297" t="e">
        <f t="shared" si="19"/>
        <v>#REF!</v>
      </c>
    </row>
    <row r="298" spans="1:8">
      <c r="A298" t="str">
        <f>DICO_Export!D298</f>
        <v>verification</v>
      </c>
      <c r="B298" t="str">
        <f>DICO_Export!E298</f>
        <v>cardholderAuthenticationMethod</v>
      </c>
      <c r="C298" t="e">
        <f>#REF!</f>
        <v>#REF!</v>
      </c>
      <c r="D298" t="e">
        <f>#REF!</f>
        <v>#REF!</v>
      </c>
      <c r="E298" t="str">
        <f t="shared" si="20"/>
        <v>vrfctn</v>
      </c>
      <c r="F298" t="str">
        <f t="shared" si="21"/>
        <v>crdhldrAthntctnMthd</v>
      </c>
      <c r="G298" t="e">
        <f t="shared" si="18"/>
        <v>#REF!</v>
      </c>
      <c r="H298" t="e">
        <f t="shared" si="19"/>
        <v>#REF!</v>
      </c>
    </row>
    <row r="299" spans="1:8">
      <c r="A299" t="str">
        <f>DICO_Export!D299</f>
        <v>verification</v>
      </c>
      <c r="B299" t="str">
        <f>DICO_Export!E299</f>
        <v>cardholderAuthenticationValueProcessingInfo</v>
      </c>
      <c r="C299" t="e">
        <f>#REF!</f>
        <v>#REF!</v>
      </c>
      <c r="D299" t="e">
        <f>#REF!</f>
        <v>#REF!</v>
      </c>
      <c r="E299" t="str">
        <f t="shared" si="20"/>
        <v>vrfctn</v>
      </c>
      <c r="F299" t="str">
        <f t="shared" si="21"/>
        <v>crdhldrAthntctnVlPrcssngInf</v>
      </c>
      <c r="G299" t="e">
        <f t="shared" si="18"/>
        <v>#REF!</v>
      </c>
      <c r="H299" t="e">
        <f t="shared" si="19"/>
        <v>#REF!</v>
      </c>
    </row>
    <row r="300" spans="1:8">
      <c r="A300" t="str">
        <f>DICO_Export!D300</f>
        <v>verification</v>
      </c>
      <c r="B300" t="str">
        <f>DICO_Export!E300</f>
        <v>keySetIdentifier</v>
      </c>
      <c r="C300" t="e">
        <f>#REF!</f>
        <v>#REF!</v>
      </c>
      <c r="D300" t="e">
        <f>#REF!</f>
        <v>#REF!</v>
      </c>
      <c r="E300" t="str">
        <f t="shared" si="20"/>
        <v>vrfctn</v>
      </c>
      <c r="F300" t="str">
        <f t="shared" si="21"/>
        <v>kStIdntfr</v>
      </c>
      <c r="G300" t="e">
        <f t="shared" si="18"/>
        <v>#REF!</v>
      </c>
      <c r="H300" t="e">
        <f t="shared" si="19"/>
        <v>#REF!</v>
      </c>
    </row>
    <row r="301" spans="1:8">
      <c r="A301" t="str">
        <f>DICO_Export!D301</f>
        <v>verification</v>
      </c>
      <c r="B301" t="str">
        <f>DICO_Export!E301</f>
        <v>secureCorporatePaymentExemptionIndicator</v>
      </c>
      <c r="C301" t="e">
        <f>#REF!</f>
        <v>#REF!</v>
      </c>
      <c r="D301" t="e">
        <f>#REF!</f>
        <v>#REF!</v>
      </c>
      <c r="E301" t="str">
        <f t="shared" si="20"/>
        <v>vrfctn</v>
      </c>
      <c r="F301" t="str">
        <f t="shared" si="21"/>
        <v>scrCrprtPmntExmptnIndctr</v>
      </c>
      <c r="G301" t="e">
        <f t="shared" si="18"/>
        <v>#REF!</v>
      </c>
      <c r="H301" t="e">
        <f t="shared" si="19"/>
        <v>#REF!</v>
      </c>
    </row>
    <row r="302" spans="1:8">
      <c r="A302" t="str">
        <f>DICO_Export!D302</f>
        <v>verificationValue</v>
      </c>
      <c r="B302" t="str">
        <f>DICO_Export!E302</f>
        <v>cardholderAuthenticationValueCalculationMethod</v>
      </c>
      <c r="C302" t="e">
        <f>#REF!</f>
        <v>#REF!</v>
      </c>
      <c r="D302" t="e">
        <f>#REF!</f>
        <v>#REF!</v>
      </c>
      <c r="E302" t="str">
        <f t="shared" si="20"/>
        <v>vrfctnVl</v>
      </c>
      <c r="F302" t="str">
        <f t="shared" si="21"/>
        <v>crdhldrAthntctnVlClcltnMthd</v>
      </c>
      <c r="G302" t="e">
        <f t="shared" si="18"/>
        <v>#REF!</v>
      </c>
      <c r="H302" t="e">
        <f t="shared" si="19"/>
        <v>#REF!</v>
      </c>
    </row>
    <row r="303" spans="1:8">
      <c r="A303" t="str">
        <f>DICO_Export!D303</f>
        <v>verificationValue</v>
      </c>
      <c r="B303" t="str">
        <f>DICO_Export!E303</f>
        <v>paymentSolutionProof</v>
      </c>
      <c r="C303" t="e">
        <f>#REF!</f>
        <v>#REF!</v>
      </c>
      <c r="D303" t="e">
        <f>#REF!</f>
        <v>#REF!</v>
      </c>
      <c r="E303" t="str">
        <f t="shared" si="20"/>
        <v>vrfctnVl</v>
      </c>
      <c r="F303" t="str">
        <f t="shared" si="21"/>
        <v>pmntSltnPrf</v>
      </c>
      <c r="G303" t="e">
        <f t="shared" si="18"/>
        <v>#REF!</v>
      </c>
      <c r="H303" t="e">
        <f t="shared" si="19"/>
        <v>#REF!</v>
      </c>
    </row>
    <row r="304" spans="1:8">
      <c r="A304" t="str">
        <f>DICO_Export!D304</f>
        <v>acquirer</v>
      </c>
      <c r="B304" t="str">
        <f>DICO_Export!E304</f>
        <v>acquirerBankIdentifierNumber</v>
      </c>
      <c r="C304" t="e">
        <f>#REF!</f>
        <v>#REF!</v>
      </c>
      <c r="D304" t="e">
        <f>#REF!</f>
        <v>#REF!</v>
      </c>
      <c r="E304" t="str">
        <f t="shared" si="20"/>
        <v>acqrr</v>
      </c>
      <c r="F304" t="str">
        <f t="shared" si="21"/>
        <v>acqrrBnkIdntfrNmbr</v>
      </c>
      <c r="G304" t="e">
        <f t="shared" si="18"/>
        <v>#REF!</v>
      </c>
      <c r="H304" t="e">
        <f t="shared" si="19"/>
        <v>#REF!</v>
      </c>
    </row>
    <row r="305" spans="1:8">
      <c r="A305" t="str">
        <f>DICO_Export!D305</f>
        <v>acquirer</v>
      </c>
      <c r="B305" t="str">
        <f>DICO_Export!E305</f>
        <v>acquirerDomain</v>
      </c>
      <c r="C305" t="e">
        <f>#REF!</f>
        <v>#REF!</v>
      </c>
      <c r="D305" t="e">
        <f>#REF!</f>
        <v>#REF!</v>
      </c>
      <c r="E305" t="str">
        <f t="shared" si="20"/>
        <v>acqrr</v>
      </c>
      <c r="F305" t="str">
        <f t="shared" si="21"/>
        <v>acqrrDmn</v>
      </c>
      <c r="G305" t="e">
        <f t="shared" si="18"/>
        <v>#REF!</v>
      </c>
      <c r="H305" t="e">
        <f t="shared" si="19"/>
        <v>#REF!</v>
      </c>
    </row>
    <row r="306" spans="1:8">
      <c r="A306" t="str">
        <f>DICO_Export!D306</f>
        <v>acquirer</v>
      </c>
      <c r="B306" t="str">
        <f>DICO_Export!E306</f>
        <v>acquirerId</v>
      </c>
      <c r="C306" t="e">
        <f>#REF!</f>
        <v>#REF!</v>
      </c>
      <c r="D306" t="e">
        <f>#REF!</f>
        <v>#REF!</v>
      </c>
      <c r="E306" t="str">
        <f t="shared" si="20"/>
        <v>acqrr</v>
      </c>
      <c r="F306" t="str">
        <f t="shared" si="21"/>
        <v>acqrrId</v>
      </c>
      <c r="G306" t="e">
        <f t="shared" si="18"/>
        <v>#REF!</v>
      </c>
      <c r="H306" t="e">
        <f t="shared" si="19"/>
        <v>#REF!</v>
      </c>
    </row>
    <row r="307" spans="1:8">
      <c r="A307" t="str">
        <f>DICO_Export!D307</f>
        <v>acquirer</v>
      </c>
      <c r="B307" t="str">
        <f>DICO_Export!E307</f>
        <v>acquirerInstitutionId</v>
      </c>
      <c r="C307" t="e">
        <f>#REF!</f>
        <v>#REF!</v>
      </c>
      <c r="D307" t="e">
        <f>#REF!</f>
        <v>#REF!</v>
      </c>
      <c r="E307" t="str">
        <f t="shared" si="20"/>
        <v>acqrr</v>
      </c>
      <c r="F307" t="str">
        <f t="shared" si="21"/>
        <v>acqrrInstttnId</v>
      </c>
      <c r="G307" t="e">
        <f t="shared" si="18"/>
        <v>#REF!</v>
      </c>
      <c r="H307" t="e">
        <f t="shared" si="19"/>
        <v>#REF!</v>
      </c>
    </row>
    <row r="308" spans="1:8">
      <c r="A308" t="str">
        <f>DICO_Export!D308</f>
        <v>acquirer</v>
      </c>
      <c r="B308" t="str">
        <f>DICO_Export!E308</f>
        <v>acquirerLeaderInstitutionId</v>
      </c>
      <c r="C308" t="e">
        <f>#REF!</f>
        <v>#REF!</v>
      </c>
      <c r="D308" t="e">
        <f>#REF!</f>
        <v>#REF!</v>
      </c>
      <c r="E308" t="str">
        <f t="shared" si="20"/>
        <v>acqrr</v>
      </c>
      <c r="F308" t="str">
        <f t="shared" si="21"/>
        <v>acqrrLdrInstttnId</v>
      </c>
      <c r="G308" t="e">
        <f t="shared" si="18"/>
        <v>#REF!</v>
      </c>
      <c r="H308" t="e">
        <f t="shared" si="19"/>
        <v>#REF!</v>
      </c>
    </row>
    <row r="309" spans="1:8">
      <c r="A309" t="str">
        <f>DICO_Export!D309</f>
        <v>acquirer</v>
      </c>
      <c r="B309" t="str">
        <f>DICO_Export!E309</f>
        <v>acquirerName</v>
      </c>
      <c r="C309" t="e">
        <f>#REF!</f>
        <v>#REF!</v>
      </c>
      <c r="D309" t="e">
        <f>#REF!</f>
        <v>#REF!</v>
      </c>
      <c r="E309" t="str">
        <f t="shared" si="20"/>
        <v>acqrr</v>
      </c>
      <c r="F309" t="str">
        <f t="shared" si="21"/>
        <v>acqrrNm</v>
      </c>
      <c r="G309" t="e">
        <f t="shared" si="18"/>
        <v>#REF!</v>
      </c>
      <c r="H309" t="e">
        <f t="shared" si="19"/>
        <v>#REF!</v>
      </c>
    </row>
    <row r="310" spans="1:8">
      <c r="A310" t="str">
        <f>DICO_Export!D310</f>
        <v>acquirer</v>
      </c>
      <c r="B310" t="str">
        <f>DICO_Export!E310</f>
        <v>currencyCode</v>
      </c>
      <c r="C310" t="e">
        <f>#REF!</f>
        <v>#REF!</v>
      </c>
      <c r="D310" t="e">
        <f>#REF!</f>
        <v>#REF!</v>
      </c>
      <c r="E310" t="str">
        <f t="shared" si="20"/>
        <v>acqrr</v>
      </c>
      <c r="F310" t="str">
        <f t="shared" si="21"/>
        <v>crrncCd</v>
      </c>
      <c r="G310" t="e">
        <f t="shared" si="18"/>
        <v>#REF!</v>
      </c>
      <c r="H310" t="e">
        <f t="shared" si="19"/>
        <v>#REF!</v>
      </c>
    </row>
    <row r="311" spans="1:8">
      <c r="A311" t="str">
        <f>DICO_Export!D311</f>
        <v>acquirer</v>
      </c>
      <c r="B311" t="str">
        <f>DICO_Export!E311</f>
        <v>postalAddress</v>
      </c>
      <c r="C311" t="e">
        <f>#REF!</f>
        <v>#REF!</v>
      </c>
      <c r="D311" t="e">
        <f>#REF!</f>
        <v>#REF!</v>
      </c>
      <c r="E311" t="str">
        <f t="shared" si="20"/>
        <v>acqrr</v>
      </c>
      <c r="F311" t="str">
        <f t="shared" si="21"/>
        <v>pstlAddrss</v>
      </c>
      <c r="G311" t="e">
        <f t="shared" si="18"/>
        <v>#REF!</v>
      </c>
      <c r="H311" t="e">
        <f t="shared" si="19"/>
        <v>#REF!</v>
      </c>
    </row>
    <row r="312" spans="1:8">
      <c r="A312" t="str">
        <f>DICO_Export!D312</f>
        <v>acquirer</v>
      </c>
      <c r="B312" t="str">
        <f>DICO_Export!E312</f>
        <v>temp_backOfficeFax</v>
      </c>
      <c r="C312" t="e">
        <f>#REF!</f>
        <v>#REF!</v>
      </c>
      <c r="D312" t="e">
        <f>#REF!</f>
        <v>#REF!</v>
      </c>
      <c r="E312" t="str">
        <f t="shared" si="20"/>
        <v>acqrr</v>
      </c>
      <c r="F312" t="str">
        <f t="shared" si="21"/>
        <v>tmp_bckOffcFx</v>
      </c>
      <c r="G312" t="e">
        <f t="shared" si="18"/>
        <v>#REF!</v>
      </c>
      <c r="H312" t="e">
        <f t="shared" si="19"/>
        <v>#REF!</v>
      </c>
    </row>
    <row r="313" spans="1:8">
      <c r="A313" t="str">
        <f>DICO_Export!D313</f>
        <v>acquirer</v>
      </c>
      <c r="B313" t="str">
        <f>DICO_Export!E313</f>
        <v>temp_backOfficePhoneNumber</v>
      </c>
      <c r="C313" t="e">
        <f>#REF!</f>
        <v>#REF!</v>
      </c>
      <c r="D313" t="e">
        <f>#REF!</f>
        <v>#REF!</v>
      </c>
      <c r="E313" t="str">
        <f t="shared" si="20"/>
        <v>acqrr</v>
      </c>
      <c r="F313" t="str">
        <f t="shared" si="21"/>
        <v>tmp_bckOffcPhnNmbr</v>
      </c>
      <c r="G313" t="e">
        <f t="shared" si="18"/>
        <v>#REF!</v>
      </c>
      <c r="H313" t="e">
        <f t="shared" si="19"/>
        <v>#REF!</v>
      </c>
    </row>
    <row r="314" spans="1:8">
      <c r="A314" t="str">
        <f>DICO_Export!D314</f>
        <v>acquirer</v>
      </c>
      <c r="B314" t="str">
        <f>DICO_Export!E314</f>
        <v>temp_bankGroup</v>
      </c>
      <c r="C314" t="e">
        <f>#REF!</f>
        <v>#REF!</v>
      </c>
      <c r="D314" t="e">
        <f>#REF!</f>
        <v>#REF!</v>
      </c>
      <c r="E314" t="str">
        <f t="shared" si="20"/>
        <v>acqrr</v>
      </c>
      <c r="F314" t="str">
        <f t="shared" si="21"/>
        <v>tmp_bnkGrp</v>
      </c>
      <c r="G314" t="e">
        <f t="shared" si="18"/>
        <v>#REF!</v>
      </c>
      <c r="H314" t="e">
        <f t="shared" si="19"/>
        <v>#REF!</v>
      </c>
    </row>
    <row r="315" spans="1:8">
      <c r="A315" t="str">
        <f>DICO_Export!D315</f>
        <v>card</v>
      </c>
      <c r="B315" t="str">
        <f>DICO_Export!E315</f>
        <v>additionalInformationZone</v>
      </c>
      <c r="C315" t="e">
        <f>#REF!</f>
        <v>#REF!</v>
      </c>
      <c r="D315" t="e">
        <f>#REF!</f>
        <v>#REF!</v>
      </c>
      <c r="E315" t="str">
        <f t="shared" si="20"/>
        <v>crd</v>
      </c>
      <c r="F315" t="str">
        <f t="shared" si="21"/>
        <v>addtnlInfrmtnZn</v>
      </c>
      <c r="G315" t="e">
        <f t="shared" si="18"/>
        <v>#REF!</v>
      </c>
      <c r="H315" t="e">
        <f t="shared" si="19"/>
        <v>#REF!</v>
      </c>
    </row>
    <row r="316" spans="1:8">
      <c r="A316" t="str">
        <f>DICO_Export!D316</f>
        <v>card</v>
      </c>
      <c r="B316" t="str">
        <f>DICO_Export!E316</f>
        <v>applicationId</v>
      </c>
      <c r="C316" t="e">
        <f>#REF!</f>
        <v>#REF!</v>
      </c>
      <c r="D316" t="e">
        <f>#REF!</f>
        <v>#REF!</v>
      </c>
      <c r="E316" t="str">
        <f t="shared" si="20"/>
        <v>crd</v>
      </c>
      <c r="F316" t="str">
        <f t="shared" si="21"/>
        <v>applctnId</v>
      </c>
      <c r="G316" t="e">
        <f t="shared" si="18"/>
        <v>#REF!</v>
      </c>
      <c r="H316" t="e">
        <f t="shared" si="19"/>
        <v>#REF!</v>
      </c>
    </row>
    <row r="317" spans="1:8">
      <c r="A317" t="str">
        <f>DICO_Export!D317</f>
        <v>card</v>
      </c>
      <c r="B317" t="str">
        <f>DICO_Export!E317</f>
        <v>applicationInterchangeProfile</v>
      </c>
      <c r="C317" t="e">
        <f>#REF!</f>
        <v>#REF!</v>
      </c>
      <c r="D317" t="e">
        <f>#REF!</f>
        <v>#REF!</v>
      </c>
      <c r="E317" t="str">
        <f t="shared" si="20"/>
        <v>crd</v>
      </c>
      <c r="F317" t="str">
        <f t="shared" si="21"/>
        <v>applctnIntrchngPrfl</v>
      </c>
      <c r="G317" t="e">
        <f t="shared" si="18"/>
        <v>#REF!</v>
      </c>
      <c r="H317" t="e">
        <f t="shared" si="19"/>
        <v>#REF!</v>
      </c>
    </row>
    <row r="318" spans="1:8">
      <c r="A318" t="str">
        <f>DICO_Export!D318</f>
        <v>card</v>
      </c>
      <c r="B318" t="str">
        <f>DICO_Export!E318</f>
        <v>applicationUsageControl</v>
      </c>
      <c r="C318" t="e">
        <f>#REF!</f>
        <v>#REF!</v>
      </c>
      <c r="D318" t="e">
        <f>#REF!</f>
        <v>#REF!</v>
      </c>
      <c r="E318" t="str">
        <f t="shared" si="20"/>
        <v>crd</v>
      </c>
      <c r="F318" t="str">
        <f t="shared" si="21"/>
        <v>applctnUsgCntrl</v>
      </c>
      <c r="G318" t="e">
        <f t="shared" si="18"/>
        <v>#REF!</v>
      </c>
      <c r="H318" t="e">
        <f t="shared" si="19"/>
        <v>#REF!</v>
      </c>
    </row>
    <row r="319" spans="1:8">
      <c r="A319" t="str">
        <f>DICO_Export!D319</f>
        <v>card</v>
      </c>
      <c r="B319" t="str">
        <f>DICO_Export!E319</f>
        <v>billingAddress</v>
      </c>
      <c r="C319" t="e">
        <f>#REF!</f>
        <v>#REF!</v>
      </c>
      <c r="D319" t="e">
        <f>#REF!</f>
        <v>#REF!</v>
      </c>
      <c r="E319" t="str">
        <f t="shared" si="20"/>
        <v>crd</v>
      </c>
      <c r="F319" t="str">
        <f t="shared" si="21"/>
        <v>bllngAddrss</v>
      </c>
      <c r="G319" t="e">
        <f t="shared" si="18"/>
        <v>#REF!</v>
      </c>
      <c r="H319" t="e">
        <f t="shared" si="19"/>
        <v>#REF!</v>
      </c>
    </row>
    <row r="320" spans="1:8">
      <c r="A320" t="str">
        <f>DICO_Export!D320</f>
        <v>card</v>
      </c>
      <c r="B320" t="str">
        <f>DICO_Export!E320</f>
        <v>cardApplication</v>
      </c>
      <c r="C320" t="e">
        <f>#REF!</f>
        <v>#REF!</v>
      </c>
      <c r="D320" t="e">
        <f>#REF!</f>
        <v>#REF!</v>
      </c>
      <c r="E320" t="str">
        <f t="shared" si="20"/>
        <v>crd</v>
      </c>
      <c r="F320" t="str">
        <f t="shared" si="21"/>
        <v>crdApplctn</v>
      </c>
      <c r="G320" t="e">
        <f t="shared" si="18"/>
        <v>#REF!</v>
      </c>
      <c r="H320" t="e">
        <f t="shared" si="19"/>
        <v>#REF!</v>
      </c>
    </row>
    <row r="321" spans="1:8">
      <c r="A321" t="str">
        <f>DICO_Export!D321</f>
        <v>card</v>
      </c>
      <c r="B321" t="str">
        <f>DICO_Export!E321</f>
        <v>cardBrand</v>
      </c>
      <c r="C321" t="e">
        <f>#REF!</f>
        <v>#REF!</v>
      </c>
      <c r="D321" t="e">
        <f>#REF!</f>
        <v>#REF!</v>
      </c>
      <c r="E321" t="str">
        <f t="shared" si="20"/>
        <v>crd</v>
      </c>
      <c r="F321" t="str">
        <f t="shared" si="21"/>
        <v>crdBrnd</v>
      </c>
      <c r="G321" t="e">
        <f t="shared" si="18"/>
        <v>#REF!</v>
      </c>
      <c r="H321" t="e">
        <f t="shared" si="19"/>
        <v>#REF!</v>
      </c>
    </row>
    <row r="322" spans="1:8">
      <c r="A322" t="str">
        <f>DICO_Export!D322</f>
        <v>card</v>
      </c>
      <c r="B322" t="str">
        <f>DICO_Export!E322</f>
        <v>cardBrandProductCode</v>
      </c>
      <c r="C322" t="e">
        <f>#REF!</f>
        <v>#REF!</v>
      </c>
      <c r="D322" t="e">
        <f>#REF!</f>
        <v>#REF!</v>
      </c>
      <c r="E322" t="str">
        <f t="shared" si="20"/>
        <v>crd</v>
      </c>
      <c r="F322" t="str">
        <f t="shared" si="21"/>
        <v>crdBrndPrdctCd</v>
      </c>
      <c r="G322" t="e">
        <f t="shared" si="18"/>
        <v>#REF!</v>
      </c>
      <c r="H322" t="e">
        <f t="shared" si="19"/>
        <v>#REF!</v>
      </c>
    </row>
    <row r="323" spans="1:8">
      <c r="A323" t="str">
        <f>DICO_Export!D323</f>
        <v>card</v>
      </c>
      <c r="B323" t="str">
        <f>DICO_Export!E323</f>
        <v>cardDesignCode</v>
      </c>
      <c r="C323" t="e">
        <f>#REF!</f>
        <v>#REF!</v>
      </c>
      <c r="D323" t="e">
        <f>#REF!</f>
        <v>#REF!</v>
      </c>
      <c r="E323" t="str">
        <f t="shared" si="20"/>
        <v>crd</v>
      </c>
      <c r="F323" t="str">
        <f t="shared" si="21"/>
        <v>crdDsgnCd</v>
      </c>
      <c r="G323" t="e">
        <f t="shared" ref="G323:G790" si="22">LEFT(C323,1)&amp;SUBSTITUTE(SUBSTITUTE(SUBSTITUTE(SUBSTITUTE(SUBSTITUTE(SUBSTITUTE(SUBSTITUTE(RIGHT(C323,LEN(C323)-1),"a"," "),"e"," "),"i"," "),"o"," "),"u"," "),"y"," ")," ","")</f>
        <v>#REF!</v>
      </c>
      <c r="H323" t="e">
        <f t="shared" ref="H323:H790" si="23">LEFT(D323,1)&amp;SUBSTITUTE(SUBSTITUTE(SUBSTITUTE(SUBSTITUTE(SUBSTITUTE(SUBSTITUTE(SUBSTITUTE(RIGHT(D323,LEN(D323)-1),"a"," "),"e"," "),"i"," "),"o"," "),"u"," "),"y"," ")," ","")</f>
        <v>#REF!</v>
      </c>
    </row>
    <row r="324" spans="1:8">
      <c r="A324" t="str">
        <f>DICO_Export!D324</f>
        <v>card</v>
      </c>
      <c r="B324" t="str">
        <f>DICO_Export!E324</f>
        <v>cardholderPictureId</v>
      </c>
      <c r="C324" t="e">
        <f>#REF!</f>
        <v>#REF!</v>
      </c>
      <c r="D324" t="e">
        <f>#REF!</f>
        <v>#REF!</v>
      </c>
      <c r="E324" t="str">
        <f t="shared" ref="E324:E387" si="24">LEFT(A324,1)&amp;SUBSTITUTE(SUBSTITUTE(SUBSTITUTE(SUBSTITUTE(SUBSTITUTE(SUBSTITUTE(SUBSTITUTE(RIGHT(A324,LEN(A324)-1),"a"," "),"e"," "),"i"," "),"o"," "),"u"," "),"y"," ")," ","")</f>
        <v>crd</v>
      </c>
      <c r="F324" t="str">
        <f t="shared" ref="F324:F387" si="25">LEFT(B324,1)&amp;SUBSTITUTE(SUBSTITUTE(SUBSTITUTE(SUBSTITUTE(SUBSTITUTE(SUBSTITUTE(SUBSTITUTE(RIGHT(B324,LEN(B324)-1),"a"," "),"e"," "),"i"," "),"o"," "),"u"," "),"y"," ")," ","")</f>
        <v>crdhldrPctrId</v>
      </c>
      <c r="G324" t="e">
        <f t="shared" si="22"/>
        <v>#REF!</v>
      </c>
      <c r="H324" t="e">
        <f t="shared" si="23"/>
        <v>#REF!</v>
      </c>
    </row>
    <row r="325" spans="1:8">
      <c r="A325" t="str">
        <f>DICO_Export!D325</f>
        <v>card</v>
      </c>
      <c r="B325" t="str">
        <f>DICO_Export!E325</f>
        <v>cardIssuerCountryZone</v>
      </c>
      <c r="C325" t="e">
        <f>#REF!</f>
        <v>#REF!</v>
      </c>
      <c r="D325" t="e">
        <f>#REF!</f>
        <v>#REF!</v>
      </c>
      <c r="E325" t="str">
        <f t="shared" si="24"/>
        <v>crd</v>
      </c>
      <c r="F325" t="str">
        <f t="shared" si="25"/>
        <v>crdIssrCntrZn</v>
      </c>
      <c r="G325" t="e">
        <f t="shared" si="22"/>
        <v>#REF!</v>
      </c>
      <c r="H325" t="e">
        <f t="shared" si="23"/>
        <v>#REF!</v>
      </c>
    </row>
    <row r="326" spans="1:8">
      <c r="A326" t="str">
        <f>DICO_Export!D326</f>
        <v>card</v>
      </c>
      <c r="B326" t="str">
        <f>DICO_Export!E326</f>
        <v>cardIssuerProductCode</v>
      </c>
      <c r="C326" t="e">
        <f>#REF!</f>
        <v>#REF!</v>
      </c>
      <c r="D326" t="e">
        <f>#REF!</f>
        <v>#REF!</v>
      </c>
      <c r="E326" t="str">
        <f t="shared" si="24"/>
        <v>crd</v>
      </c>
      <c r="F326" t="str">
        <f t="shared" si="25"/>
        <v>crdIssrPrdctCd</v>
      </c>
      <c r="G326" t="e">
        <f t="shared" si="22"/>
        <v>#REF!</v>
      </c>
      <c r="H326" t="e">
        <f t="shared" si="23"/>
        <v>#REF!</v>
      </c>
    </row>
    <row r="327" spans="1:8">
      <c r="A327" t="str">
        <f>DICO_Export!D327</f>
        <v>card</v>
      </c>
      <c r="B327" t="str">
        <f>DICO_Export!E327</f>
        <v>cardLimit</v>
      </c>
      <c r="C327" t="e">
        <f>#REF!</f>
        <v>#REF!</v>
      </c>
      <c r="D327" t="e">
        <f>#REF!</f>
        <v>#REF!</v>
      </c>
      <c r="E327" t="str">
        <f t="shared" si="24"/>
        <v>crd</v>
      </c>
      <c r="F327" t="str">
        <f t="shared" si="25"/>
        <v>crdLmt</v>
      </c>
      <c r="G327" t="e">
        <f t="shared" si="22"/>
        <v>#REF!</v>
      </c>
      <c r="H327" t="e">
        <f t="shared" si="23"/>
        <v>#REF!</v>
      </c>
    </row>
    <row r="328" spans="1:8">
      <c r="A328" t="str">
        <f>DICO_Export!D328</f>
        <v>card</v>
      </c>
      <c r="B328" t="str">
        <f>DICO_Export!E328</f>
        <v>cardSecurityCodeIndicator</v>
      </c>
      <c r="C328" t="e">
        <f>#REF!</f>
        <v>#REF!</v>
      </c>
      <c r="D328" t="e">
        <f>#REF!</f>
        <v>#REF!</v>
      </c>
      <c r="E328" t="str">
        <f t="shared" si="24"/>
        <v>crd</v>
      </c>
      <c r="F328" t="str">
        <f t="shared" si="25"/>
        <v>crdScrtCdIndctr</v>
      </c>
      <c r="G328" t="e">
        <f t="shared" si="22"/>
        <v>#REF!</v>
      </c>
      <c r="H328" t="e">
        <f t="shared" si="23"/>
        <v>#REF!</v>
      </c>
    </row>
    <row r="329" spans="1:8">
      <c r="A329" t="str">
        <f>DICO_Export!D329</f>
        <v>card</v>
      </c>
      <c r="B329" t="str">
        <f>DICO_Export!E329</f>
        <v>cardSequenceNumber</v>
      </c>
      <c r="C329" t="e">
        <f>#REF!</f>
        <v>#REF!</v>
      </c>
      <c r="D329" t="e">
        <f>#REF!</f>
        <v>#REF!</v>
      </c>
      <c r="E329" t="str">
        <f t="shared" si="24"/>
        <v>crd</v>
      </c>
      <c r="F329" t="str">
        <f t="shared" si="25"/>
        <v>crdSqncNmbr</v>
      </c>
      <c r="G329" t="e">
        <f t="shared" si="22"/>
        <v>#REF!</v>
      </c>
      <c r="H329" t="e">
        <f t="shared" si="23"/>
        <v>#REF!</v>
      </c>
    </row>
    <row r="330" spans="1:8">
      <c r="A330" t="str">
        <f>DICO_Export!D330</f>
        <v>card</v>
      </c>
      <c r="B330" t="str">
        <f>DICO_Export!E330</f>
        <v>chainingSecretCodeId</v>
      </c>
      <c r="C330" t="e">
        <f>#REF!</f>
        <v>#REF!</v>
      </c>
      <c r="D330" t="e">
        <f>#REF!</f>
        <v>#REF!</v>
      </c>
      <c r="E330" t="str">
        <f t="shared" si="24"/>
        <v>crd</v>
      </c>
      <c r="F330" t="str">
        <f t="shared" si="25"/>
        <v>chnngScrtCdId</v>
      </c>
      <c r="G330" t="e">
        <f t="shared" si="22"/>
        <v>#REF!</v>
      </c>
      <c r="H330" t="e">
        <f t="shared" si="23"/>
        <v>#REF!</v>
      </c>
    </row>
    <row r="331" spans="1:8">
      <c r="A331" t="str">
        <f>DICO_Export!D331</f>
        <v>card</v>
      </c>
      <c r="B331" t="str">
        <f>DICO_Export!E331</f>
        <v>contactlessDevice</v>
      </c>
      <c r="C331" t="e">
        <f>#REF!</f>
        <v>#REF!</v>
      </c>
      <c r="D331" t="e">
        <f>#REF!</f>
        <v>#REF!</v>
      </c>
      <c r="E331" t="str">
        <f t="shared" si="24"/>
        <v>crd</v>
      </c>
      <c r="F331" t="str">
        <f t="shared" si="25"/>
        <v>cntctlssDvc</v>
      </c>
      <c r="G331" t="e">
        <f t="shared" si="22"/>
        <v>#REF!</v>
      </c>
      <c r="H331" t="e">
        <f t="shared" si="23"/>
        <v>#REF!</v>
      </c>
    </row>
    <row r="332" spans="1:8">
      <c r="A332" t="str">
        <f>DICO_Export!D332</f>
        <v>card</v>
      </c>
      <c r="B332" t="str">
        <f>DICO_Export!E332</f>
        <v>countryCode</v>
      </c>
      <c r="C332" t="e">
        <f>#REF!</f>
        <v>#REF!</v>
      </c>
      <c r="D332" t="e">
        <f>#REF!</f>
        <v>#REF!</v>
      </c>
      <c r="E332" t="str">
        <f t="shared" si="24"/>
        <v>crd</v>
      </c>
      <c r="F332" t="str">
        <f t="shared" si="25"/>
        <v>cntrCd</v>
      </c>
      <c r="G332" t="e">
        <f t="shared" si="22"/>
        <v>#REF!</v>
      </c>
      <c r="H332" t="e">
        <f t="shared" si="23"/>
        <v>#REF!</v>
      </c>
    </row>
    <row r="333" spans="1:8">
      <c r="A333" t="str">
        <f>DICO_Export!D333</f>
        <v>card</v>
      </c>
      <c r="B333" t="str">
        <f>DICO_Export!E333</f>
        <v>designSubscriptionIndicator</v>
      </c>
      <c r="C333" t="e">
        <f>#REF!</f>
        <v>#REF!</v>
      </c>
      <c r="D333" t="e">
        <f>#REF!</f>
        <v>#REF!</v>
      </c>
      <c r="E333" t="str">
        <f t="shared" si="24"/>
        <v>crd</v>
      </c>
      <c r="F333" t="str">
        <f t="shared" si="25"/>
        <v>dsgnSbscrptnIndctr</v>
      </c>
      <c r="G333" t="e">
        <f t="shared" si="22"/>
        <v>#REF!</v>
      </c>
      <c r="H333" t="e">
        <f t="shared" si="23"/>
        <v>#REF!</v>
      </c>
    </row>
    <row r="334" spans="1:8">
      <c r="A334" t="str">
        <f>DICO_Export!D334</f>
        <v>card</v>
      </c>
      <c r="B334" t="str">
        <f>DICO_Export!E334</f>
        <v>embossedComplementaryData</v>
      </c>
      <c r="C334" t="e">
        <f>#REF!</f>
        <v>#REF!</v>
      </c>
      <c r="D334" t="e">
        <f>#REF!</f>
        <v>#REF!</v>
      </c>
      <c r="E334" t="str">
        <f t="shared" si="24"/>
        <v>crd</v>
      </c>
      <c r="F334" t="str">
        <f t="shared" si="25"/>
        <v>embssdCmplmntrDt</v>
      </c>
      <c r="G334" t="e">
        <f t="shared" si="22"/>
        <v>#REF!</v>
      </c>
      <c r="H334" t="e">
        <f t="shared" si="23"/>
        <v>#REF!</v>
      </c>
    </row>
    <row r="335" spans="1:8">
      <c r="A335" t="str">
        <f>DICO_Export!D335</f>
        <v>card</v>
      </c>
      <c r="B335" t="str">
        <f>DICO_Export!E335</f>
        <v>embossedName</v>
      </c>
      <c r="C335" t="e">
        <f>#REF!</f>
        <v>#REF!</v>
      </c>
      <c r="D335" t="e">
        <f>#REF!</f>
        <v>#REF!</v>
      </c>
      <c r="E335" t="str">
        <f t="shared" si="24"/>
        <v>crd</v>
      </c>
      <c r="F335" t="str">
        <f t="shared" si="25"/>
        <v>embssdNm</v>
      </c>
      <c r="G335" t="e">
        <f t="shared" si="22"/>
        <v>#REF!</v>
      </c>
      <c r="H335" t="e">
        <f t="shared" si="23"/>
        <v>#REF!</v>
      </c>
    </row>
    <row r="336" spans="1:8">
      <c r="A336" t="str">
        <f>DICO_Export!D336</f>
        <v>card</v>
      </c>
      <c r="B336" t="str">
        <f>DICO_Export!E336</f>
        <v>embossedZone</v>
      </c>
      <c r="C336" t="e">
        <f>#REF!</f>
        <v>#REF!</v>
      </c>
      <c r="D336" t="e">
        <f>#REF!</f>
        <v>#REF!</v>
      </c>
      <c r="E336" t="str">
        <f t="shared" si="24"/>
        <v>crd</v>
      </c>
      <c r="F336" t="str">
        <f t="shared" si="25"/>
        <v>embssdZn</v>
      </c>
      <c r="G336" t="e">
        <f t="shared" si="22"/>
        <v>#REF!</v>
      </c>
      <c r="H336" t="e">
        <f t="shared" si="23"/>
        <v>#REF!</v>
      </c>
    </row>
    <row r="337" spans="1:8">
      <c r="A337" t="str">
        <f>DICO_Export!D337</f>
        <v>card</v>
      </c>
      <c r="B337" t="str">
        <f>DICO_Export!E337</f>
        <v>encryptedPan</v>
      </c>
      <c r="C337" t="e">
        <f>#REF!</f>
        <v>#REF!</v>
      </c>
      <c r="D337" t="e">
        <f>#REF!</f>
        <v>#REF!</v>
      </c>
      <c r="E337" t="str">
        <f t="shared" si="24"/>
        <v>crd</v>
      </c>
      <c r="F337" t="str">
        <f t="shared" si="25"/>
        <v>encrptdPn</v>
      </c>
      <c r="G337" t="e">
        <f t="shared" si="22"/>
        <v>#REF!</v>
      </c>
      <c r="H337" t="e">
        <f t="shared" si="23"/>
        <v>#REF!</v>
      </c>
    </row>
    <row r="338" spans="1:8">
      <c r="A338" t="str">
        <f>DICO_Export!D338</f>
        <v>card</v>
      </c>
      <c r="B338" t="str">
        <f>DICO_Export!E338</f>
        <v>expiryDate</v>
      </c>
      <c r="C338" t="e">
        <f>#REF!</f>
        <v>#REF!</v>
      </c>
      <c r="D338" t="e">
        <f>#REF!</f>
        <v>#REF!</v>
      </c>
      <c r="E338" t="str">
        <f t="shared" si="24"/>
        <v>crd</v>
      </c>
      <c r="F338" t="str">
        <f t="shared" si="25"/>
        <v>exprDt</v>
      </c>
      <c r="G338" t="e">
        <f t="shared" si="22"/>
        <v>#REF!</v>
      </c>
      <c r="H338" t="e">
        <f t="shared" si="23"/>
        <v>#REF!</v>
      </c>
    </row>
    <row r="339" spans="1:8">
      <c r="A339" t="str">
        <f>DICO_Export!D339</f>
        <v>card</v>
      </c>
      <c r="B339" t="str">
        <f>DICO_Export!E339</f>
        <v>internalReference</v>
      </c>
      <c r="C339" t="e">
        <f>#REF!</f>
        <v>#REF!</v>
      </c>
      <c r="D339" t="e">
        <f>#REF!</f>
        <v>#REF!</v>
      </c>
      <c r="E339" t="str">
        <f t="shared" si="24"/>
        <v>crd</v>
      </c>
      <c r="F339" t="str">
        <f t="shared" si="25"/>
        <v>intrnlRfrnc</v>
      </c>
      <c r="G339" t="e">
        <f t="shared" si="22"/>
        <v>#REF!</v>
      </c>
      <c r="H339" t="e">
        <f t="shared" si="23"/>
        <v>#REF!</v>
      </c>
    </row>
    <row r="340" spans="1:8">
      <c r="A340" t="str">
        <f>DICO_Export!D340</f>
        <v>card</v>
      </c>
      <c r="B340" t="str">
        <f>DICO_Export!E340</f>
        <v>issuerId</v>
      </c>
      <c r="C340" t="e">
        <f>#REF!</f>
        <v>#REF!</v>
      </c>
      <c r="D340" t="e">
        <f>#REF!</f>
        <v>#REF!</v>
      </c>
      <c r="E340" t="str">
        <f t="shared" si="24"/>
        <v>crd</v>
      </c>
      <c r="F340" t="str">
        <f t="shared" si="25"/>
        <v>issrId</v>
      </c>
      <c r="G340" t="e">
        <f t="shared" si="22"/>
        <v>#REF!</v>
      </c>
      <c r="H340" t="e">
        <f t="shared" si="23"/>
        <v>#REF!</v>
      </c>
    </row>
    <row r="341" spans="1:8">
      <c r="A341" t="str">
        <f>DICO_Export!D341</f>
        <v>card</v>
      </c>
      <c r="B341" t="str">
        <f>DICO_Export!E341</f>
        <v>issuerInstitutionId</v>
      </c>
      <c r="C341" t="e">
        <f>#REF!</f>
        <v>#REF!</v>
      </c>
      <c r="D341" t="e">
        <f>#REF!</f>
        <v>#REF!</v>
      </c>
      <c r="E341" t="str">
        <f t="shared" si="24"/>
        <v>crd</v>
      </c>
      <c r="F341" t="str">
        <f t="shared" si="25"/>
        <v>issrInstttnId</v>
      </c>
      <c r="G341" t="e">
        <f t="shared" si="22"/>
        <v>#REF!</v>
      </c>
      <c r="H341" t="e">
        <f t="shared" si="23"/>
        <v>#REF!</v>
      </c>
    </row>
    <row r="342" spans="1:8">
      <c r="A342" t="str">
        <f>DICO_Export!D342</f>
        <v>card</v>
      </c>
      <c r="B342" t="str">
        <f>DICO_Export!E342</f>
        <v>issuerLeaderInstitutionId</v>
      </c>
      <c r="C342" t="e">
        <f>#REF!</f>
        <v>#REF!</v>
      </c>
      <c r="D342" t="e">
        <f>#REF!</f>
        <v>#REF!</v>
      </c>
      <c r="E342" t="str">
        <f t="shared" si="24"/>
        <v>crd</v>
      </c>
      <c r="F342" t="str">
        <f t="shared" si="25"/>
        <v>issrLdrInstttnId</v>
      </c>
      <c r="G342" t="e">
        <f t="shared" si="22"/>
        <v>#REF!</v>
      </c>
      <c r="H342" t="e">
        <f t="shared" si="23"/>
        <v>#REF!</v>
      </c>
    </row>
    <row r="343" spans="1:8">
      <c r="A343" t="str">
        <f>DICO_Export!D343</f>
        <v>card</v>
      </c>
      <c r="B343" t="str">
        <f>DICO_Export!E343</f>
        <v>issuerScript</v>
      </c>
      <c r="C343" t="e">
        <f>#REF!</f>
        <v>#REF!</v>
      </c>
      <c r="D343" t="e">
        <f>#REF!</f>
        <v>#REF!</v>
      </c>
      <c r="E343" t="str">
        <f t="shared" si="24"/>
        <v>crd</v>
      </c>
      <c r="F343" t="str">
        <f t="shared" si="25"/>
        <v>issrScrpt</v>
      </c>
      <c r="G343" t="e">
        <f t="shared" si="22"/>
        <v>#REF!</v>
      </c>
      <c r="H343" t="e">
        <f t="shared" si="23"/>
        <v>#REF!</v>
      </c>
    </row>
    <row r="344" spans="1:8">
      <c r="A344" t="str">
        <f>DICO_Export!D344</f>
        <v>card</v>
      </c>
      <c r="B344" t="str">
        <f>DICO_Export!E344</f>
        <v>lostOrStolenDateTime</v>
      </c>
      <c r="C344" t="e">
        <f>#REF!</f>
        <v>#REF!</v>
      </c>
      <c r="D344" t="e">
        <f>#REF!</f>
        <v>#REF!</v>
      </c>
      <c r="E344" t="str">
        <f t="shared" si="24"/>
        <v>crd</v>
      </c>
      <c r="F344" t="str">
        <f t="shared" si="25"/>
        <v>lstOrStlnDtTm</v>
      </c>
      <c r="G344" t="e">
        <f t="shared" si="22"/>
        <v>#REF!</v>
      </c>
      <c r="H344" t="e">
        <f t="shared" si="23"/>
        <v>#REF!</v>
      </c>
    </row>
    <row r="345" spans="1:8">
      <c r="A345" t="str">
        <f>DICO_Export!D345</f>
        <v>card</v>
      </c>
      <c r="B345" t="str">
        <f>DICO_Export!E345</f>
        <v>maskedPAN</v>
      </c>
      <c r="C345" t="e">
        <f>#REF!</f>
        <v>#REF!</v>
      </c>
      <c r="D345" t="e">
        <f>#REF!</f>
        <v>#REF!</v>
      </c>
      <c r="E345" t="str">
        <f t="shared" si="24"/>
        <v>crd</v>
      </c>
      <c r="F345" t="str">
        <f t="shared" si="25"/>
        <v>mskdPAN</v>
      </c>
      <c r="G345" t="e">
        <f t="shared" si="22"/>
        <v>#REF!</v>
      </c>
      <c r="H345" t="e">
        <f t="shared" si="23"/>
        <v>#REF!</v>
      </c>
    </row>
    <row r="346" spans="1:8">
      <c r="A346" t="str">
        <f>DICO_Export!D346</f>
        <v>card</v>
      </c>
      <c r="B346" t="str">
        <f>DICO_Export!E346</f>
        <v>mastercardProduct</v>
      </c>
      <c r="C346" t="e">
        <f>#REF!</f>
        <v>#REF!</v>
      </c>
      <c r="D346" t="e">
        <f>#REF!</f>
        <v>#REF!</v>
      </c>
      <c r="E346" t="str">
        <f t="shared" si="24"/>
        <v>crd</v>
      </c>
      <c r="F346" t="str">
        <f t="shared" si="25"/>
        <v>mstrcrdPrdct</v>
      </c>
      <c r="G346" t="e">
        <f t="shared" si="22"/>
        <v>#REF!</v>
      </c>
      <c r="H346" t="e">
        <f t="shared" si="23"/>
        <v>#REF!</v>
      </c>
    </row>
    <row r="347" spans="1:8">
      <c r="A347" t="str">
        <f>DICO_Export!D347</f>
        <v>card</v>
      </c>
      <c r="B347" t="str">
        <f>DICO_Export!E347</f>
        <v>mastercardProgram</v>
      </c>
      <c r="C347" t="e">
        <f>#REF!</f>
        <v>#REF!</v>
      </c>
      <c r="D347" t="e">
        <f>#REF!</f>
        <v>#REF!</v>
      </c>
      <c r="E347" t="str">
        <f t="shared" si="24"/>
        <v>crd</v>
      </c>
      <c r="F347" t="str">
        <f t="shared" si="25"/>
        <v>mstrcrdPrgrm</v>
      </c>
      <c r="G347" t="e">
        <f t="shared" si="22"/>
        <v>#REF!</v>
      </c>
      <c r="H347" t="e">
        <f t="shared" si="23"/>
        <v>#REF!</v>
      </c>
    </row>
    <row r="348" spans="1:8">
      <c r="A348" t="str">
        <f>DICO_Export!D348</f>
        <v>card</v>
      </c>
      <c r="B348" t="str">
        <f>DICO_Export!E348</f>
        <v>ownerId</v>
      </c>
      <c r="C348" t="e">
        <f>#REF!</f>
        <v>#REF!</v>
      </c>
      <c r="D348" t="e">
        <f>#REF!</f>
        <v>#REF!</v>
      </c>
      <c r="E348" t="str">
        <f t="shared" si="24"/>
        <v>crd</v>
      </c>
      <c r="F348" t="str">
        <f t="shared" si="25"/>
        <v>ownrId</v>
      </c>
      <c r="G348" t="e">
        <f t="shared" ref="G348:G354" si="26">LEFT(C348,1)&amp;SUBSTITUTE(SUBSTITUTE(SUBSTITUTE(SUBSTITUTE(SUBSTITUTE(SUBSTITUTE(SUBSTITUTE(RIGHT(C348,LEN(C348)-1),"a"," "),"e"," "),"i"," "),"o"," "),"u"," "),"y"," ")," ","")</f>
        <v>#REF!</v>
      </c>
      <c r="H348" t="e">
        <f t="shared" ref="H348:H354" si="27">LEFT(D348,1)&amp;SUBSTITUTE(SUBSTITUTE(SUBSTITUTE(SUBSTITUTE(SUBSTITUTE(SUBSTITUTE(SUBSTITUTE(RIGHT(D348,LEN(D348)-1),"a"," "),"e"," "),"i"," "),"o"," "),"u"," "),"y"," ")," ","")</f>
        <v>#REF!</v>
      </c>
    </row>
    <row r="349" spans="1:8">
      <c r="A349" t="str">
        <f>DICO_Export!D349</f>
        <v>card</v>
      </c>
      <c r="B349" t="str">
        <f>DICO_Export!E349</f>
        <v>paymentAccountReference</v>
      </c>
      <c r="C349" t="e">
        <f>#REF!</f>
        <v>#REF!</v>
      </c>
      <c r="D349" t="e">
        <f>#REF!</f>
        <v>#REF!</v>
      </c>
      <c r="E349" t="str">
        <f t="shared" si="24"/>
        <v>crd</v>
      </c>
      <c r="F349" t="str">
        <f t="shared" si="25"/>
        <v>pmntAccntRfrnc</v>
      </c>
      <c r="G349" t="e">
        <f t="shared" si="26"/>
        <v>#REF!</v>
      </c>
      <c r="H349" t="e">
        <f t="shared" si="27"/>
        <v>#REF!</v>
      </c>
    </row>
    <row r="350" spans="1:8">
      <c r="A350" t="str">
        <f>DICO_Export!D350</f>
        <v>card</v>
      </c>
      <c r="B350" t="str">
        <f>DICO_Export!E350</f>
        <v>personalAccountNumberExternalInformation</v>
      </c>
      <c r="C350" t="e">
        <f>#REF!</f>
        <v>#REF!</v>
      </c>
      <c r="D350" t="e">
        <f>#REF!</f>
        <v>#REF!</v>
      </c>
      <c r="E350" t="str">
        <f t="shared" si="24"/>
        <v>crd</v>
      </c>
      <c r="F350" t="str">
        <f t="shared" si="25"/>
        <v>prsnlAccntNmbrExtrnlInfrmtn</v>
      </c>
      <c r="G350" t="e">
        <f t="shared" si="26"/>
        <v>#REF!</v>
      </c>
      <c r="H350" t="e">
        <f t="shared" si="27"/>
        <v>#REF!</v>
      </c>
    </row>
    <row r="351" spans="1:8">
      <c r="A351" t="str">
        <f>DICO_Export!D351</f>
        <v>card</v>
      </c>
      <c r="B351" t="str">
        <f>DICO_Export!E351</f>
        <v>primaryAccountNumber</v>
      </c>
      <c r="C351" t="e">
        <f>#REF!</f>
        <v>#REF!</v>
      </c>
      <c r="D351" t="e">
        <f>#REF!</f>
        <v>#REF!</v>
      </c>
      <c r="E351" t="str">
        <f t="shared" si="24"/>
        <v>crd</v>
      </c>
      <c r="F351" t="str">
        <f t="shared" si="25"/>
        <v>prmrAccntNmbr</v>
      </c>
      <c r="G351" t="e">
        <f t="shared" si="26"/>
        <v>#REF!</v>
      </c>
      <c r="H351" t="e">
        <f t="shared" si="27"/>
        <v>#REF!</v>
      </c>
    </row>
    <row r="352" spans="1:8">
      <c r="A352" t="str">
        <f>DICO_Export!D352</f>
        <v>card</v>
      </c>
      <c r="B352" t="str">
        <f>DICO_Export!E352</f>
        <v>primaryAccountNumberL4D</v>
      </c>
      <c r="C352" t="e">
        <f>#REF!</f>
        <v>#REF!</v>
      </c>
      <c r="D352" t="e">
        <f>#REF!</f>
        <v>#REF!</v>
      </c>
      <c r="E352" t="str">
        <f t="shared" si="24"/>
        <v>crd</v>
      </c>
      <c r="F352" t="str">
        <f t="shared" si="25"/>
        <v>prmrAccntNmbrL4D</v>
      </c>
      <c r="G352" t="e">
        <f t="shared" si="26"/>
        <v>#REF!</v>
      </c>
      <c r="H352" t="e">
        <f t="shared" si="27"/>
        <v>#REF!</v>
      </c>
    </row>
    <row r="353" spans="1:8">
      <c r="A353" t="str">
        <f>DICO_Export!D353</f>
        <v>card</v>
      </c>
      <c r="B353" t="str">
        <f>DICO_Export!E353</f>
        <v>priorityRank</v>
      </c>
      <c r="C353" t="e">
        <f>#REF!</f>
        <v>#REF!</v>
      </c>
      <c r="D353" t="e">
        <f>#REF!</f>
        <v>#REF!</v>
      </c>
      <c r="E353" t="str">
        <f t="shared" si="24"/>
        <v>crd</v>
      </c>
      <c r="F353" t="str">
        <f t="shared" si="25"/>
        <v>prrtRnk</v>
      </c>
      <c r="G353" t="e">
        <f t="shared" si="26"/>
        <v>#REF!</v>
      </c>
      <c r="H353" t="e">
        <f t="shared" si="27"/>
        <v>#REF!</v>
      </c>
    </row>
    <row r="354" spans="1:8">
      <c r="A354" t="str">
        <f>DICO_Export!D354</f>
        <v>card</v>
      </c>
      <c r="B354" t="str">
        <f>DICO_Export!E354</f>
        <v>processorCardData</v>
      </c>
      <c r="C354" t="e">
        <f>#REF!</f>
        <v>#REF!</v>
      </c>
      <c r="D354" t="e">
        <f>#REF!</f>
        <v>#REF!</v>
      </c>
      <c r="E354" t="str">
        <f t="shared" si="24"/>
        <v>crd</v>
      </c>
      <c r="F354" t="str">
        <f t="shared" si="25"/>
        <v>prcssrCrdDt</v>
      </c>
      <c r="G354" t="e">
        <f t="shared" si="26"/>
        <v>#REF!</v>
      </c>
      <c r="H354" t="e">
        <f t="shared" si="27"/>
        <v>#REF!</v>
      </c>
    </row>
    <row r="355" spans="1:8">
      <c r="A355" t="str">
        <f>DICO_Export!D355</f>
        <v>card</v>
      </c>
      <c r="B355" t="str">
        <f>DICO_Export!E355</f>
        <v>processorIssuerData</v>
      </c>
      <c r="C355" t="e">
        <f>#REF!</f>
        <v>#REF!</v>
      </c>
      <c r="D355" t="e">
        <f>#REF!</f>
        <v>#REF!</v>
      </c>
      <c r="E355" t="str">
        <f t="shared" si="24"/>
        <v>crd</v>
      </c>
      <c r="F355" t="str">
        <f t="shared" si="25"/>
        <v>prcssrIssrDt</v>
      </c>
      <c r="G355" t="e">
        <f t="shared" ref="G355:G365" si="28">LEFT(C355,1)&amp;SUBSTITUTE(SUBSTITUTE(SUBSTITUTE(SUBSTITUTE(SUBSTITUTE(SUBSTITUTE(SUBSTITUTE(RIGHT(C355,LEN(C355)-1),"a"," "),"e"," "),"i"," "),"o"," "),"u"," "),"y"," ")," ","")</f>
        <v>#REF!</v>
      </c>
      <c r="H355" t="e">
        <f t="shared" ref="H355:H365" si="29">LEFT(D355,1)&amp;SUBSTITUTE(SUBSTITUTE(SUBSTITUTE(SUBSTITUTE(SUBSTITUTE(SUBSTITUTE(SUBSTITUTE(RIGHT(D355,LEN(D355)-1),"a"," "),"e"," "),"i"," "),"o"," "),"u"," "),"y"," ")," ","")</f>
        <v>#REF!</v>
      </c>
    </row>
    <row r="356" spans="1:8">
      <c r="A356" t="str">
        <f>DICO_Export!D356</f>
        <v>card</v>
      </c>
      <c r="B356" t="str">
        <f>DICO_Export!E356</f>
        <v>productCode</v>
      </c>
      <c r="C356" t="e">
        <f>#REF!</f>
        <v>#REF!</v>
      </c>
      <c r="D356" t="e">
        <f>#REF!</f>
        <v>#REF!</v>
      </c>
      <c r="E356" t="str">
        <f t="shared" si="24"/>
        <v>crd</v>
      </c>
      <c r="F356" t="str">
        <f t="shared" si="25"/>
        <v>prdctCd</v>
      </c>
      <c r="G356" t="e">
        <f t="shared" si="28"/>
        <v>#REF!</v>
      </c>
      <c r="H356" t="e">
        <f t="shared" si="29"/>
        <v>#REF!</v>
      </c>
    </row>
    <row r="357" spans="1:8">
      <c r="A357" t="str">
        <f>DICO_Export!D357</f>
        <v>card</v>
      </c>
      <c r="B357" t="str">
        <f>DICO_Export!E357</f>
        <v>subscribeContextSettlementsConditionCode</v>
      </c>
      <c r="C357" t="e">
        <f>#REF!</f>
        <v>#REF!</v>
      </c>
      <c r="D357" t="e">
        <f>#REF!</f>
        <v>#REF!</v>
      </c>
      <c r="E357" t="str">
        <f t="shared" si="24"/>
        <v>crd</v>
      </c>
      <c r="F357" t="str">
        <f t="shared" si="25"/>
        <v>sbscrbCntxtSttlmntsCndtnCd</v>
      </c>
      <c r="G357" t="e">
        <f t="shared" si="28"/>
        <v>#REF!</v>
      </c>
      <c r="H357" t="e">
        <f t="shared" si="29"/>
        <v>#REF!</v>
      </c>
    </row>
    <row r="358" spans="1:8">
      <c r="A358" t="str">
        <f>DICO_Export!D358</f>
        <v>card</v>
      </c>
      <c r="B358" t="str">
        <f>DICO_Export!E358</f>
        <v>subscribeCurrencySettlementsCurrencyCode</v>
      </c>
      <c r="C358" t="e">
        <f>#REF!</f>
        <v>#REF!</v>
      </c>
      <c r="D358" t="e">
        <f>#REF!</f>
        <v>#REF!</v>
      </c>
      <c r="E358" t="str">
        <f t="shared" si="24"/>
        <v>crd</v>
      </c>
      <c r="F358" t="str">
        <f t="shared" si="25"/>
        <v>sbscrbCrrncSttlmntsCrrncCd</v>
      </c>
      <c r="G358" t="e">
        <f t="shared" si="28"/>
        <v>#REF!</v>
      </c>
      <c r="H358" t="e">
        <f t="shared" si="29"/>
        <v>#REF!</v>
      </c>
    </row>
    <row r="359" spans="1:8">
      <c r="A359" t="str">
        <f>DICO_Export!D359</f>
        <v>card</v>
      </c>
      <c r="B359" t="str">
        <f>DICO_Export!E359</f>
        <v>subscribeServicesCode</v>
      </c>
      <c r="C359" t="e">
        <f>#REF!</f>
        <v>#REF!</v>
      </c>
      <c r="D359" t="e">
        <f>#REF!</f>
        <v>#REF!</v>
      </c>
      <c r="E359" t="str">
        <f t="shared" si="24"/>
        <v>crd</v>
      </c>
      <c r="F359" t="str">
        <f t="shared" si="25"/>
        <v>sbscrbSrvcsCd</v>
      </c>
      <c r="G359" t="e">
        <f t="shared" si="28"/>
        <v>#REF!</v>
      </c>
      <c r="H359" t="e">
        <f t="shared" si="29"/>
        <v>#REF!</v>
      </c>
    </row>
    <row r="360" spans="1:8">
      <c r="A360" t="str">
        <f>DICO_Export!D360</f>
        <v>card</v>
      </c>
      <c r="B360" t="str">
        <f>DICO_Export!E360</f>
        <v>subscribeShippingConditions</v>
      </c>
      <c r="C360" t="e">
        <f>#REF!</f>
        <v>#REF!</v>
      </c>
      <c r="D360" t="e">
        <f>#REF!</f>
        <v>#REF!</v>
      </c>
      <c r="E360" t="str">
        <f t="shared" si="24"/>
        <v>crd</v>
      </c>
      <c r="F360" t="str">
        <f t="shared" si="25"/>
        <v>sbscrbShppngCndtns</v>
      </c>
      <c r="G360" t="e">
        <f t="shared" si="28"/>
        <v>#REF!</v>
      </c>
      <c r="H360" t="e">
        <f t="shared" si="29"/>
        <v>#REF!</v>
      </c>
    </row>
    <row r="361" spans="1:8">
      <c r="A361" t="str">
        <f>DICO_Export!D361</f>
        <v>card</v>
      </c>
      <c r="B361" t="str">
        <f>DICO_Export!E361</f>
        <v>supplementZone1</v>
      </c>
      <c r="C361" t="e">
        <f>#REF!</f>
        <v>#REF!</v>
      </c>
      <c r="D361" t="e">
        <f>#REF!</f>
        <v>#REF!</v>
      </c>
      <c r="E361" t="str">
        <f t="shared" si="24"/>
        <v>crd</v>
      </c>
      <c r="F361" t="str">
        <f t="shared" si="25"/>
        <v>spplmntZn1</v>
      </c>
      <c r="G361" t="e">
        <f t="shared" si="28"/>
        <v>#REF!</v>
      </c>
      <c r="H361" t="e">
        <f t="shared" si="29"/>
        <v>#REF!</v>
      </c>
    </row>
    <row r="362" spans="1:8">
      <c r="A362" t="str">
        <f>DICO_Export!D362</f>
        <v>card</v>
      </c>
      <c r="B362" t="str">
        <f>DICO_Export!E362</f>
        <v>supplementZone2</v>
      </c>
      <c r="C362" t="e">
        <f>#REF!</f>
        <v>#REF!</v>
      </c>
      <c r="D362" t="e">
        <f>#REF!</f>
        <v>#REF!</v>
      </c>
      <c r="E362" t="str">
        <f t="shared" si="24"/>
        <v>crd</v>
      </c>
      <c r="F362" t="str">
        <f t="shared" si="25"/>
        <v>spplmntZn2</v>
      </c>
      <c r="G362" t="e">
        <f t="shared" si="28"/>
        <v>#REF!</v>
      </c>
      <c r="H362" t="e">
        <f t="shared" si="29"/>
        <v>#REF!</v>
      </c>
    </row>
    <row r="363" spans="1:8">
      <c r="A363" t="str">
        <f>DICO_Export!D363</f>
        <v>card</v>
      </c>
      <c r="B363" t="str">
        <f>DICO_Export!E363</f>
        <v>temp_acceptanceLevelCode</v>
      </c>
      <c r="C363" t="e">
        <f>#REF!</f>
        <v>#REF!</v>
      </c>
      <c r="D363" t="e">
        <f>#REF!</f>
        <v>#REF!</v>
      </c>
      <c r="E363" t="str">
        <f t="shared" si="24"/>
        <v>crd</v>
      </c>
      <c r="F363" t="str">
        <f t="shared" si="25"/>
        <v>tmp_ccptncLvlCd</v>
      </c>
      <c r="G363" t="e">
        <f t="shared" si="28"/>
        <v>#REF!</v>
      </c>
      <c r="H363" t="e">
        <f t="shared" si="29"/>
        <v>#REF!</v>
      </c>
    </row>
    <row r="364" spans="1:8">
      <c r="A364" t="str">
        <f>DICO_Export!D364</f>
        <v>card</v>
      </c>
      <c r="B364" t="str">
        <f>DICO_Export!E364</f>
        <v>temp_accountFundingSource</v>
      </c>
      <c r="C364" t="e">
        <f>#REF!</f>
        <v>#REF!</v>
      </c>
      <c r="D364" t="e">
        <f>#REF!</f>
        <v>#REF!</v>
      </c>
      <c r="E364" t="str">
        <f t="shared" si="24"/>
        <v>crd</v>
      </c>
      <c r="F364" t="str">
        <f t="shared" si="25"/>
        <v>tmp_ccntFndngSrc</v>
      </c>
      <c r="G364" t="e">
        <f t="shared" si="28"/>
        <v>#REF!</v>
      </c>
      <c r="H364" t="e">
        <f t="shared" si="29"/>
        <v>#REF!</v>
      </c>
    </row>
    <row r="365" spans="1:8">
      <c r="A365" t="str">
        <f>DICO_Export!D365</f>
        <v>card</v>
      </c>
      <c r="B365" t="str">
        <f>DICO_Export!E365</f>
        <v>temp_acquirerCountryCode</v>
      </c>
      <c r="C365" t="e">
        <f>#REF!</f>
        <v>#REF!</v>
      </c>
      <c r="D365" t="e">
        <f>#REF!</f>
        <v>#REF!</v>
      </c>
      <c r="E365" t="str">
        <f t="shared" si="24"/>
        <v>crd</v>
      </c>
      <c r="F365" t="str">
        <f t="shared" si="25"/>
        <v>tmp_cqrrCntrCd</v>
      </c>
      <c r="G365" t="e">
        <f t="shared" si="28"/>
        <v>#REF!</v>
      </c>
      <c r="H365" t="e">
        <f t="shared" si="29"/>
        <v>#REF!</v>
      </c>
    </row>
    <row r="366" spans="1:8">
      <c r="A366" t="str">
        <f>DICO_Export!D366</f>
        <v>card</v>
      </c>
      <c r="B366" t="str">
        <f>DICO_Export!E366</f>
        <v>temp_affectationInstitutionId</v>
      </c>
      <c r="C366" t="e">
        <f>#REF!</f>
        <v>#REF!</v>
      </c>
      <c r="D366" t="e">
        <f>#REF!</f>
        <v>#REF!</v>
      </c>
      <c r="E366" t="str">
        <f t="shared" si="24"/>
        <v>crd</v>
      </c>
      <c r="F366" t="str">
        <f t="shared" si="25"/>
        <v>tmp_ffcttnInstttnId</v>
      </c>
      <c r="G366" t="e">
        <f t="shared" ref="G366:G397" si="30">LEFT(C366,1)&amp;SUBSTITUTE(SUBSTITUTE(SUBSTITUTE(SUBSTITUTE(SUBSTITUTE(SUBSTITUTE(SUBSTITUTE(RIGHT(C366,LEN(C366)-1),"a"," "),"e"," "),"i"," "),"o"," "),"u"," "),"y"," ")," ","")</f>
        <v>#REF!</v>
      </c>
      <c r="H366" t="e">
        <f t="shared" ref="H366:H397" si="31">LEFT(D366,1)&amp;SUBSTITUTE(SUBSTITUTE(SUBSTITUTE(SUBSTITUTE(SUBSTITUTE(SUBSTITUTE(SUBSTITUTE(RIGHT(D366,LEN(D366)-1),"a"," "),"e"," "),"i"," "),"o"," "),"u"," "),"y"," ")," ","")</f>
        <v>#REF!</v>
      </c>
    </row>
    <row r="367" spans="1:8">
      <c r="A367" t="str">
        <f>DICO_Export!D367</f>
        <v>card</v>
      </c>
      <c r="B367" t="str">
        <f>DICO_Export!E367</f>
        <v>temp_cardIssuerCountryCode</v>
      </c>
      <c r="C367" t="e">
        <f>#REF!</f>
        <v>#REF!</v>
      </c>
      <c r="D367" t="e">
        <f>#REF!</f>
        <v>#REF!</v>
      </c>
      <c r="E367" t="str">
        <f t="shared" si="24"/>
        <v>crd</v>
      </c>
      <c r="F367" t="str">
        <f t="shared" si="25"/>
        <v>tmp_crdIssrCntrCd</v>
      </c>
      <c r="G367" t="e">
        <f t="shared" si="30"/>
        <v>#REF!</v>
      </c>
      <c r="H367" t="e">
        <f t="shared" si="31"/>
        <v>#REF!</v>
      </c>
    </row>
    <row r="368" spans="1:8">
      <c r="A368" t="str">
        <f>DICO_Export!D368</f>
        <v>card</v>
      </c>
      <c r="B368" t="str">
        <f>DICO_Export!E368</f>
        <v>temp_cardRangeStatus</v>
      </c>
      <c r="C368" t="e">
        <f>#REF!</f>
        <v>#REF!</v>
      </c>
      <c r="D368" t="e">
        <f>#REF!</f>
        <v>#REF!</v>
      </c>
      <c r="E368" t="str">
        <f t="shared" si="24"/>
        <v>crd</v>
      </c>
      <c r="F368" t="str">
        <f t="shared" si="25"/>
        <v>tmp_crdRngStts</v>
      </c>
      <c r="G368" t="e">
        <f t="shared" si="30"/>
        <v>#REF!</v>
      </c>
      <c r="H368" t="e">
        <f t="shared" si="31"/>
        <v>#REF!</v>
      </c>
    </row>
    <row r="369" spans="1:8">
      <c r="A369" t="str">
        <f>DICO_Export!D369</f>
        <v>card</v>
      </c>
      <c r="B369" t="str">
        <f>DICO_Export!E369</f>
        <v>temp_cashWithdrawalProcessAvailableIndicator</v>
      </c>
      <c r="C369" t="e">
        <f>#REF!</f>
        <v>#REF!</v>
      </c>
      <c r="D369" t="e">
        <f>#REF!</f>
        <v>#REF!</v>
      </c>
      <c r="E369" t="str">
        <f t="shared" si="24"/>
        <v>crd</v>
      </c>
      <c r="F369" t="str">
        <f t="shared" si="25"/>
        <v>tmp_cshWthdrwlPrcssAvlblIndctr</v>
      </c>
      <c r="G369" t="e">
        <f t="shared" si="30"/>
        <v>#REF!</v>
      </c>
      <c r="H369" t="e">
        <f t="shared" si="31"/>
        <v>#REF!</v>
      </c>
    </row>
    <row r="370" spans="1:8">
      <c r="A370" t="str">
        <f>DICO_Export!D370</f>
        <v>card</v>
      </c>
      <c r="B370" t="str">
        <f>DICO_Export!E370</f>
        <v>temp_cbAccountType</v>
      </c>
      <c r="C370" t="e">
        <f>#REF!</f>
        <v>#REF!</v>
      </c>
      <c r="D370" t="e">
        <f>#REF!</f>
        <v>#REF!</v>
      </c>
      <c r="E370" t="str">
        <f t="shared" si="24"/>
        <v>crd</v>
      </c>
      <c r="F370" t="str">
        <f t="shared" si="25"/>
        <v>tmp_cbAccntTp</v>
      </c>
      <c r="G370" t="e">
        <f t="shared" si="30"/>
        <v>#REF!</v>
      </c>
      <c r="H370" t="e">
        <f t="shared" si="31"/>
        <v>#REF!</v>
      </c>
    </row>
    <row r="371" spans="1:8">
      <c r="A371" t="str">
        <f>DICO_Export!D371</f>
        <v>card</v>
      </c>
      <c r="B371" t="str">
        <f>DICO_Export!E371</f>
        <v>temp_cbProductNature</v>
      </c>
      <c r="C371" t="e">
        <f>#REF!</f>
        <v>#REF!</v>
      </c>
      <c r="D371" t="e">
        <f>#REF!</f>
        <v>#REF!</v>
      </c>
      <c r="E371" t="str">
        <f t="shared" si="24"/>
        <v>crd</v>
      </c>
      <c r="F371" t="str">
        <f t="shared" si="25"/>
        <v>tmp_cbPrdctNtr</v>
      </c>
      <c r="G371" t="e">
        <f t="shared" si="30"/>
        <v>#REF!</v>
      </c>
      <c r="H371" t="e">
        <f t="shared" si="31"/>
        <v>#REF!</v>
      </c>
    </row>
    <row r="372" spans="1:8">
      <c r="A372" t="str">
        <f>DICO_Export!D372</f>
        <v>card</v>
      </c>
      <c r="B372" t="str">
        <f>DICO_Export!E372</f>
        <v>temp_electronicPaymentlProcessAvailableIndicator</v>
      </c>
      <c r="C372" t="e">
        <f>#REF!</f>
        <v>#REF!</v>
      </c>
      <c r="D372" t="e">
        <f>#REF!</f>
        <v>#REF!</v>
      </c>
      <c r="E372" t="str">
        <f t="shared" si="24"/>
        <v>crd</v>
      </c>
      <c r="F372" t="str">
        <f t="shared" si="25"/>
        <v>tmp_lctrncPmntlPrcssAvlblIndctr</v>
      </c>
      <c r="G372" t="e">
        <f t="shared" si="30"/>
        <v>#REF!</v>
      </c>
      <c r="H372" t="e">
        <f t="shared" si="31"/>
        <v>#REF!</v>
      </c>
    </row>
    <row r="373" spans="1:8">
      <c r="A373" t="str">
        <f>DICO_Export!D373</f>
        <v>card</v>
      </c>
      <c r="B373" t="str">
        <f>DICO_Export!E373</f>
        <v>temp_electronicPaymentServiceAvalaibleIndicator</v>
      </c>
      <c r="C373" t="e">
        <f>#REF!</f>
        <v>#REF!</v>
      </c>
      <c r="D373" t="e">
        <f>#REF!</f>
        <v>#REF!</v>
      </c>
      <c r="E373" t="str">
        <f t="shared" si="24"/>
        <v>crd</v>
      </c>
      <c r="F373" t="str">
        <f t="shared" si="25"/>
        <v>tmp_lctrncPmntSrvcAvlblIndctr</v>
      </c>
      <c r="G373" t="e">
        <f t="shared" si="30"/>
        <v>#REF!</v>
      </c>
      <c r="H373" t="e">
        <f t="shared" si="31"/>
        <v>#REF!</v>
      </c>
    </row>
    <row r="374" spans="1:8">
      <c r="A374" t="str">
        <f>DICO_Export!D374</f>
        <v>card</v>
      </c>
      <c r="B374" t="str">
        <f>DICO_Export!E374</f>
        <v>temp_issuerCardCountryCode</v>
      </c>
      <c r="C374" t="e">
        <f>#REF!</f>
        <v>#REF!</v>
      </c>
      <c r="D374" t="e">
        <f>#REF!</f>
        <v>#REF!</v>
      </c>
      <c r="E374" t="str">
        <f t="shared" si="24"/>
        <v>crd</v>
      </c>
      <c r="F374" t="str">
        <f t="shared" si="25"/>
        <v>tmp_ssrCrdCntrCd</v>
      </c>
      <c r="G374" t="e">
        <f t="shared" si="30"/>
        <v>#REF!</v>
      </c>
      <c r="H374" t="e">
        <f t="shared" si="31"/>
        <v>#REF!</v>
      </c>
    </row>
    <row r="375" spans="1:8">
      <c r="A375" t="str">
        <f>DICO_Export!D375</f>
        <v>card</v>
      </c>
      <c r="B375" t="str">
        <f>DICO_Export!E375</f>
        <v>temp_IssuerRegionNumber</v>
      </c>
      <c r="C375" t="e">
        <f>#REF!</f>
        <v>#REF!</v>
      </c>
      <c r="D375" t="e">
        <f>#REF!</f>
        <v>#REF!</v>
      </c>
      <c r="E375" t="str">
        <f t="shared" si="24"/>
        <v>crd</v>
      </c>
      <c r="F375" t="str">
        <f t="shared" si="25"/>
        <v>tmp_IssrRgnNmbr</v>
      </c>
      <c r="G375" t="e">
        <f t="shared" si="30"/>
        <v>#REF!</v>
      </c>
      <c r="H375" t="e">
        <f t="shared" si="31"/>
        <v>#REF!</v>
      </c>
    </row>
    <row r="376" spans="1:8">
      <c r="A376" t="str">
        <f>DICO_Export!D376</f>
        <v>card</v>
      </c>
      <c r="B376" t="str">
        <f>DICO_Export!E376</f>
        <v>temp_luhnKeyCheckIndicator</v>
      </c>
      <c r="C376" t="e">
        <f>#REF!</f>
        <v>#REF!</v>
      </c>
      <c r="D376" t="e">
        <f>#REF!</f>
        <v>#REF!</v>
      </c>
      <c r="E376" t="str">
        <f t="shared" si="24"/>
        <v>crd</v>
      </c>
      <c r="F376" t="str">
        <f t="shared" si="25"/>
        <v>tmp_lhnKChckIndctr</v>
      </c>
      <c r="G376" t="e">
        <f t="shared" si="30"/>
        <v>#REF!</v>
      </c>
      <c r="H376" t="e">
        <f t="shared" si="31"/>
        <v>#REF!</v>
      </c>
    </row>
    <row r="377" spans="1:8">
      <c r="A377" t="str">
        <f>DICO_Export!D377</f>
        <v>card</v>
      </c>
      <c r="B377" t="str">
        <f>DICO_Export!E377</f>
        <v>temp_mainMemberaffectationInstitutionId</v>
      </c>
      <c r="C377" t="e">
        <f>#REF!</f>
        <v>#REF!</v>
      </c>
      <c r="D377" t="e">
        <f>#REF!</f>
        <v>#REF!</v>
      </c>
      <c r="E377" t="str">
        <f t="shared" si="24"/>
        <v>crd</v>
      </c>
      <c r="F377" t="str">
        <f t="shared" si="25"/>
        <v>tmp_mnMmbrffcttnInstttnId</v>
      </c>
      <c r="G377" t="e">
        <f t="shared" si="30"/>
        <v>#REF!</v>
      </c>
      <c r="H377" t="e">
        <f t="shared" si="31"/>
        <v>#REF!</v>
      </c>
    </row>
    <row r="378" spans="1:8">
      <c r="A378" t="str">
        <f>DICO_Export!D378</f>
        <v>card</v>
      </c>
      <c r="B378" t="str">
        <f>DICO_Export!E378</f>
        <v>temp_managerInstitutionId</v>
      </c>
      <c r="C378" t="e">
        <f>#REF!</f>
        <v>#REF!</v>
      </c>
      <c r="D378" t="e">
        <f>#REF!</f>
        <v>#REF!</v>
      </c>
      <c r="E378" t="str">
        <f t="shared" si="24"/>
        <v>crd</v>
      </c>
      <c r="F378" t="str">
        <f t="shared" si="25"/>
        <v>tmp_mngrInstttnId</v>
      </c>
      <c r="G378" t="e">
        <f t="shared" si="30"/>
        <v>#REF!</v>
      </c>
      <c r="H378" t="e">
        <f t="shared" si="31"/>
        <v>#REF!</v>
      </c>
    </row>
    <row r="379" spans="1:8">
      <c r="A379" t="str">
        <f>DICO_Export!D379</f>
        <v>card</v>
      </c>
      <c r="B379" t="str">
        <f>DICO_Export!E379</f>
        <v>temp_maskedPrimaryAccountNumber</v>
      </c>
      <c r="C379" t="e">
        <f>#REF!</f>
        <v>#REF!</v>
      </c>
      <c r="D379" t="e">
        <f>#REF!</f>
        <v>#REF!</v>
      </c>
      <c r="E379" t="str">
        <f t="shared" si="24"/>
        <v>crd</v>
      </c>
      <c r="F379" t="str">
        <f t="shared" si="25"/>
        <v>tmp_mskdPrmrAccntNmbr</v>
      </c>
      <c r="G379" t="e">
        <f t="shared" si="30"/>
        <v>#REF!</v>
      </c>
      <c r="H379" t="e">
        <f t="shared" si="31"/>
        <v>#REF!</v>
      </c>
    </row>
    <row r="380" spans="1:8">
      <c r="A380" t="str">
        <f>DICO_Export!D380</f>
        <v>card</v>
      </c>
      <c r="B380" t="str">
        <f>DICO_Export!E380</f>
        <v>temp_mastercardCashWithDrawServiceAvalaibleIndicator</v>
      </c>
      <c r="C380" t="e">
        <f>#REF!</f>
        <v>#REF!</v>
      </c>
      <c r="D380" t="e">
        <f>#REF!</f>
        <v>#REF!</v>
      </c>
      <c r="E380" t="str">
        <f t="shared" si="24"/>
        <v>crd</v>
      </c>
      <c r="F380" t="str">
        <f t="shared" si="25"/>
        <v>tmp_mstrcrdCshWthDrwSrvcAvlblIndctr</v>
      </c>
      <c r="G380" t="e">
        <f t="shared" si="30"/>
        <v>#REF!</v>
      </c>
      <c r="H380" t="e">
        <f t="shared" si="31"/>
        <v>#REF!</v>
      </c>
    </row>
    <row r="381" spans="1:8">
      <c r="A381" t="str">
        <f>DICO_Export!D381</f>
        <v>card</v>
      </c>
      <c r="B381" t="str">
        <f>DICO_Export!E381</f>
        <v>temp_mastercardElectronicPaymentServiceAvalaibleIndicator</v>
      </c>
      <c r="C381" t="e">
        <f>#REF!</f>
        <v>#REF!</v>
      </c>
      <c r="D381" t="e">
        <f>#REF!</f>
        <v>#REF!</v>
      </c>
      <c r="E381" t="str">
        <f t="shared" si="24"/>
        <v>crd</v>
      </c>
      <c r="F381" t="str">
        <f t="shared" si="25"/>
        <v>tmp_mstrcrdElctrncPmntSrvcAvlblIndctr</v>
      </c>
      <c r="G381" t="e">
        <f t="shared" si="30"/>
        <v>#REF!</v>
      </c>
      <c r="H381" t="e">
        <f t="shared" si="31"/>
        <v>#REF!</v>
      </c>
    </row>
    <row r="382" spans="1:8">
      <c r="A382" t="str">
        <f>DICO_Export!D382</f>
        <v>card</v>
      </c>
      <c r="B382" t="str">
        <f>DICO_Export!E382</f>
        <v>temp_mastercardEuropeSubregionIndicator</v>
      </c>
      <c r="C382" t="e">
        <f>#REF!</f>
        <v>#REF!</v>
      </c>
      <c r="D382" t="e">
        <f>#REF!</f>
        <v>#REF!</v>
      </c>
      <c r="E382" t="str">
        <f t="shared" si="24"/>
        <v>crd</v>
      </c>
      <c r="F382" t="str">
        <f t="shared" si="25"/>
        <v>tmp_mstrcrdErpSbrgnIndctr</v>
      </c>
      <c r="G382" t="e">
        <f t="shared" si="30"/>
        <v>#REF!</v>
      </c>
      <c r="H382" t="e">
        <f t="shared" si="31"/>
        <v>#REF!</v>
      </c>
    </row>
    <row r="383" spans="1:8">
      <c r="A383" t="str">
        <f>DICO_Export!D383</f>
        <v>card</v>
      </c>
      <c r="B383" t="str">
        <f>DICO_Export!E383</f>
        <v>temp_mastercardInterchangeFeeRegionNumber</v>
      </c>
      <c r="C383" t="e">
        <f>#REF!</f>
        <v>#REF!</v>
      </c>
      <c r="D383" t="e">
        <f>#REF!</f>
        <v>#REF!</v>
      </c>
      <c r="E383" t="str">
        <f t="shared" si="24"/>
        <v>crd</v>
      </c>
      <c r="F383" t="str">
        <f t="shared" si="25"/>
        <v>tmp_mstrcrdIntrchngFRgnNmbr</v>
      </c>
      <c r="G383" t="e">
        <f t="shared" si="30"/>
        <v>#REF!</v>
      </c>
      <c r="H383" t="e">
        <f t="shared" si="31"/>
        <v>#REF!</v>
      </c>
    </row>
    <row r="384" spans="1:8">
      <c r="A384" t="str">
        <f>DICO_Export!D384</f>
        <v>card</v>
      </c>
      <c r="B384" t="str">
        <f>DICO_Export!E384</f>
        <v>temp_mastercardProductId</v>
      </c>
      <c r="C384" t="e">
        <f>#REF!</f>
        <v>#REF!</v>
      </c>
      <c r="D384" t="e">
        <f>#REF!</f>
        <v>#REF!</v>
      </c>
      <c r="E384" t="str">
        <f t="shared" si="24"/>
        <v>crd</v>
      </c>
      <c r="F384" t="str">
        <f t="shared" si="25"/>
        <v>tmp_mstrcrdPrdctId</v>
      </c>
      <c r="G384" t="e">
        <f t="shared" si="30"/>
        <v>#REF!</v>
      </c>
      <c r="H384" t="e">
        <f t="shared" si="31"/>
        <v>#REF!</v>
      </c>
    </row>
    <row r="385" spans="1:8">
      <c r="A385" t="str">
        <f>DICO_Export!D385</f>
        <v>card</v>
      </c>
      <c r="B385" t="str">
        <f>DICO_Export!E385</f>
        <v>temp_mastercardProductType</v>
      </c>
      <c r="C385" t="e">
        <f>#REF!</f>
        <v>#REF!</v>
      </c>
      <c r="D385" t="e">
        <f>#REF!</f>
        <v>#REF!</v>
      </c>
      <c r="E385" t="str">
        <f t="shared" si="24"/>
        <v>crd</v>
      </c>
      <c r="F385" t="str">
        <f t="shared" si="25"/>
        <v>tmp_mstrcrdPrdctTp</v>
      </c>
      <c r="G385" t="e">
        <f t="shared" si="30"/>
        <v>#REF!</v>
      </c>
      <c r="H385" t="e">
        <f t="shared" si="31"/>
        <v>#REF!</v>
      </c>
    </row>
    <row r="386" spans="1:8">
      <c r="A386" t="str">
        <f>DICO_Export!D386</f>
        <v>card</v>
      </c>
      <c r="B386" t="str">
        <f>DICO_Export!E386</f>
        <v>temp_mastercardProgramCard</v>
      </c>
      <c r="C386" t="e">
        <f>#REF!</f>
        <v>#REF!</v>
      </c>
      <c r="D386" t="e">
        <f>#REF!</f>
        <v>#REF!</v>
      </c>
      <c r="E386" t="str">
        <f t="shared" si="24"/>
        <v>crd</v>
      </c>
      <c r="F386" t="str">
        <f t="shared" si="25"/>
        <v>tmp_mstrcrdPrgrmCrd</v>
      </c>
      <c r="G386" t="e">
        <f t="shared" si="30"/>
        <v>#REF!</v>
      </c>
      <c r="H386" t="e">
        <f t="shared" si="31"/>
        <v>#REF!</v>
      </c>
    </row>
    <row r="387" spans="1:8">
      <c r="A387" t="str">
        <f>DICO_Export!D387</f>
        <v>card</v>
      </c>
      <c r="B387" t="str">
        <f>DICO_Export!E387</f>
        <v>temp_mastercardTradeMark</v>
      </c>
      <c r="C387" t="e">
        <f>#REF!</f>
        <v>#REF!</v>
      </c>
      <c r="D387" t="e">
        <f>#REF!</f>
        <v>#REF!</v>
      </c>
      <c r="E387" t="str">
        <f t="shared" si="24"/>
        <v>crd</v>
      </c>
      <c r="F387" t="str">
        <f t="shared" si="25"/>
        <v>tmp_mstrcrdTrdMrk</v>
      </c>
      <c r="G387" t="e">
        <f t="shared" si="30"/>
        <v>#REF!</v>
      </c>
      <c r="H387" t="e">
        <f t="shared" si="31"/>
        <v>#REF!</v>
      </c>
    </row>
    <row r="388" spans="1:8">
      <c r="A388" t="str">
        <f>DICO_Export!D388</f>
        <v>card</v>
      </c>
      <c r="B388" t="str">
        <f>DICO_Export!E388</f>
        <v>temp_panLength</v>
      </c>
      <c r="C388" t="e">
        <f>#REF!</f>
        <v>#REF!</v>
      </c>
      <c r="D388" t="e">
        <f>#REF!</f>
        <v>#REF!</v>
      </c>
      <c r="E388" t="str">
        <f t="shared" ref="E388:E451" si="32">LEFT(A388,1)&amp;SUBSTITUTE(SUBSTITUTE(SUBSTITUTE(SUBSTITUTE(SUBSTITUTE(SUBSTITUTE(SUBSTITUTE(RIGHT(A388,LEN(A388)-1),"a"," "),"e"," "),"i"," "),"o"," "),"u"," "),"y"," ")," ","")</f>
        <v>crd</v>
      </c>
      <c r="F388" t="str">
        <f t="shared" ref="F388:F451" si="33">LEFT(B388,1)&amp;SUBSTITUTE(SUBSTITUTE(SUBSTITUTE(SUBSTITUTE(SUBSTITUTE(SUBSTITUTE(SUBSTITUTE(RIGHT(B388,LEN(B388)-1),"a"," "),"e"," "),"i"," "),"o"," "),"u"," "),"y"," ")," ","")</f>
        <v>tmp_pnLngth</v>
      </c>
      <c r="G388" t="e">
        <f t="shared" si="30"/>
        <v>#REF!</v>
      </c>
      <c r="H388" t="e">
        <f t="shared" si="31"/>
        <v>#REF!</v>
      </c>
    </row>
    <row r="389" spans="1:8">
      <c r="A389" t="str">
        <f>DICO_Export!D389</f>
        <v>card</v>
      </c>
      <c r="B389" t="str">
        <f>DICO_Export!E389</f>
        <v>temp_payPass_Enabled_Indicator</v>
      </c>
      <c r="C389" t="e">
        <f>#REF!</f>
        <v>#REF!</v>
      </c>
      <c r="D389" t="e">
        <f>#REF!</f>
        <v>#REF!</v>
      </c>
      <c r="E389" t="str">
        <f t="shared" si="32"/>
        <v>crd</v>
      </c>
      <c r="F389" t="str">
        <f t="shared" si="33"/>
        <v>tmp_pPss_Enbld_Indctr</v>
      </c>
      <c r="G389" t="e">
        <f t="shared" si="30"/>
        <v>#REF!</v>
      </c>
      <c r="H389" t="e">
        <f t="shared" si="31"/>
        <v>#REF!</v>
      </c>
    </row>
    <row r="390" spans="1:8">
      <c r="A390" t="str">
        <f>DICO_Export!D390</f>
        <v>card</v>
      </c>
      <c r="B390" t="str">
        <f>DICO_Export!E390</f>
        <v>temp_product_Category</v>
      </c>
      <c r="C390" t="e">
        <f>#REF!</f>
        <v>#REF!</v>
      </c>
      <c r="D390" t="e">
        <f>#REF!</f>
        <v>#REF!</v>
      </c>
      <c r="E390" t="str">
        <f t="shared" si="32"/>
        <v>crd</v>
      </c>
      <c r="F390" t="str">
        <f t="shared" si="33"/>
        <v>tmp_prdct_Ctgr</v>
      </c>
      <c r="G390" t="e">
        <f t="shared" si="30"/>
        <v>#REF!</v>
      </c>
      <c r="H390" t="e">
        <f t="shared" si="31"/>
        <v>#REF!</v>
      </c>
    </row>
    <row r="391" spans="1:8">
      <c r="A391" t="str">
        <f>DICO_Export!D391</f>
        <v>card</v>
      </c>
      <c r="B391" t="str">
        <f>DICO_Export!E391</f>
        <v>temp_rangeUsage</v>
      </c>
      <c r="C391" t="e">
        <f>#REF!</f>
        <v>#REF!</v>
      </c>
      <c r="D391" t="e">
        <f>#REF!</f>
        <v>#REF!</v>
      </c>
      <c r="E391" t="str">
        <f t="shared" si="32"/>
        <v>crd</v>
      </c>
      <c r="F391" t="str">
        <f t="shared" si="33"/>
        <v>tmp_rngUsg</v>
      </c>
      <c r="G391" t="e">
        <f t="shared" si="30"/>
        <v>#REF!</v>
      </c>
      <c r="H391" t="e">
        <f t="shared" si="31"/>
        <v>#REF!</v>
      </c>
    </row>
    <row r="392" spans="1:8">
      <c r="A392" t="str">
        <f>DICO_Export!D392</f>
        <v>card</v>
      </c>
      <c r="B392" t="str">
        <f>DICO_Export!E392</f>
        <v>temp_RecipientBankId</v>
      </c>
      <c r="C392" t="e">
        <f>#REF!</f>
        <v>#REF!</v>
      </c>
      <c r="D392" t="e">
        <f>#REF!</f>
        <v>#REF!</v>
      </c>
      <c r="E392" t="str">
        <f t="shared" si="32"/>
        <v>crd</v>
      </c>
      <c r="F392" t="str">
        <f t="shared" si="33"/>
        <v>tmp_RcpntBnkId</v>
      </c>
      <c r="G392" t="e">
        <f t="shared" si="30"/>
        <v>#REF!</v>
      </c>
      <c r="H392" t="e">
        <f t="shared" si="31"/>
        <v>#REF!</v>
      </c>
    </row>
    <row r="393" spans="1:8">
      <c r="A393" t="str">
        <f>DICO_Export!D393</f>
        <v>card</v>
      </c>
      <c r="B393" t="str">
        <f>DICO_Export!E393</f>
        <v>temp_visaCardSubNetwork</v>
      </c>
      <c r="C393" t="e">
        <f>#REF!</f>
        <v>#REF!</v>
      </c>
      <c r="D393" t="e">
        <f>#REF!</f>
        <v>#REF!</v>
      </c>
      <c r="E393" t="str">
        <f t="shared" si="32"/>
        <v>crd</v>
      </c>
      <c r="F393" t="str">
        <f t="shared" si="33"/>
        <v>tmp_vsCrdSbNtwrk</v>
      </c>
      <c r="G393" t="e">
        <f t="shared" si="30"/>
        <v>#REF!</v>
      </c>
      <c r="H393" t="e">
        <f t="shared" si="31"/>
        <v>#REF!</v>
      </c>
    </row>
    <row r="394" spans="1:8">
      <c r="A394" t="str">
        <f>DICO_Export!D394</f>
        <v>card</v>
      </c>
      <c r="B394" t="str">
        <f>DICO_Export!E394</f>
        <v>temp_visaMarketingRegionCode</v>
      </c>
      <c r="C394" t="e">
        <f>#REF!</f>
        <v>#REF!</v>
      </c>
      <c r="D394" t="e">
        <f>#REF!</f>
        <v>#REF!</v>
      </c>
      <c r="E394" t="str">
        <f t="shared" si="32"/>
        <v>crd</v>
      </c>
      <c r="F394" t="str">
        <f t="shared" si="33"/>
        <v>tmp_vsMrktngRgnCd</v>
      </c>
      <c r="G394" t="e">
        <f t="shared" si="30"/>
        <v>#REF!</v>
      </c>
      <c r="H394" t="e">
        <f t="shared" si="31"/>
        <v>#REF!</v>
      </c>
    </row>
    <row r="395" spans="1:8">
      <c r="A395" t="str">
        <f>DICO_Export!D395</f>
        <v>card</v>
      </c>
      <c r="B395" t="str">
        <f>DICO_Export!E395</f>
        <v>temp_visaProductCode</v>
      </c>
      <c r="C395" t="e">
        <f>#REF!</f>
        <v>#REF!</v>
      </c>
      <c r="D395" t="e">
        <f>#REF!</f>
        <v>#REF!</v>
      </c>
      <c r="E395" t="str">
        <f t="shared" si="32"/>
        <v>crd</v>
      </c>
      <c r="F395" t="str">
        <f t="shared" si="33"/>
        <v>tmp_vsPrdctCd</v>
      </c>
      <c r="G395" t="e">
        <f t="shared" si="30"/>
        <v>#REF!</v>
      </c>
      <c r="H395" t="e">
        <f t="shared" si="31"/>
        <v>#REF!</v>
      </c>
    </row>
    <row r="396" spans="1:8">
      <c r="A396" t="str">
        <f>DICO_Export!D396</f>
        <v>card</v>
      </c>
      <c r="B396" t="str">
        <f>DICO_Export!E396</f>
        <v>track1</v>
      </c>
      <c r="C396" t="e">
        <f>#REF!</f>
        <v>#REF!</v>
      </c>
      <c r="D396" t="e">
        <f>#REF!</f>
        <v>#REF!</v>
      </c>
      <c r="E396" t="str">
        <f t="shared" si="32"/>
        <v>crd</v>
      </c>
      <c r="F396" t="str">
        <f t="shared" si="33"/>
        <v>trck1</v>
      </c>
      <c r="G396" t="e">
        <f t="shared" si="30"/>
        <v>#REF!</v>
      </c>
      <c r="H396" t="e">
        <f t="shared" si="31"/>
        <v>#REF!</v>
      </c>
    </row>
    <row r="397" spans="1:8">
      <c r="A397" t="str">
        <f>DICO_Export!D397</f>
        <v>card</v>
      </c>
      <c r="B397" t="str">
        <f>DICO_Export!E397</f>
        <v>track2</v>
      </c>
      <c r="C397" t="e">
        <f>#REF!</f>
        <v>#REF!</v>
      </c>
      <c r="D397" t="e">
        <f>#REF!</f>
        <v>#REF!</v>
      </c>
      <c r="E397" t="str">
        <f t="shared" si="32"/>
        <v>crd</v>
      </c>
      <c r="F397" t="str">
        <f t="shared" si="33"/>
        <v>trck2</v>
      </c>
      <c r="G397" t="e">
        <f t="shared" si="30"/>
        <v>#REF!</v>
      </c>
      <c r="H397" t="e">
        <f t="shared" si="31"/>
        <v>#REF!</v>
      </c>
    </row>
    <row r="398" spans="1:8">
      <c r="A398" t="str">
        <f>DICO_Export!D398</f>
        <v>cardAgreement</v>
      </c>
      <c r="B398" t="str">
        <f>DICO_Export!E398</f>
        <v>cardAgreementAccountId</v>
      </c>
      <c r="C398" t="e">
        <f>#REF!</f>
        <v>#REF!</v>
      </c>
      <c r="D398" t="e">
        <f>#REF!</f>
        <v>#REF!</v>
      </c>
      <c r="E398" t="str">
        <f t="shared" si="32"/>
        <v>crdAgrmnt</v>
      </c>
      <c r="F398" t="str">
        <f t="shared" si="33"/>
        <v>crdAgrmntAccntId</v>
      </c>
      <c r="G398" t="e">
        <f t="shared" ref="G398:G745" si="34">LEFT(C398,1)&amp;SUBSTITUTE(SUBSTITUTE(SUBSTITUTE(SUBSTITUTE(SUBSTITUTE(SUBSTITUTE(SUBSTITUTE(RIGHT(C398,LEN(C398)-1),"a"," "),"e"," "),"i"," "),"o"," "),"u"," "),"y"," ")," ","")</f>
        <v>#REF!</v>
      </c>
      <c r="H398" t="e">
        <f t="shared" ref="H398:H745" si="35">LEFT(D398,1)&amp;SUBSTITUTE(SUBSTITUTE(SUBSTITUTE(SUBSTITUTE(SUBSTITUTE(SUBSTITUTE(SUBSTITUTE(RIGHT(D398,LEN(D398)-1),"a"," "),"e"," "),"i"," "),"o"," "),"u"," "),"y"," ")," ","")</f>
        <v>#REF!</v>
      </c>
    </row>
    <row r="399" spans="1:8">
      <c r="A399" t="str">
        <f>DICO_Export!D399</f>
        <v>cardAgreement</v>
      </c>
      <c r="B399" t="str">
        <f>DICO_Export!E399</f>
        <v>cardAgreementDeferredCalendarCode</v>
      </c>
      <c r="C399" t="e">
        <f>#REF!</f>
        <v>#REF!</v>
      </c>
      <c r="D399" t="e">
        <f>#REF!</f>
        <v>#REF!</v>
      </c>
      <c r="E399" t="str">
        <f t="shared" si="32"/>
        <v>crdAgrmnt</v>
      </c>
      <c r="F399" t="str">
        <f t="shared" si="33"/>
        <v>crdAgrmntDfrrdClndrCd</v>
      </c>
      <c r="G399" t="e">
        <f t="shared" si="34"/>
        <v>#REF!</v>
      </c>
      <c r="H399" t="e">
        <f t="shared" si="35"/>
        <v>#REF!</v>
      </c>
    </row>
    <row r="400" spans="1:8">
      <c r="A400" t="str">
        <f>DICO_Export!D400</f>
        <v>cardAgreement</v>
      </c>
      <c r="B400" t="str">
        <f>DICO_Export!E400</f>
        <v>cardAgreementEntityId</v>
      </c>
      <c r="C400" t="e">
        <f>#REF!</f>
        <v>#REF!</v>
      </c>
      <c r="D400" t="e">
        <f>#REF!</f>
        <v>#REF!</v>
      </c>
      <c r="E400" t="str">
        <f t="shared" si="32"/>
        <v>crdAgrmnt</v>
      </c>
      <c r="F400" t="str">
        <f t="shared" si="33"/>
        <v>crdAgrmntEnttId</v>
      </c>
      <c r="G400" t="e">
        <f t="shared" si="34"/>
        <v>#REF!</v>
      </c>
      <c r="H400" t="e">
        <f t="shared" si="35"/>
        <v>#REF!</v>
      </c>
    </row>
    <row r="401" spans="1:8">
      <c r="A401" t="str">
        <f>DICO_Export!D401</f>
        <v>cardAgreement</v>
      </c>
      <c r="B401" t="str">
        <f>DICO_Export!E401</f>
        <v>cardAgreementEntityName</v>
      </c>
      <c r="C401" t="e">
        <f>#REF!</f>
        <v>#REF!</v>
      </c>
      <c r="D401" t="e">
        <f>#REF!</f>
        <v>#REF!</v>
      </c>
      <c r="E401" t="str">
        <f t="shared" si="32"/>
        <v>crdAgrmnt</v>
      </c>
      <c r="F401" t="str">
        <f t="shared" si="33"/>
        <v>crdAgrmntEnttNm</v>
      </c>
      <c r="G401" t="e">
        <f t="shared" si="34"/>
        <v>#REF!</v>
      </c>
      <c r="H401" t="e">
        <f t="shared" si="35"/>
        <v>#REF!</v>
      </c>
    </row>
    <row r="402" spans="1:8">
      <c r="A402" t="str">
        <f>DICO_Export!D402</f>
        <v>cardAgreement</v>
      </c>
      <c r="B402" t="str">
        <f>DICO_Export!E402</f>
        <v>cardAgreementId</v>
      </c>
      <c r="C402" t="e">
        <f>#REF!</f>
        <v>#REF!</v>
      </c>
      <c r="D402" t="e">
        <f>#REF!</f>
        <v>#REF!</v>
      </c>
      <c r="E402" t="str">
        <f t="shared" si="32"/>
        <v>crdAgrmnt</v>
      </c>
      <c r="F402" t="str">
        <f t="shared" si="33"/>
        <v>crdAgrmntId</v>
      </c>
      <c r="G402" t="e">
        <f t="shared" si="34"/>
        <v>#REF!</v>
      </c>
      <c r="H402" t="e">
        <f t="shared" si="35"/>
        <v>#REF!</v>
      </c>
    </row>
    <row r="403" spans="1:8">
      <c r="A403" t="str">
        <f>DICO_Export!D403</f>
        <v>cardAgreement</v>
      </c>
      <c r="B403" t="str">
        <f>DICO_Export!E403</f>
        <v>requestId</v>
      </c>
      <c r="C403" t="e">
        <f>#REF!</f>
        <v>#REF!</v>
      </c>
      <c r="D403" t="e">
        <f>#REF!</f>
        <v>#REF!</v>
      </c>
      <c r="E403" t="str">
        <f t="shared" si="32"/>
        <v>crdAgrmnt</v>
      </c>
      <c r="F403" t="str">
        <f t="shared" si="33"/>
        <v>rqstId</v>
      </c>
      <c r="G403" t="e">
        <f t="shared" si="34"/>
        <v>#REF!</v>
      </c>
      <c r="H403" t="e">
        <f t="shared" si="35"/>
        <v>#REF!</v>
      </c>
    </row>
    <row r="404" spans="1:8">
      <c r="A404" t="str">
        <f>DICO_Export!D404</f>
        <v>cardholder</v>
      </c>
      <c r="B404" t="str">
        <f>DICO_Export!E404</f>
        <v>cardholderId</v>
      </c>
      <c r="C404" t="e">
        <f>#REF!</f>
        <v>#REF!</v>
      </c>
      <c r="D404" t="e">
        <f>#REF!</f>
        <v>#REF!</v>
      </c>
      <c r="E404" t="str">
        <f t="shared" si="32"/>
        <v>crdhldr</v>
      </c>
      <c r="F404" t="str">
        <f t="shared" si="33"/>
        <v>crdhldrId</v>
      </c>
      <c r="G404" t="e">
        <f t="shared" si="34"/>
        <v>#REF!</v>
      </c>
      <c r="H404" t="e">
        <f t="shared" si="35"/>
        <v>#REF!</v>
      </c>
    </row>
    <row r="405" spans="1:8">
      <c r="A405" t="str">
        <f>DICO_Export!D405</f>
        <v>cardholder</v>
      </c>
      <c r="B405" t="str">
        <f>DICO_Export!E405</f>
        <v>countryCode</v>
      </c>
      <c r="C405" t="e">
        <f>#REF!</f>
        <v>#REF!</v>
      </c>
      <c r="D405" t="e">
        <f>#REF!</f>
        <v>#REF!</v>
      </c>
      <c r="E405" t="str">
        <f t="shared" si="32"/>
        <v>crdhldr</v>
      </c>
      <c r="F405" t="str">
        <f t="shared" si="33"/>
        <v>cntrCd</v>
      </c>
      <c r="G405" t="e">
        <f t="shared" si="34"/>
        <v>#REF!</v>
      </c>
      <c r="H405" t="e">
        <f t="shared" si="35"/>
        <v>#REF!</v>
      </c>
    </row>
    <row r="406" spans="1:8">
      <c r="A406" t="str">
        <f>DICO_Export!D406</f>
        <v>cardholder</v>
      </c>
      <c r="B406" t="str">
        <f>DICO_Export!E406</f>
        <v>email</v>
      </c>
      <c r="C406" t="e">
        <f>#REF!</f>
        <v>#REF!</v>
      </c>
      <c r="D406" t="e">
        <f>#REF!</f>
        <v>#REF!</v>
      </c>
      <c r="E406" t="str">
        <f t="shared" si="32"/>
        <v>crdhldr</v>
      </c>
      <c r="F406" t="str">
        <f t="shared" si="33"/>
        <v>eml</v>
      </c>
      <c r="G406" t="e">
        <f t="shared" si="34"/>
        <v>#REF!</v>
      </c>
      <c r="H406" t="e">
        <f t="shared" si="35"/>
        <v>#REF!</v>
      </c>
    </row>
    <row r="407" spans="1:8">
      <c r="A407" t="str">
        <f>DICO_Export!D407</f>
        <v>cardholder</v>
      </c>
      <c r="B407" t="str">
        <f>DICO_Export!E407</f>
        <v>firstName</v>
      </c>
      <c r="C407" t="e">
        <f>#REF!</f>
        <v>#REF!</v>
      </c>
      <c r="D407" t="e">
        <f>#REF!</f>
        <v>#REF!</v>
      </c>
      <c r="E407" t="str">
        <f t="shared" si="32"/>
        <v>crdhldr</v>
      </c>
      <c r="F407" t="str">
        <f t="shared" si="33"/>
        <v>frstNm</v>
      </c>
      <c r="G407" t="e">
        <f t="shared" si="34"/>
        <v>#REF!</v>
      </c>
      <c r="H407" t="e">
        <f t="shared" si="35"/>
        <v>#REF!</v>
      </c>
    </row>
    <row r="408" spans="1:8">
      <c r="A408" t="str">
        <f>DICO_Export!D408</f>
        <v>cardholder</v>
      </c>
      <c r="B408" t="str">
        <f>DICO_Export!E408</f>
        <v>lastName</v>
      </c>
      <c r="C408" t="e">
        <f>#REF!</f>
        <v>#REF!</v>
      </c>
      <c r="D408" t="e">
        <f>#REF!</f>
        <v>#REF!</v>
      </c>
      <c r="E408" t="str">
        <f t="shared" si="32"/>
        <v>crdhldr</v>
      </c>
      <c r="F408" t="str">
        <f t="shared" si="33"/>
        <v>lstNm</v>
      </c>
      <c r="G408" t="e">
        <f t="shared" si="34"/>
        <v>#REF!</v>
      </c>
      <c r="H408" t="e">
        <f t="shared" si="35"/>
        <v>#REF!</v>
      </c>
    </row>
    <row r="409" spans="1:8">
      <c r="A409" t="str">
        <f>DICO_Export!D409</f>
        <v>cardholder</v>
      </c>
      <c r="B409" t="str">
        <f>DICO_Export!E409</f>
        <v>localLanguageCode</v>
      </c>
      <c r="C409" t="e">
        <f>#REF!</f>
        <v>#REF!</v>
      </c>
      <c r="D409" t="e">
        <f>#REF!</f>
        <v>#REF!</v>
      </c>
      <c r="E409" t="str">
        <f t="shared" si="32"/>
        <v>crdhldr</v>
      </c>
      <c r="F409" t="str">
        <f t="shared" si="33"/>
        <v>lclLnggCd</v>
      </c>
      <c r="G409" t="e">
        <f t="shared" si="34"/>
        <v>#REF!</v>
      </c>
      <c r="H409" t="e">
        <f t="shared" si="35"/>
        <v>#REF!</v>
      </c>
    </row>
    <row r="410" spans="1:8">
      <c r="A410" t="str">
        <f>DICO_Export!D410</f>
        <v>cardholder</v>
      </c>
      <c r="B410" t="str">
        <f>DICO_Export!E410</f>
        <v>middleName</v>
      </c>
      <c r="C410" t="e">
        <f>#REF!</f>
        <v>#REF!</v>
      </c>
      <c r="D410" t="e">
        <f>#REF!</f>
        <v>#REF!</v>
      </c>
      <c r="E410" t="str">
        <f t="shared" si="32"/>
        <v>crdhldr</v>
      </c>
      <c r="F410" t="str">
        <f t="shared" si="33"/>
        <v>mddlNm</v>
      </c>
      <c r="G410" t="e">
        <f t="shared" si="34"/>
        <v>#REF!</v>
      </c>
      <c r="H410" t="e">
        <f t="shared" si="35"/>
        <v>#REF!</v>
      </c>
    </row>
    <row r="411" spans="1:8">
      <c r="A411" t="str">
        <f>DICO_Export!D411</f>
        <v>cardholder</v>
      </c>
      <c r="B411" t="str">
        <f>DICO_Export!E411</f>
        <v>phoneNumber</v>
      </c>
      <c r="C411" t="e">
        <f>#REF!</f>
        <v>#REF!</v>
      </c>
      <c r="D411" t="e">
        <f>#REF!</f>
        <v>#REF!</v>
      </c>
      <c r="E411" t="str">
        <f t="shared" si="32"/>
        <v>crdhldr</v>
      </c>
      <c r="F411" t="str">
        <f t="shared" si="33"/>
        <v>phnNmbr</v>
      </c>
      <c r="G411" t="e">
        <f t="shared" si="34"/>
        <v>#REF!</v>
      </c>
      <c r="H411" t="e">
        <f t="shared" si="35"/>
        <v>#REF!</v>
      </c>
    </row>
    <row r="412" spans="1:8">
      <c r="A412" t="str">
        <f>DICO_Export!D412</f>
        <v>cardholder</v>
      </c>
      <c r="B412" t="str">
        <f>DICO_Export!E412</f>
        <v>postalAddress</v>
      </c>
      <c r="C412" t="e">
        <f>#REF!</f>
        <v>#REF!</v>
      </c>
      <c r="D412" t="e">
        <f>#REF!</f>
        <v>#REF!</v>
      </c>
      <c r="E412" t="str">
        <f t="shared" si="32"/>
        <v>crdhldr</v>
      </c>
      <c r="F412" t="str">
        <f t="shared" si="33"/>
        <v>pstlAddrss</v>
      </c>
      <c r="G412" t="e">
        <f t="shared" si="34"/>
        <v>#REF!</v>
      </c>
      <c r="H412" t="e">
        <f t="shared" si="35"/>
        <v>#REF!</v>
      </c>
    </row>
    <row r="413" spans="1:8">
      <c r="A413" t="str">
        <f>DICO_Export!D413</f>
        <v>cardholder</v>
      </c>
      <c r="B413" t="str">
        <f>DICO_Export!E413</f>
        <v>taxCountryCode</v>
      </c>
      <c r="C413" t="e">
        <f>#REF!</f>
        <v>#REF!</v>
      </c>
      <c r="D413" t="e">
        <f>#REF!</f>
        <v>#REF!</v>
      </c>
      <c r="E413" t="str">
        <f t="shared" si="32"/>
        <v>crdhldr</v>
      </c>
      <c r="F413" t="str">
        <f t="shared" si="33"/>
        <v>txCntrCd</v>
      </c>
      <c r="G413" t="e">
        <f t="shared" si="34"/>
        <v>#REF!</v>
      </c>
      <c r="H413" t="e">
        <f t="shared" si="35"/>
        <v>#REF!</v>
      </c>
    </row>
    <row r="414" spans="1:8">
      <c r="A414" t="str">
        <f>DICO_Export!D414</f>
        <v>cardholder</v>
      </c>
      <c r="B414" t="str">
        <f>DICO_Export!E414</f>
        <v>taxRegistrationIdentication</v>
      </c>
      <c r="C414" t="e">
        <f>#REF!</f>
        <v>#REF!</v>
      </c>
      <c r="D414" t="e">
        <f>#REF!</f>
        <v>#REF!</v>
      </c>
      <c r="E414" t="str">
        <f t="shared" si="32"/>
        <v>crdhldr</v>
      </c>
      <c r="F414" t="str">
        <f t="shared" si="33"/>
        <v>txRgstrtnIdntctn</v>
      </c>
      <c r="G414" t="e">
        <f t="shared" si="34"/>
        <v>#REF!</v>
      </c>
      <c r="H414" t="e">
        <f t="shared" si="35"/>
        <v>#REF!</v>
      </c>
    </row>
    <row r="415" spans="1:8">
      <c r="A415" t="str">
        <f>DICO_Export!D415</f>
        <v>cardholder</v>
      </c>
      <c r="B415" t="str">
        <f>DICO_Export!E415</f>
        <v>taxRegistrationReasonCode</v>
      </c>
      <c r="C415" t="e">
        <f>#REF!</f>
        <v>#REF!</v>
      </c>
      <c r="D415" t="e">
        <f>#REF!</f>
        <v>#REF!</v>
      </c>
      <c r="E415" t="str">
        <f t="shared" si="32"/>
        <v>crdhldr</v>
      </c>
      <c r="F415" t="str">
        <f t="shared" si="33"/>
        <v>txRgstrtnRsnCd</v>
      </c>
      <c r="G415" t="e">
        <f t="shared" si="34"/>
        <v>#REF!</v>
      </c>
      <c r="H415" t="e">
        <f t="shared" si="35"/>
        <v>#REF!</v>
      </c>
    </row>
    <row r="416" spans="1:8">
      <c r="A416" t="str">
        <f>DICO_Export!D416</f>
        <v>merchant</v>
      </c>
      <c r="B416" t="str">
        <f>DICO_Export!E416</f>
        <v>acceptanceChannel</v>
      </c>
      <c r="C416" t="e">
        <f>#REF!</f>
        <v>#REF!</v>
      </c>
      <c r="D416" t="e">
        <f>#REF!</f>
        <v>#REF!</v>
      </c>
      <c r="E416" t="str">
        <f t="shared" si="32"/>
        <v>mrchnt</v>
      </c>
      <c r="F416" t="str">
        <f t="shared" si="33"/>
        <v>accptncChnnl</v>
      </c>
      <c r="G416" t="e">
        <f t="shared" ref="G416:G479" si="36">LEFT(C416,1)&amp;SUBSTITUTE(SUBSTITUTE(SUBSTITUTE(SUBSTITUTE(SUBSTITUTE(SUBSTITUTE(SUBSTITUTE(RIGHT(C416,LEN(C416)-1),"a"," "),"e"," "),"i"," "),"o"," "),"u"," "),"y"," ")," ","")</f>
        <v>#REF!</v>
      </c>
      <c r="H416" t="e">
        <f t="shared" ref="H416:H479" si="37">LEFT(D416,1)&amp;SUBSTITUTE(SUBSTITUTE(SUBSTITUTE(SUBSTITUTE(SUBSTITUTE(SUBSTITUTE(SUBSTITUTE(RIGHT(D416,LEN(D416)-1),"a"," "),"e"," "),"i"," "),"o"," "),"u"," "),"y"," ")," ","")</f>
        <v>#REF!</v>
      </c>
    </row>
    <row r="417" spans="1:8">
      <c r="A417" t="str">
        <f>DICO_Export!D417</f>
        <v>merchant</v>
      </c>
      <c r="B417" t="str">
        <f>DICO_Export!E417</f>
        <v>acceptanceSystemLogicalNumber</v>
      </c>
      <c r="C417" t="e">
        <f>#REF!</f>
        <v>#REF!</v>
      </c>
      <c r="D417" t="e">
        <f>#REF!</f>
        <v>#REF!</v>
      </c>
      <c r="E417" t="str">
        <f t="shared" si="32"/>
        <v>mrchnt</v>
      </c>
      <c r="F417" t="str">
        <f t="shared" si="33"/>
        <v>accptncSstmLgclNmbr</v>
      </c>
      <c r="G417" t="e">
        <f t="shared" si="36"/>
        <v>#REF!</v>
      </c>
      <c r="H417" t="e">
        <f t="shared" si="37"/>
        <v>#REF!</v>
      </c>
    </row>
    <row r="418" spans="1:8">
      <c r="A418" t="str">
        <f>DICO_Export!D418</f>
        <v>merchant</v>
      </c>
      <c r="B418" t="str">
        <f>DICO_Export!E418</f>
        <v>allowedCountry</v>
      </c>
      <c r="C418" t="e">
        <f>#REF!</f>
        <v>#REF!</v>
      </c>
      <c r="D418" t="e">
        <f>#REF!</f>
        <v>#REF!</v>
      </c>
      <c r="E418" t="str">
        <f t="shared" si="32"/>
        <v>mrchnt</v>
      </c>
      <c r="F418" t="str">
        <f t="shared" si="33"/>
        <v>allwdCntr</v>
      </c>
      <c r="G418" t="e">
        <f t="shared" si="36"/>
        <v>#REF!</v>
      </c>
      <c r="H418" t="e">
        <f t="shared" si="37"/>
        <v>#REF!</v>
      </c>
    </row>
    <row r="419" spans="1:8">
      <c r="A419" t="str">
        <f>DICO_Export!D419</f>
        <v>merchant</v>
      </c>
      <c r="B419" t="str">
        <f>DICO_Export!E419</f>
        <v>allowedCurrency</v>
      </c>
      <c r="C419" t="e">
        <f>#REF!</f>
        <v>#REF!</v>
      </c>
      <c r="D419" t="e">
        <f>#REF!</f>
        <v>#REF!</v>
      </c>
      <c r="E419" t="str">
        <f t="shared" si="32"/>
        <v>mrchnt</v>
      </c>
      <c r="F419" t="str">
        <f t="shared" si="33"/>
        <v>allwdCrrnc</v>
      </c>
      <c r="G419" t="e">
        <f t="shared" si="36"/>
        <v>#REF!</v>
      </c>
      <c r="H419" t="e">
        <f t="shared" si="37"/>
        <v>#REF!</v>
      </c>
    </row>
    <row r="420" spans="1:8">
      <c r="A420" t="str">
        <f>DICO_Export!D420</f>
        <v>merchant</v>
      </c>
      <c r="B420" t="str">
        <f>DICO_Export!E420</f>
        <v>allowedSchemeCode</v>
      </c>
      <c r="C420" t="e">
        <f>#REF!</f>
        <v>#REF!</v>
      </c>
      <c r="D420" t="e">
        <f>#REF!</f>
        <v>#REF!</v>
      </c>
      <c r="E420" t="str">
        <f t="shared" si="32"/>
        <v>mrchnt</v>
      </c>
      <c r="F420" t="str">
        <f t="shared" si="33"/>
        <v>allwdSchmCd</v>
      </c>
      <c r="G420" t="e">
        <f t="shared" si="36"/>
        <v>#REF!</v>
      </c>
      <c r="H420" t="e">
        <f t="shared" si="37"/>
        <v>#REF!</v>
      </c>
    </row>
    <row r="421" spans="1:8">
      <c r="A421" t="str">
        <f>DICO_Export!D421</f>
        <v>merchant</v>
      </c>
      <c r="B421" t="str">
        <f>DICO_Export!E421</f>
        <v>anonymousIndicator</v>
      </c>
      <c r="C421" t="e">
        <f>#REF!</f>
        <v>#REF!</v>
      </c>
      <c r="D421" t="e">
        <f>#REF!</f>
        <v>#REF!</v>
      </c>
      <c r="E421" t="str">
        <f t="shared" si="32"/>
        <v>mrchnt</v>
      </c>
      <c r="F421" t="str">
        <f t="shared" si="33"/>
        <v>annmsIndctr</v>
      </c>
      <c r="G421" t="e">
        <f t="shared" si="36"/>
        <v>#REF!</v>
      </c>
      <c r="H421" t="e">
        <f t="shared" si="37"/>
        <v>#REF!</v>
      </c>
    </row>
    <row r="422" spans="1:8">
      <c r="A422" t="str">
        <f>DICO_Export!D422</f>
        <v>merchant</v>
      </c>
      <c r="B422" t="str">
        <f>DICO_Export!E422</f>
        <v>companyRegistrationNumber</v>
      </c>
      <c r="C422" t="e">
        <f>#REF!</f>
        <v>#REF!</v>
      </c>
      <c r="D422" t="e">
        <f>#REF!</f>
        <v>#REF!</v>
      </c>
      <c r="E422" t="str">
        <f t="shared" si="32"/>
        <v>mrchnt</v>
      </c>
      <c r="F422" t="str">
        <f t="shared" si="33"/>
        <v>cmpnRgstrtnNmbr</v>
      </c>
      <c r="G422" t="e">
        <f t="shared" si="36"/>
        <v>#REF!</v>
      </c>
      <c r="H422" t="e">
        <f t="shared" si="37"/>
        <v>#REF!</v>
      </c>
    </row>
    <row r="423" spans="1:8">
      <c r="A423" t="str">
        <f>DICO_Export!D423</f>
        <v>merchant</v>
      </c>
      <c r="B423" t="str">
        <f>DICO_Export!E423</f>
        <v>companyRegistrationNumberCategory</v>
      </c>
      <c r="C423" t="e">
        <f>#REF!</f>
        <v>#REF!</v>
      </c>
      <c r="D423" t="e">
        <f>#REF!</f>
        <v>#REF!</v>
      </c>
      <c r="E423" t="str">
        <f t="shared" si="32"/>
        <v>mrchnt</v>
      </c>
      <c r="F423" t="str">
        <f t="shared" si="33"/>
        <v>cmpnRgstrtnNmbrCtgr</v>
      </c>
      <c r="G423" t="e">
        <f t="shared" si="36"/>
        <v>#REF!</v>
      </c>
      <c r="H423" t="e">
        <f t="shared" si="37"/>
        <v>#REF!</v>
      </c>
    </row>
    <row r="424" spans="1:8">
      <c r="A424" t="str">
        <f>DICO_Export!D424</f>
        <v>merchant</v>
      </c>
      <c r="B424" t="str">
        <f>DICO_Export!E424</f>
        <v>contact</v>
      </c>
      <c r="C424" t="e">
        <f>#REF!</f>
        <v>#REF!</v>
      </c>
      <c r="D424" t="e">
        <f>#REF!</f>
        <v>#REF!</v>
      </c>
      <c r="E424" t="str">
        <f t="shared" si="32"/>
        <v>mrchnt</v>
      </c>
      <c r="F424" t="str">
        <f t="shared" si="33"/>
        <v>cntct</v>
      </c>
      <c r="G424" t="e">
        <f t="shared" si="36"/>
        <v>#REF!</v>
      </c>
      <c r="H424" t="e">
        <f t="shared" si="37"/>
        <v>#REF!</v>
      </c>
    </row>
    <row r="425" spans="1:8">
      <c r="A425" t="str">
        <f>DICO_Export!D425</f>
        <v>merchant</v>
      </c>
      <c r="B425" t="str">
        <f>DICO_Export!E425</f>
        <v>cryptoCurrencyIndicator</v>
      </c>
      <c r="C425" t="e">
        <f>#REF!</f>
        <v>#REF!</v>
      </c>
      <c r="D425" t="e">
        <f>#REF!</f>
        <v>#REF!</v>
      </c>
      <c r="E425" t="str">
        <f t="shared" si="32"/>
        <v>mrchnt</v>
      </c>
      <c r="F425" t="str">
        <f t="shared" si="33"/>
        <v>crptCrrncIndctr</v>
      </c>
      <c r="G425" t="e">
        <f t="shared" si="36"/>
        <v>#REF!</v>
      </c>
      <c r="H425" t="e">
        <f t="shared" si="37"/>
        <v>#REF!</v>
      </c>
    </row>
    <row r="426" spans="1:8">
      <c r="A426" t="str">
        <f>DICO_Export!D426</f>
        <v>merchant</v>
      </c>
      <c r="B426" t="str">
        <f>DICO_Export!E426</f>
        <v>dynamicMerchantNameIndicator</v>
      </c>
      <c r="C426" t="e">
        <f>#REF!</f>
        <v>#REF!</v>
      </c>
      <c r="D426" t="e">
        <f>#REF!</f>
        <v>#REF!</v>
      </c>
      <c r="E426" t="str">
        <f t="shared" si="32"/>
        <v>mrchnt</v>
      </c>
      <c r="F426" t="str">
        <f t="shared" si="33"/>
        <v>dnmcMrchntNmIndctr</v>
      </c>
      <c r="G426" t="e">
        <f t="shared" si="36"/>
        <v>#REF!</v>
      </c>
      <c r="H426" t="e">
        <f t="shared" si="37"/>
        <v>#REF!</v>
      </c>
    </row>
    <row r="427" spans="1:8">
      <c r="A427" t="str">
        <f>DICO_Export!D427</f>
        <v>merchant</v>
      </c>
      <c r="B427" t="str">
        <f>DICO_Export!E427</f>
        <v>foreignCurrencyIndicator</v>
      </c>
      <c r="C427" t="e">
        <f>#REF!</f>
        <v>#REF!</v>
      </c>
      <c r="D427" t="e">
        <f>#REF!</f>
        <v>#REF!</v>
      </c>
      <c r="E427" t="str">
        <f t="shared" si="32"/>
        <v>mrchnt</v>
      </c>
      <c r="F427" t="str">
        <f t="shared" si="33"/>
        <v>frgnCrrncIndctr</v>
      </c>
      <c r="G427" t="e">
        <f t="shared" si="36"/>
        <v>#REF!</v>
      </c>
      <c r="H427" t="e">
        <f t="shared" si="37"/>
        <v>#REF!</v>
      </c>
    </row>
    <row r="428" spans="1:8">
      <c r="A428" t="str">
        <f>DICO_Export!D428</f>
        <v>merchant</v>
      </c>
      <c r="B428" t="str">
        <f>DICO_Export!E428</f>
        <v>genericMid</v>
      </c>
      <c r="C428" t="e">
        <f>#REF!</f>
        <v>#REF!</v>
      </c>
      <c r="D428" t="e">
        <f>#REF!</f>
        <v>#REF!</v>
      </c>
      <c r="E428" t="str">
        <f t="shared" si="32"/>
        <v>mrchnt</v>
      </c>
      <c r="F428" t="str">
        <f t="shared" si="33"/>
        <v>gnrcMd</v>
      </c>
      <c r="G428" t="e">
        <f t="shared" si="36"/>
        <v>#REF!</v>
      </c>
      <c r="H428" t="e">
        <f t="shared" si="37"/>
        <v>#REF!</v>
      </c>
    </row>
    <row r="429" spans="1:8">
      <c r="A429" t="str">
        <f>DICO_Export!D429</f>
        <v>merchant</v>
      </c>
      <c r="B429" t="str">
        <f>DICO_Export!E429</f>
        <v>genericMidIndicator</v>
      </c>
      <c r="C429" t="e">
        <f>#REF!</f>
        <v>#REF!</v>
      </c>
      <c r="D429" t="e">
        <f>#REF!</f>
        <v>#REF!</v>
      </c>
      <c r="E429" t="str">
        <f t="shared" si="32"/>
        <v>mrchnt</v>
      </c>
      <c r="F429" t="str">
        <f t="shared" si="33"/>
        <v>gnrcMdIndctr</v>
      </c>
      <c r="G429" t="e">
        <f t="shared" si="36"/>
        <v>#REF!</v>
      </c>
      <c r="H429" t="e">
        <f t="shared" si="37"/>
        <v>#REF!</v>
      </c>
    </row>
    <row r="430" spans="1:8">
      <c r="A430" t="str">
        <f>DICO_Export!D430</f>
        <v>merchant</v>
      </c>
      <c r="B430" t="str">
        <f>DICO_Export!E430</f>
        <v>governmentCountryCode</v>
      </c>
      <c r="C430" t="e">
        <f>#REF!</f>
        <v>#REF!</v>
      </c>
      <c r="D430" t="e">
        <f>#REF!</f>
        <v>#REF!</v>
      </c>
      <c r="E430" t="str">
        <f t="shared" si="32"/>
        <v>mrchnt</v>
      </c>
      <c r="F430" t="str">
        <f t="shared" si="33"/>
        <v>gvrnmntCntrCd</v>
      </c>
      <c r="G430" t="e">
        <f t="shared" si="36"/>
        <v>#REF!</v>
      </c>
      <c r="H430" t="e">
        <f t="shared" si="37"/>
        <v>#REF!</v>
      </c>
    </row>
    <row r="431" spans="1:8">
      <c r="A431" t="str">
        <f>DICO_Export!D431</f>
        <v>merchant</v>
      </c>
      <c r="B431" t="str">
        <f>DICO_Export!E431</f>
        <v>internationalBankAccountNumber</v>
      </c>
      <c r="C431" t="e">
        <f>#REF!</f>
        <v>#REF!</v>
      </c>
      <c r="D431" t="e">
        <f>#REF!</f>
        <v>#REF!</v>
      </c>
      <c r="E431" t="str">
        <f t="shared" si="32"/>
        <v>mrchnt</v>
      </c>
      <c r="F431" t="str">
        <f t="shared" si="33"/>
        <v>intrntnlBnkAccntNmbr</v>
      </c>
      <c r="G431" t="e">
        <f t="shared" si="36"/>
        <v>#REF!</v>
      </c>
      <c r="H431" t="e">
        <f t="shared" si="37"/>
        <v>#REF!</v>
      </c>
    </row>
    <row r="432" spans="1:8">
      <c r="A432" t="str">
        <f>DICO_Export!D432</f>
        <v>merchant</v>
      </c>
      <c r="B432" t="str">
        <f>DICO_Export!E432</f>
        <v>locationCategoryCode</v>
      </c>
      <c r="C432" t="e">
        <f>#REF!</f>
        <v>#REF!</v>
      </c>
      <c r="D432" t="e">
        <f>#REF!</f>
        <v>#REF!</v>
      </c>
      <c r="E432" t="str">
        <f t="shared" si="32"/>
        <v>mrchnt</v>
      </c>
      <c r="F432" t="str">
        <f t="shared" si="33"/>
        <v>lctnCtgrCd</v>
      </c>
      <c r="G432" t="e">
        <f t="shared" si="36"/>
        <v>#REF!</v>
      </c>
      <c r="H432" t="e">
        <f t="shared" si="37"/>
        <v>#REF!</v>
      </c>
    </row>
    <row r="433" spans="1:8">
      <c r="A433" t="str">
        <f>DICO_Export!D433</f>
        <v>merchant</v>
      </c>
      <c r="B433" t="str">
        <f>DICO_Export!E433</f>
        <v>merchantAdditionalData</v>
      </c>
      <c r="C433" t="e">
        <f>#REF!</f>
        <v>#REF!</v>
      </c>
      <c r="D433" t="e">
        <f>#REF!</f>
        <v>#REF!</v>
      </c>
      <c r="E433" t="str">
        <f t="shared" si="32"/>
        <v>mrchnt</v>
      </c>
      <c r="F433" t="str">
        <f t="shared" si="33"/>
        <v>mrchntAddtnlDt</v>
      </c>
      <c r="G433" t="e">
        <f t="shared" si="36"/>
        <v>#REF!</v>
      </c>
      <c r="H433" t="e">
        <f t="shared" si="37"/>
        <v>#REF!</v>
      </c>
    </row>
    <row r="434" spans="1:8">
      <c r="A434" t="str">
        <f>DICO_Export!D434</f>
        <v>merchant</v>
      </c>
      <c r="B434" t="str">
        <f>DICO_Export!E434</f>
        <v>merchantCategory</v>
      </c>
      <c r="C434" t="e">
        <f>#REF!</f>
        <v>#REF!</v>
      </c>
      <c r="D434" t="e">
        <f>#REF!</f>
        <v>#REF!</v>
      </c>
      <c r="E434" t="str">
        <f t="shared" si="32"/>
        <v>mrchnt</v>
      </c>
      <c r="F434" t="str">
        <f t="shared" si="33"/>
        <v>mrchntCtgr</v>
      </c>
      <c r="G434" t="e">
        <f t="shared" si="36"/>
        <v>#REF!</v>
      </c>
      <c r="H434" t="e">
        <f t="shared" si="37"/>
        <v>#REF!</v>
      </c>
    </row>
    <row r="435" spans="1:8">
      <c r="A435" t="str">
        <f>DICO_Export!D435</f>
        <v>merchant</v>
      </c>
      <c r="B435" t="str">
        <f>DICO_Export!E435</f>
        <v>dynamicMerchantNameIndicator</v>
      </c>
      <c r="C435" t="e">
        <f>#REF!</f>
        <v>#REF!</v>
      </c>
      <c r="D435" t="e">
        <f>#REF!</f>
        <v>#REF!</v>
      </c>
      <c r="E435" t="str">
        <f t="shared" si="32"/>
        <v>mrchnt</v>
      </c>
      <c r="F435" t="str">
        <f t="shared" si="33"/>
        <v>dnmcMrchntNmIndctr</v>
      </c>
      <c r="G435" t="e">
        <f t="shared" si="36"/>
        <v>#REF!</v>
      </c>
      <c r="H435" t="e">
        <f t="shared" si="37"/>
        <v>#REF!</v>
      </c>
    </row>
    <row r="436" spans="1:8">
      <c r="A436" t="str">
        <f>DICO_Export!D436</f>
        <v>merchant</v>
      </c>
      <c r="B436" t="str">
        <f>DICO_Export!E436</f>
        <v>merchantFrenchContractNumber</v>
      </c>
      <c r="C436" t="e">
        <f>#REF!</f>
        <v>#REF!</v>
      </c>
      <c r="D436" t="e">
        <f>#REF!</f>
        <v>#REF!</v>
      </c>
      <c r="E436" t="str">
        <f t="shared" si="32"/>
        <v>mrchnt</v>
      </c>
      <c r="F436" t="str">
        <f t="shared" si="33"/>
        <v>mrchntFrnchCntrctNmbr</v>
      </c>
      <c r="G436" t="e">
        <f t="shared" si="36"/>
        <v>#REF!</v>
      </c>
      <c r="H436" t="e">
        <f t="shared" si="37"/>
        <v>#REF!</v>
      </c>
    </row>
    <row r="437" spans="1:8">
      <c r="A437" t="str">
        <f>DICO_Export!D437</f>
        <v>merchant</v>
      </c>
      <c r="B437" t="str">
        <f>DICO_Export!E437</f>
        <v>merchantIdentification</v>
      </c>
      <c r="C437" t="e">
        <f>#REF!</f>
        <v>#REF!</v>
      </c>
      <c r="D437" t="e">
        <f>#REF!</f>
        <v>#REF!</v>
      </c>
      <c r="E437" t="str">
        <f t="shared" si="32"/>
        <v>mrchnt</v>
      </c>
      <c r="F437" t="str">
        <f t="shared" si="33"/>
        <v>mrchntIdntfctn</v>
      </c>
      <c r="G437" t="e">
        <f t="shared" si="36"/>
        <v>#REF!</v>
      </c>
      <c r="H437" t="e">
        <f t="shared" si="37"/>
        <v>#REF!</v>
      </c>
    </row>
    <row r="438" spans="1:8">
      <c r="A438" t="str">
        <f>DICO_Export!D438</f>
        <v>merchant</v>
      </c>
      <c r="B438" t="str">
        <f>DICO_Export!E438</f>
        <v>merchantProcessingEndDate</v>
      </c>
      <c r="C438" t="e">
        <f>#REF!</f>
        <v>#REF!</v>
      </c>
      <c r="D438" t="e">
        <f>#REF!</f>
        <v>#REF!</v>
      </c>
      <c r="E438" t="str">
        <f t="shared" si="32"/>
        <v>mrchnt</v>
      </c>
      <c r="F438" t="str">
        <f t="shared" si="33"/>
        <v>mrchntPrcssngEndDt</v>
      </c>
      <c r="G438" t="e">
        <f t="shared" si="36"/>
        <v>#REF!</v>
      </c>
      <c r="H438" t="e">
        <f t="shared" si="37"/>
        <v>#REF!</v>
      </c>
    </row>
    <row r="439" spans="1:8">
      <c r="A439" t="str">
        <f>DICO_Export!D439</f>
        <v>merchant</v>
      </c>
      <c r="B439" t="str">
        <f>DICO_Export!E439</f>
        <v>merchantProcessingStartDate</v>
      </c>
      <c r="C439" t="e">
        <f>#REF!</f>
        <v>#REF!</v>
      </c>
      <c r="D439" t="e">
        <f>#REF!</f>
        <v>#REF!</v>
      </c>
      <c r="E439" t="str">
        <f t="shared" si="32"/>
        <v>mrchnt</v>
      </c>
      <c r="F439" t="str">
        <f t="shared" si="33"/>
        <v>mrchntPrcssngStrtDt</v>
      </c>
      <c r="G439" t="e">
        <f t="shared" si="36"/>
        <v>#REF!</v>
      </c>
      <c r="H439" t="e">
        <f t="shared" si="37"/>
        <v>#REF!</v>
      </c>
    </row>
    <row r="440" spans="1:8">
      <c r="A440" t="str">
        <f>DICO_Export!D440</f>
        <v>merchant</v>
      </c>
      <c r="B440" t="str">
        <f>DICO_Export!E440</f>
        <v>midManagementIndicator</v>
      </c>
      <c r="C440" t="e">
        <f>#REF!</f>
        <v>#REF!</v>
      </c>
      <c r="D440" t="e">
        <f>#REF!</f>
        <v>#REF!</v>
      </c>
      <c r="E440" t="str">
        <f t="shared" si="32"/>
        <v>mrchnt</v>
      </c>
      <c r="F440" t="str">
        <f t="shared" si="33"/>
        <v>mdMngmntIndctr</v>
      </c>
      <c r="G440" t="e">
        <f t="shared" si="36"/>
        <v>#REF!</v>
      </c>
      <c r="H440" t="e">
        <f t="shared" si="37"/>
        <v>#REF!</v>
      </c>
    </row>
    <row r="441" spans="1:8">
      <c r="A441" t="str">
        <f>DICO_Export!D441</f>
        <v>merchant</v>
      </c>
      <c r="B441" t="str">
        <f>DICO_Export!E441</f>
        <v>poiIdByAcquirer</v>
      </c>
      <c r="C441" t="e">
        <f>#REF!</f>
        <v>#REF!</v>
      </c>
      <c r="D441" t="e">
        <f>#REF!</f>
        <v>#REF!</v>
      </c>
      <c r="E441" t="str">
        <f t="shared" si="32"/>
        <v>mrchnt</v>
      </c>
      <c r="F441" t="str">
        <f t="shared" si="33"/>
        <v>pIdBAcqrr</v>
      </c>
      <c r="G441" t="e">
        <f t="shared" si="36"/>
        <v>#REF!</v>
      </c>
      <c r="H441" t="e">
        <f t="shared" si="37"/>
        <v>#REF!</v>
      </c>
    </row>
    <row r="442" spans="1:8">
      <c r="A442" t="str">
        <f>DICO_Export!D442</f>
        <v>merchant</v>
      </c>
      <c r="B442" t="str">
        <f>DICO_Export!E442</f>
        <v>pointOfSale</v>
      </c>
      <c r="C442" t="e">
        <f>#REF!</f>
        <v>#REF!</v>
      </c>
      <c r="D442" t="e">
        <f>#REF!</f>
        <v>#REF!</v>
      </c>
      <c r="E442" t="str">
        <f t="shared" si="32"/>
        <v>mrchnt</v>
      </c>
      <c r="F442" t="str">
        <f t="shared" si="33"/>
        <v>pntOfSl</v>
      </c>
      <c r="G442" t="e">
        <f t="shared" si="36"/>
        <v>#REF!</v>
      </c>
      <c r="H442" t="e">
        <f t="shared" si="37"/>
        <v>#REF!</v>
      </c>
    </row>
    <row r="443" spans="1:8">
      <c r="A443" t="str">
        <f>DICO_Export!D443</f>
        <v>merchant</v>
      </c>
      <c r="B443" t="str">
        <f>DICO_Export!E443</f>
        <v>postalAddress</v>
      </c>
      <c r="C443" t="e">
        <f>#REF!</f>
        <v>#REF!</v>
      </c>
      <c r="D443" t="e">
        <f>#REF!</f>
        <v>#REF!</v>
      </c>
      <c r="E443" t="str">
        <f t="shared" si="32"/>
        <v>mrchnt</v>
      </c>
      <c r="F443" t="str">
        <f t="shared" si="33"/>
        <v>pstlAddrss</v>
      </c>
      <c r="G443" t="e">
        <f t="shared" si="36"/>
        <v>#REF!</v>
      </c>
      <c r="H443" t="e">
        <f t="shared" si="37"/>
        <v>#REF!</v>
      </c>
    </row>
    <row r="444" spans="1:8">
      <c r="A444" t="str">
        <f>DICO_Export!D444</f>
        <v>merchant</v>
      </c>
      <c r="B444" t="str">
        <f>DICO_Export!E444</f>
        <v>readingMode</v>
      </c>
      <c r="C444" t="e">
        <f>#REF!</f>
        <v>#REF!</v>
      </c>
      <c r="D444" t="e">
        <f>#REF!</f>
        <v>#REF!</v>
      </c>
      <c r="E444" t="str">
        <f t="shared" si="32"/>
        <v>mrchnt</v>
      </c>
      <c r="F444" t="str">
        <f t="shared" si="33"/>
        <v>rdngMd</v>
      </c>
      <c r="G444" t="e">
        <f t="shared" si="36"/>
        <v>#REF!</v>
      </c>
      <c r="H444" t="e">
        <f t="shared" si="37"/>
        <v>#REF!</v>
      </c>
    </row>
    <row r="445" spans="1:8">
      <c r="A445" t="str">
        <f>DICO_Export!D445</f>
        <v>merchant</v>
      </c>
      <c r="B445" t="str">
        <f>DICO_Export!E445</f>
        <v>signName</v>
      </c>
      <c r="C445" t="e">
        <f>#REF!</f>
        <v>#REF!</v>
      </c>
      <c r="D445" t="e">
        <f>#REF!</f>
        <v>#REF!</v>
      </c>
      <c r="E445" t="str">
        <f t="shared" si="32"/>
        <v>mrchnt</v>
      </c>
      <c r="F445" t="str">
        <f t="shared" si="33"/>
        <v>sgnNm</v>
      </c>
      <c r="G445" t="e">
        <f t="shared" si="36"/>
        <v>#REF!</v>
      </c>
      <c r="H445" t="e">
        <f t="shared" si="37"/>
        <v>#REF!</v>
      </c>
    </row>
    <row r="446" spans="1:8">
      <c r="A446" t="str">
        <f>DICO_Export!D446</f>
        <v>merchant</v>
      </c>
      <c r="B446" t="str">
        <f>DICO_Export!E446</f>
        <v>singleContractIndicator</v>
      </c>
      <c r="C446" t="e">
        <f>#REF!</f>
        <v>#REF!</v>
      </c>
      <c r="D446" t="e">
        <f>#REF!</f>
        <v>#REF!</v>
      </c>
      <c r="E446" t="str">
        <f t="shared" si="32"/>
        <v>mrchnt</v>
      </c>
      <c r="F446" t="str">
        <f t="shared" si="33"/>
        <v>snglCntrctIndctr</v>
      </c>
      <c r="G446" t="e">
        <f t="shared" si="36"/>
        <v>#REF!</v>
      </c>
      <c r="H446" t="e">
        <f t="shared" si="37"/>
        <v>#REF!</v>
      </c>
    </row>
    <row r="447" spans="1:8">
      <c r="A447" t="e">
        <f>DICO_Export!#REF!</f>
        <v>#REF!</v>
      </c>
      <c r="B447" t="e">
        <f>DICO_Export!#REF!</f>
        <v>#REF!</v>
      </c>
      <c r="C447" t="e">
        <f>#REF!</f>
        <v>#REF!</v>
      </c>
      <c r="D447" t="e">
        <f>#REF!</f>
        <v>#REF!</v>
      </c>
      <c r="E447" t="e">
        <f t="shared" si="32"/>
        <v>#REF!</v>
      </c>
      <c r="F447" t="e">
        <f t="shared" si="33"/>
        <v>#REF!</v>
      </c>
      <c r="G447" t="e">
        <f t="shared" si="36"/>
        <v>#REF!</v>
      </c>
      <c r="H447" t="e">
        <f t="shared" si="37"/>
        <v>#REF!</v>
      </c>
    </row>
    <row r="448" spans="1:8">
      <c r="A448" t="e">
        <f>DICO_Export!#REF!</f>
        <v>#REF!</v>
      </c>
      <c r="B448" t="e">
        <f>DICO_Export!#REF!</f>
        <v>#REF!</v>
      </c>
      <c r="C448" t="e">
        <f>#REF!</f>
        <v>#REF!</v>
      </c>
      <c r="D448" t="e">
        <f>#REF!</f>
        <v>#REF!</v>
      </c>
      <c r="E448" t="e">
        <f t="shared" si="32"/>
        <v>#REF!</v>
      </c>
      <c r="F448" t="e">
        <f t="shared" si="33"/>
        <v>#REF!</v>
      </c>
      <c r="G448" t="e">
        <f t="shared" si="36"/>
        <v>#REF!</v>
      </c>
      <c r="H448" t="e">
        <f t="shared" si="37"/>
        <v>#REF!</v>
      </c>
    </row>
    <row r="449" spans="1:8">
      <c r="A449" t="e">
        <f>DICO_Export!#REF!</f>
        <v>#REF!</v>
      </c>
      <c r="B449" t="e">
        <f>DICO_Export!#REF!</f>
        <v>#REF!</v>
      </c>
      <c r="C449" t="e">
        <f>#REF!</f>
        <v>#REF!</v>
      </c>
      <c r="D449" t="e">
        <f>#REF!</f>
        <v>#REF!</v>
      </c>
      <c r="E449" t="e">
        <f t="shared" si="32"/>
        <v>#REF!</v>
      </c>
      <c r="F449" t="e">
        <f t="shared" si="33"/>
        <v>#REF!</v>
      </c>
      <c r="G449" t="e">
        <f t="shared" si="36"/>
        <v>#REF!</v>
      </c>
      <c r="H449" t="e">
        <f t="shared" si="37"/>
        <v>#REF!</v>
      </c>
    </row>
    <row r="450" spans="1:8">
      <c r="A450" t="e">
        <f>DICO_Export!#REF!</f>
        <v>#REF!</v>
      </c>
      <c r="B450" t="e">
        <f>DICO_Export!#REF!</f>
        <v>#REF!</v>
      </c>
      <c r="C450" t="e">
        <f>#REF!</f>
        <v>#REF!</v>
      </c>
      <c r="D450" t="e">
        <f>#REF!</f>
        <v>#REF!</v>
      </c>
      <c r="E450" t="e">
        <f t="shared" si="32"/>
        <v>#REF!</v>
      </c>
      <c r="F450" t="e">
        <f t="shared" si="33"/>
        <v>#REF!</v>
      </c>
      <c r="G450" t="e">
        <f t="shared" si="36"/>
        <v>#REF!</v>
      </c>
      <c r="H450" t="e">
        <f t="shared" si="37"/>
        <v>#REF!</v>
      </c>
    </row>
    <row r="451" spans="1:8">
      <c r="A451" t="e">
        <f>DICO_Export!#REF!</f>
        <v>#REF!</v>
      </c>
      <c r="B451" t="e">
        <f>DICO_Export!#REF!</f>
        <v>#REF!</v>
      </c>
      <c r="C451" t="e">
        <f>#REF!</f>
        <v>#REF!</v>
      </c>
      <c r="D451" t="e">
        <f>#REF!</f>
        <v>#REF!</v>
      </c>
      <c r="E451" t="e">
        <f t="shared" si="32"/>
        <v>#REF!</v>
      </c>
      <c r="F451" t="e">
        <f t="shared" si="33"/>
        <v>#REF!</v>
      </c>
      <c r="G451" t="e">
        <f t="shared" si="36"/>
        <v>#REF!</v>
      </c>
      <c r="H451" t="e">
        <f t="shared" si="37"/>
        <v>#REF!</v>
      </c>
    </row>
    <row r="452" spans="1:8">
      <c r="A452" t="str">
        <f>DICO_Export!D447</f>
        <v>merchant</v>
      </c>
      <c r="B452" t="str">
        <f>DICO_Export!E447</f>
        <v>temp_anonymousDynamicPlaque</v>
      </c>
      <c r="C452" t="e">
        <f>#REF!</f>
        <v>#REF!</v>
      </c>
      <c r="D452" t="e">
        <f>#REF!</f>
        <v>#REF!</v>
      </c>
      <c r="E452" t="str">
        <f t="shared" ref="E452:E515" si="38">LEFT(A452,1)&amp;SUBSTITUTE(SUBSTITUTE(SUBSTITUTE(SUBSTITUTE(SUBSTITUTE(SUBSTITUTE(SUBSTITUTE(RIGHT(A452,LEN(A452)-1),"a"," "),"e"," "),"i"," "),"o"," "),"u"," "),"y"," ")," ","")</f>
        <v>mrchnt</v>
      </c>
      <c r="F452" t="str">
        <f t="shared" ref="F452:F515" si="39">LEFT(B452,1)&amp;SUBSTITUTE(SUBSTITUTE(SUBSTITUTE(SUBSTITUTE(SUBSTITUTE(SUBSTITUTE(SUBSTITUTE(RIGHT(B452,LEN(B452)-1),"a"," "),"e"," "),"i"," "),"o"," "),"u"," "),"y"," ")," ","")</f>
        <v>tmp_nnmsDnmcPlq</v>
      </c>
      <c r="G452" t="e">
        <f t="shared" si="36"/>
        <v>#REF!</v>
      </c>
      <c r="H452" t="e">
        <f t="shared" si="37"/>
        <v>#REF!</v>
      </c>
    </row>
    <row r="453" spans="1:8">
      <c r="A453" t="str">
        <f>DICO_Export!D448</f>
        <v>merchant</v>
      </c>
      <c r="B453" t="str">
        <f>DICO_Export!E448</f>
        <v>temp_merchantCommunicationMedia</v>
      </c>
      <c r="C453" t="e">
        <f>#REF!</f>
        <v>#REF!</v>
      </c>
      <c r="D453" t="e">
        <f>#REF!</f>
        <v>#REF!</v>
      </c>
      <c r="E453" t="str">
        <f t="shared" si="38"/>
        <v>mrchnt</v>
      </c>
      <c r="F453" t="str">
        <f t="shared" si="39"/>
        <v>tmp_mrchntCmmnctnMd</v>
      </c>
      <c r="G453" t="e">
        <f t="shared" si="36"/>
        <v>#REF!</v>
      </c>
      <c r="H453" t="e">
        <f t="shared" si="37"/>
        <v>#REF!</v>
      </c>
    </row>
    <row r="454" spans="1:8">
      <c r="A454" t="str">
        <f>DICO_Export!D450</f>
        <v>merchant</v>
      </c>
      <c r="B454" t="str">
        <f>DICO_Export!E450</f>
        <v>temp_productIdMasterRepository</v>
      </c>
      <c r="C454" t="e">
        <f>#REF!</f>
        <v>#REF!</v>
      </c>
      <c r="D454" t="e">
        <f>#REF!</f>
        <v>#REF!</v>
      </c>
      <c r="E454" t="str">
        <f t="shared" si="38"/>
        <v>mrchnt</v>
      </c>
      <c r="F454" t="str">
        <f t="shared" si="39"/>
        <v>tmp_prdctIdMstrRpstr</v>
      </c>
      <c r="G454" t="e">
        <f t="shared" si="36"/>
        <v>#REF!</v>
      </c>
      <c r="H454" t="e">
        <f t="shared" si="37"/>
        <v>#REF!</v>
      </c>
    </row>
    <row r="455" spans="1:8">
      <c r="A455" t="str">
        <f>DICO_Export!D451</f>
        <v>merchant</v>
      </c>
      <c r="B455" t="str">
        <f>DICO_Export!E451</f>
        <v>temp_visaMarketPlaceId</v>
      </c>
      <c r="C455" t="e">
        <f>#REF!</f>
        <v>#REF!</v>
      </c>
      <c r="D455" t="e">
        <f>#REF!</f>
        <v>#REF!</v>
      </c>
      <c r="E455" t="str">
        <f t="shared" si="38"/>
        <v>mrchnt</v>
      </c>
      <c r="F455" t="str">
        <f t="shared" si="39"/>
        <v>tmp_vsMrktPlcId</v>
      </c>
      <c r="G455" t="e">
        <f t="shared" si="36"/>
        <v>#REF!</v>
      </c>
      <c r="H455" t="e">
        <f t="shared" si="37"/>
        <v>#REF!</v>
      </c>
    </row>
    <row r="456" spans="1:8">
      <c r="A456" t="str">
        <f>DICO_Export!D452</f>
        <v>payee</v>
      </c>
      <c r="B456" t="str">
        <f>DICO_Export!E452</f>
        <v>accountNumber</v>
      </c>
      <c r="C456" t="e">
        <f>#REF!</f>
        <v>#REF!</v>
      </c>
      <c r="D456" t="e">
        <f>#REF!</f>
        <v>#REF!</v>
      </c>
      <c r="E456" t="str">
        <f t="shared" si="38"/>
        <v>p</v>
      </c>
      <c r="F456" t="str">
        <f t="shared" si="39"/>
        <v>accntNmbr</v>
      </c>
      <c r="G456" t="e">
        <f t="shared" si="36"/>
        <v>#REF!</v>
      </c>
      <c r="H456" t="e">
        <f t="shared" si="37"/>
        <v>#REF!</v>
      </c>
    </row>
    <row r="457" spans="1:8">
      <c r="A457" t="str">
        <f>DICO_Export!D453</f>
        <v>payee</v>
      </c>
      <c r="B457" t="str">
        <f>DICO_Export!E453</f>
        <v>primaryAccountNumber</v>
      </c>
      <c r="C457" t="e">
        <f>#REF!</f>
        <v>#REF!</v>
      </c>
      <c r="D457" t="e">
        <f>#REF!</f>
        <v>#REF!</v>
      </c>
      <c r="E457" t="str">
        <f t="shared" si="38"/>
        <v>p</v>
      </c>
      <c r="F457" t="str">
        <f t="shared" si="39"/>
        <v>prmrAccntNmbr</v>
      </c>
      <c r="G457" t="e">
        <f t="shared" si="36"/>
        <v>#REF!</v>
      </c>
      <c r="H457" t="e">
        <f t="shared" si="37"/>
        <v>#REF!</v>
      </c>
    </row>
    <row r="458" spans="1:8">
      <c r="A458" t="str">
        <f>DICO_Export!D454</f>
        <v>payer</v>
      </c>
      <c r="B458" t="str">
        <f>DICO_Export!E454</f>
        <v>accountNumber</v>
      </c>
      <c r="C458" t="e">
        <f>#REF!</f>
        <v>#REF!</v>
      </c>
      <c r="D458" t="e">
        <f>#REF!</f>
        <v>#REF!</v>
      </c>
      <c r="E458" t="str">
        <f t="shared" si="38"/>
        <v>pr</v>
      </c>
      <c r="F458" t="str">
        <f t="shared" si="39"/>
        <v>accntNmbr</v>
      </c>
      <c r="G458" t="e">
        <f t="shared" si="36"/>
        <v>#REF!</v>
      </c>
      <c r="H458" t="e">
        <f t="shared" si="37"/>
        <v>#REF!</v>
      </c>
    </row>
    <row r="459" spans="1:8">
      <c r="A459" t="str">
        <f>DICO_Export!D455</f>
        <v>payer</v>
      </c>
      <c r="B459" t="str">
        <f>DICO_Export!E455</f>
        <v>financialInstitutionId</v>
      </c>
      <c r="C459" t="e">
        <f>#REF!</f>
        <v>#REF!</v>
      </c>
      <c r="D459" t="e">
        <f>#REF!</f>
        <v>#REF!</v>
      </c>
      <c r="E459" t="str">
        <f t="shared" si="38"/>
        <v>pr</v>
      </c>
      <c r="F459" t="str">
        <f t="shared" si="39"/>
        <v>fnnclInstttnId</v>
      </c>
      <c r="G459" t="e">
        <f t="shared" si="36"/>
        <v>#REF!</v>
      </c>
      <c r="H459" t="e">
        <f t="shared" si="37"/>
        <v>#REF!</v>
      </c>
    </row>
    <row r="460" spans="1:8">
      <c r="A460" t="str">
        <f>DICO_Export!D456</f>
        <v>payer</v>
      </c>
      <c r="B460" t="str">
        <f>DICO_Export!E456</f>
        <v>internationalBankAccountNumber</v>
      </c>
      <c r="C460" t="e">
        <f>#REF!</f>
        <v>#REF!</v>
      </c>
      <c r="D460" t="e">
        <f>#REF!</f>
        <v>#REF!</v>
      </c>
      <c r="E460" t="str">
        <f t="shared" si="38"/>
        <v>pr</v>
      </c>
      <c r="F460" t="str">
        <f t="shared" si="39"/>
        <v>intrntnlBnkAccntNmbr</v>
      </c>
      <c r="G460" t="e">
        <f t="shared" si="36"/>
        <v>#REF!</v>
      </c>
      <c r="H460" t="e">
        <f t="shared" si="37"/>
        <v>#REF!</v>
      </c>
    </row>
    <row r="461" spans="1:8">
      <c r="A461" t="str">
        <f>DICO_Export!D457</f>
        <v>sponsoredMerchant</v>
      </c>
      <c r="B461" t="str">
        <f>DICO_Export!E457</f>
        <v>finalMerchantAdress</v>
      </c>
      <c r="C461" t="e">
        <f>#REF!</f>
        <v>#REF!</v>
      </c>
      <c r="D461" t="e">
        <f>#REF!</f>
        <v>#REF!</v>
      </c>
      <c r="E461" t="str">
        <f t="shared" si="38"/>
        <v>spnsrdMrchnt</v>
      </c>
      <c r="F461" t="str">
        <f t="shared" si="39"/>
        <v>fnlMrchntAdrss</v>
      </c>
      <c r="G461" t="e">
        <f t="shared" si="36"/>
        <v>#REF!</v>
      </c>
      <c r="H461" t="e">
        <f t="shared" si="37"/>
        <v>#REF!</v>
      </c>
    </row>
    <row r="462" spans="1:8">
      <c r="A462" t="str">
        <f>DICO_Export!D458</f>
        <v>sponsoredMerchant</v>
      </c>
      <c r="B462" t="str">
        <f>DICO_Export!E458</f>
        <v>finalMerchantId</v>
      </c>
      <c r="C462" t="e">
        <f>#REF!</f>
        <v>#REF!</v>
      </c>
      <c r="D462" t="e">
        <f>#REF!</f>
        <v>#REF!</v>
      </c>
      <c r="E462" t="str">
        <f t="shared" si="38"/>
        <v>spnsrdMrchnt</v>
      </c>
      <c r="F462" t="str">
        <f t="shared" si="39"/>
        <v>fnlMrchntId</v>
      </c>
      <c r="G462" t="e">
        <f t="shared" si="36"/>
        <v>#REF!</v>
      </c>
      <c r="H462" t="e">
        <f t="shared" si="37"/>
        <v>#REF!</v>
      </c>
    </row>
    <row r="463" spans="1:8">
      <c r="A463" t="str">
        <f>DICO_Export!D459</f>
        <v>sponsoredMerchant</v>
      </c>
      <c r="B463" t="str">
        <f>DICO_Export!E459</f>
        <v>independantSalesOrganisationId</v>
      </c>
      <c r="C463" t="e">
        <f>#REF!</f>
        <v>#REF!</v>
      </c>
      <c r="D463" t="e">
        <f>#REF!</f>
        <v>#REF!</v>
      </c>
      <c r="E463" t="str">
        <f t="shared" si="38"/>
        <v>spnsrdMrchnt</v>
      </c>
      <c r="F463" t="str">
        <f t="shared" si="39"/>
        <v>indpndntSlsOrgnstnId</v>
      </c>
      <c r="G463" t="e">
        <f t="shared" si="36"/>
        <v>#REF!</v>
      </c>
      <c r="H463" t="e">
        <f t="shared" si="37"/>
        <v>#REF!</v>
      </c>
    </row>
    <row r="464" spans="1:8">
      <c r="A464" t="str">
        <f>DICO_Export!D460</f>
        <v>sponsoredMerchant</v>
      </c>
      <c r="B464" t="str">
        <f>DICO_Export!E460</f>
        <v>marketPlaceForeignRetailIndicator</v>
      </c>
      <c r="C464" t="e">
        <f>#REF!</f>
        <v>#REF!</v>
      </c>
      <c r="D464" t="e">
        <f>#REF!</f>
        <v>#REF!</v>
      </c>
      <c r="E464" t="str">
        <f t="shared" si="38"/>
        <v>spnsrdMrchnt</v>
      </c>
      <c r="F464" t="str">
        <f t="shared" si="39"/>
        <v>mrktPlcFrgnRtlIndctr</v>
      </c>
      <c r="G464" t="e">
        <f t="shared" si="36"/>
        <v>#REF!</v>
      </c>
      <c r="H464" t="e">
        <f t="shared" si="37"/>
        <v>#REF!</v>
      </c>
    </row>
    <row r="465" spans="1:8">
      <c r="A465" t="str">
        <f>DICO_Export!D461</f>
        <v>sponsoredMerchant</v>
      </c>
      <c r="B465" t="str">
        <f>DICO_Export!E461</f>
        <v>marketPlaceId</v>
      </c>
      <c r="C465" t="e">
        <f>#REF!</f>
        <v>#REF!</v>
      </c>
      <c r="D465" t="e">
        <f>#REF!</f>
        <v>#REF!</v>
      </c>
      <c r="E465" t="str">
        <f t="shared" si="38"/>
        <v>spnsrdMrchnt</v>
      </c>
      <c r="F465" t="str">
        <f t="shared" si="39"/>
        <v>mrktPlcId</v>
      </c>
      <c r="G465" t="e">
        <f t="shared" si="36"/>
        <v>#REF!</v>
      </c>
      <c r="H465" t="e">
        <f t="shared" si="37"/>
        <v>#REF!</v>
      </c>
    </row>
    <row r="466" spans="1:8">
      <c r="A466" t="str">
        <f>DICO_Export!D462</f>
        <v>sponsoredMerchant</v>
      </c>
      <c r="B466" t="str">
        <f>DICO_Export!E462</f>
        <v>paymentFacilitatorId</v>
      </c>
      <c r="C466" t="e">
        <f>#REF!</f>
        <v>#REF!</v>
      </c>
      <c r="D466" t="e">
        <f>#REF!</f>
        <v>#REF!</v>
      </c>
      <c r="E466" t="str">
        <f t="shared" si="38"/>
        <v>spnsrdMrchnt</v>
      </c>
      <c r="F466" t="str">
        <f t="shared" si="39"/>
        <v>pmntFclttrId</v>
      </c>
      <c r="G466" t="e">
        <f t="shared" si="36"/>
        <v>#REF!</v>
      </c>
      <c r="H466" t="e">
        <f t="shared" si="37"/>
        <v>#REF!</v>
      </c>
    </row>
    <row r="467" spans="1:8">
      <c r="A467" t="str">
        <f>DICO_Export!D463</f>
        <v>terminal</v>
      </c>
      <c r="B467" t="str">
        <f>DICO_Export!E463</f>
        <v>acceptanceSystemApplicationId</v>
      </c>
      <c r="C467" t="e">
        <f>#REF!</f>
        <v>#REF!</v>
      </c>
      <c r="D467" t="e">
        <f>#REF!</f>
        <v>#REF!</v>
      </c>
      <c r="E467" t="str">
        <f t="shared" si="38"/>
        <v>trmnl</v>
      </c>
      <c r="F467" t="str">
        <f t="shared" si="39"/>
        <v>accptncSstmApplctnId</v>
      </c>
      <c r="G467" t="e">
        <f t="shared" si="36"/>
        <v>#REF!</v>
      </c>
      <c r="H467" t="e">
        <f t="shared" si="37"/>
        <v>#REF!</v>
      </c>
    </row>
    <row r="468" spans="1:8">
      <c r="A468" t="str">
        <f>DICO_Export!D464</f>
        <v>terminal</v>
      </c>
      <c r="B468" t="str">
        <f>DICO_Export!E464</f>
        <v>acceptanceSystemComponentsIdentifier</v>
      </c>
      <c r="C468" t="e">
        <f>#REF!</f>
        <v>#REF!</v>
      </c>
      <c r="D468" t="e">
        <f>#REF!</f>
        <v>#REF!</v>
      </c>
      <c r="E468" t="str">
        <f t="shared" si="38"/>
        <v>trmnl</v>
      </c>
      <c r="F468" t="str">
        <f t="shared" si="39"/>
        <v>accptncSstmCmpnntsIdntfr</v>
      </c>
      <c r="G468" t="e">
        <f t="shared" si="36"/>
        <v>#REF!</v>
      </c>
      <c r="H468" t="e">
        <f t="shared" si="37"/>
        <v>#REF!</v>
      </c>
    </row>
    <row r="469" spans="1:8">
      <c r="A469" t="str">
        <f>DICO_Export!D465</f>
        <v>terminal</v>
      </c>
      <c r="B469" t="str">
        <f>DICO_Export!E465</f>
        <v>acceptanceSystemIdentifierAssignedByAnAcquirer</v>
      </c>
      <c r="C469" t="e">
        <f>#REF!</f>
        <v>#REF!</v>
      </c>
      <c r="D469" t="e">
        <f>#REF!</f>
        <v>#REF!</v>
      </c>
      <c r="E469" t="str">
        <f t="shared" si="38"/>
        <v>trmnl</v>
      </c>
      <c r="F469" t="str">
        <f t="shared" si="39"/>
        <v>accptncSstmIdntfrAssgndBAnAcqrr</v>
      </c>
      <c r="G469" t="e">
        <f t="shared" si="36"/>
        <v>#REF!</v>
      </c>
      <c r="H469" t="e">
        <f t="shared" si="37"/>
        <v>#REF!</v>
      </c>
    </row>
    <row r="470" spans="1:8">
      <c r="A470" t="str">
        <f>DICO_Export!D466</f>
        <v>terminal</v>
      </c>
      <c r="B470" t="str">
        <f>DICO_Export!E466</f>
        <v>applicationStatus</v>
      </c>
      <c r="C470" t="e">
        <f>#REF!</f>
        <v>#REF!</v>
      </c>
      <c r="D470" t="e">
        <f>#REF!</f>
        <v>#REF!</v>
      </c>
      <c r="E470" t="str">
        <f t="shared" si="38"/>
        <v>trmnl</v>
      </c>
      <c r="F470" t="str">
        <f t="shared" si="39"/>
        <v>applctnStts</v>
      </c>
      <c r="G470" t="e">
        <f t="shared" si="36"/>
        <v>#REF!</v>
      </c>
      <c r="H470" t="e">
        <f t="shared" si="37"/>
        <v>#REF!</v>
      </c>
    </row>
    <row r="471" spans="1:8">
      <c r="A471" t="str">
        <f>DICO_Export!D467</f>
        <v>terminal</v>
      </c>
      <c r="B471" t="str">
        <f>DICO_Export!E467</f>
        <v>approvalCodeLength</v>
      </c>
      <c r="C471" t="e">
        <f>#REF!</f>
        <v>#REF!</v>
      </c>
      <c r="D471" t="e">
        <f>#REF!</f>
        <v>#REF!</v>
      </c>
      <c r="E471" t="str">
        <f t="shared" si="38"/>
        <v>trmnl</v>
      </c>
      <c r="F471" t="str">
        <f t="shared" si="39"/>
        <v>apprvlCdLngth</v>
      </c>
      <c r="G471" t="e">
        <f t="shared" si="36"/>
        <v>#REF!</v>
      </c>
      <c r="H471" t="e">
        <f t="shared" si="37"/>
        <v>#REF!</v>
      </c>
    </row>
    <row r="472" spans="1:8">
      <c r="A472" t="str">
        <f>DICO_Export!D468</f>
        <v>terminal</v>
      </c>
      <c r="B472" t="str">
        <f>DICO_Export!E468</f>
        <v>cardAcceptorArchitectureCategory</v>
      </c>
      <c r="C472" t="e">
        <f>#REF!</f>
        <v>#REF!</v>
      </c>
      <c r="D472" t="e">
        <f>#REF!</f>
        <v>#REF!</v>
      </c>
      <c r="E472" t="str">
        <f t="shared" si="38"/>
        <v>trmnl</v>
      </c>
      <c r="F472" t="str">
        <f t="shared" si="39"/>
        <v>crdAccptrArchtctrCtgr</v>
      </c>
      <c r="G472" t="e">
        <f t="shared" si="36"/>
        <v>#REF!</v>
      </c>
      <c r="H472" t="e">
        <f t="shared" si="37"/>
        <v>#REF!</v>
      </c>
    </row>
    <row r="473" spans="1:8">
      <c r="A473" t="str">
        <f>DICO_Export!D469</f>
        <v>terminal</v>
      </c>
      <c r="B473" t="str">
        <f>DICO_Export!E469</f>
        <v>cardAcceptorLogicalNumber</v>
      </c>
      <c r="C473" t="e">
        <f>#REF!</f>
        <v>#REF!</v>
      </c>
      <c r="D473" t="e">
        <f>#REF!</f>
        <v>#REF!</v>
      </c>
      <c r="E473" t="str">
        <f t="shared" si="38"/>
        <v>trmnl</v>
      </c>
      <c r="F473" t="str">
        <f t="shared" si="39"/>
        <v>crdAccptrLgclNmbr</v>
      </c>
      <c r="G473" t="e">
        <f t="shared" si="36"/>
        <v>#REF!</v>
      </c>
      <c r="H473" t="e">
        <f t="shared" si="37"/>
        <v>#REF!</v>
      </c>
    </row>
    <row r="474" spans="1:8">
      <c r="A474" t="str">
        <f>DICO_Export!D470</f>
        <v>terminal</v>
      </c>
      <c r="B474" t="str">
        <f>DICO_Export!E470</f>
        <v>cardholderAuthenticationCapabilities</v>
      </c>
      <c r="C474" t="e">
        <f>#REF!</f>
        <v>#REF!</v>
      </c>
      <c r="D474" t="e">
        <f>#REF!</f>
        <v>#REF!</v>
      </c>
      <c r="E474" t="str">
        <f t="shared" si="38"/>
        <v>trmnl</v>
      </c>
      <c r="F474" t="str">
        <f t="shared" si="39"/>
        <v>crdhldrAthntctnCpblts</v>
      </c>
      <c r="G474" t="e">
        <f t="shared" si="36"/>
        <v>#REF!</v>
      </c>
      <c r="H474" t="e">
        <f t="shared" si="37"/>
        <v>#REF!</v>
      </c>
    </row>
    <row r="475" spans="1:8">
      <c r="A475" t="str">
        <f>DICO_Export!D471</f>
        <v>terminal</v>
      </c>
      <c r="B475" t="str">
        <f>DICO_Export!E471</f>
        <v>cardholderPickUpCapabilities</v>
      </c>
      <c r="C475" t="e">
        <f>#REF!</f>
        <v>#REF!</v>
      </c>
      <c r="D475" t="e">
        <f>#REF!</f>
        <v>#REF!</v>
      </c>
      <c r="E475" t="str">
        <f t="shared" si="38"/>
        <v>trmnl</v>
      </c>
      <c r="F475" t="str">
        <f t="shared" si="39"/>
        <v>crdhldrPckUpCpblts</v>
      </c>
      <c r="G475" t="e">
        <f t="shared" si="36"/>
        <v>#REF!</v>
      </c>
      <c r="H475" t="e">
        <f t="shared" si="37"/>
        <v>#REF!</v>
      </c>
    </row>
    <row r="476" spans="1:8">
      <c r="A476" t="str">
        <f>DICO_Export!D472</f>
        <v>terminal</v>
      </c>
      <c r="B476" t="str">
        <f>DICO_Export!E472</f>
        <v>cardReadingCapabilities</v>
      </c>
      <c r="C476" t="e">
        <f>#REF!</f>
        <v>#REF!</v>
      </c>
      <c r="D476" t="e">
        <f>#REF!</f>
        <v>#REF!</v>
      </c>
      <c r="E476" t="str">
        <f t="shared" si="38"/>
        <v>trmnl</v>
      </c>
      <c r="F476" t="str">
        <f t="shared" si="39"/>
        <v>crdRdngCpblts</v>
      </c>
      <c r="G476" t="e">
        <f t="shared" si="36"/>
        <v>#REF!</v>
      </c>
      <c r="H476" t="e">
        <f t="shared" si="37"/>
        <v>#REF!</v>
      </c>
    </row>
    <row r="477" spans="1:8">
      <c r="A477" t="str">
        <f>DICO_Export!D473</f>
        <v>terminal</v>
      </c>
      <c r="B477" t="str">
        <f>DICO_Export!E473</f>
        <v>cardWriteCapabilities</v>
      </c>
      <c r="C477" t="e">
        <f>#REF!</f>
        <v>#REF!</v>
      </c>
      <c r="D477" t="e">
        <f>#REF!</f>
        <v>#REF!</v>
      </c>
      <c r="E477" t="str">
        <f t="shared" si="38"/>
        <v>trmnl</v>
      </c>
      <c r="F477" t="str">
        <f t="shared" si="39"/>
        <v>crdWrtCpblts</v>
      </c>
      <c r="G477" t="e">
        <f t="shared" si="36"/>
        <v>#REF!</v>
      </c>
      <c r="H477" t="e">
        <f t="shared" si="37"/>
        <v>#REF!</v>
      </c>
    </row>
    <row r="478" spans="1:8">
      <c r="A478" t="str">
        <f>DICO_Export!D474</f>
        <v>terminal</v>
      </c>
      <c r="B478" t="str">
        <f>DICO_Export!E474</f>
        <v>countryCode</v>
      </c>
      <c r="C478" t="e">
        <f>#REF!</f>
        <v>#REF!</v>
      </c>
      <c r="D478" t="e">
        <f>#REF!</f>
        <v>#REF!</v>
      </c>
      <c r="E478" t="str">
        <f t="shared" si="38"/>
        <v>trmnl</v>
      </c>
      <c r="F478" t="str">
        <f t="shared" si="39"/>
        <v>cntrCd</v>
      </c>
      <c r="G478" t="e">
        <f t="shared" si="36"/>
        <v>#REF!</v>
      </c>
      <c r="H478" t="e">
        <f t="shared" si="37"/>
        <v>#REF!</v>
      </c>
    </row>
    <row r="479" spans="1:8">
      <c r="A479" t="str">
        <f>DICO_Export!D475</f>
        <v>terminal</v>
      </c>
      <c r="B479" t="str">
        <f>DICO_Export!E475</f>
        <v>ipAddress</v>
      </c>
      <c r="C479" t="e">
        <f>#REF!</f>
        <v>#REF!</v>
      </c>
      <c r="D479" t="e">
        <f>#REF!</f>
        <v>#REF!</v>
      </c>
      <c r="E479" t="str">
        <f t="shared" si="38"/>
        <v>trmnl</v>
      </c>
      <c r="F479" t="str">
        <f t="shared" si="39"/>
        <v>ipAddrss</v>
      </c>
      <c r="G479" t="e">
        <f t="shared" si="36"/>
        <v>#REF!</v>
      </c>
      <c r="H479" t="e">
        <f t="shared" si="37"/>
        <v>#REF!</v>
      </c>
    </row>
    <row r="480" spans="1:8">
      <c r="A480" t="str">
        <f>DICO_Export!D476</f>
        <v>terminal</v>
      </c>
      <c r="B480" t="str">
        <f>DICO_Export!E476</f>
        <v>iTpsa</v>
      </c>
      <c r="C480" t="e">
        <f>#REF!</f>
        <v>#REF!</v>
      </c>
      <c r="D480" t="e">
        <f>#REF!</f>
        <v>#REF!</v>
      </c>
      <c r="E480" t="str">
        <f t="shared" si="38"/>
        <v>trmnl</v>
      </c>
      <c r="F480" t="str">
        <f t="shared" si="39"/>
        <v>iTps</v>
      </c>
      <c r="G480" t="e">
        <f t="shared" ref="G480:G543" si="40">LEFT(C480,1)&amp;SUBSTITUTE(SUBSTITUTE(SUBSTITUTE(SUBSTITUTE(SUBSTITUTE(SUBSTITUTE(SUBSTITUTE(RIGHT(C480,LEN(C480)-1),"a"," "),"e"," "),"i"," "),"o"," "),"u"," "),"y"," ")," ","")</f>
        <v>#REF!</v>
      </c>
      <c r="H480" t="e">
        <f t="shared" ref="H480:H543" si="41">LEFT(D480,1)&amp;SUBSTITUTE(SUBSTITUTE(SUBSTITUTE(SUBSTITUTE(SUBSTITUTE(SUBSTITUTE(SUBSTITUTE(RIGHT(D480,LEN(D480)-1),"a"," "),"e"," "),"i"," "),"o"," "),"u"," "),"y"," ")," ","")</f>
        <v>#REF!</v>
      </c>
    </row>
    <row r="481" spans="1:8">
      <c r="A481" t="str">
        <f>DICO_Export!D477</f>
        <v>terminal</v>
      </c>
      <c r="B481" t="str">
        <f>DICO_Export!E477</f>
        <v>iTpta</v>
      </c>
      <c r="C481" t="e">
        <f>#REF!</f>
        <v>#REF!</v>
      </c>
      <c r="D481" t="e">
        <f>#REF!</f>
        <v>#REF!</v>
      </c>
      <c r="E481" t="str">
        <f t="shared" si="38"/>
        <v>trmnl</v>
      </c>
      <c r="F481" t="str">
        <f t="shared" si="39"/>
        <v>iTpt</v>
      </c>
      <c r="G481" t="e">
        <f t="shared" si="40"/>
        <v>#REF!</v>
      </c>
      <c r="H481" t="e">
        <f t="shared" si="41"/>
        <v>#REF!</v>
      </c>
    </row>
    <row r="482" spans="1:8">
      <c r="A482" t="str">
        <f>DICO_Export!D478</f>
        <v>terminal</v>
      </c>
      <c r="B482" t="str">
        <f>DICO_Export!E478</f>
        <v>kernelId</v>
      </c>
      <c r="C482" t="e">
        <f>#REF!</f>
        <v>#REF!</v>
      </c>
      <c r="D482" t="e">
        <f>#REF!</f>
        <v>#REF!</v>
      </c>
      <c r="E482" t="str">
        <f t="shared" si="38"/>
        <v>trmnl</v>
      </c>
      <c r="F482" t="str">
        <f t="shared" si="39"/>
        <v>krnlId</v>
      </c>
      <c r="G482" t="e">
        <f t="shared" si="40"/>
        <v>#REF!</v>
      </c>
      <c r="H482" t="e">
        <f t="shared" si="41"/>
        <v>#REF!</v>
      </c>
    </row>
    <row r="483" spans="1:8">
      <c r="A483" t="str">
        <f>DICO_Export!D479</f>
        <v>terminal</v>
      </c>
      <c r="B483" t="str">
        <f>DICO_Export!E479</f>
        <v>messageDisplayPrintCapabilities</v>
      </c>
      <c r="C483" t="e">
        <f>#REF!</f>
        <v>#REF!</v>
      </c>
      <c r="D483" t="e">
        <f>#REF!</f>
        <v>#REF!</v>
      </c>
      <c r="E483" t="str">
        <f t="shared" si="38"/>
        <v>trmnl</v>
      </c>
      <c r="F483" t="str">
        <f t="shared" si="39"/>
        <v>mssgDsplPrntCpblts</v>
      </c>
      <c r="G483" t="e">
        <f t="shared" si="40"/>
        <v>#REF!</v>
      </c>
      <c r="H483" t="e">
        <f t="shared" si="41"/>
        <v>#REF!</v>
      </c>
    </row>
    <row r="484" spans="1:8">
      <c r="A484" t="str">
        <f>DICO_Export!D480</f>
        <v>terminal</v>
      </c>
      <c r="B484" t="str">
        <f>DICO_Export!E480</f>
        <v>pciPedApprovalLevel</v>
      </c>
      <c r="C484" t="e">
        <f>#REF!</f>
        <v>#REF!</v>
      </c>
      <c r="D484" t="e">
        <f>#REF!</f>
        <v>#REF!</v>
      </c>
      <c r="E484" t="str">
        <f t="shared" si="38"/>
        <v>trmnl</v>
      </c>
      <c r="F484" t="str">
        <f t="shared" si="39"/>
        <v>pcPdApprvlLvl</v>
      </c>
      <c r="G484" t="e">
        <f t="shared" si="40"/>
        <v>#REF!</v>
      </c>
      <c r="H484" t="e">
        <f t="shared" si="41"/>
        <v>#REF!</v>
      </c>
    </row>
    <row r="485" spans="1:8">
      <c r="A485" t="str">
        <f>DICO_Export!D481</f>
        <v>terminal</v>
      </c>
      <c r="B485" t="str">
        <f>DICO_Export!E481</f>
        <v>pinLengthCapabilities</v>
      </c>
      <c r="C485" t="e">
        <f>#REF!</f>
        <v>#REF!</v>
      </c>
      <c r="D485" t="e">
        <f>#REF!</f>
        <v>#REF!</v>
      </c>
      <c r="E485" t="str">
        <f t="shared" si="38"/>
        <v>trmnl</v>
      </c>
      <c r="F485" t="str">
        <f t="shared" si="39"/>
        <v>pnLngthCpblts</v>
      </c>
      <c r="G485" t="e">
        <f t="shared" si="40"/>
        <v>#REF!</v>
      </c>
      <c r="H485" t="e">
        <f t="shared" si="41"/>
        <v>#REF!</v>
      </c>
    </row>
    <row r="486" spans="1:8">
      <c r="A486" t="str">
        <f>DICO_Export!D482</f>
        <v>terminal</v>
      </c>
      <c r="B486" t="str">
        <f>DICO_Export!E482</f>
        <v>pinReadingCapabilities</v>
      </c>
      <c r="C486" t="e">
        <f>#REF!</f>
        <v>#REF!</v>
      </c>
      <c r="D486" t="e">
        <f>#REF!</f>
        <v>#REF!</v>
      </c>
      <c r="E486" t="str">
        <f t="shared" si="38"/>
        <v>trmnl</v>
      </c>
      <c r="F486" t="str">
        <f t="shared" si="39"/>
        <v>pnRdngCpblts</v>
      </c>
      <c r="G486" t="e">
        <f t="shared" si="40"/>
        <v>#REF!</v>
      </c>
      <c r="H486" t="e">
        <f t="shared" si="41"/>
        <v>#REF!</v>
      </c>
    </row>
    <row r="487" spans="1:8">
      <c r="A487" t="str">
        <f>DICO_Export!D483</f>
        <v>terminal</v>
      </c>
      <c r="B487" t="str">
        <f>DICO_Export!E483</f>
        <v>poiAssignedByAnAcquirer</v>
      </c>
      <c r="C487" t="e">
        <f>#REF!</f>
        <v>#REF!</v>
      </c>
      <c r="D487" t="e">
        <f>#REF!</f>
        <v>#REF!</v>
      </c>
      <c r="E487" t="str">
        <f t="shared" si="38"/>
        <v>trmnl</v>
      </c>
      <c r="F487" t="str">
        <f t="shared" si="39"/>
        <v>pAssgndBAnAcqrr</v>
      </c>
      <c r="G487" t="e">
        <f t="shared" si="40"/>
        <v>#REF!</v>
      </c>
      <c r="H487" t="e">
        <f t="shared" si="41"/>
        <v>#REF!</v>
      </c>
    </row>
    <row r="488" spans="1:8">
      <c r="A488" t="str">
        <f>DICO_Export!D484</f>
        <v>terminal</v>
      </c>
      <c r="B488" t="str">
        <f>DICO_Export!E484</f>
        <v>poiInformation</v>
      </c>
      <c r="C488" t="e">
        <f>#REF!</f>
        <v>#REF!</v>
      </c>
      <c r="D488" t="e">
        <f>#REF!</f>
        <v>#REF!</v>
      </c>
      <c r="E488" t="str">
        <f t="shared" si="38"/>
        <v>trmnl</v>
      </c>
      <c r="F488" t="str">
        <f t="shared" si="39"/>
        <v>pInfrmtn</v>
      </c>
      <c r="G488" t="e">
        <f t="shared" si="40"/>
        <v>#REF!</v>
      </c>
      <c r="H488" t="e">
        <f t="shared" si="41"/>
        <v>#REF!</v>
      </c>
    </row>
    <row r="489" spans="1:8">
      <c r="A489" t="str">
        <f>DICO_Export!D485</f>
        <v>terminal</v>
      </c>
      <c r="B489" t="str">
        <f>DICO_Export!E485</f>
        <v>poiLogicalNumber</v>
      </c>
      <c r="C489" t="e">
        <f>#REF!</f>
        <v>#REF!</v>
      </c>
      <c r="D489" t="e">
        <f>#REF!</f>
        <v>#REF!</v>
      </c>
      <c r="E489" t="str">
        <f t="shared" si="38"/>
        <v>trmnl</v>
      </c>
      <c r="F489" t="str">
        <f t="shared" si="39"/>
        <v>pLgclNmbr</v>
      </c>
      <c r="G489" t="e">
        <f t="shared" si="40"/>
        <v>#REF!</v>
      </c>
      <c r="H489" t="e">
        <f t="shared" si="41"/>
        <v>#REF!</v>
      </c>
    </row>
    <row r="490" spans="1:8">
      <c r="A490" t="str">
        <f>DICO_Export!D486</f>
        <v>terminal</v>
      </c>
      <c r="B490" t="str">
        <f>DICO_Export!E486</f>
        <v>serialNumber</v>
      </c>
      <c r="C490" t="e">
        <f>#REF!</f>
        <v>#REF!</v>
      </c>
      <c r="D490" t="e">
        <f>#REF!</f>
        <v>#REF!</v>
      </c>
      <c r="E490" t="str">
        <f t="shared" si="38"/>
        <v>trmnl</v>
      </c>
      <c r="F490" t="str">
        <f t="shared" si="39"/>
        <v>srlNmbr</v>
      </c>
      <c r="G490" t="e">
        <f t="shared" si="40"/>
        <v>#REF!</v>
      </c>
      <c r="H490" t="e">
        <f t="shared" si="41"/>
        <v>#REF!</v>
      </c>
    </row>
    <row r="491" spans="1:8">
      <c r="A491" t="str">
        <f>DICO_Export!D487</f>
        <v>terminal</v>
      </c>
      <c r="B491" t="str">
        <f>DICO_Export!E487</f>
        <v>temp_lastCaptureDate</v>
      </c>
      <c r="C491" t="e">
        <f>#REF!</f>
        <v>#REF!</v>
      </c>
      <c r="D491" t="e">
        <f>#REF!</f>
        <v>#REF!</v>
      </c>
      <c r="E491" t="str">
        <f t="shared" si="38"/>
        <v>trmnl</v>
      </c>
      <c r="F491" t="str">
        <f t="shared" si="39"/>
        <v>tmp_lstCptrDt</v>
      </c>
      <c r="G491" t="e">
        <f t="shared" si="40"/>
        <v>#REF!</v>
      </c>
      <c r="H491" t="e">
        <f t="shared" si="41"/>
        <v>#REF!</v>
      </c>
    </row>
    <row r="492" spans="1:8">
      <c r="A492" t="str">
        <f>DICO_Export!D488</f>
        <v>terminal</v>
      </c>
      <c r="B492" t="str">
        <f>DICO_Export!E488</f>
        <v>temp_lastParameterDownloadingDate</v>
      </c>
      <c r="C492" t="e">
        <f>#REF!</f>
        <v>#REF!</v>
      </c>
      <c r="D492" t="e">
        <f>#REF!</f>
        <v>#REF!</v>
      </c>
      <c r="E492" t="str">
        <f t="shared" si="38"/>
        <v>trmnl</v>
      </c>
      <c r="F492" t="str">
        <f t="shared" si="39"/>
        <v>tmp_lstPrmtrDwnldngDt</v>
      </c>
      <c r="G492" t="e">
        <f t="shared" si="40"/>
        <v>#REF!</v>
      </c>
      <c r="H492" t="e">
        <f t="shared" si="41"/>
        <v>#REF!</v>
      </c>
    </row>
    <row r="493" spans="1:8">
      <c r="A493" t="str">
        <f>DICO_Export!D489</f>
        <v>terminal</v>
      </c>
      <c r="B493" t="str">
        <f>DICO_Export!E489</f>
        <v>temp_lastSoftwareUpdateDate</v>
      </c>
      <c r="C493" t="e">
        <f>#REF!</f>
        <v>#REF!</v>
      </c>
      <c r="D493" t="e">
        <f>#REF!</f>
        <v>#REF!</v>
      </c>
      <c r="E493" t="str">
        <f t="shared" si="38"/>
        <v>trmnl</v>
      </c>
      <c r="F493" t="str">
        <f t="shared" si="39"/>
        <v>tmp_lstSftwrUpdtDt</v>
      </c>
      <c r="G493" t="e">
        <f t="shared" si="40"/>
        <v>#REF!</v>
      </c>
      <c r="H493" t="e">
        <f t="shared" si="41"/>
        <v>#REF!</v>
      </c>
    </row>
    <row r="494" spans="1:8">
      <c r="A494" t="str">
        <f>DICO_Export!D490</f>
        <v>terminal</v>
      </c>
      <c r="B494" t="str">
        <f>DICO_Export!E490</f>
        <v>terminalCapabilities</v>
      </c>
      <c r="C494" t="e">
        <f>#REF!</f>
        <v>#REF!</v>
      </c>
      <c r="D494" t="e">
        <f>#REF!</f>
        <v>#REF!</v>
      </c>
      <c r="E494" t="str">
        <f t="shared" si="38"/>
        <v>trmnl</v>
      </c>
      <c r="F494" t="str">
        <f t="shared" si="39"/>
        <v>trmnlCpblts</v>
      </c>
      <c r="G494" t="e">
        <f t="shared" si="40"/>
        <v>#REF!</v>
      </c>
      <c r="H494" t="e">
        <f t="shared" si="41"/>
        <v>#REF!</v>
      </c>
    </row>
    <row r="495" spans="1:8">
      <c r="A495" t="str">
        <f>DICO_Export!D491</f>
        <v>terminal</v>
      </c>
      <c r="B495" t="str">
        <f>DICO_Export!E491</f>
        <v>terminalCategory</v>
      </c>
      <c r="C495" t="e">
        <f>#REF!</f>
        <v>#REF!</v>
      </c>
      <c r="D495" t="e">
        <f>#REF!</f>
        <v>#REF!</v>
      </c>
      <c r="E495" t="str">
        <f t="shared" si="38"/>
        <v>trmnl</v>
      </c>
      <c r="F495" t="str">
        <f t="shared" si="39"/>
        <v>trmnlCtgr</v>
      </c>
      <c r="G495" t="e">
        <f t="shared" si="40"/>
        <v>#REF!</v>
      </c>
      <c r="H495" t="e">
        <f t="shared" si="41"/>
        <v>#REF!</v>
      </c>
    </row>
    <row r="496" spans="1:8">
      <c r="A496" t="str">
        <f>DICO_Export!D492</f>
        <v>terminal</v>
      </c>
      <c r="B496" t="str">
        <f>DICO_Export!E492</f>
        <v>terminalId</v>
      </c>
      <c r="C496" t="e">
        <f>#REF!</f>
        <v>#REF!</v>
      </c>
      <c r="D496" t="e">
        <f>#REF!</f>
        <v>#REF!</v>
      </c>
      <c r="E496" t="str">
        <f t="shared" si="38"/>
        <v>trmnl</v>
      </c>
      <c r="F496" t="str">
        <f t="shared" si="39"/>
        <v>trmnlId</v>
      </c>
      <c r="G496" t="e">
        <f t="shared" si="40"/>
        <v>#REF!</v>
      </c>
      <c r="H496" t="e">
        <f t="shared" si="41"/>
        <v>#REF!</v>
      </c>
    </row>
    <row r="497" spans="1:8">
      <c r="A497" t="str">
        <f>DICO_Export!D493</f>
        <v>terminal</v>
      </c>
      <c r="B497" t="str">
        <f>DICO_Export!E493</f>
        <v>terminalIdsa</v>
      </c>
      <c r="C497" t="e">
        <f>#REF!</f>
        <v>#REF!</v>
      </c>
      <c r="D497" t="e">
        <f>#REF!</f>
        <v>#REF!</v>
      </c>
      <c r="E497" t="str">
        <f t="shared" si="38"/>
        <v>trmnl</v>
      </c>
      <c r="F497" t="str">
        <f t="shared" si="39"/>
        <v>trmnlIds</v>
      </c>
      <c r="G497" t="e">
        <f t="shared" si="40"/>
        <v>#REF!</v>
      </c>
      <c r="H497" t="e">
        <f t="shared" si="41"/>
        <v>#REF!</v>
      </c>
    </row>
    <row r="498" spans="1:8">
      <c r="A498" t="str">
        <f>DICO_Export!D494</f>
        <v>token</v>
      </c>
      <c r="B498" t="str">
        <f>DICO_Export!E494</f>
        <v>primaryAccountNumberToken</v>
      </c>
      <c r="C498" t="e">
        <f>#REF!</f>
        <v>#REF!</v>
      </c>
      <c r="D498" t="e">
        <f>#REF!</f>
        <v>#REF!</v>
      </c>
      <c r="E498" t="str">
        <f t="shared" si="38"/>
        <v>tkn</v>
      </c>
      <c r="F498" t="str">
        <f t="shared" si="39"/>
        <v>prmrAccntNmbrTkn</v>
      </c>
      <c r="G498" t="e">
        <f t="shared" si="40"/>
        <v>#REF!</v>
      </c>
      <c r="H498" t="e">
        <f t="shared" si="41"/>
        <v>#REF!</v>
      </c>
    </row>
    <row r="499" spans="1:8">
      <c r="A499" t="str">
        <f>DICO_Export!D495</f>
        <v>token</v>
      </c>
      <c r="B499" t="str">
        <f>DICO_Export!E495</f>
        <v>tokenAssuranceMethod</v>
      </c>
      <c r="C499" t="e">
        <f>#REF!</f>
        <v>#REF!</v>
      </c>
      <c r="D499" t="e">
        <f>#REF!</f>
        <v>#REF!</v>
      </c>
      <c r="E499" t="str">
        <f t="shared" si="38"/>
        <v>tkn</v>
      </c>
      <c r="F499" t="str">
        <f t="shared" si="39"/>
        <v>tknAssrncMthd</v>
      </c>
      <c r="G499" t="e">
        <f t="shared" si="40"/>
        <v>#REF!</v>
      </c>
      <c r="H499" t="e">
        <f t="shared" si="41"/>
        <v>#REF!</v>
      </c>
    </row>
    <row r="500" spans="1:8">
      <c r="A500" t="str">
        <f>DICO_Export!D496</f>
        <v>token</v>
      </c>
      <c r="B500" t="str">
        <f>DICO_Export!E496</f>
        <v>tokenProgramIndicator</v>
      </c>
      <c r="C500" t="e">
        <f>#REF!</f>
        <v>#REF!</v>
      </c>
      <c r="D500" t="e">
        <f>#REF!</f>
        <v>#REF!</v>
      </c>
      <c r="E500" t="str">
        <f t="shared" si="38"/>
        <v>tkn</v>
      </c>
      <c r="F500" t="str">
        <f t="shared" si="39"/>
        <v>tknPrgrmIndctr</v>
      </c>
      <c r="G500" t="e">
        <f t="shared" si="40"/>
        <v>#REF!</v>
      </c>
      <c r="H500" t="e">
        <f t="shared" si="41"/>
        <v>#REF!</v>
      </c>
    </row>
    <row r="501" spans="1:8">
      <c r="A501" t="str">
        <f>DICO_Export!D497</f>
        <v>token</v>
      </c>
      <c r="B501" t="str">
        <f>DICO_Export!E497</f>
        <v>tokenRequestorIdentification</v>
      </c>
      <c r="C501" t="e">
        <f>#REF!</f>
        <v>#REF!</v>
      </c>
      <c r="D501" t="e">
        <f>#REF!</f>
        <v>#REF!</v>
      </c>
      <c r="E501" t="str">
        <f t="shared" si="38"/>
        <v>tkn</v>
      </c>
      <c r="F501" t="str">
        <f t="shared" si="39"/>
        <v>tknRqstrIdntfctn</v>
      </c>
      <c r="G501" t="e">
        <f t="shared" si="40"/>
        <v>#REF!</v>
      </c>
      <c r="H501" t="e">
        <f t="shared" si="41"/>
        <v>#REF!</v>
      </c>
    </row>
    <row r="502" spans="1:8">
      <c r="A502" t="str">
        <f>DICO_Export!D498</f>
        <v>token</v>
      </c>
      <c r="B502" t="str">
        <f>DICO_Export!E498</f>
        <v>trustedMerchantExemptionIndicator</v>
      </c>
      <c r="C502" t="e">
        <f>#REF!</f>
        <v>#REF!</v>
      </c>
      <c r="D502" t="e">
        <f>#REF!</f>
        <v>#REF!</v>
      </c>
      <c r="E502" t="str">
        <f t="shared" si="38"/>
        <v>tkn</v>
      </c>
      <c r="F502" t="str">
        <f t="shared" si="39"/>
        <v>trstdMrchntExmptnIndctr</v>
      </c>
      <c r="G502" t="e">
        <f t="shared" si="40"/>
        <v>#REF!</v>
      </c>
      <c r="H502" t="e">
        <f t="shared" si="41"/>
        <v>#REF!</v>
      </c>
    </row>
    <row r="503" spans="1:8">
      <c r="A503" t="str">
        <f>DICO_Export!D499</f>
        <v>wallet</v>
      </c>
      <c r="B503" t="str">
        <f>DICO_Export!E499</f>
        <v>digitalWalletName</v>
      </c>
      <c r="C503" t="e">
        <f>#REF!</f>
        <v>#REF!</v>
      </c>
      <c r="D503" t="e">
        <f>#REF!</f>
        <v>#REF!</v>
      </c>
      <c r="E503" t="str">
        <f t="shared" si="38"/>
        <v>wllt</v>
      </c>
      <c r="F503" t="str">
        <f t="shared" si="39"/>
        <v>dgtlWlltNm</v>
      </c>
      <c r="G503" t="e">
        <f t="shared" si="40"/>
        <v>#REF!</v>
      </c>
      <c r="H503" t="e">
        <f t="shared" si="41"/>
        <v>#REF!</v>
      </c>
    </row>
    <row r="504" spans="1:8">
      <c r="A504" t="str">
        <f>DICO_Export!D500</f>
        <v>wallet</v>
      </c>
      <c r="B504" t="str">
        <f>DICO_Export!E500</f>
        <v>walletId</v>
      </c>
      <c r="C504" t="e">
        <f>#REF!</f>
        <v>#REF!</v>
      </c>
      <c r="D504" t="e">
        <f>#REF!</f>
        <v>#REF!</v>
      </c>
      <c r="E504" t="str">
        <f t="shared" si="38"/>
        <v>wllt</v>
      </c>
      <c r="F504" t="str">
        <f t="shared" si="39"/>
        <v>wlltId</v>
      </c>
      <c r="G504" t="e">
        <f t="shared" si="40"/>
        <v>#REF!</v>
      </c>
      <c r="H504" t="e">
        <f t="shared" si="41"/>
        <v>#REF!</v>
      </c>
    </row>
    <row r="505" spans="1:8">
      <c r="A505" t="str">
        <f>DICO_Export!D501</f>
        <v>wallet</v>
      </c>
      <c r="B505" t="str">
        <f>DICO_Export!E501</f>
        <v>walletNomenclature</v>
      </c>
      <c r="C505" t="e">
        <f>#REF!</f>
        <v>#REF!</v>
      </c>
      <c r="D505" t="e">
        <f>#REF!</f>
        <v>#REF!</v>
      </c>
      <c r="E505" t="str">
        <f t="shared" si="38"/>
        <v>wllt</v>
      </c>
      <c r="F505" t="str">
        <f t="shared" si="39"/>
        <v>wlltNmncltr</v>
      </c>
      <c r="G505" t="e">
        <f t="shared" si="40"/>
        <v>#REF!</v>
      </c>
      <c r="H505" t="e">
        <f t="shared" si="41"/>
        <v>#REF!</v>
      </c>
    </row>
    <row r="506" spans="1:8">
      <c r="A506" t="str">
        <f>DICO_Export!D502</f>
        <v>headerFunctionalInfo</v>
      </c>
      <c r="B506" t="str">
        <f>DICO_Export!E502</f>
        <v>datetime</v>
      </c>
      <c r="C506" t="e">
        <f>#REF!</f>
        <v>#REF!</v>
      </c>
      <c r="D506" t="e">
        <f>#REF!</f>
        <v>#REF!</v>
      </c>
      <c r="E506" t="str">
        <f t="shared" si="38"/>
        <v>hdrFnctnlInf</v>
      </c>
      <c r="F506" t="str">
        <f t="shared" si="39"/>
        <v>dttm</v>
      </c>
      <c r="G506" t="e">
        <f t="shared" si="40"/>
        <v>#REF!</v>
      </c>
      <c r="H506" t="e">
        <f t="shared" si="41"/>
        <v>#REF!</v>
      </c>
    </row>
    <row r="507" spans="1:8">
      <c r="A507" t="str">
        <f>DICO_Export!D503</f>
        <v>headerFunctionalInfo</v>
      </c>
      <c r="B507" t="str">
        <f>DICO_Export!E503</f>
        <v>messageDescription</v>
      </c>
      <c r="C507" t="e">
        <f>#REF!</f>
        <v>#REF!</v>
      </c>
      <c r="D507" t="e">
        <f>#REF!</f>
        <v>#REF!</v>
      </c>
      <c r="E507" t="str">
        <f t="shared" si="38"/>
        <v>hdrFnctnlInf</v>
      </c>
      <c r="F507" t="str">
        <f t="shared" si="39"/>
        <v>mssgDscrptn</v>
      </c>
      <c r="G507" t="e">
        <f t="shared" si="40"/>
        <v>#REF!</v>
      </c>
      <c r="H507" t="e">
        <f t="shared" si="41"/>
        <v>#REF!</v>
      </c>
    </row>
    <row r="508" spans="1:8">
      <c r="A508" t="str">
        <f>DICO_Export!D504</f>
        <v>headerFunctionalInfo</v>
      </c>
      <c r="B508" t="str">
        <f>DICO_Export!E504</f>
        <v>messageFunction</v>
      </c>
      <c r="C508" t="e">
        <f>#REF!</f>
        <v>#REF!</v>
      </c>
      <c r="D508" t="e">
        <f>#REF!</f>
        <v>#REF!</v>
      </c>
      <c r="E508" t="str">
        <f t="shared" si="38"/>
        <v>hdrFnctnlInf</v>
      </c>
      <c r="F508" t="str">
        <f t="shared" si="39"/>
        <v>mssgFnctn</v>
      </c>
      <c r="G508" t="e">
        <f t="shared" si="40"/>
        <v>#REF!</v>
      </c>
      <c r="H508" t="e">
        <f t="shared" si="41"/>
        <v>#REF!</v>
      </c>
    </row>
    <row r="509" spans="1:8">
      <c r="A509" t="str">
        <f>DICO_Export!D505</f>
        <v>headerFunctionalInfo</v>
      </c>
      <c r="B509" t="str">
        <f>DICO_Export!E505</f>
        <v>protocolVersion</v>
      </c>
      <c r="C509" t="e">
        <f>#REF!</f>
        <v>#REF!</v>
      </c>
      <c r="D509" t="e">
        <f>#REF!</f>
        <v>#REF!</v>
      </c>
      <c r="E509" t="str">
        <f t="shared" si="38"/>
        <v>hdrFnctnlInf</v>
      </c>
      <c r="F509" t="str">
        <f t="shared" si="39"/>
        <v>prtclVrsn</v>
      </c>
      <c r="G509" t="e">
        <f t="shared" si="40"/>
        <v>#REF!</v>
      </c>
      <c r="H509" t="e">
        <f t="shared" si="41"/>
        <v>#REF!</v>
      </c>
    </row>
    <row r="510" spans="1:8">
      <c r="A510" t="str">
        <f>DICO_Export!D506</f>
        <v>headerFunctionalInfo</v>
      </c>
      <c r="B510" t="str">
        <f>DICO_Export!E506</f>
        <v>recipientPartyResponseCode</v>
      </c>
      <c r="C510" t="e">
        <f>#REF!</f>
        <v>#REF!</v>
      </c>
      <c r="D510" t="e">
        <f>#REF!</f>
        <v>#REF!</v>
      </c>
      <c r="E510" t="str">
        <f t="shared" si="38"/>
        <v>hdrFnctnlInf</v>
      </c>
      <c r="F510" t="str">
        <f t="shared" si="39"/>
        <v>rcpntPrtRspnsCd</v>
      </c>
      <c r="G510" t="e">
        <f t="shared" si="40"/>
        <v>#REF!</v>
      </c>
      <c r="H510" t="e">
        <f t="shared" si="41"/>
        <v>#REF!</v>
      </c>
    </row>
    <row r="511" spans="1:8">
      <c r="A511" t="str">
        <f>DICO_Export!D507</f>
        <v>headerFunctionalInfo</v>
      </c>
      <c r="B511" t="str">
        <f>DICO_Export!E507</f>
        <v>vacationNumber</v>
      </c>
      <c r="C511" t="e">
        <f>#REF!</f>
        <v>#REF!</v>
      </c>
      <c r="D511" t="e">
        <f>#REF!</f>
        <v>#REF!</v>
      </c>
      <c r="E511" t="str">
        <f t="shared" si="38"/>
        <v>hdrFnctnlInf</v>
      </c>
      <c r="F511" t="str">
        <f t="shared" si="39"/>
        <v>vctnNmbr</v>
      </c>
      <c r="G511" t="e">
        <f t="shared" si="40"/>
        <v>#REF!</v>
      </c>
      <c r="H511" t="e">
        <f t="shared" si="41"/>
        <v>#REF!</v>
      </c>
    </row>
    <row r="512" spans="1:8">
      <c r="A512" t="str">
        <f>DICO_Export!D508</f>
        <v>additionalResponseData</v>
      </c>
      <c r="B512" t="str">
        <f>DICO_Export!E508</f>
        <v>acceptorAdvice</v>
      </c>
      <c r="C512" t="e">
        <f>#REF!</f>
        <v>#REF!</v>
      </c>
      <c r="D512" t="e">
        <f>#REF!</f>
        <v>#REF!</v>
      </c>
      <c r="E512" t="str">
        <f t="shared" si="38"/>
        <v>addtnlRspnsDt</v>
      </c>
      <c r="F512" t="str">
        <f t="shared" si="39"/>
        <v>accptrAdvc</v>
      </c>
      <c r="G512" t="e">
        <f t="shared" si="40"/>
        <v>#REF!</v>
      </c>
      <c r="H512" t="e">
        <f t="shared" si="41"/>
        <v>#REF!</v>
      </c>
    </row>
    <row r="513" spans="1:8">
      <c r="A513" t="str">
        <f>DICO_Export!D509</f>
        <v>additionalResponseData</v>
      </c>
      <c r="B513" t="str">
        <f>DICO_Export!E509</f>
        <v>accountFundingSource</v>
      </c>
      <c r="C513" t="e">
        <f>#REF!</f>
        <v>#REF!</v>
      </c>
      <c r="D513" t="e">
        <f>#REF!</f>
        <v>#REF!</v>
      </c>
      <c r="E513" t="str">
        <f t="shared" si="38"/>
        <v>addtnlRspnsDt</v>
      </c>
      <c r="F513" t="str">
        <f t="shared" si="39"/>
        <v>accntFndngSrc</v>
      </c>
      <c r="G513" t="e">
        <f t="shared" si="40"/>
        <v>#REF!</v>
      </c>
      <c r="H513" t="e">
        <f t="shared" si="41"/>
        <v>#REF!</v>
      </c>
    </row>
    <row r="514" spans="1:8">
      <c r="A514" t="str">
        <f>DICO_Export!D510</f>
        <v>additionalResponseData</v>
      </c>
      <c r="B514" t="str">
        <f>DICO_Export!E510</f>
        <v>accountNameRequestResult</v>
      </c>
      <c r="C514" t="e">
        <f>#REF!</f>
        <v>#REF!</v>
      </c>
      <c r="D514" t="e">
        <f>#REF!</f>
        <v>#REF!</v>
      </c>
      <c r="E514" t="str">
        <f t="shared" si="38"/>
        <v>addtnlRspnsDt</v>
      </c>
      <c r="F514" t="str">
        <f t="shared" si="39"/>
        <v>accntNmRqstRslt</v>
      </c>
      <c r="G514" t="e">
        <f t="shared" si="40"/>
        <v>#REF!</v>
      </c>
      <c r="H514" t="e">
        <f t="shared" si="41"/>
        <v>#REF!</v>
      </c>
    </row>
    <row r="515" spans="1:8">
      <c r="A515" t="str">
        <f>DICO_Export!D511</f>
        <v>additionalResponseData</v>
      </c>
      <c r="B515" t="str">
        <f>DICO_Export!E511</f>
        <v>additionalAuthenticationMethod</v>
      </c>
      <c r="C515" t="e">
        <f>#REF!</f>
        <v>#REF!</v>
      </c>
      <c r="D515" t="e">
        <f>#REF!</f>
        <v>#REF!</v>
      </c>
      <c r="E515" t="str">
        <f t="shared" si="38"/>
        <v>addtnlRspnsDt</v>
      </c>
      <c r="F515" t="str">
        <f t="shared" si="39"/>
        <v>addtnlAthntctnMthd</v>
      </c>
      <c r="G515" t="e">
        <f t="shared" si="40"/>
        <v>#REF!</v>
      </c>
      <c r="H515" t="e">
        <f t="shared" si="41"/>
        <v>#REF!</v>
      </c>
    </row>
    <row r="516" spans="1:8">
      <c r="A516" t="str">
        <f>DICO_Export!D512</f>
        <v>additionalResponseData</v>
      </c>
      <c r="B516" t="str">
        <f>DICO_Export!E512</f>
        <v>additionalAuthenticationReasonCode</v>
      </c>
      <c r="C516" t="e">
        <f>#REF!</f>
        <v>#REF!</v>
      </c>
      <c r="D516" t="e">
        <f>#REF!</f>
        <v>#REF!</v>
      </c>
      <c r="E516" t="str">
        <f t="shared" ref="E516:E579" si="42">LEFT(A516,1)&amp;SUBSTITUTE(SUBSTITUTE(SUBSTITUTE(SUBSTITUTE(SUBSTITUTE(SUBSTITUTE(SUBSTITUTE(RIGHT(A516,LEN(A516)-1),"a"," "),"e"," "),"i"," "),"o"," "),"u"," "),"y"," ")," ","")</f>
        <v>addtnlRspnsDt</v>
      </c>
      <c r="F516" t="str">
        <f t="shared" ref="F516:F579" si="43">LEFT(B516,1)&amp;SUBSTITUTE(SUBSTITUTE(SUBSTITUTE(SUBSTITUTE(SUBSTITUTE(SUBSTITUTE(SUBSTITUTE(RIGHT(B516,LEN(B516)-1),"a"," "),"e"," "),"i"," "),"o"," "),"u"," "),"y"," ")," ","")</f>
        <v>addtnlAthntctnRsnCd</v>
      </c>
      <c r="G516" t="e">
        <f t="shared" si="40"/>
        <v>#REF!</v>
      </c>
      <c r="H516" t="e">
        <f t="shared" si="41"/>
        <v>#REF!</v>
      </c>
    </row>
    <row r="517" spans="1:8">
      <c r="A517" t="str">
        <f>DICO_Export!D513</f>
        <v>additionalResponseData</v>
      </c>
      <c r="B517" t="str">
        <f>DICO_Export!E513</f>
        <v>additionalElectronicCommerceDataElementsNomenclature</v>
      </c>
      <c r="C517" t="e">
        <f>#REF!</f>
        <v>#REF!</v>
      </c>
      <c r="D517" t="e">
        <f>#REF!</f>
        <v>#REF!</v>
      </c>
      <c r="E517" t="str">
        <f t="shared" si="42"/>
        <v>addtnlRspnsDt</v>
      </c>
      <c r="F517" t="str">
        <f t="shared" si="43"/>
        <v>addtnlElctrncCmmrcDtElmntsNmncltr</v>
      </c>
      <c r="G517" t="e">
        <f t="shared" si="40"/>
        <v>#REF!</v>
      </c>
      <c r="H517" t="e">
        <f t="shared" si="41"/>
        <v>#REF!</v>
      </c>
    </row>
    <row r="518" spans="1:8">
      <c r="A518" t="str">
        <f>DICO_Export!D514</f>
        <v>additionalResponseData</v>
      </c>
      <c r="B518" t="str">
        <f>DICO_Export!E514</f>
        <v>addServiceReportData</v>
      </c>
      <c r="C518" t="e">
        <f>#REF!</f>
        <v>#REF!</v>
      </c>
      <c r="D518" t="e">
        <f>#REF!</f>
        <v>#REF!</v>
      </c>
      <c r="E518" t="str">
        <f t="shared" si="42"/>
        <v>addtnlRspnsDt</v>
      </c>
      <c r="F518" t="str">
        <f t="shared" si="43"/>
        <v>addSrvcRprtDt</v>
      </c>
      <c r="G518" t="e">
        <f t="shared" si="40"/>
        <v>#REF!</v>
      </c>
      <c r="H518" t="e">
        <f t="shared" si="41"/>
        <v>#REF!</v>
      </c>
    </row>
    <row r="519" spans="1:8">
      <c r="A519" t="str">
        <f>DICO_Export!D515</f>
        <v>additionalResponseData</v>
      </c>
      <c r="B519" t="str">
        <f>DICO_Export!E515</f>
        <v>addServiceReportId</v>
      </c>
      <c r="C519" t="e">
        <f>#REF!</f>
        <v>#REF!</v>
      </c>
      <c r="D519" t="e">
        <f>#REF!</f>
        <v>#REF!</v>
      </c>
      <c r="E519" t="str">
        <f t="shared" si="42"/>
        <v>addtnlRspnsDt</v>
      </c>
      <c r="F519" t="str">
        <f t="shared" si="43"/>
        <v>addSrvcRprtId</v>
      </c>
      <c r="G519" t="e">
        <f t="shared" si="40"/>
        <v>#REF!</v>
      </c>
      <c r="H519" t="e">
        <f t="shared" si="41"/>
        <v>#REF!</v>
      </c>
    </row>
    <row r="520" spans="1:8">
      <c r="A520" t="str">
        <f>DICO_Export!D516</f>
        <v>additionalResponseData</v>
      </c>
      <c r="B520" t="str">
        <f>DICO_Export!E516</f>
        <v>applicationCryptogramProcessingInformation</v>
      </c>
      <c r="C520" t="e">
        <f>#REF!</f>
        <v>#REF!</v>
      </c>
      <c r="D520" t="e">
        <f>#REF!</f>
        <v>#REF!</v>
      </c>
      <c r="E520" t="str">
        <f t="shared" si="42"/>
        <v>addtnlRspnsDt</v>
      </c>
      <c r="F520" t="str">
        <f t="shared" si="43"/>
        <v>applctnCrptgrmPrcssngInfrmtn</v>
      </c>
      <c r="G520" t="e">
        <f t="shared" si="40"/>
        <v>#REF!</v>
      </c>
      <c r="H520" t="e">
        <f t="shared" si="41"/>
        <v>#REF!</v>
      </c>
    </row>
    <row r="521" spans="1:8">
      <c r="A521" t="str">
        <f>DICO_Export!D517</f>
        <v>additionalResponseData</v>
      </c>
      <c r="B521" t="str">
        <f>DICO_Export!E517</f>
        <v>appliedAuthorisationCharacteristicsIndicator</v>
      </c>
      <c r="C521" t="e">
        <f>#REF!</f>
        <v>#REF!</v>
      </c>
      <c r="D521" t="e">
        <f>#REF!</f>
        <v>#REF!</v>
      </c>
      <c r="E521" t="str">
        <f t="shared" si="42"/>
        <v>addtnlRspnsDt</v>
      </c>
      <c r="F521" t="str">
        <f t="shared" si="43"/>
        <v>appldAthrstnChrctrstcsIndctr</v>
      </c>
      <c r="G521" t="e">
        <f t="shared" si="40"/>
        <v>#REF!</v>
      </c>
      <c r="H521" t="e">
        <f t="shared" si="41"/>
        <v>#REF!</v>
      </c>
    </row>
    <row r="522" spans="1:8">
      <c r="A522" t="str">
        <f>DICO_Export!D518</f>
        <v>additionalResponseData</v>
      </c>
      <c r="B522" t="str">
        <f>DICO_Export!E518</f>
        <v>appliedCardholderIDMethod</v>
      </c>
      <c r="C522" t="e">
        <f>#REF!</f>
        <v>#REF!</v>
      </c>
      <c r="D522" t="e">
        <f>#REF!</f>
        <v>#REF!</v>
      </c>
      <c r="E522" t="str">
        <f t="shared" si="42"/>
        <v>addtnlRspnsDt</v>
      </c>
      <c r="F522" t="str">
        <f t="shared" si="43"/>
        <v>appldCrdhldrIDMthd</v>
      </c>
      <c r="G522" t="e">
        <f t="shared" si="40"/>
        <v>#REF!</v>
      </c>
      <c r="H522" t="e">
        <f t="shared" si="41"/>
        <v>#REF!</v>
      </c>
    </row>
    <row r="523" spans="1:8">
      <c r="A523" t="str">
        <f>DICO_Export!D519</f>
        <v>additionalResponseData</v>
      </c>
      <c r="B523" t="str">
        <f>DICO_Export!E519</f>
        <v>appliedMarketSpecificDataIndicator</v>
      </c>
      <c r="C523" t="e">
        <f>#REF!</f>
        <v>#REF!</v>
      </c>
      <c r="D523" t="e">
        <f>#REF!</f>
        <v>#REF!</v>
      </c>
      <c r="E523" t="str">
        <f t="shared" si="42"/>
        <v>addtnlRspnsDt</v>
      </c>
      <c r="F523" t="str">
        <f t="shared" si="43"/>
        <v>appldMrktSpcfcDtIndctr</v>
      </c>
      <c r="G523" t="e">
        <f t="shared" si="40"/>
        <v>#REF!</v>
      </c>
      <c r="H523" t="e">
        <f t="shared" si="41"/>
        <v>#REF!</v>
      </c>
    </row>
    <row r="524" spans="1:8">
      <c r="A524" t="str">
        <f>DICO_Export!D520</f>
        <v>additionalResponseData</v>
      </c>
      <c r="B524" t="str">
        <f>DICO_Export!E520</f>
        <v>cardAuthenticationResultsCode</v>
      </c>
      <c r="C524" t="e">
        <f>#REF!</f>
        <v>#REF!</v>
      </c>
      <c r="D524" t="e">
        <f>#REF!</f>
        <v>#REF!</v>
      </c>
      <c r="E524" t="str">
        <f t="shared" si="42"/>
        <v>addtnlRspnsDt</v>
      </c>
      <c r="F524" t="str">
        <f t="shared" si="43"/>
        <v>crdAthntctnRsltsCd</v>
      </c>
      <c r="G524" t="e">
        <f t="shared" si="40"/>
        <v>#REF!</v>
      </c>
      <c r="H524" t="e">
        <f t="shared" si="41"/>
        <v>#REF!</v>
      </c>
    </row>
    <row r="525" spans="1:8">
      <c r="A525" t="str">
        <f>DICO_Export!D521</f>
        <v>additionalResponseData</v>
      </c>
      <c r="B525" t="str">
        <f>DICO_Export!E521</f>
        <v>cardholderAddressCheckingInformation</v>
      </c>
      <c r="C525" t="e">
        <f>#REF!</f>
        <v>#REF!</v>
      </c>
      <c r="D525" t="e">
        <f>#REF!</f>
        <v>#REF!</v>
      </c>
      <c r="E525" t="str">
        <f t="shared" si="42"/>
        <v>addtnlRspnsDt</v>
      </c>
      <c r="F525" t="str">
        <f t="shared" si="43"/>
        <v>crdhldrAddrssChckngInfrmtn</v>
      </c>
      <c r="G525" t="e">
        <f t="shared" si="40"/>
        <v>#REF!</v>
      </c>
      <c r="H525" t="e">
        <f t="shared" si="41"/>
        <v>#REF!</v>
      </c>
    </row>
    <row r="526" spans="1:8">
      <c r="A526" t="str">
        <f>DICO_Export!D522</f>
        <v>additionalResponseData</v>
      </c>
      <c r="B526" t="str">
        <f>DICO_Export!E522</f>
        <v>cardholderBillingCurrencyCode</v>
      </c>
      <c r="C526" t="e">
        <f>#REF!</f>
        <v>#REF!</v>
      </c>
      <c r="D526" t="e">
        <f>#REF!</f>
        <v>#REF!</v>
      </c>
      <c r="E526" t="str">
        <f t="shared" si="42"/>
        <v>addtnlRspnsDt</v>
      </c>
      <c r="F526" t="str">
        <f t="shared" si="43"/>
        <v>crdhldrBllngCrrncCd</v>
      </c>
      <c r="G526" t="e">
        <f t="shared" si="40"/>
        <v>#REF!</v>
      </c>
      <c r="H526" t="e">
        <f t="shared" si="41"/>
        <v>#REF!</v>
      </c>
    </row>
    <row r="527" spans="1:8">
      <c r="A527" t="str">
        <f>DICO_Export!D523</f>
        <v>additionalResponseData</v>
      </c>
      <c r="B527" t="str">
        <f>DICO_Export!E523</f>
        <v>cardholderBillingCurrencyUnits</v>
      </c>
      <c r="C527" t="e">
        <f>#REF!</f>
        <v>#REF!</v>
      </c>
      <c r="D527" t="e">
        <f>#REF!</f>
        <v>#REF!</v>
      </c>
      <c r="E527" t="str">
        <f t="shared" si="42"/>
        <v>addtnlRspnsDt</v>
      </c>
      <c r="F527" t="str">
        <f t="shared" si="43"/>
        <v>crdhldrBllngCrrncUnts</v>
      </c>
      <c r="G527" t="e">
        <f t="shared" si="40"/>
        <v>#REF!</v>
      </c>
      <c r="H527" t="e">
        <f t="shared" si="41"/>
        <v>#REF!</v>
      </c>
    </row>
    <row r="528" spans="1:8">
      <c r="A528" t="str">
        <f>DICO_Export!D524</f>
        <v>additionalResponseData</v>
      </c>
      <c r="B528" t="str">
        <f>DICO_Export!E524</f>
        <v>cardTypeCode</v>
      </c>
      <c r="C528" t="e">
        <f>#REF!</f>
        <v>#REF!</v>
      </c>
      <c r="D528" t="e">
        <f>#REF!</f>
        <v>#REF!</v>
      </c>
      <c r="E528" t="str">
        <f t="shared" si="42"/>
        <v>addtnlRspnsDt</v>
      </c>
      <c r="F528" t="str">
        <f t="shared" si="43"/>
        <v>crdTpCd</v>
      </c>
      <c r="G528" t="e">
        <f t="shared" si="40"/>
        <v>#REF!</v>
      </c>
      <c r="H528" t="e">
        <f t="shared" si="41"/>
        <v>#REF!</v>
      </c>
    </row>
    <row r="529" spans="1:8">
      <c r="A529" t="str">
        <f>DICO_Export!D525</f>
        <v>additionalResponseData</v>
      </c>
      <c r="B529" t="str">
        <f>DICO_Export!E525</f>
        <v>cryptogramProcessingInformation</v>
      </c>
      <c r="C529" t="e">
        <f>#REF!</f>
        <v>#REF!</v>
      </c>
      <c r="D529" t="e">
        <f>#REF!</f>
        <v>#REF!</v>
      </c>
      <c r="E529" t="str">
        <f t="shared" si="42"/>
        <v>addtnlRspnsDt</v>
      </c>
      <c r="F529" t="str">
        <f t="shared" si="43"/>
        <v>crptgrmPrcssngInfrmtn</v>
      </c>
      <c r="G529" t="e">
        <f t="shared" si="40"/>
        <v>#REF!</v>
      </c>
      <c r="H529" t="e">
        <f t="shared" si="41"/>
        <v>#REF!</v>
      </c>
    </row>
    <row r="530" spans="1:8">
      <c r="A530" t="str">
        <f>DICO_Export!D526</f>
        <v>additionalResponseData</v>
      </c>
      <c r="B530" t="str">
        <f>DICO_Export!E526</f>
        <v>destinationCurrencyCode</v>
      </c>
      <c r="C530" t="e">
        <f>#REF!</f>
        <v>#REF!</v>
      </c>
      <c r="D530" t="e">
        <f>#REF!</f>
        <v>#REF!</v>
      </c>
      <c r="E530" t="str">
        <f t="shared" si="42"/>
        <v>addtnlRspnsDt</v>
      </c>
      <c r="F530" t="str">
        <f t="shared" si="43"/>
        <v>dstntnCrrncCd</v>
      </c>
      <c r="G530" t="e">
        <f t="shared" si="40"/>
        <v>#REF!</v>
      </c>
      <c r="H530" t="e">
        <f t="shared" si="41"/>
        <v>#REF!</v>
      </c>
    </row>
    <row r="531" spans="1:8">
      <c r="A531" t="str">
        <f>DICO_Export!D527</f>
        <v>additionalResponseData</v>
      </c>
      <c r="B531" t="str">
        <f>DICO_Export!E527</f>
        <v>destinationCurrencyUnits</v>
      </c>
      <c r="C531" t="e">
        <f>#REF!</f>
        <v>#REF!</v>
      </c>
      <c r="D531" t="e">
        <f>#REF!</f>
        <v>#REF!</v>
      </c>
      <c r="E531" t="str">
        <f t="shared" si="42"/>
        <v>addtnlRspnsDt</v>
      </c>
      <c r="F531" t="str">
        <f t="shared" si="43"/>
        <v>dstntnCrrncUnts</v>
      </c>
      <c r="G531" t="e">
        <f t="shared" si="40"/>
        <v>#REF!</v>
      </c>
      <c r="H531" t="e">
        <f t="shared" si="41"/>
        <v>#REF!</v>
      </c>
    </row>
    <row r="532" spans="1:8">
      <c r="A532" t="str">
        <f>DICO_Export!D528</f>
        <v>additionalResponseData</v>
      </c>
      <c r="B532" t="str">
        <f>DICO_Export!E528</f>
        <v>emailAddressVerificationResult</v>
      </c>
      <c r="C532" t="e">
        <f>#REF!</f>
        <v>#REF!</v>
      </c>
      <c r="D532" t="e">
        <f>#REF!</f>
        <v>#REF!</v>
      </c>
      <c r="E532" t="str">
        <f t="shared" si="42"/>
        <v>addtnlRspnsDt</v>
      </c>
      <c r="F532" t="str">
        <f t="shared" si="43"/>
        <v>emlAddrssVrfctnRslt</v>
      </c>
      <c r="G532" t="e">
        <f t="shared" si="40"/>
        <v>#REF!</v>
      </c>
      <c r="H532" t="e">
        <f t="shared" si="41"/>
        <v>#REF!</v>
      </c>
    </row>
    <row r="533" spans="1:8">
      <c r="A533" t="str">
        <f>DICO_Export!D529</f>
        <v>additionalResponseData</v>
      </c>
      <c r="B533" t="str">
        <f>DICO_Export!E529</f>
        <v>expenseThreshold</v>
      </c>
      <c r="C533" t="e">
        <f>#REF!</f>
        <v>#REF!</v>
      </c>
      <c r="D533" t="e">
        <f>#REF!</f>
        <v>#REF!</v>
      </c>
      <c r="E533" t="str">
        <f t="shared" si="42"/>
        <v>addtnlRspnsDt</v>
      </c>
      <c r="F533" t="str">
        <f t="shared" si="43"/>
        <v>expnsThrshld</v>
      </c>
      <c r="G533" t="e">
        <f t="shared" si="40"/>
        <v>#REF!</v>
      </c>
      <c r="H533" t="e">
        <f t="shared" si="41"/>
        <v>#REF!</v>
      </c>
    </row>
    <row r="534" spans="1:8">
      <c r="A534" t="str">
        <f>DICO_Export!D530</f>
        <v>additionalResponseData</v>
      </c>
      <c r="B534" t="str">
        <f>DICO_Export!E530</f>
        <v>extendedMessageToInitiatorNature</v>
      </c>
      <c r="C534" t="e">
        <f>#REF!</f>
        <v>#REF!</v>
      </c>
      <c r="D534" t="e">
        <f>#REF!</f>
        <v>#REF!</v>
      </c>
      <c r="E534" t="str">
        <f t="shared" si="42"/>
        <v>addtnlRspnsDt</v>
      </c>
      <c r="F534" t="str">
        <f t="shared" si="43"/>
        <v>extnddMssgTInttrNtr</v>
      </c>
      <c r="G534" t="e">
        <f t="shared" si="40"/>
        <v>#REF!</v>
      </c>
      <c r="H534" t="e">
        <f t="shared" si="41"/>
        <v>#REF!</v>
      </c>
    </row>
    <row r="535" spans="1:8">
      <c r="A535" t="str">
        <f>DICO_Export!D531</f>
        <v>additionalResponseData</v>
      </c>
      <c r="B535" t="str">
        <f>DICO_Export!E531</f>
        <v>extendedMessageToInitiatorValue</v>
      </c>
      <c r="C535" t="e">
        <f>#REF!</f>
        <v>#REF!</v>
      </c>
      <c r="D535" t="e">
        <f>#REF!</f>
        <v>#REF!</v>
      </c>
      <c r="E535" t="str">
        <f t="shared" si="42"/>
        <v>addtnlRspnsDt</v>
      </c>
      <c r="F535" t="str">
        <f t="shared" si="43"/>
        <v>extnddMssgTInttrVl</v>
      </c>
      <c r="G535" t="e">
        <f t="shared" si="40"/>
        <v>#REF!</v>
      </c>
      <c r="H535" t="e">
        <f t="shared" si="41"/>
        <v>#REF!</v>
      </c>
    </row>
    <row r="536" spans="1:8">
      <c r="A536" t="str">
        <f>DICO_Export!D532</f>
        <v>additionalResponseData</v>
      </c>
      <c r="B536" t="str">
        <f>DICO_Export!E532</f>
        <v>fastFundIndicator</v>
      </c>
      <c r="C536" t="e">
        <f>#REF!</f>
        <v>#REF!</v>
      </c>
      <c r="D536" t="e">
        <f>#REF!</f>
        <v>#REF!</v>
      </c>
      <c r="E536" t="str">
        <f t="shared" si="42"/>
        <v>addtnlRspnsDt</v>
      </c>
      <c r="F536" t="str">
        <f t="shared" si="43"/>
        <v>fstFndIndctr</v>
      </c>
      <c r="G536" t="e">
        <f t="shared" si="40"/>
        <v>#REF!</v>
      </c>
      <c r="H536" t="e">
        <f t="shared" si="41"/>
        <v>#REF!</v>
      </c>
    </row>
    <row r="537" spans="1:8">
      <c r="A537" t="str">
        <f>DICO_Export!D533</f>
        <v>additionalResponseData</v>
      </c>
      <c r="B537" t="str">
        <f>DICO_Export!E533</f>
        <v>fieldConversionEntitySource</v>
      </c>
      <c r="C537" t="e">
        <f>#REF!</f>
        <v>#REF!</v>
      </c>
      <c r="D537" t="e">
        <f>#REF!</f>
        <v>#REF!</v>
      </c>
      <c r="E537" t="str">
        <f t="shared" si="42"/>
        <v>addtnlRspnsDt</v>
      </c>
      <c r="F537" t="str">
        <f t="shared" si="43"/>
        <v>fldCnvrsnEnttSrc</v>
      </c>
      <c r="G537" t="e">
        <f t="shared" si="40"/>
        <v>#REF!</v>
      </c>
      <c r="H537" t="e">
        <f t="shared" si="41"/>
        <v>#REF!</v>
      </c>
    </row>
    <row r="538" spans="1:8">
      <c r="A538" t="str">
        <f>DICO_Export!D534</f>
        <v>additionalResponseData</v>
      </c>
      <c r="B538" t="str">
        <f>DICO_Export!E534</f>
        <v>fieldConversionFieldNumber</v>
      </c>
      <c r="C538" t="e">
        <f>#REF!</f>
        <v>#REF!</v>
      </c>
      <c r="D538" t="e">
        <f>#REF!</f>
        <v>#REF!</v>
      </c>
      <c r="E538" t="str">
        <f t="shared" si="42"/>
        <v>addtnlRspnsDt</v>
      </c>
      <c r="F538" t="str">
        <f t="shared" si="43"/>
        <v>fldCnvrsnFldNmbr</v>
      </c>
      <c r="G538" t="e">
        <f t="shared" si="40"/>
        <v>#REF!</v>
      </c>
      <c r="H538" t="e">
        <f t="shared" si="41"/>
        <v>#REF!</v>
      </c>
    </row>
    <row r="539" spans="1:8">
      <c r="A539" t="str">
        <f>DICO_Export!D535</f>
        <v>additionalResponseData</v>
      </c>
      <c r="B539" t="str">
        <f>DICO_Export!E535</f>
        <v>fieldConversionResponsibleValue</v>
      </c>
      <c r="C539" t="e">
        <f>#REF!</f>
        <v>#REF!</v>
      </c>
      <c r="D539" t="e">
        <f>#REF!</f>
        <v>#REF!</v>
      </c>
      <c r="E539" t="str">
        <f t="shared" si="42"/>
        <v>addtnlRspnsDt</v>
      </c>
      <c r="F539" t="str">
        <f t="shared" si="43"/>
        <v>fldCnvrsnRspnsblVl</v>
      </c>
      <c r="G539" t="e">
        <f t="shared" si="40"/>
        <v>#REF!</v>
      </c>
      <c r="H539" t="e">
        <f t="shared" si="41"/>
        <v>#REF!</v>
      </c>
    </row>
    <row r="540" spans="1:8">
      <c r="A540" t="str">
        <f>DICO_Export!D536</f>
        <v>additionalResponseData</v>
      </c>
      <c r="B540" t="str">
        <f>DICO_Export!E536</f>
        <v>firstNameAccountMatchDecision</v>
      </c>
      <c r="C540" t="e">
        <f>#REF!</f>
        <v>#REF!</v>
      </c>
      <c r="D540" t="e">
        <f>#REF!</f>
        <v>#REF!</v>
      </c>
      <c r="E540" t="str">
        <f t="shared" si="42"/>
        <v>addtnlRspnsDt</v>
      </c>
      <c r="F540" t="str">
        <f t="shared" si="43"/>
        <v>frstNmAccntMtchDcsn</v>
      </c>
      <c r="G540" t="e">
        <f t="shared" si="40"/>
        <v>#REF!</v>
      </c>
      <c r="H540" t="e">
        <f t="shared" si="41"/>
        <v>#REF!</v>
      </c>
    </row>
    <row r="541" spans="1:8">
      <c r="A541" t="str">
        <f>DICO_Export!D537</f>
        <v>additionalResponseData</v>
      </c>
      <c r="B541" t="str">
        <f>DICO_Export!E537</f>
        <v>fullNameAccountMatchDecision</v>
      </c>
      <c r="C541" t="e">
        <f>#REF!</f>
        <v>#REF!</v>
      </c>
      <c r="D541" t="e">
        <f>#REF!</f>
        <v>#REF!</v>
      </c>
      <c r="E541" t="str">
        <f t="shared" si="42"/>
        <v>addtnlRspnsDt</v>
      </c>
      <c r="F541" t="str">
        <f t="shared" si="43"/>
        <v>fllNmAccntMtchDcsn</v>
      </c>
      <c r="G541" t="e">
        <f t="shared" si="40"/>
        <v>#REF!</v>
      </c>
      <c r="H541" t="e">
        <f t="shared" si="41"/>
        <v>#REF!</v>
      </c>
    </row>
    <row r="542" spans="1:8">
      <c r="A542" t="str">
        <f>DICO_Export!D538</f>
        <v>additionalResponseData</v>
      </c>
      <c r="B542" t="str">
        <f>DICO_Export!E538</f>
        <v>geoRestrictionIndicator</v>
      </c>
      <c r="C542" t="e">
        <f>#REF!</f>
        <v>#REF!</v>
      </c>
      <c r="D542" t="e">
        <f>#REF!</f>
        <v>#REF!</v>
      </c>
      <c r="E542" t="str">
        <f t="shared" si="42"/>
        <v>addtnlRspnsDt</v>
      </c>
      <c r="F542" t="str">
        <f t="shared" si="43"/>
        <v>gRstrctnIndctr</v>
      </c>
      <c r="G542" t="e">
        <f t="shared" si="40"/>
        <v>#REF!</v>
      </c>
      <c r="H542" t="e">
        <f t="shared" si="41"/>
        <v>#REF!</v>
      </c>
    </row>
    <row r="543" spans="1:8">
      <c r="A543" t="str">
        <f>DICO_Export!D539</f>
        <v>additionalResponseData</v>
      </c>
      <c r="B543" t="str">
        <f>DICO_Export!E539</f>
        <v>incorrectFieldErrorCode</v>
      </c>
      <c r="C543" t="e">
        <f>#REF!</f>
        <v>#REF!</v>
      </c>
      <c r="D543" t="e">
        <f>#REF!</f>
        <v>#REF!</v>
      </c>
      <c r="E543" t="str">
        <f t="shared" si="42"/>
        <v>addtnlRspnsDt</v>
      </c>
      <c r="F543" t="str">
        <f t="shared" si="43"/>
        <v>incrrctFldErrrCd</v>
      </c>
      <c r="G543" t="e">
        <f t="shared" si="40"/>
        <v>#REF!</v>
      </c>
      <c r="H543" t="e">
        <f t="shared" si="41"/>
        <v>#REF!</v>
      </c>
    </row>
    <row r="544" spans="1:8">
      <c r="A544" t="str">
        <f>DICO_Export!D540</f>
        <v>additionalResponseData</v>
      </c>
      <c r="B544" t="str">
        <f>DICO_Export!E540</f>
        <v>incorrectFieldNumber</v>
      </c>
      <c r="C544" t="e">
        <f>#REF!</f>
        <v>#REF!</v>
      </c>
      <c r="D544" t="e">
        <f>#REF!</f>
        <v>#REF!</v>
      </c>
      <c r="E544" t="str">
        <f t="shared" si="42"/>
        <v>addtnlRspnsDt</v>
      </c>
      <c r="F544" t="str">
        <f t="shared" si="43"/>
        <v>incrrctFldNmbr</v>
      </c>
      <c r="G544" t="e">
        <f t="shared" ref="G544:G607" si="44">LEFT(C544,1)&amp;SUBSTITUTE(SUBSTITUTE(SUBSTITUTE(SUBSTITUTE(SUBSTITUTE(SUBSTITUTE(SUBSTITUTE(RIGHT(C544,LEN(C544)-1),"a"," "),"e"," "),"i"," "),"o"," "),"u"," "),"y"," ")," ","")</f>
        <v>#REF!</v>
      </c>
      <c r="H544" t="e">
        <f t="shared" ref="H544:H607" si="45">LEFT(D544,1)&amp;SUBSTITUTE(SUBSTITUTE(SUBSTITUTE(SUBSTITUTE(SUBSTITUTE(SUBSTITUTE(SUBSTITUTE(RIGHT(D544,LEN(D544)-1),"a"," "),"e"," "),"i"," "),"o"," "),"u"," "),"y"," ")," ","")</f>
        <v>#REF!</v>
      </c>
    </row>
    <row r="545" spans="1:8">
      <c r="A545" t="str">
        <f>DICO_Export!D541</f>
        <v>additionalResponseData</v>
      </c>
      <c r="B545" t="str">
        <f>DICO_Export!E541</f>
        <v>incorrectSubfield</v>
      </c>
      <c r="C545" t="e">
        <f>#REF!</f>
        <v>#REF!</v>
      </c>
      <c r="D545" t="e">
        <f>#REF!</f>
        <v>#REF!</v>
      </c>
      <c r="E545" t="str">
        <f t="shared" si="42"/>
        <v>addtnlRspnsDt</v>
      </c>
      <c r="F545" t="str">
        <f t="shared" si="43"/>
        <v>incrrctSbfld</v>
      </c>
      <c r="G545" t="e">
        <f t="shared" si="44"/>
        <v>#REF!</v>
      </c>
      <c r="H545" t="e">
        <f t="shared" si="45"/>
        <v>#REF!</v>
      </c>
    </row>
    <row r="546" spans="1:8">
      <c r="A546" t="str">
        <f>DICO_Export!D542</f>
        <v>additionalResponseData</v>
      </c>
      <c r="B546" t="str">
        <f>DICO_Export!E542</f>
        <v>issuerFunctionalIdentifier</v>
      </c>
      <c r="C546" t="e">
        <f>#REF!</f>
        <v>#REF!</v>
      </c>
      <c r="D546" t="e">
        <f>#REF!</f>
        <v>#REF!</v>
      </c>
      <c r="E546" t="str">
        <f t="shared" si="42"/>
        <v>addtnlRspnsDt</v>
      </c>
      <c r="F546" t="str">
        <f t="shared" si="43"/>
        <v>issrFnctnlIdntfr</v>
      </c>
      <c r="G546" t="e">
        <f t="shared" si="44"/>
        <v>#REF!</v>
      </c>
      <c r="H546" t="e">
        <f t="shared" si="45"/>
        <v>#REF!</v>
      </c>
    </row>
    <row r="547" spans="1:8">
      <c r="A547" t="str">
        <f>DICO_Export!D543</f>
        <v>additionalResponseData</v>
      </c>
      <c r="B547" t="str">
        <f>DICO_Export!E543</f>
        <v>issuerInstitutionCountryCode</v>
      </c>
      <c r="C547" t="e">
        <f>#REF!</f>
        <v>#REF!</v>
      </c>
      <c r="D547" t="e">
        <f>#REF!</f>
        <v>#REF!</v>
      </c>
      <c r="E547" t="str">
        <f t="shared" si="42"/>
        <v>addtnlRspnsDt</v>
      </c>
      <c r="F547" t="str">
        <f t="shared" si="43"/>
        <v>issrInstttnCntrCd</v>
      </c>
      <c r="G547" t="e">
        <f t="shared" si="44"/>
        <v>#REF!</v>
      </c>
      <c r="H547" t="e">
        <f t="shared" si="45"/>
        <v>#REF!</v>
      </c>
    </row>
    <row r="548" spans="1:8">
      <c r="A548" t="str">
        <f>DICO_Export!D544</f>
        <v>additionalResponseData</v>
      </c>
      <c r="B548" t="str">
        <f>DICO_Export!E544</f>
        <v>lastNameAccountMatchDecision</v>
      </c>
      <c r="C548" t="e">
        <f>#REF!</f>
        <v>#REF!</v>
      </c>
      <c r="D548" t="e">
        <f>#REF!</f>
        <v>#REF!</v>
      </c>
      <c r="E548" t="str">
        <f t="shared" si="42"/>
        <v>addtnlRspnsDt</v>
      </c>
      <c r="F548" t="str">
        <f t="shared" si="43"/>
        <v>lstNmAccntMtchDcsn</v>
      </c>
      <c r="G548" t="e">
        <f t="shared" si="44"/>
        <v>#REF!</v>
      </c>
      <c r="H548" t="e">
        <f t="shared" si="45"/>
        <v>#REF!</v>
      </c>
    </row>
    <row r="549" spans="1:8">
      <c r="A549" t="str">
        <f>DICO_Export!D545</f>
        <v>additionalResponseData</v>
      </c>
      <c r="B549" t="str">
        <f>DICO_Export!E545</f>
        <v>mastercardMagstripeError</v>
      </c>
      <c r="C549" t="e">
        <f>#REF!</f>
        <v>#REF!</v>
      </c>
      <c r="D549" t="e">
        <f>#REF!</f>
        <v>#REF!</v>
      </c>
      <c r="E549" t="str">
        <f t="shared" si="42"/>
        <v>addtnlRspnsDt</v>
      </c>
      <c r="F549" t="str">
        <f t="shared" si="43"/>
        <v>mstrcrdMgstrpErrr</v>
      </c>
      <c r="G549" t="e">
        <f t="shared" si="44"/>
        <v>#REF!</v>
      </c>
      <c r="H549" t="e">
        <f t="shared" si="45"/>
        <v>#REF!</v>
      </c>
    </row>
    <row r="550" spans="1:8">
      <c r="A550" t="str">
        <f>DICO_Export!D546</f>
        <v>additionalResponseData</v>
      </c>
      <c r="B550" t="str">
        <f>DICO_Export!E546</f>
        <v>mastercardMagstripeErrorCategory</v>
      </c>
      <c r="C550" t="e">
        <f>#REF!</f>
        <v>#REF!</v>
      </c>
      <c r="D550" t="e">
        <f>#REF!</f>
        <v>#REF!</v>
      </c>
      <c r="E550" t="str">
        <f t="shared" si="42"/>
        <v>addtnlRspnsDt</v>
      </c>
      <c r="F550" t="str">
        <f t="shared" si="43"/>
        <v>mstrcrdMgstrpErrrCtgr</v>
      </c>
      <c r="G550" t="e">
        <f t="shared" si="44"/>
        <v>#REF!</v>
      </c>
      <c r="H550" t="e">
        <f t="shared" si="45"/>
        <v>#REF!</v>
      </c>
    </row>
    <row r="551" spans="1:8">
      <c r="A551" t="str">
        <f>DICO_Export!D547</f>
        <v>additionalResponseData</v>
      </c>
      <c r="B551" t="str">
        <f>DICO_Export!E547</f>
        <v>maximumAmountAuthorisable</v>
      </c>
      <c r="C551" t="e">
        <f>#REF!</f>
        <v>#REF!</v>
      </c>
      <c r="D551" t="e">
        <f>#REF!</f>
        <v>#REF!</v>
      </c>
      <c r="E551" t="str">
        <f t="shared" si="42"/>
        <v>addtnlRspnsDt</v>
      </c>
      <c r="F551" t="str">
        <f t="shared" si="43"/>
        <v>mxmmAmntAthrsbl</v>
      </c>
      <c r="G551" t="e">
        <f t="shared" si="44"/>
        <v>#REF!</v>
      </c>
      <c r="H551" t="e">
        <f t="shared" si="45"/>
        <v>#REF!</v>
      </c>
    </row>
    <row r="552" spans="1:8">
      <c r="A552" t="str">
        <f>DICO_Export!D548</f>
        <v>additionalResponseData</v>
      </c>
      <c r="B552" t="str">
        <f>DICO_Export!E548</f>
        <v>maximumNumberReattempts</v>
      </c>
      <c r="C552" t="e">
        <f>#REF!</f>
        <v>#REF!</v>
      </c>
      <c r="D552" t="e">
        <f>#REF!</f>
        <v>#REF!</v>
      </c>
      <c r="E552" t="str">
        <f t="shared" si="42"/>
        <v>addtnlRspnsDt</v>
      </c>
      <c r="F552" t="str">
        <f t="shared" si="43"/>
        <v>mxmmNmbrRttmpts</v>
      </c>
      <c r="G552" t="e">
        <f t="shared" si="44"/>
        <v>#REF!</v>
      </c>
      <c r="H552" t="e">
        <f t="shared" si="45"/>
        <v>#REF!</v>
      </c>
    </row>
    <row r="553" spans="1:8">
      <c r="A553" t="str">
        <f>DICO_Export!D549</f>
        <v>additionalResponseData</v>
      </c>
      <c r="B553" t="str">
        <f>DICO_Export!E549</f>
        <v>merchantAdviceCode</v>
      </c>
      <c r="C553" t="e">
        <f>#REF!</f>
        <v>#REF!</v>
      </c>
      <c r="D553" t="e">
        <f>#REF!</f>
        <v>#REF!</v>
      </c>
      <c r="E553" t="str">
        <f t="shared" si="42"/>
        <v>addtnlRspnsDt</v>
      </c>
      <c r="F553" t="str">
        <f t="shared" si="43"/>
        <v>mrchntAdvcCd</v>
      </c>
      <c r="G553" t="e">
        <f t="shared" si="44"/>
        <v>#REF!</v>
      </c>
      <c r="H553" t="e">
        <f t="shared" si="45"/>
        <v>#REF!</v>
      </c>
    </row>
    <row r="554" spans="1:8">
      <c r="A554" t="str">
        <f>DICO_Export!D550</f>
        <v>additionalResponseData</v>
      </c>
      <c r="B554" t="str">
        <f>DICO_Export!E550</f>
        <v>merchantVerificationValue</v>
      </c>
      <c r="C554" t="e">
        <f>#REF!</f>
        <v>#REF!</v>
      </c>
      <c r="D554" t="e">
        <f>#REF!</f>
        <v>#REF!</v>
      </c>
      <c r="E554" t="str">
        <f t="shared" si="42"/>
        <v>addtnlRspnsDt</v>
      </c>
      <c r="F554" t="str">
        <f t="shared" si="43"/>
        <v>mrchntVrfctnVl</v>
      </c>
      <c r="G554" t="e">
        <f t="shared" si="44"/>
        <v>#REF!</v>
      </c>
      <c r="H554" t="e">
        <f t="shared" si="45"/>
        <v>#REF!</v>
      </c>
    </row>
    <row r="555" spans="1:8">
      <c r="A555" t="str">
        <f>DICO_Export!D551</f>
        <v>additionalResponseData</v>
      </c>
      <c r="B555" t="str">
        <f>DICO_Export!E551</f>
        <v>messageToTransactionInitiatorCtrlCharacter</v>
      </c>
      <c r="C555" t="e">
        <f>#REF!</f>
        <v>#REF!</v>
      </c>
      <c r="D555" t="e">
        <f>#REF!</f>
        <v>#REF!</v>
      </c>
      <c r="E555" t="str">
        <f t="shared" si="42"/>
        <v>addtnlRspnsDt</v>
      </c>
      <c r="F555" t="str">
        <f t="shared" si="43"/>
        <v>mssgTTrnsctnInttrCtrlChrctr</v>
      </c>
      <c r="G555" t="e">
        <f t="shared" si="44"/>
        <v>#REF!</v>
      </c>
      <c r="H555" t="e">
        <f t="shared" si="45"/>
        <v>#REF!</v>
      </c>
    </row>
    <row r="556" spans="1:8">
      <c r="A556" t="str">
        <f>DICO_Export!D552</f>
        <v>additionalResponseData</v>
      </c>
      <c r="B556" t="str">
        <f>DICO_Export!E552</f>
        <v>messageToTransactionInitiatorMessage</v>
      </c>
      <c r="C556" t="e">
        <f>#REF!</f>
        <v>#REF!</v>
      </c>
      <c r="D556" t="e">
        <f>#REF!</f>
        <v>#REF!</v>
      </c>
      <c r="E556" t="str">
        <f t="shared" si="42"/>
        <v>addtnlRspnsDt</v>
      </c>
      <c r="F556" t="str">
        <f t="shared" si="43"/>
        <v>mssgTTrnsctnInttrMssg</v>
      </c>
      <c r="G556" t="e">
        <f t="shared" si="44"/>
        <v>#REF!</v>
      </c>
      <c r="H556" t="e">
        <f t="shared" si="45"/>
        <v>#REF!</v>
      </c>
    </row>
    <row r="557" spans="1:8">
      <c r="A557" t="str">
        <f>DICO_Export!D553</f>
        <v>additionalResponseData</v>
      </c>
      <c r="B557" t="str">
        <f>DICO_Export!E553</f>
        <v>middleNameAccountMatchDecision</v>
      </c>
      <c r="C557" t="e">
        <f>#REF!</f>
        <v>#REF!</v>
      </c>
      <c r="D557" t="e">
        <f>#REF!</f>
        <v>#REF!</v>
      </c>
      <c r="E557" t="str">
        <f t="shared" si="42"/>
        <v>addtnlRspnsDt</v>
      </c>
      <c r="F557" t="str">
        <f t="shared" si="43"/>
        <v>mddlNmAccntMtchDcsn</v>
      </c>
      <c r="G557" t="e">
        <f t="shared" si="44"/>
        <v>#REF!</v>
      </c>
      <c r="H557" t="e">
        <f t="shared" si="45"/>
        <v>#REF!</v>
      </c>
    </row>
    <row r="558" spans="1:8">
      <c r="A558" t="str">
        <f>DICO_Export!D554</f>
        <v>additionalResponseData</v>
      </c>
      <c r="B558" t="str">
        <f>DICO_Export!E554</f>
        <v>modifiedElectronicCommerceAuthentification</v>
      </c>
      <c r="C558" t="e">
        <f>#REF!</f>
        <v>#REF!</v>
      </c>
      <c r="D558" t="e">
        <f>#REF!</f>
        <v>#REF!</v>
      </c>
      <c r="E558" t="str">
        <f t="shared" si="42"/>
        <v>addtnlRspnsDt</v>
      </c>
      <c r="F558" t="str">
        <f t="shared" si="43"/>
        <v>mdfdElctrncCmmrcAthntfctn</v>
      </c>
      <c r="G558" t="e">
        <f t="shared" si="44"/>
        <v>#REF!</v>
      </c>
      <c r="H558" t="e">
        <f t="shared" si="45"/>
        <v>#REF!</v>
      </c>
    </row>
    <row r="559" spans="1:8">
      <c r="A559" t="str">
        <f>DICO_Export!D555</f>
        <v>additionalResponseData</v>
      </c>
      <c r="B559" t="str">
        <f>DICO_Export!E555</f>
        <v>networkEquipmentIdentifier</v>
      </c>
      <c r="C559" t="e">
        <f>#REF!</f>
        <v>#REF!</v>
      </c>
      <c r="D559" t="e">
        <f>#REF!</f>
        <v>#REF!</v>
      </c>
      <c r="E559" t="str">
        <f t="shared" si="42"/>
        <v>addtnlRspnsDt</v>
      </c>
      <c r="F559" t="str">
        <f t="shared" si="43"/>
        <v>ntwrkEqpmntIdntfr</v>
      </c>
      <c r="G559" t="e">
        <f t="shared" si="44"/>
        <v>#REF!</v>
      </c>
      <c r="H559" t="e">
        <f t="shared" si="45"/>
        <v>#REF!</v>
      </c>
    </row>
    <row r="560" spans="1:8">
      <c r="A560" t="str">
        <f>DICO_Export!D556</f>
        <v>additionalResponseData</v>
      </c>
      <c r="B560" t="str">
        <f>DICO_Export!E556</f>
        <v>octBlocking</v>
      </c>
      <c r="C560" t="e">
        <f>#REF!</f>
        <v>#REF!</v>
      </c>
      <c r="D560" t="e">
        <f>#REF!</f>
        <v>#REF!</v>
      </c>
      <c r="E560" t="str">
        <f t="shared" si="42"/>
        <v>addtnlRspnsDt</v>
      </c>
      <c r="F560" t="str">
        <f t="shared" si="43"/>
        <v>octBlckng</v>
      </c>
      <c r="G560" t="e">
        <f t="shared" si="44"/>
        <v>#REF!</v>
      </c>
      <c r="H560" t="e">
        <f t="shared" si="45"/>
        <v>#REF!</v>
      </c>
    </row>
    <row r="561" spans="1:8">
      <c r="A561" t="str">
        <f>DICO_Export!D557</f>
        <v>additionalResponseData</v>
      </c>
      <c r="B561" t="str">
        <f>DICO_Export!E557</f>
        <v>onlineGameBlockingIndicator</v>
      </c>
      <c r="C561" t="e">
        <f>#REF!</f>
        <v>#REF!</v>
      </c>
      <c r="D561" t="e">
        <f>#REF!</f>
        <v>#REF!</v>
      </c>
      <c r="E561" t="str">
        <f t="shared" si="42"/>
        <v>addtnlRspnsDt</v>
      </c>
      <c r="F561" t="str">
        <f t="shared" si="43"/>
        <v>onlnGmBlckngIndctr</v>
      </c>
      <c r="G561" t="e">
        <f t="shared" si="44"/>
        <v>#REF!</v>
      </c>
      <c r="H561" t="e">
        <f t="shared" si="45"/>
        <v>#REF!</v>
      </c>
    </row>
    <row r="562" spans="1:8">
      <c r="A562" t="str">
        <f>DICO_Export!D558</f>
        <v>additionalResponseData</v>
      </c>
      <c r="B562" t="str">
        <f>DICO_Export!E558</f>
        <v>phoneNumber</v>
      </c>
      <c r="C562" t="e">
        <f>#REF!</f>
        <v>#REF!</v>
      </c>
      <c r="D562" t="e">
        <f>#REF!</f>
        <v>#REF!</v>
      </c>
      <c r="E562" t="str">
        <f t="shared" si="42"/>
        <v>addtnlRspnsDt</v>
      </c>
      <c r="F562" t="str">
        <f t="shared" si="43"/>
        <v>phnNmbr</v>
      </c>
      <c r="G562" t="e">
        <f t="shared" si="44"/>
        <v>#REF!</v>
      </c>
      <c r="H562" t="e">
        <f t="shared" si="45"/>
        <v>#REF!</v>
      </c>
    </row>
    <row r="563" spans="1:8">
      <c r="A563" t="str">
        <f>DICO_Export!D559</f>
        <v>additionalResponseData</v>
      </c>
      <c r="B563" t="str">
        <f>DICO_Export!E559</f>
        <v>phoneNumberVerificationResult</v>
      </c>
      <c r="C563" t="e">
        <f>#REF!</f>
        <v>#REF!</v>
      </c>
      <c r="D563" t="e">
        <f>#REF!</f>
        <v>#REF!</v>
      </c>
      <c r="E563" t="str">
        <f t="shared" si="42"/>
        <v>addtnlRspnsDt</v>
      </c>
      <c r="F563" t="str">
        <f t="shared" si="43"/>
        <v>phnNmbrVrfctnRslt</v>
      </c>
      <c r="G563" t="e">
        <f t="shared" si="44"/>
        <v>#REF!</v>
      </c>
      <c r="H563" t="e">
        <f t="shared" si="45"/>
        <v>#REF!</v>
      </c>
    </row>
    <row r="564" spans="1:8">
      <c r="A564" t="str">
        <f>DICO_Export!D560</f>
        <v>additionalResponseData</v>
      </c>
      <c r="B564" t="str">
        <f>DICO_Export!E560</f>
        <v>programDowngradeReasonCode</v>
      </c>
      <c r="C564" t="e">
        <f>#REF!</f>
        <v>#REF!</v>
      </c>
      <c r="D564" t="e">
        <f>#REF!</f>
        <v>#REF!</v>
      </c>
      <c r="E564" t="str">
        <f t="shared" si="42"/>
        <v>addtnlRspnsDt</v>
      </c>
      <c r="F564" t="str">
        <f t="shared" si="43"/>
        <v>prgrmDwngrdRsnCd</v>
      </c>
      <c r="G564" t="e">
        <f t="shared" si="44"/>
        <v>#REF!</v>
      </c>
      <c r="H564" t="e">
        <f t="shared" si="45"/>
        <v>#REF!</v>
      </c>
    </row>
    <row r="565" spans="1:8">
      <c r="A565" t="str">
        <f>DICO_Export!D561</f>
        <v>additionalResponseData</v>
      </c>
      <c r="B565" t="str">
        <f>DICO_Export!E561</f>
        <v>reasonInformationCode</v>
      </c>
      <c r="C565" t="e">
        <f>#REF!</f>
        <v>#REF!</v>
      </c>
      <c r="D565" t="e">
        <f>#REF!</f>
        <v>#REF!</v>
      </c>
      <c r="E565" t="str">
        <f t="shared" si="42"/>
        <v>addtnlRspnsDt</v>
      </c>
      <c r="F565" t="str">
        <f t="shared" si="43"/>
        <v>rsnInfrmtnCd</v>
      </c>
      <c r="G565" t="e">
        <f t="shared" si="44"/>
        <v>#REF!</v>
      </c>
      <c r="H565" t="e">
        <f t="shared" si="45"/>
        <v>#REF!</v>
      </c>
    </row>
    <row r="566" spans="1:8">
      <c r="A566" t="str">
        <f>DICO_Export!D562</f>
        <v>additionalResponseData</v>
      </c>
      <c r="B566" t="str">
        <f>DICO_Export!E562</f>
        <v>reasonInformationEntitySource</v>
      </c>
      <c r="C566" t="e">
        <f>#REF!</f>
        <v>#REF!</v>
      </c>
      <c r="D566" t="e">
        <f>#REF!</f>
        <v>#REF!</v>
      </c>
      <c r="E566" t="str">
        <f t="shared" si="42"/>
        <v>addtnlRspnsDt</v>
      </c>
      <c r="F566" t="str">
        <f t="shared" si="43"/>
        <v>rsnInfrmtnEnttSrc</v>
      </c>
      <c r="G566" t="e">
        <f t="shared" si="44"/>
        <v>#REF!</v>
      </c>
      <c r="H566" t="e">
        <f t="shared" si="45"/>
        <v>#REF!</v>
      </c>
    </row>
    <row r="567" spans="1:8">
      <c r="A567" t="str">
        <f>DICO_Export!D563</f>
        <v>additionalResponseData</v>
      </c>
      <c r="B567" t="str">
        <f>DICO_Export!E563</f>
        <v>reattemptAllowedDuration</v>
      </c>
      <c r="C567" t="e">
        <f>#REF!</f>
        <v>#REF!</v>
      </c>
      <c r="D567" t="e">
        <f>#REF!</f>
        <v>#REF!</v>
      </c>
      <c r="E567" t="str">
        <f t="shared" si="42"/>
        <v>addtnlRspnsDt</v>
      </c>
      <c r="F567" t="str">
        <f t="shared" si="43"/>
        <v>rttmptAllwdDrtn</v>
      </c>
      <c r="G567" t="e">
        <f t="shared" si="44"/>
        <v>#REF!</v>
      </c>
      <c r="H567" t="e">
        <f t="shared" si="45"/>
        <v>#REF!</v>
      </c>
    </row>
    <row r="568" spans="1:8">
      <c r="A568" t="str">
        <f>DICO_Export!D564</f>
        <v>additionalResponseData</v>
      </c>
      <c r="B568" t="str">
        <f>DICO_Export!E564</f>
        <v>reattemptFrozenPeriod</v>
      </c>
      <c r="C568" t="e">
        <f>#REF!</f>
        <v>#REF!</v>
      </c>
      <c r="D568" t="e">
        <f>#REF!</f>
        <v>#REF!</v>
      </c>
      <c r="E568" t="str">
        <f t="shared" si="42"/>
        <v>addtnlRspnsDt</v>
      </c>
      <c r="F568" t="str">
        <f t="shared" si="43"/>
        <v>rttmptFrznPrd</v>
      </c>
      <c r="G568" t="e">
        <f t="shared" si="44"/>
        <v>#REF!</v>
      </c>
      <c r="H568" t="e">
        <f t="shared" si="45"/>
        <v>#REF!</v>
      </c>
    </row>
    <row r="569" spans="1:8">
      <c r="A569" t="str">
        <f>DICO_Export!D565</f>
        <v>additionalResponseData</v>
      </c>
      <c r="B569" t="str">
        <f>DICO_Export!E565</f>
        <v>respondingMachineId</v>
      </c>
      <c r="C569" t="e">
        <f>#REF!</f>
        <v>#REF!</v>
      </c>
      <c r="D569" t="e">
        <f>#REF!</f>
        <v>#REF!</v>
      </c>
      <c r="E569" t="str">
        <f t="shared" si="42"/>
        <v>addtnlRspnsDt</v>
      </c>
      <c r="F569" t="str">
        <f t="shared" si="43"/>
        <v>rspndngMchnId</v>
      </c>
      <c r="G569" t="e">
        <f t="shared" si="44"/>
        <v>#REF!</v>
      </c>
      <c r="H569" t="e">
        <f t="shared" si="45"/>
        <v>#REF!</v>
      </c>
    </row>
    <row r="570" spans="1:8">
      <c r="A570" t="str">
        <f>DICO_Export!D566</f>
        <v>additionalResponseData</v>
      </c>
      <c r="B570" t="str">
        <f>DICO_Export!E566</f>
        <v>securityErrorField</v>
      </c>
      <c r="C570" t="e">
        <f>#REF!</f>
        <v>#REF!</v>
      </c>
      <c r="D570" t="e">
        <f>#REF!</f>
        <v>#REF!</v>
      </c>
      <c r="E570" t="str">
        <f t="shared" si="42"/>
        <v>addtnlRspnsDt</v>
      </c>
      <c r="F570" t="str">
        <f t="shared" si="43"/>
        <v>scrtErrrFld</v>
      </c>
      <c r="G570" t="e">
        <f t="shared" si="44"/>
        <v>#REF!</v>
      </c>
      <c r="H570" t="e">
        <f t="shared" si="45"/>
        <v>#REF!</v>
      </c>
    </row>
    <row r="571" spans="1:8">
      <c r="A571" t="str">
        <f>DICO_Export!D567</f>
        <v>additionalResponseData</v>
      </c>
      <c r="B571" t="str">
        <f>DICO_Export!E567</f>
        <v>securityErrorNature</v>
      </c>
      <c r="C571" t="e">
        <f>#REF!</f>
        <v>#REF!</v>
      </c>
      <c r="D571" t="e">
        <f>#REF!</f>
        <v>#REF!</v>
      </c>
      <c r="E571" t="str">
        <f t="shared" si="42"/>
        <v>addtnlRspnsDt</v>
      </c>
      <c r="F571" t="str">
        <f t="shared" si="43"/>
        <v>scrtErrrNtr</v>
      </c>
      <c r="G571" t="e">
        <f t="shared" si="44"/>
        <v>#REF!</v>
      </c>
      <c r="H571" t="e">
        <f t="shared" si="45"/>
        <v>#REF!</v>
      </c>
    </row>
    <row r="572" spans="1:8">
      <c r="A572" t="str">
        <f>DICO_Export!D568</f>
        <v>additionalResponseData</v>
      </c>
      <c r="B572" t="str">
        <f>DICO_Export!E568</f>
        <v>temp_minimumAmountAuthorisable</v>
      </c>
      <c r="C572" t="e">
        <f>#REF!</f>
        <v>#REF!</v>
      </c>
      <c r="D572" t="e">
        <f>#REF!</f>
        <v>#REF!</v>
      </c>
      <c r="E572" t="str">
        <f t="shared" si="42"/>
        <v>addtnlRspnsDt</v>
      </c>
      <c r="F572" t="str">
        <f t="shared" si="43"/>
        <v>tmp_mnmmAmntAthrsbl</v>
      </c>
      <c r="G572" t="e">
        <f t="shared" si="44"/>
        <v>#REF!</v>
      </c>
      <c r="H572" t="e">
        <f t="shared" si="45"/>
        <v>#REF!</v>
      </c>
    </row>
    <row r="573" spans="1:8">
      <c r="A573" t="str">
        <f>DICO_Export!D569</f>
        <v>additionalResponseData</v>
      </c>
      <c r="B573" t="str">
        <f>DICO_Export!E569</f>
        <v>terminalData</v>
      </c>
      <c r="C573" t="e">
        <f>#REF!</f>
        <v>#REF!</v>
      </c>
      <c r="D573" t="e">
        <f>#REF!</f>
        <v>#REF!</v>
      </c>
      <c r="E573" t="str">
        <f t="shared" si="42"/>
        <v>addtnlRspnsDt</v>
      </c>
      <c r="F573" t="str">
        <f t="shared" si="43"/>
        <v>trmnlDt</v>
      </c>
      <c r="G573" t="e">
        <f t="shared" si="44"/>
        <v>#REF!</v>
      </c>
      <c r="H573" t="e">
        <f t="shared" si="45"/>
        <v>#REF!</v>
      </c>
    </row>
    <row r="574" spans="1:8">
      <c r="A574" t="str">
        <f>DICO_Export!D570</f>
        <v>additionalResponseData</v>
      </c>
      <c r="B574" t="str">
        <f>DICO_Export!E570</f>
        <v>typeOfAdditionalData</v>
      </c>
      <c r="C574" t="e">
        <f>#REF!</f>
        <v>#REF!</v>
      </c>
      <c r="D574" t="e">
        <f>#REF!</f>
        <v>#REF!</v>
      </c>
      <c r="E574" t="str">
        <f t="shared" si="42"/>
        <v>addtnlRspnsDt</v>
      </c>
      <c r="F574" t="str">
        <f t="shared" si="43"/>
        <v>tpOfAddtnlDt</v>
      </c>
      <c r="G574" t="e">
        <f t="shared" si="44"/>
        <v>#REF!</v>
      </c>
      <c r="H574" t="e">
        <f t="shared" si="45"/>
        <v>#REF!</v>
      </c>
    </row>
    <row r="575" spans="1:8">
      <c r="A575" t="str">
        <f>DICO_Export!D571</f>
        <v>additionalResponseData</v>
      </c>
      <c r="B575" t="str">
        <f>DICO_Export!E571</f>
        <v>uniqueTransactionIdNetworkSource</v>
      </c>
      <c r="C575" t="e">
        <f>#REF!</f>
        <v>#REF!</v>
      </c>
      <c r="D575" t="e">
        <f>#REF!</f>
        <v>#REF!</v>
      </c>
      <c r="E575" t="str">
        <f t="shared" si="42"/>
        <v>addtnlRspnsDt</v>
      </c>
      <c r="F575" t="str">
        <f t="shared" si="43"/>
        <v>unqTrnsctnIdNtwrkSrc</v>
      </c>
      <c r="G575" t="e">
        <f t="shared" si="44"/>
        <v>#REF!</v>
      </c>
      <c r="H575" t="e">
        <f t="shared" si="45"/>
        <v>#REF!</v>
      </c>
    </row>
    <row r="576" spans="1:8">
      <c r="A576" t="str">
        <f>DICO_Export!D572</f>
        <v>additionalResponseData</v>
      </c>
      <c r="B576" t="str">
        <f>DICO_Export!E572</f>
        <v>uniqueTransactionIdValue</v>
      </c>
      <c r="C576" t="e">
        <f>#REF!</f>
        <v>#REF!</v>
      </c>
      <c r="D576" t="e">
        <f>#REF!</f>
        <v>#REF!</v>
      </c>
      <c r="E576" t="str">
        <f t="shared" si="42"/>
        <v>addtnlRspnsDt</v>
      </c>
      <c r="F576" t="str">
        <f t="shared" si="43"/>
        <v>unqTrnsctnIdVl</v>
      </c>
      <c r="G576" t="e">
        <f t="shared" si="44"/>
        <v>#REF!</v>
      </c>
      <c r="H576" t="e">
        <f t="shared" si="45"/>
        <v>#REF!</v>
      </c>
    </row>
    <row r="577" spans="1:8">
      <c r="A577" t="str">
        <f>DICO_Export!D573</f>
        <v>additionalResponseData</v>
      </c>
      <c r="B577" t="str">
        <f>DICO_Export!E573</f>
        <v>validationCode</v>
      </c>
      <c r="C577" t="e">
        <f>#REF!</f>
        <v>#REF!</v>
      </c>
      <c r="D577" t="e">
        <f>#REF!</f>
        <v>#REF!</v>
      </c>
      <c r="E577" t="str">
        <f t="shared" si="42"/>
        <v>addtnlRspnsDt</v>
      </c>
      <c r="F577" t="str">
        <f t="shared" si="43"/>
        <v>vldtnCd</v>
      </c>
      <c r="G577" t="e">
        <f t="shared" si="44"/>
        <v>#REF!</v>
      </c>
      <c r="H577" t="e">
        <f t="shared" si="45"/>
        <v>#REF!</v>
      </c>
    </row>
    <row r="578" spans="1:8">
      <c r="A578" t="str">
        <f>DICO_Export!D574</f>
        <v>chargebackData</v>
      </c>
      <c r="B578" t="str">
        <f>DICO_Export!E574</f>
        <v>chargebackId</v>
      </c>
      <c r="C578" t="e">
        <f>#REF!</f>
        <v>#REF!</v>
      </c>
      <c r="D578" t="e">
        <f>#REF!</f>
        <v>#REF!</v>
      </c>
      <c r="E578" t="str">
        <f t="shared" si="42"/>
        <v>chrgbckDt</v>
      </c>
      <c r="F578" t="str">
        <f t="shared" si="43"/>
        <v>chrgbckId</v>
      </c>
      <c r="G578" t="e">
        <f t="shared" si="44"/>
        <v>#REF!</v>
      </c>
      <c r="H578" t="e">
        <f t="shared" si="45"/>
        <v>#REF!</v>
      </c>
    </row>
    <row r="579" spans="1:8">
      <c r="A579" t="str">
        <f>DICO_Export!D575</f>
        <v>chargebackData</v>
      </c>
      <c r="B579" t="str">
        <f>DICO_Export!E575</f>
        <v>reasonCode</v>
      </c>
      <c r="C579" t="e">
        <f>#REF!</f>
        <v>#REF!</v>
      </c>
      <c r="D579" t="e">
        <f>#REF!</f>
        <v>#REF!</v>
      </c>
      <c r="E579" t="str">
        <f t="shared" si="42"/>
        <v>chrgbckDt</v>
      </c>
      <c r="F579" t="str">
        <f t="shared" si="43"/>
        <v>rsnCd</v>
      </c>
      <c r="G579" t="e">
        <f t="shared" si="44"/>
        <v>#REF!</v>
      </c>
      <c r="H579" t="e">
        <f t="shared" si="45"/>
        <v>#REF!</v>
      </c>
    </row>
    <row r="580" spans="1:8">
      <c r="A580" t="str">
        <f>DICO_Export!D576</f>
        <v>chargebackData</v>
      </c>
      <c r="B580" t="str">
        <f>DICO_Export!E576</f>
        <v>reasonLabel</v>
      </c>
      <c r="C580" t="e">
        <f>#REF!</f>
        <v>#REF!</v>
      </c>
      <c r="D580" t="e">
        <f>#REF!</f>
        <v>#REF!</v>
      </c>
      <c r="E580" t="str">
        <f t="shared" ref="E580:E643" si="46">LEFT(A580,1)&amp;SUBSTITUTE(SUBSTITUTE(SUBSTITUTE(SUBSTITUTE(SUBSTITUTE(SUBSTITUTE(SUBSTITUTE(RIGHT(A580,LEN(A580)-1),"a"," "),"e"," "),"i"," "),"o"," "),"u"," "),"y"," ")," ","")</f>
        <v>chrgbckDt</v>
      </c>
      <c r="F580" t="str">
        <f t="shared" ref="F580:F643" si="47">LEFT(B580,1)&amp;SUBSTITUTE(SUBSTITUTE(SUBSTITUTE(SUBSTITUTE(SUBSTITUTE(SUBSTITUTE(SUBSTITUTE(RIGHT(B580,LEN(B580)-1),"a"," "),"e"," "),"i"," "),"o"," "),"u"," "),"y"," ")," ","")</f>
        <v>rsnLbl</v>
      </c>
      <c r="G580" t="e">
        <f t="shared" si="44"/>
        <v>#REF!</v>
      </c>
      <c r="H580" t="e">
        <f t="shared" si="45"/>
        <v>#REF!</v>
      </c>
    </row>
    <row r="581" spans="1:8">
      <c r="A581" t="str">
        <f>DICO_Export!D577</f>
        <v>chargebackData</v>
      </c>
      <c r="B581" t="str">
        <f>DICO_Export!E577</f>
        <v>representmentReasonCode</v>
      </c>
      <c r="C581" t="e">
        <f>#REF!</f>
        <v>#REF!</v>
      </c>
      <c r="D581" t="e">
        <f>#REF!</f>
        <v>#REF!</v>
      </c>
      <c r="E581" t="str">
        <f t="shared" si="46"/>
        <v>chrgbckDt</v>
      </c>
      <c r="F581" t="str">
        <f t="shared" si="47"/>
        <v>rprsntmntRsnCd</v>
      </c>
      <c r="G581" t="e">
        <f t="shared" si="44"/>
        <v>#REF!</v>
      </c>
      <c r="H581" t="e">
        <f t="shared" si="45"/>
        <v>#REF!</v>
      </c>
    </row>
    <row r="582" spans="1:8">
      <c r="A582" t="str">
        <f>DICO_Export!D578</f>
        <v>disputeData</v>
      </c>
      <c r="B582" t="str">
        <f>DICO_Export!E578</f>
        <v>additionnalData</v>
      </c>
      <c r="C582" t="e">
        <f>#REF!</f>
        <v>#REF!</v>
      </c>
      <c r="D582" t="e">
        <f>#REF!</f>
        <v>#REF!</v>
      </c>
      <c r="E582" t="str">
        <f t="shared" si="46"/>
        <v>dsptDt</v>
      </c>
      <c r="F582" t="str">
        <f t="shared" si="47"/>
        <v>addtnnlDt</v>
      </c>
      <c r="G582" t="e">
        <f t="shared" si="44"/>
        <v>#REF!</v>
      </c>
      <c r="H582" t="e">
        <f t="shared" si="45"/>
        <v>#REF!</v>
      </c>
    </row>
    <row r="583" spans="1:8">
      <c r="A583" t="str">
        <f>DICO_Export!D579</f>
        <v>disputeData</v>
      </c>
      <c r="B583" t="str">
        <f>DICO_Export!E579</f>
        <v>auditTrailFolderEligibilityIndicator</v>
      </c>
      <c r="C583" t="e">
        <f>#REF!</f>
        <v>#REF!</v>
      </c>
      <c r="D583" t="e">
        <f>#REF!</f>
        <v>#REF!</v>
      </c>
      <c r="E583" t="str">
        <f t="shared" si="46"/>
        <v>dsptDt</v>
      </c>
      <c r="F583" t="str">
        <f t="shared" si="47"/>
        <v>adtTrlFldrElgbltIndctr</v>
      </c>
      <c r="G583" t="e">
        <f t="shared" si="44"/>
        <v>#REF!</v>
      </c>
      <c r="H583" t="e">
        <f t="shared" si="45"/>
        <v>#REF!</v>
      </c>
    </row>
    <row r="584" spans="1:8">
      <c r="A584" t="str">
        <f>DICO_Export!D580</f>
        <v>disputeData</v>
      </c>
      <c r="B584" t="str">
        <f>DICO_Export!E580</f>
        <v>creationDateTime</v>
      </c>
      <c r="C584" t="e">
        <f>#REF!</f>
        <v>#REF!</v>
      </c>
      <c r="D584" t="e">
        <f>#REF!</f>
        <v>#REF!</v>
      </c>
      <c r="E584" t="str">
        <f t="shared" si="46"/>
        <v>dsptDt</v>
      </c>
      <c r="F584" t="str">
        <f t="shared" si="47"/>
        <v>crtnDtTm</v>
      </c>
      <c r="G584" t="e">
        <f t="shared" si="44"/>
        <v>#REF!</v>
      </c>
      <c r="H584" t="e">
        <f t="shared" si="45"/>
        <v>#REF!</v>
      </c>
    </row>
    <row r="585" spans="1:8">
      <c r="A585" t="str">
        <f>DICO_Export!D581</f>
        <v>disputeData</v>
      </c>
      <c r="B585" t="str">
        <f>DICO_Export!E581</f>
        <v>decisionDateTime</v>
      </c>
      <c r="C585" t="e">
        <f>#REF!</f>
        <v>#REF!</v>
      </c>
      <c r="D585" t="e">
        <f>#REF!</f>
        <v>#REF!</v>
      </c>
      <c r="E585" t="str">
        <f t="shared" si="46"/>
        <v>dsptDt</v>
      </c>
      <c r="F585" t="str">
        <f t="shared" si="47"/>
        <v>dcsnDtTm</v>
      </c>
      <c r="G585" t="e">
        <f t="shared" si="44"/>
        <v>#REF!</v>
      </c>
      <c r="H585" t="e">
        <f t="shared" si="45"/>
        <v>#REF!</v>
      </c>
    </row>
    <row r="586" spans="1:8">
      <c r="A586" t="str">
        <f>DICO_Export!D582</f>
        <v>disputeData</v>
      </c>
      <c r="B586" t="str">
        <f>DICO_Export!E582</f>
        <v>disputeCondition</v>
      </c>
      <c r="C586" t="e">
        <f>#REF!</f>
        <v>#REF!</v>
      </c>
      <c r="D586" t="e">
        <f>#REF!</f>
        <v>#REF!</v>
      </c>
      <c r="E586" t="str">
        <f t="shared" si="46"/>
        <v>dsptDt</v>
      </c>
      <c r="F586" t="str">
        <f t="shared" si="47"/>
        <v>dsptCndtn</v>
      </c>
      <c r="G586" t="e">
        <f t="shared" si="44"/>
        <v>#REF!</v>
      </c>
      <c r="H586" t="e">
        <f t="shared" si="45"/>
        <v>#REF!</v>
      </c>
    </row>
    <row r="587" spans="1:8">
      <c r="A587" t="str">
        <f>DICO_Export!D583</f>
        <v>disputeData</v>
      </c>
      <c r="B587" t="str">
        <f>DICO_Export!E583</f>
        <v>disputeDataId</v>
      </c>
      <c r="C587" t="e">
        <f>#REF!</f>
        <v>#REF!</v>
      </c>
      <c r="D587" t="e">
        <f>#REF!</f>
        <v>#REF!</v>
      </c>
      <c r="E587" t="str">
        <f t="shared" si="46"/>
        <v>dsptDt</v>
      </c>
      <c r="F587" t="str">
        <f t="shared" si="47"/>
        <v>dsptDtId</v>
      </c>
      <c r="G587" t="e">
        <f t="shared" si="44"/>
        <v>#REF!</v>
      </c>
      <c r="H587" t="e">
        <f t="shared" si="45"/>
        <v>#REF!</v>
      </c>
    </row>
    <row r="588" spans="1:8">
      <c r="A588" t="str">
        <f>DICO_Export!D584</f>
        <v>disputeData</v>
      </c>
      <c r="B588" t="str">
        <f>DICO_Export!E584</f>
        <v>disputeInternalIdentification</v>
      </c>
      <c r="C588" t="e">
        <f>#REF!</f>
        <v>#REF!</v>
      </c>
      <c r="D588" t="e">
        <f>#REF!</f>
        <v>#REF!</v>
      </c>
      <c r="E588" t="str">
        <f t="shared" si="46"/>
        <v>dsptDt</v>
      </c>
      <c r="F588" t="str">
        <f t="shared" si="47"/>
        <v>dsptIntrnlIdntfctn</v>
      </c>
      <c r="G588" t="e">
        <f t="shared" si="44"/>
        <v>#REF!</v>
      </c>
      <c r="H588" t="e">
        <f t="shared" si="45"/>
        <v>#REF!</v>
      </c>
    </row>
    <row r="589" spans="1:8">
      <c r="A589" t="str">
        <f>DICO_Export!D585</f>
        <v>disputeData</v>
      </c>
      <c r="B589" t="str">
        <f>DICO_Export!E585</f>
        <v>disputeQualification</v>
      </c>
      <c r="C589" t="e">
        <f>#REF!</f>
        <v>#REF!</v>
      </c>
      <c r="D589" t="e">
        <f>#REF!</f>
        <v>#REF!</v>
      </c>
      <c r="E589" t="str">
        <f t="shared" si="46"/>
        <v>dsptDt</v>
      </c>
      <c r="F589" t="str">
        <f t="shared" si="47"/>
        <v>dsptQlfctn</v>
      </c>
      <c r="G589" t="e">
        <f t="shared" si="44"/>
        <v>#REF!</v>
      </c>
      <c r="H589" t="e">
        <f t="shared" si="45"/>
        <v>#REF!</v>
      </c>
    </row>
    <row r="590" spans="1:8">
      <c r="A590" t="str">
        <f>DICO_Export!D586</f>
        <v>disputeData</v>
      </c>
      <c r="B590" t="str">
        <f>DICO_Export!E586</f>
        <v>localDateTime</v>
      </c>
      <c r="C590" t="e">
        <f>#REF!</f>
        <v>#REF!</v>
      </c>
      <c r="D590" t="e">
        <f>#REF!</f>
        <v>#REF!</v>
      </c>
      <c r="E590" t="str">
        <f t="shared" si="46"/>
        <v>dsptDt</v>
      </c>
      <c r="F590" t="str">
        <f t="shared" si="47"/>
        <v>lclDtTm</v>
      </c>
      <c r="G590" t="e">
        <f t="shared" si="44"/>
        <v>#REF!</v>
      </c>
      <c r="H590" t="e">
        <f t="shared" si="45"/>
        <v>#REF!</v>
      </c>
    </row>
    <row r="591" spans="1:8">
      <c r="A591" t="str">
        <f>DICO_Export!D587</f>
        <v>disputeData</v>
      </c>
      <c r="B591" t="str">
        <f>DICO_Export!E587</f>
        <v>reclamationIndicator</v>
      </c>
      <c r="C591" t="e">
        <f>#REF!</f>
        <v>#REF!</v>
      </c>
      <c r="D591" t="e">
        <f>#REF!</f>
        <v>#REF!</v>
      </c>
      <c r="E591" t="str">
        <f t="shared" si="46"/>
        <v>dsptDt</v>
      </c>
      <c r="F591" t="str">
        <f t="shared" si="47"/>
        <v>rclmtnIndctr</v>
      </c>
      <c r="G591" t="e">
        <f t="shared" si="44"/>
        <v>#REF!</v>
      </c>
      <c r="H591" t="e">
        <f t="shared" si="45"/>
        <v>#REF!</v>
      </c>
    </row>
    <row r="592" spans="1:8">
      <c r="A592" t="str">
        <f>DICO_Export!D588</f>
        <v>disputeData</v>
      </c>
      <c r="B592" t="str">
        <f>DICO_Export!E588</f>
        <v>refundDecisionCode</v>
      </c>
      <c r="C592" t="e">
        <f>#REF!</f>
        <v>#REF!</v>
      </c>
      <c r="D592" t="e">
        <f>#REF!</f>
        <v>#REF!</v>
      </c>
      <c r="E592" t="str">
        <f t="shared" si="46"/>
        <v>dsptDt</v>
      </c>
      <c r="F592" t="str">
        <f t="shared" si="47"/>
        <v>rfndDcsnCd</v>
      </c>
      <c r="G592" t="e">
        <f t="shared" si="44"/>
        <v>#REF!</v>
      </c>
      <c r="H592" t="e">
        <f t="shared" si="45"/>
        <v>#REF!</v>
      </c>
    </row>
    <row r="593" spans="1:8">
      <c r="A593" t="str">
        <f>DICO_Export!D589</f>
        <v>disputeData</v>
      </c>
      <c r="B593" t="str">
        <f>DICO_Export!E589</f>
        <v>statusChangeReason</v>
      </c>
      <c r="C593" t="e">
        <f>#REF!</f>
        <v>#REF!</v>
      </c>
      <c r="D593" t="e">
        <f>#REF!</f>
        <v>#REF!</v>
      </c>
      <c r="E593" t="str">
        <f t="shared" si="46"/>
        <v>dsptDt</v>
      </c>
      <c r="F593" t="str">
        <f t="shared" si="47"/>
        <v>sttsChngRsn</v>
      </c>
      <c r="G593" t="e">
        <f t="shared" si="44"/>
        <v>#REF!</v>
      </c>
      <c r="H593" t="e">
        <f t="shared" si="45"/>
        <v>#REF!</v>
      </c>
    </row>
    <row r="594" spans="1:8">
      <c r="A594" t="str">
        <f>DICO_Export!D590</f>
        <v>disputeData</v>
      </c>
      <c r="B594" t="str">
        <f>DICO_Export!E590</f>
        <v>statusCode</v>
      </c>
      <c r="C594" t="e">
        <f>#REF!</f>
        <v>#REF!</v>
      </c>
      <c r="D594" t="e">
        <f>#REF!</f>
        <v>#REF!</v>
      </c>
      <c r="E594" t="str">
        <f t="shared" si="46"/>
        <v>dsptDt</v>
      </c>
      <c r="F594" t="str">
        <f t="shared" si="47"/>
        <v>sttsCd</v>
      </c>
      <c r="G594" t="e">
        <f t="shared" si="44"/>
        <v>#REF!</v>
      </c>
      <c r="H594" t="e">
        <f t="shared" si="45"/>
        <v>#REF!</v>
      </c>
    </row>
    <row r="595" spans="1:8">
      <c r="A595" t="str">
        <f>DICO_Export!D591</f>
        <v>disputeData</v>
      </c>
      <c r="B595" t="str">
        <f>DICO_Export!E591</f>
        <v>statusLabel</v>
      </c>
      <c r="C595" t="e">
        <f>#REF!</f>
        <v>#REF!</v>
      </c>
      <c r="D595" t="e">
        <f>#REF!</f>
        <v>#REF!</v>
      </c>
      <c r="E595" t="str">
        <f t="shared" si="46"/>
        <v>dsptDt</v>
      </c>
      <c r="F595" t="str">
        <f t="shared" si="47"/>
        <v>sttsLbl</v>
      </c>
      <c r="G595" t="e">
        <f t="shared" si="44"/>
        <v>#REF!</v>
      </c>
      <c r="H595" t="e">
        <f t="shared" si="45"/>
        <v>#REF!</v>
      </c>
    </row>
    <row r="596" spans="1:8">
      <c r="A596" t="str">
        <f>DICO_Export!D592</f>
        <v>disputeData</v>
      </c>
      <c r="B596" t="str">
        <f>DICO_Export!E592</f>
        <v>statusUpdateDateTime</v>
      </c>
      <c r="C596" t="e">
        <f>#REF!</f>
        <v>#REF!</v>
      </c>
      <c r="D596" t="e">
        <f>#REF!</f>
        <v>#REF!</v>
      </c>
      <c r="E596" t="str">
        <f t="shared" si="46"/>
        <v>dsptDt</v>
      </c>
      <c r="F596" t="str">
        <f t="shared" si="47"/>
        <v>sttsUpdtDtTm</v>
      </c>
      <c r="G596" t="e">
        <f t="shared" si="44"/>
        <v>#REF!</v>
      </c>
      <c r="H596" t="e">
        <f t="shared" si="45"/>
        <v>#REF!</v>
      </c>
    </row>
    <row r="597" spans="1:8">
      <c r="A597" t="str">
        <f>DICO_Export!D593</f>
        <v>disputeData</v>
      </c>
      <c r="B597" t="str">
        <f>DICO_Export!E593</f>
        <v>subStatusLabel</v>
      </c>
      <c r="C597" t="e">
        <f>#REF!</f>
        <v>#REF!</v>
      </c>
      <c r="D597" t="e">
        <f>#REF!</f>
        <v>#REF!</v>
      </c>
      <c r="E597" t="str">
        <f t="shared" si="46"/>
        <v>dsptDt</v>
      </c>
      <c r="F597" t="str">
        <f t="shared" si="47"/>
        <v>sbSttsLbl</v>
      </c>
      <c r="G597" t="e">
        <f t="shared" si="44"/>
        <v>#REF!</v>
      </c>
      <c r="H597" t="e">
        <f t="shared" si="45"/>
        <v>#REF!</v>
      </c>
    </row>
    <row r="598" spans="1:8">
      <c r="A598" t="str">
        <f>DICO_Export!D594</f>
        <v>disputeData</v>
      </c>
      <c r="B598" t="str">
        <f>DICO_Export!E594</f>
        <v>totalAmount</v>
      </c>
      <c r="C598" t="e">
        <f>#REF!</f>
        <v>#REF!</v>
      </c>
      <c r="D598" t="e">
        <f>#REF!</f>
        <v>#REF!</v>
      </c>
      <c r="E598" t="str">
        <f t="shared" si="46"/>
        <v>dsptDt</v>
      </c>
      <c r="F598" t="str">
        <f t="shared" si="47"/>
        <v>ttlAmnt</v>
      </c>
      <c r="G598" t="e">
        <f t="shared" si="44"/>
        <v>#REF!</v>
      </c>
      <c r="H598" t="e">
        <f t="shared" si="45"/>
        <v>#REF!</v>
      </c>
    </row>
    <row r="599" spans="1:8">
      <c r="A599" t="str">
        <f>DICO_Export!D595</f>
        <v>disputeData</v>
      </c>
      <c r="B599" t="str">
        <f>DICO_Export!E595</f>
        <v>transactionsCount</v>
      </c>
      <c r="C599" t="e">
        <f>#REF!</f>
        <v>#REF!</v>
      </c>
      <c r="D599" t="e">
        <f>#REF!</f>
        <v>#REF!</v>
      </c>
      <c r="E599" t="str">
        <f t="shared" si="46"/>
        <v>dsptDt</v>
      </c>
      <c r="F599" t="str">
        <f t="shared" si="47"/>
        <v>trnsctnsCnt</v>
      </c>
      <c r="G599" t="e">
        <f t="shared" si="44"/>
        <v>#REF!</v>
      </c>
      <c r="H599" t="e">
        <f t="shared" si="45"/>
        <v>#REF!</v>
      </c>
    </row>
    <row r="600" spans="1:8">
      <c r="A600" t="str">
        <f>DICO_Export!D596</f>
        <v>disputeData</v>
      </c>
      <c r="B600" t="str">
        <f>DICO_Export!E596</f>
        <v>updateDateTime</v>
      </c>
      <c r="C600" t="e">
        <f>#REF!</f>
        <v>#REF!</v>
      </c>
      <c r="D600" t="e">
        <f>#REF!</f>
        <v>#REF!</v>
      </c>
      <c r="E600" t="str">
        <f t="shared" si="46"/>
        <v>dsptDt</v>
      </c>
      <c r="F600" t="str">
        <f t="shared" si="47"/>
        <v>updtDtTm</v>
      </c>
      <c r="G600" t="e">
        <f t="shared" si="44"/>
        <v>#REF!</v>
      </c>
      <c r="H600" t="e">
        <f t="shared" si="45"/>
        <v>#REF!</v>
      </c>
    </row>
    <row r="601" spans="1:8">
      <c r="A601" t="str">
        <f>DICO_Export!D597</f>
        <v>eMV</v>
      </c>
      <c r="B601" t="str">
        <f>DICO_Export!E597</f>
        <v>appEffectiveDate</v>
      </c>
      <c r="C601" t="e">
        <f>#REF!</f>
        <v>#REF!</v>
      </c>
      <c r="D601" t="e">
        <f>#REF!</f>
        <v>#REF!</v>
      </c>
      <c r="E601" t="str">
        <f t="shared" si="46"/>
        <v>eMV</v>
      </c>
      <c r="F601" t="str">
        <f t="shared" si="47"/>
        <v>appEffctvDt</v>
      </c>
      <c r="G601" t="e">
        <f t="shared" si="44"/>
        <v>#REF!</v>
      </c>
      <c r="H601" t="e">
        <f t="shared" si="45"/>
        <v>#REF!</v>
      </c>
    </row>
    <row r="602" spans="1:8">
      <c r="A602" t="str">
        <f>DICO_Export!D598</f>
        <v>eMV</v>
      </c>
      <c r="B602" t="str">
        <f>DICO_Export!E598</f>
        <v>appExpiryDate</v>
      </c>
      <c r="C602" t="e">
        <f>#REF!</f>
        <v>#REF!</v>
      </c>
      <c r="D602" t="e">
        <f>#REF!</f>
        <v>#REF!</v>
      </c>
      <c r="E602" t="str">
        <f t="shared" si="46"/>
        <v>eMV</v>
      </c>
      <c r="F602" t="str">
        <f t="shared" si="47"/>
        <v>appExprDt</v>
      </c>
      <c r="G602" t="e">
        <f t="shared" si="44"/>
        <v>#REF!</v>
      </c>
      <c r="H602" t="e">
        <f t="shared" si="45"/>
        <v>#REF!</v>
      </c>
    </row>
    <row r="603" spans="1:8">
      <c r="A603" t="str">
        <f>DICO_Export!D599</f>
        <v>eMV</v>
      </c>
      <c r="B603" t="str">
        <f>DICO_Export!E599</f>
        <v>applicationCryptogram</v>
      </c>
      <c r="C603" t="e">
        <f>#REF!</f>
        <v>#REF!</v>
      </c>
      <c r="D603" t="e">
        <f>#REF!</f>
        <v>#REF!</v>
      </c>
      <c r="E603" t="str">
        <f t="shared" si="46"/>
        <v>eMV</v>
      </c>
      <c r="F603" t="str">
        <f t="shared" si="47"/>
        <v>applctnCrptgrm</v>
      </c>
      <c r="G603" t="e">
        <f t="shared" si="44"/>
        <v>#REF!</v>
      </c>
      <c r="H603" t="e">
        <f t="shared" si="45"/>
        <v>#REF!</v>
      </c>
    </row>
    <row r="604" spans="1:8">
      <c r="A604" t="str">
        <f>DICO_Export!D600</f>
        <v>eMV</v>
      </c>
      <c r="B604" t="str">
        <f>DICO_Export!E600</f>
        <v>applicationSelectionRegisteredProprietaryData</v>
      </c>
      <c r="C604" t="e">
        <f>#REF!</f>
        <v>#REF!</v>
      </c>
      <c r="D604" t="e">
        <f>#REF!</f>
        <v>#REF!</v>
      </c>
      <c r="E604" t="str">
        <f t="shared" si="46"/>
        <v>eMV</v>
      </c>
      <c r="F604" t="str">
        <f t="shared" si="47"/>
        <v>applctnSlctnRgstrdPrprtrDt</v>
      </c>
      <c r="G604" t="e">
        <f t="shared" si="44"/>
        <v>#REF!</v>
      </c>
      <c r="H604" t="e">
        <f t="shared" si="45"/>
        <v>#REF!</v>
      </c>
    </row>
    <row r="605" spans="1:8">
      <c r="A605" t="str">
        <f>DICO_Export!D601</f>
        <v>eMV</v>
      </c>
      <c r="B605" t="str">
        <f>DICO_Export!E601</f>
        <v>contactlessTrack1</v>
      </c>
      <c r="C605" t="e">
        <f>#REF!</f>
        <v>#REF!</v>
      </c>
      <c r="D605" t="e">
        <f>#REF!</f>
        <v>#REF!</v>
      </c>
      <c r="E605" t="str">
        <f t="shared" si="46"/>
        <v>eMV</v>
      </c>
      <c r="F605" t="str">
        <f t="shared" si="47"/>
        <v>cntctlssTrck1</v>
      </c>
      <c r="G605" t="e">
        <f t="shared" si="44"/>
        <v>#REF!</v>
      </c>
      <c r="H605" t="e">
        <f t="shared" si="45"/>
        <v>#REF!</v>
      </c>
    </row>
    <row r="606" spans="1:8">
      <c r="A606" t="str">
        <f>DICO_Export!D602</f>
        <v>eMV</v>
      </c>
      <c r="B606" t="str">
        <f>DICO_Export!E602</f>
        <v>contactlessTrack2</v>
      </c>
      <c r="C606" t="e">
        <f>#REF!</f>
        <v>#REF!</v>
      </c>
      <c r="D606" t="e">
        <f>#REF!</f>
        <v>#REF!</v>
      </c>
      <c r="E606" t="str">
        <f t="shared" si="46"/>
        <v>eMV</v>
      </c>
      <c r="F606" t="str">
        <f t="shared" si="47"/>
        <v>cntctlssTrck2</v>
      </c>
      <c r="G606" t="e">
        <f t="shared" si="44"/>
        <v>#REF!</v>
      </c>
      <c r="H606" t="e">
        <f t="shared" si="45"/>
        <v>#REF!</v>
      </c>
    </row>
    <row r="607" spans="1:8">
      <c r="A607" t="str">
        <f>DICO_Export!D603</f>
        <v>eMV</v>
      </c>
      <c r="B607" t="str">
        <f>DICO_Export!E603</f>
        <v>cryptogramInformationData</v>
      </c>
      <c r="C607" t="e">
        <f>#REF!</f>
        <v>#REF!</v>
      </c>
      <c r="D607" t="e">
        <f>#REF!</f>
        <v>#REF!</v>
      </c>
      <c r="E607" t="str">
        <f t="shared" si="46"/>
        <v>eMV</v>
      </c>
      <c r="F607" t="str">
        <f t="shared" si="47"/>
        <v>crptgrmInfrmtnDt</v>
      </c>
      <c r="G607" t="e">
        <f t="shared" si="44"/>
        <v>#REF!</v>
      </c>
      <c r="H607" t="e">
        <f t="shared" si="45"/>
        <v>#REF!</v>
      </c>
    </row>
    <row r="608" spans="1:8">
      <c r="A608" t="str">
        <f>DICO_Export!D604</f>
        <v>eMV</v>
      </c>
      <c r="B608" t="str">
        <f>DICO_Export!E604</f>
        <v>issuerActionCodeDefault</v>
      </c>
      <c r="C608" t="e">
        <f>#REF!</f>
        <v>#REF!</v>
      </c>
      <c r="D608" t="e">
        <f>#REF!</f>
        <v>#REF!</v>
      </c>
      <c r="E608" t="str">
        <f t="shared" si="46"/>
        <v>eMV</v>
      </c>
      <c r="F608" t="str">
        <f t="shared" si="47"/>
        <v>issrActnCdDflt</v>
      </c>
      <c r="G608" t="e">
        <f t="shared" ref="G608:G671" si="48">LEFT(C608,1)&amp;SUBSTITUTE(SUBSTITUTE(SUBSTITUTE(SUBSTITUTE(SUBSTITUTE(SUBSTITUTE(SUBSTITUTE(RIGHT(C608,LEN(C608)-1),"a"," "),"e"," "),"i"," "),"o"," "),"u"," "),"y"," ")," ","")</f>
        <v>#REF!</v>
      </c>
      <c r="H608" t="e">
        <f t="shared" ref="H608:H671" si="49">LEFT(D608,1)&amp;SUBSTITUTE(SUBSTITUTE(SUBSTITUTE(SUBSTITUTE(SUBSTITUTE(SUBSTITUTE(SUBSTITUTE(RIGHT(D608,LEN(D608)-1),"a"," "),"e"," "),"i"," "),"o"," "),"u"," "),"y"," ")," ","")</f>
        <v>#REF!</v>
      </c>
    </row>
    <row r="609" spans="1:8">
      <c r="A609" t="str">
        <f>DICO_Export!D605</f>
        <v>eMV</v>
      </c>
      <c r="B609" t="str">
        <f>DICO_Export!E605</f>
        <v>issuerActionCodeDenial</v>
      </c>
      <c r="C609" t="e">
        <f>#REF!</f>
        <v>#REF!</v>
      </c>
      <c r="D609" t="e">
        <f>#REF!</f>
        <v>#REF!</v>
      </c>
      <c r="E609" t="str">
        <f t="shared" si="46"/>
        <v>eMV</v>
      </c>
      <c r="F609" t="str">
        <f t="shared" si="47"/>
        <v>issrActnCdDnl</v>
      </c>
      <c r="G609" t="e">
        <f t="shared" si="48"/>
        <v>#REF!</v>
      </c>
      <c r="H609" t="e">
        <f t="shared" si="49"/>
        <v>#REF!</v>
      </c>
    </row>
    <row r="610" spans="1:8">
      <c r="A610" t="str">
        <f>DICO_Export!D606</f>
        <v>eMV</v>
      </c>
      <c r="B610" t="str">
        <f>DICO_Export!E606</f>
        <v>issuerActionCodeOnLine</v>
      </c>
      <c r="C610" t="e">
        <f>#REF!</f>
        <v>#REF!</v>
      </c>
      <c r="D610" t="e">
        <f>#REF!</f>
        <v>#REF!</v>
      </c>
      <c r="E610" t="str">
        <f t="shared" si="46"/>
        <v>eMV</v>
      </c>
      <c r="F610" t="str">
        <f t="shared" si="47"/>
        <v>issrActnCdOnLn</v>
      </c>
      <c r="G610" t="e">
        <f t="shared" si="48"/>
        <v>#REF!</v>
      </c>
      <c r="H610" t="e">
        <f t="shared" si="49"/>
        <v>#REF!</v>
      </c>
    </row>
    <row r="611" spans="1:8">
      <c r="A611" t="str">
        <f>DICO_Export!D607</f>
        <v>eMV</v>
      </c>
      <c r="B611" t="str">
        <f>DICO_Export!E607</f>
        <v>issuerApplicationData</v>
      </c>
      <c r="C611" t="e">
        <f>#REF!</f>
        <v>#REF!</v>
      </c>
      <c r="D611" t="e">
        <f>#REF!</f>
        <v>#REF!</v>
      </c>
      <c r="E611" t="str">
        <f t="shared" si="46"/>
        <v>eMV</v>
      </c>
      <c r="F611" t="str">
        <f t="shared" si="47"/>
        <v>issrApplctnDt</v>
      </c>
      <c r="G611" t="e">
        <f t="shared" si="48"/>
        <v>#REF!</v>
      </c>
      <c r="H611" t="e">
        <f t="shared" si="49"/>
        <v>#REF!</v>
      </c>
    </row>
    <row r="612" spans="1:8">
      <c r="A612" t="str">
        <f>DICO_Export!D608</f>
        <v>eMV</v>
      </c>
      <c r="B612" t="str">
        <f>DICO_Export!E608</f>
        <v>randomNumber</v>
      </c>
      <c r="C612" t="e">
        <f>#REF!</f>
        <v>#REF!</v>
      </c>
      <c r="D612" t="e">
        <f>#REF!</f>
        <v>#REF!</v>
      </c>
      <c r="E612" t="str">
        <f t="shared" si="46"/>
        <v>eMV</v>
      </c>
      <c r="F612" t="str">
        <f t="shared" si="47"/>
        <v>rndmNmbr</v>
      </c>
      <c r="G612" t="e">
        <f t="shared" si="48"/>
        <v>#REF!</v>
      </c>
      <c r="H612" t="e">
        <f t="shared" si="49"/>
        <v>#REF!</v>
      </c>
    </row>
    <row r="613" spans="1:8">
      <c r="A613" t="str">
        <f>DICO_Export!D609</f>
        <v>eMV</v>
      </c>
      <c r="B613" t="str">
        <f>DICO_Export!E609</f>
        <v>temp_eMVApplicationAID</v>
      </c>
      <c r="C613" t="e">
        <f>#REF!</f>
        <v>#REF!</v>
      </c>
      <c r="D613" t="e">
        <f>#REF!</f>
        <v>#REF!</v>
      </c>
      <c r="E613" t="str">
        <f t="shared" si="46"/>
        <v>eMV</v>
      </c>
      <c r="F613" t="str">
        <f t="shared" si="47"/>
        <v>tmp_MVApplctnAID</v>
      </c>
      <c r="G613" t="e">
        <f t="shared" si="48"/>
        <v>#REF!</v>
      </c>
      <c r="H613" t="e">
        <f t="shared" si="49"/>
        <v>#REF!</v>
      </c>
    </row>
    <row r="614" spans="1:8">
      <c r="A614" t="str">
        <f>DICO_Export!D610</f>
        <v>eMV</v>
      </c>
      <c r="B614" t="str">
        <f>DICO_Export!E610</f>
        <v>temp_eMVApplicationRID</v>
      </c>
      <c r="C614" t="e">
        <f>#REF!</f>
        <v>#REF!</v>
      </c>
      <c r="D614" t="e">
        <f>#REF!</f>
        <v>#REF!</v>
      </c>
      <c r="E614" t="str">
        <f t="shared" si="46"/>
        <v>eMV</v>
      </c>
      <c r="F614" t="str">
        <f t="shared" si="47"/>
        <v>tmp_MVApplctnRID</v>
      </c>
      <c r="G614" t="e">
        <f t="shared" si="48"/>
        <v>#REF!</v>
      </c>
      <c r="H614" t="e">
        <f t="shared" si="49"/>
        <v>#REF!</v>
      </c>
    </row>
    <row r="615" spans="1:8">
      <c r="A615" t="str">
        <f>DICO_Export!D611</f>
        <v>eMV</v>
      </c>
      <c r="B615" t="str">
        <f>DICO_Export!E611</f>
        <v>terminalTransactionDate</v>
      </c>
      <c r="C615" t="e">
        <f>#REF!</f>
        <v>#REF!</v>
      </c>
      <c r="D615" t="e">
        <f>#REF!</f>
        <v>#REF!</v>
      </c>
      <c r="E615" t="str">
        <f t="shared" si="46"/>
        <v>eMV</v>
      </c>
      <c r="F615" t="str">
        <f t="shared" si="47"/>
        <v>trmnlTrnsctnDt</v>
      </c>
      <c r="G615" t="e">
        <f t="shared" si="48"/>
        <v>#REF!</v>
      </c>
      <c r="H615" t="e">
        <f t="shared" si="49"/>
        <v>#REF!</v>
      </c>
    </row>
    <row r="616" spans="1:8">
      <c r="A616" t="str">
        <f>DICO_Export!D612</f>
        <v>eMV</v>
      </c>
      <c r="B616" t="str">
        <f>DICO_Export!E612</f>
        <v>terminalVerificationResult</v>
      </c>
      <c r="C616" t="e">
        <f>#REF!</f>
        <v>#REF!</v>
      </c>
      <c r="D616" t="e">
        <f>#REF!</f>
        <v>#REF!</v>
      </c>
      <c r="E616" t="str">
        <f t="shared" si="46"/>
        <v>eMV</v>
      </c>
      <c r="F616" t="str">
        <f t="shared" si="47"/>
        <v>trmnlVrfctnRslt</v>
      </c>
      <c r="G616" t="e">
        <f t="shared" si="48"/>
        <v>#REF!</v>
      </c>
      <c r="H616" t="e">
        <f t="shared" si="49"/>
        <v>#REF!</v>
      </c>
    </row>
    <row r="617" spans="1:8">
      <c r="A617" t="str">
        <f>DICO_Export!D613</f>
        <v>eventProcessingData</v>
      </c>
      <c r="B617" t="str">
        <f>DICO_Export!E613</f>
        <v>amount</v>
      </c>
      <c r="C617" t="e">
        <f>#REF!</f>
        <v>#REF!</v>
      </c>
      <c r="D617" t="e">
        <f>#REF!</f>
        <v>#REF!</v>
      </c>
      <c r="E617" t="str">
        <f t="shared" si="46"/>
        <v>evntPrcssngDt</v>
      </c>
      <c r="F617" t="str">
        <f t="shared" si="47"/>
        <v>amnt</v>
      </c>
      <c r="G617" t="e">
        <f t="shared" si="48"/>
        <v>#REF!</v>
      </c>
      <c r="H617" t="e">
        <f t="shared" si="49"/>
        <v>#REF!</v>
      </c>
    </row>
    <row r="618" spans="1:8">
      <c r="A618" t="str">
        <f>DICO_Export!D614</f>
        <v>eventProcessingData</v>
      </c>
      <c r="B618" t="str">
        <f>DICO_Export!E614</f>
        <v>eventProcessingNature</v>
      </c>
      <c r="C618" t="e">
        <f>#REF!</f>
        <v>#REF!</v>
      </c>
      <c r="D618" t="e">
        <f>#REF!</f>
        <v>#REF!</v>
      </c>
      <c r="E618" t="str">
        <f t="shared" si="46"/>
        <v>evntPrcssngDt</v>
      </c>
      <c r="F618" t="str">
        <f t="shared" si="47"/>
        <v>evntPrcssngNtr</v>
      </c>
      <c r="G618" t="e">
        <f t="shared" si="48"/>
        <v>#REF!</v>
      </c>
      <c r="H618" t="e">
        <f t="shared" si="49"/>
        <v>#REF!</v>
      </c>
    </row>
    <row r="619" spans="1:8">
      <c r="A619" t="str">
        <f>DICO_Export!D615</f>
        <v>eventProcessingData</v>
      </c>
      <c r="B619" t="str">
        <f>DICO_Export!E615</f>
        <v>incompatibilityEventIndicator</v>
      </c>
      <c r="C619" t="e">
        <f>#REF!</f>
        <v>#REF!</v>
      </c>
      <c r="D619" t="e">
        <f>#REF!</f>
        <v>#REF!</v>
      </c>
      <c r="E619" t="str">
        <f t="shared" si="46"/>
        <v>evntPrcssngDt</v>
      </c>
      <c r="F619" t="str">
        <f t="shared" si="47"/>
        <v>incmptbltEvntIndctr</v>
      </c>
      <c r="G619" t="e">
        <f t="shared" si="48"/>
        <v>#REF!</v>
      </c>
      <c r="H619" t="e">
        <f t="shared" si="49"/>
        <v>#REF!</v>
      </c>
    </row>
    <row r="620" spans="1:8">
      <c r="A620" t="str">
        <f>DICO_Export!D616</f>
        <v>eventProcessingData</v>
      </c>
      <c r="B620" t="str">
        <f>DICO_Export!E616</f>
        <v>incompatibilityEventReason</v>
      </c>
      <c r="C620" t="e">
        <f>#REF!</f>
        <v>#REF!</v>
      </c>
      <c r="D620" t="e">
        <f>#REF!</f>
        <v>#REF!</v>
      </c>
      <c r="E620" t="str">
        <f t="shared" si="46"/>
        <v>evntPrcssngDt</v>
      </c>
      <c r="F620" t="str">
        <f t="shared" si="47"/>
        <v>incmptbltEvntRsn</v>
      </c>
      <c r="G620" t="e">
        <f t="shared" si="48"/>
        <v>#REF!</v>
      </c>
      <c r="H620" t="e">
        <f t="shared" si="49"/>
        <v>#REF!</v>
      </c>
    </row>
    <row r="621" spans="1:8">
      <c r="A621" t="str">
        <f>DICO_Export!D617</f>
        <v>eventProcessingData</v>
      </c>
      <c r="B621" t="str">
        <f>DICO_Export!E617</f>
        <v>localDateTime</v>
      </c>
      <c r="C621" t="e">
        <f>#REF!</f>
        <v>#REF!</v>
      </c>
      <c r="D621" t="e">
        <f>#REF!</f>
        <v>#REF!</v>
      </c>
      <c r="E621" t="str">
        <f t="shared" si="46"/>
        <v>evntPrcssngDt</v>
      </c>
      <c r="F621" t="str">
        <f t="shared" si="47"/>
        <v>lclDtTm</v>
      </c>
      <c r="G621" t="e">
        <f t="shared" si="48"/>
        <v>#REF!</v>
      </c>
      <c r="H621" t="e">
        <f t="shared" si="49"/>
        <v>#REF!</v>
      </c>
    </row>
    <row r="622" spans="1:8">
      <c r="A622" t="str">
        <f>DICO_Export!D618</f>
        <v>eventProcessingData</v>
      </c>
      <c r="B622" t="str">
        <f>DICO_Export!E618</f>
        <v>manualIndicator</v>
      </c>
      <c r="C622" t="e">
        <f>#REF!</f>
        <v>#REF!</v>
      </c>
      <c r="D622" t="e">
        <f>#REF!</f>
        <v>#REF!</v>
      </c>
      <c r="E622" t="str">
        <f t="shared" si="46"/>
        <v>evntPrcssngDt</v>
      </c>
      <c r="F622" t="str">
        <f t="shared" si="47"/>
        <v>mnlIndctr</v>
      </c>
      <c r="G622" t="e">
        <f t="shared" si="48"/>
        <v>#REF!</v>
      </c>
      <c r="H622" t="e">
        <f t="shared" si="49"/>
        <v>#REF!</v>
      </c>
    </row>
    <row r="623" spans="1:8">
      <c r="A623" t="str">
        <f>DICO_Export!D619</f>
        <v>eventProcessingData</v>
      </c>
      <c r="B623" t="str">
        <f>DICO_Export!E619</f>
        <v>statusCode</v>
      </c>
      <c r="C623" t="e">
        <f>#REF!</f>
        <v>#REF!</v>
      </c>
      <c r="D623" t="e">
        <f>#REF!</f>
        <v>#REF!</v>
      </c>
      <c r="E623" t="str">
        <f t="shared" si="46"/>
        <v>evntPrcssngDt</v>
      </c>
      <c r="F623" t="str">
        <f t="shared" si="47"/>
        <v>sttsCd</v>
      </c>
      <c r="G623" t="e">
        <f t="shared" si="48"/>
        <v>#REF!</v>
      </c>
      <c r="H623" t="e">
        <f t="shared" si="49"/>
        <v>#REF!</v>
      </c>
    </row>
    <row r="624" spans="1:8">
      <c r="A624" t="str">
        <f>DICO_Export!D620</f>
        <v>eventProcessingData</v>
      </c>
      <c r="B624" t="str">
        <f>DICO_Export!E620</f>
        <v>temp_inputData</v>
      </c>
      <c r="C624" t="e">
        <f>#REF!</f>
        <v>#REF!</v>
      </c>
      <c r="D624" t="e">
        <f>#REF!</f>
        <v>#REF!</v>
      </c>
      <c r="E624" t="str">
        <f t="shared" si="46"/>
        <v>evntPrcssngDt</v>
      </c>
      <c r="F624" t="str">
        <f t="shared" si="47"/>
        <v>tmp_nptDt</v>
      </c>
      <c r="G624" t="e">
        <f t="shared" si="48"/>
        <v>#REF!</v>
      </c>
      <c r="H624" t="e">
        <f t="shared" si="49"/>
        <v>#REF!</v>
      </c>
    </row>
    <row r="625" spans="1:8">
      <c r="A625" t="str">
        <f>DICO_Export!D621</f>
        <v>eventProcessingData</v>
      </c>
      <c r="B625" t="str">
        <f>DICO_Export!E621</f>
        <v>temp_limitData</v>
      </c>
      <c r="C625" t="e">
        <f>#REF!</f>
        <v>#REF!</v>
      </c>
      <c r="D625" t="e">
        <f>#REF!</f>
        <v>#REF!</v>
      </c>
      <c r="E625" t="str">
        <f t="shared" si="46"/>
        <v>evntPrcssngDt</v>
      </c>
      <c r="F625" t="str">
        <f t="shared" si="47"/>
        <v>tmp_lmtDt</v>
      </c>
      <c r="G625" t="e">
        <f t="shared" si="48"/>
        <v>#REF!</v>
      </c>
      <c r="H625" t="e">
        <f t="shared" si="49"/>
        <v>#REF!</v>
      </c>
    </row>
    <row r="626" spans="1:8">
      <c r="A626" t="str">
        <f>DICO_Export!D622</f>
        <v>eventProcessingData</v>
      </c>
      <c r="B626" t="str">
        <f>DICO_Export!E622</f>
        <v>temp_processingStage</v>
      </c>
      <c r="C626" t="e">
        <f>#REF!</f>
        <v>#REF!</v>
      </c>
      <c r="D626" t="e">
        <f>#REF!</f>
        <v>#REF!</v>
      </c>
      <c r="E626" t="str">
        <f t="shared" si="46"/>
        <v>evntPrcssngDt</v>
      </c>
      <c r="F626" t="str">
        <f t="shared" si="47"/>
        <v>tmp_prcssngStg</v>
      </c>
      <c r="G626" t="e">
        <f t="shared" si="48"/>
        <v>#REF!</v>
      </c>
      <c r="H626" t="e">
        <f t="shared" si="49"/>
        <v>#REF!</v>
      </c>
    </row>
    <row r="627" spans="1:8">
      <c r="A627" t="str">
        <f>DICO_Export!D623</f>
        <v>eventProcessingData</v>
      </c>
      <c r="B627" t="str">
        <f>DICO_Export!E623</f>
        <v>temp_referenceData</v>
      </c>
      <c r="C627" t="e">
        <f>#REF!</f>
        <v>#REF!</v>
      </c>
      <c r="D627" t="e">
        <f>#REF!</f>
        <v>#REF!</v>
      </c>
      <c r="E627" t="str">
        <f t="shared" si="46"/>
        <v>evntPrcssngDt</v>
      </c>
      <c r="F627" t="str">
        <f t="shared" si="47"/>
        <v>tmp_rfrncDt</v>
      </c>
      <c r="G627" t="e">
        <f t="shared" si="48"/>
        <v>#REF!</v>
      </c>
      <c r="H627" t="e">
        <f t="shared" si="49"/>
        <v>#REF!</v>
      </c>
    </row>
    <row r="628" spans="1:8">
      <c r="A628" t="str">
        <f>DICO_Export!D624</f>
        <v>eventProcessingData</v>
      </c>
      <c r="B628" t="str">
        <f>DICO_Export!E624</f>
        <v>unboundEventIndicator</v>
      </c>
      <c r="C628" t="e">
        <f>#REF!</f>
        <v>#REF!</v>
      </c>
      <c r="D628" t="e">
        <f>#REF!</f>
        <v>#REF!</v>
      </c>
      <c r="E628" t="str">
        <f t="shared" si="46"/>
        <v>evntPrcssngDt</v>
      </c>
      <c r="F628" t="str">
        <f t="shared" si="47"/>
        <v>unbndEvntIndctr</v>
      </c>
      <c r="G628" t="e">
        <f t="shared" si="48"/>
        <v>#REF!</v>
      </c>
      <c r="H628" t="e">
        <f t="shared" si="49"/>
        <v>#REF!</v>
      </c>
    </row>
    <row r="629" spans="1:8">
      <c r="A629" t="str">
        <f>DICO_Export!D625</f>
        <v>eventProcessingData</v>
      </c>
      <c r="B629" t="str">
        <f>DICO_Export!E625</f>
        <v>unboundEventReason</v>
      </c>
      <c r="C629" t="e">
        <f>#REF!</f>
        <v>#REF!</v>
      </c>
      <c r="D629" t="e">
        <f>#REF!</f>
        <v>#REF!</v>
      </c>
      <c r="E629" t="str">
        <f t="shared" si="46"/>
        <v>evntPrcssngDt</v>
      </c>
      <c r="F629" t="str">
        <f t="shared" si="47"/>
        <v>unbndEvntRsn</v>
      </c>
      <c r="G629" t="e">
        <f t="shared" si="48"/>
        <v>#REF!</v>
      </c>
      <c r="H629" t="e">
        <f t="shared" si="49"/>
        <v>#REF!</v>
      </c>
    </row>
    <row r="630" spans="1:8">
      <c r="A630" t="str">
        <f>DICO_Export!D626</f>
        <v>fileData</v>
      </c>
      <c r="B630" t="str">
        <f>DICO_Export!E626</f>
        <v>amountOfCancelledTransactionsWithDeferredCleaning</v>
      </c>
      <c r="C630" t="e">
        <f>#REF!</f>
        <v>#REF!</v>
      </c>
      <c r="D630" t="e">
        <f>#REF!</f>
        <v>#REF!</v>
      </c>
      <c r="E630" t="str">
        <f t="shared" si="46"/>
        <v>flDt</v>
      </c>
      <c r="F630" t="str">
        <f t="shared" si="47"/>
        <v>amntOfCnclldTrnsctnsWthDfrrdClnng</v>
      </c>
      <c r="G630" t="e">
        <f t="shared" si="48"/>
        <v>#REF!</v>
      </c>
      <c r="H630" t="e">
        <f t="shared" si="49"/>
        <v>#REF!</v>
      </c>
    </row>
    <row r="631" spans="1:8">
      <c r="A631" t="str">
        <f>DICO_Export!D627</f>
        <v>fileData</v>
      </c>
      <c r="B631" t="str">
        <f>DICO_Export!E627</f>
        <v>batchAmountOfCancelledTransactionsWithDeferredCleaning</v>
      </c>
      <c r="C631" t="e">
        <f>#REF!</f>
        <v>#REF!</v>
      </c>
      <c r="D631" t="e">
        <f>#REF!</f>
        <v>#REF!</v>
      </c>
      <c r="E631" t="str">
        <f t="shared" si="46"/>
        <v>flDt</v>
      </c>
      <c r="F631" t="str">
        <f t="shared" si="47"/>
        <v>btchAmntOfCnclldTrnsctnsWthDfrrdClnng</v>
      </c>
      <c r="G631" t="e">
        <f t="shared" si="48"/>
        <v>#REF!</v>
      </c>
      <c r="H631" t="e">
        <f t="shared" si="49"/>
        <v>#REF!</v>
      </c>
    </row>
    <row r="632" spans="1:8">
      <c r="A632" t="str">
        <f>DICO_Export!D628</f>
        <v>fileData</v>
      </c>
      <c r="B632" t="str">
        <f>DICO_Export!E628</f>
        <v>batchFileIdentification</v>
      </c>
      <c r="C632" t="e">
        <f>#REF!</f>
        <v>#REF!</v>
      </c>
      <c r="D632" t="e">
        <f>#REF!</f>
        <v>#REF!</v>
      </c>
      <c r="E632" t="str">
        <f t="shared" si="46"/>
        <v>flDt</v>
      </c>
      <c r="F632" t="str">
        <f t="shared" si="47"/>
        <v>btchFlIdntfctn</v>
      </c>
      <c r="G632" t="e">
        <f t="shared" si="48"/>
        <v>#REF!</v>
      </c>
      <c r="H632" t="e">
        <f t="shared" si="49"/>
        <v>#REF!</v>
      </c>
    </row>
    <row r="633" spans="1:8">
      <c r="A633" t="str">
        <f>DICO_Export!D629</f>
        <v>fileData</v>
      </c>
      <c r="B633" t="str">
        <f>DICO_Export!E629</f>
        <v>batchIdAssignedByCollectorSystem</v>
      </c>
      <c r="C633" t="e">
        <f>#REF!</f>
        <v>#REF!</v>
      </c>
      <c r="D633" t="e">
        <f>#REF!</f>
        <v>#REF!</v>
      </c>
      <c r="E633" t="str">
        <f t="shared" si="46"/>
        <v>flDt</v>
      </c>
      <c r="F633" t="str">
        <f t="shared" si="47"/>
        <v>btchIdAssgndBCllctrSstm</v>
      </c>
      <c r="G633" t="e">
        <f t="shared" si="48"/>
        <v>#REF!</v>
      </c>
      <c r="H633" t="e">
        <f t="shared" si="49"/>
        <v>#REF!</v>
      </c>
    </row>
    <row r="634" spans="1:8">
      <c r="A634" t="str">
        <f>DICO_Export!D630</f>
        <v>fileData</v>
      </c>
      <c r="B634" t="str">
        <f>DICO_Export!E630</f>
        <v>batchNumberOfcancelledTransactionsWithDeferredCleaning</v>
      </c>
      <c r="C634" t="e">
        <f>#REF!</f>
        <v>#REF!</v>
      </c>
      <c r="D634" t="e">
        <f>#REF!</f>
        <v>#REF!</v>
      </c>
      <c r="E634" t="str">
        <f t="shared" si="46"/>
        <v>flDt</v>
      </c>
      <c r="F634" t="str">
        <f t="shared" si="47"/>
        <v>btchNmbrOfcnclldTrnsctnsWthDfrrdClnng</v>
      </c>
      <c r="G634" t="e">
        <f t="shared" si="48"/>
        <v>#REF!</v>
      </c>
      <c r="H634" t="e">
        <f t="shared" si="49"/>
        <v>#REF!</v>
      </c>
    </row>
    <row r="635" spans="1:8">
      <c r="A635" t="str">
        <f>DICO_Export!D631</f>
        <v>fileData</v>
      </c>
      <c r="B635" t="str">
        <f>DICO_Export!E631</f>
        <v>batchNumberOfMessagesInTheFile</v>
      </c>
      <c r="C635" t="e">
        <f>#REF!</f>
        <v>#REF!</v>
      </c>
      <c r="D635" t="e">
        <f>#REF!</f>
        <v>#REF!</v>
      </c>
      <c r="E635" t="str">
        <f t="shared" si="46"/>
        <v>flDt</v>
      </c>
      <c r="F635" t="str">
        <f t="shared" si="47"/>
        <v>btchNmbrOfMssgsInThFl</v>
      </c>
      <c r="G635" t="e">
        <f t="shared" si="48"/>
        <v>#REF!</v>
      </c>
      <c r="H635" t="e">
        <f t="shared" si="49"/>
        <v>#REF!</v>
      </c>
    </row>
    <row r="636" spans="1:8">
      <c r="A636" t="str">
        <f>DICO_Export!D632</f>
        <v>fileData</v>
      </c>
      <c r="B636" t="str">
        <f>DICO_Export!E632</f>
        <v>batchNumberOfMessagesReceiveddByCollectorSystem</v>
      </c>
      <c r="C636" t="e">
        <f>#REF!</f>
        <v>#REF!</v>
      </c>
      <c r="D636" t="e">
        <f>#REF!</f>
        <v>#REF!</v>
      </c>
      <c r="E636" t="str">
        <f t="shared" si="46"/>
        <v>flDt</v>
      </c>
      <c r="F636" t="str">
        <f t="shared" si="47"/>
        <v>btchNmbrOfMssgsRcvddBCllctrSstm</v>
      </c>
      <c r="G636" t="e">
        <f t="shared" si="48"/>
        <v>#REF!</v>
      </c>
      <c r="H636" t="e">
        <f t="shared" si="49"/>
        <v>#REF!</v>
      </c>
    </row>
    <row r="637" spans="1:8">
      <c r="A637" t="str">
        <f>DICO_Export!D633</f>
        <v>fileData</v>
      </c>
      <c r="B637" t="str">
        <f>DICO_Export!E633</f>
        <v>fileAcknowledgementWindow</v>
      </c>
      <c r="C637" t="e">
        <f>#REF!</f>
        <v>#REF!</v>
      </c>
      <c r="D637" t="e">
        <f>#REF!</f>
        <v>#REF!</v>
      </c>
      <c r="E637" t="str">
        <f t="shared" si="46"/>
        <v>flDt</v>
      </c>
      <c r="F637" t="str">
        <f t="shared" si="47"/>
        <v>flAcknwldgmntWndw</v>
      </c>
      <c r="G637" t="e">
        <f t="shared" si="48"/>
        <v>#REF!</v>
      </c>
      <c r="H637" t="e">
        <f t="shared" si="49"/>
        <v>#REF!</v>
      </c>
    </row>
    <row r="638" spans="1:8">
      <c r="A638" t="str">
        <f>DICO_Export!D634</f>
        <v>fileData</v>
      </c>
      <c r="B638" t="str">
        <f>DICO_Export!E634</f>
        <v>fileIdentification</v>
      </c>
      <c r="C638" t="e">
        <f>#REF!</f>
        <v>#REF!</v>
      </c>
      <c r="D638" t="e">
        <f>#REF!</f>
        <v>#REF!</v>
      </c>
      <c r="E638" t="str">
        <f t="shared" si="46"/>
        <v>flDt</v>
      </c>
      <c r="F638" t="str">
        <f t="shared" si="47"/>
        <v>flIdntfctn</v>
      </c>
      <c r="G638" t="e">
        <f t="shared" si="48"/>
        <v>#REF!</v>
      </c>
      <c r="H638" t="e">
        <f t="shared" si="49"/>
        <v>#REF!</v>
      </c>
    </row>
    <row r="639" spans="1:8">
      <c r="A639" t="str">
        <f>DICO_Export!D635</f>
        <v>fileData</v>
      </c>
      <c r="B639" t="str">
        <f>DICO_Export!E635</f>
        <v>fileNumberOfMessages</v>
      </c>
      <c r="C639" t="e">
        <f>#REF!</f>
        <v>#REF!</v>
      </c>
      <c r="D639" t="e">
        <f>#REF!</f>
        <v>#REF!</v>
      </c>
      <c r="E639" t="str">
        <f t="shared" si="46"/>
        <v>flDt</v>
      </c>
      <c r="F639" t="str">
        <f t="shared" si="47"/>
        <v>flNmbrOfMssgs</v>
      </c>
      <c r="G639" t="e">
        <f t="shared" si="48"/>
        <v>#REF!</v>
      </c>
      <c r="H639" t="e">
        <f t="shared" si="49"/>
        <v>#REF!</v>
      </c>
    </row>
    <row r="640" spans="1:8">
      <c r="A640" t="str">
        <f>DICO_Export!D636</f>
        <v>fileData</v>
      </c>
      <c r="B640" t="str">
        <f>DICO_Export!E636</f>
        <v>numberOfcancelledTransactionsWithDeferredCleaning</v>
      </c>
      <c r="C640" t="e">
        <f>#REF!</f>
        <v>#REF!</v>
      </c>
      <c r="D640" t="e">
        <f>#REF!</f>
        <v>#REF!</v>
      </c>
      <c r="E640" t="str">
        <f t="shared" si="46"/>
        <v>flDt</v>
      </c>
      <c r="F640" t="str">
        <f t="shared" si="47"/>
        <v>nmbrOfcnclldTrnsctnsWthDfrrdClnng</v>
      </c>
      <c r="G640" t="e">
        <f t="shared" si="48"/>
        <v>#REF!</v>
      </c>
      <c r="H640" t="e">
        <f t="shared" si="49"/>
        <v>#REF!</v>
      </c>
    </row>
    <row r="641" spans="1:8">
      <c r="A641" t="str">
        <f>DICO_Export!D637</f>
        <v>fileData</v>
      </c>
      <c r="B641" t="str">
        <f>DICO_Export!E637</f>
        <v>numberOfMessagesReceivedByCollectorSystem</v>
      </c>
      <c r="C641" t="e">
        <f>#REF!</f>
        <v>#REF!</v>
      </c>
      <c r="D641" t="e">
        <f>#REF!</f>
        <v>#REF!</v>
      </c>
      <c r="E641" t="str">
        <f t="shared" si="46"/>
        <v>flDt</v>
      </c>
      <c r="F641" t="str">
        <f t="shared" si="47"/>
        <v>nmbrOfMssgsRcvdBCllctrSstm</v>
      </c>
      <c r="G641" t="e">
        <f t="shared" si="48"/>
        <v>#REF!</v>
      </c>
      <c r="H641" t="e">
        <f t="shared" si="49"/>
        <v>#REF!</v>
      </c>
    </row>
    <row r="642" spans="1:8">
      <c r="A642" t="str">
        <f>DICO_Export!D638</f>
        <v>fileData</v>
      </c>
      <c r="B642" t="str">
        <f>DICO_Export!E638</f>
        <v>stampingReference</v>
      </c>
      <c r="C642" t="e">
        <f>#REF!</f>
        <v>#REF!</v>
      </c>
      <c r="D642" t="e">
        <f>#REF!</f>
        <v>#REF!</v>
      </c>
      <c r="E642" t="str">
        <f t="shared" si="46"/>
        <v>flDt</v>
      </c>
      <c r="F642" t="str">
        <f t="shared" si="47"/>
        <v>stmpngRfrnc</v>
      </c>
      <c r="G642" t="e">
        <f t="shared" si="48"/>
        <v>#REF!</v>
      </c>
      <c r="H642" t="e">
        <f t="shared" si="49"/>
        <v>#REF!</v>
      </c>
    </row>
    <row r="643" spans="1:8">
      <c r="A643" t="str">
        <f>DICO_Export!D639</f>
        <v>interchange</v>
      </c>
      <c r="B643" t="str">
        <f>DICO_Export!E639</f>
        <v>additionalCode</v>
      </c>
      <c r="C643" t="e">
        <f>#REF!</f>
        <v>#REF!</v>
      </c>
      <c r="D643" t="e">
        <f>#REF!</f>
        <v>#REF!</v>
      </c>
      <c r="E643" t="str">
        <f t="shared" si="46"/>
        <v>intrchng</v>
      </c>
      <c r="F643" t="str">
        <f t="shared" si="47"/>
        <v>addtnlCd</v>
      </c>
      <c r="G643" t="e">
        <f t="shared" si="48"/>
        <v>#REF!</v>
      </c>
      <c r="H643" t="e">
        <f t="shared" si="49"/>
        <v>#REF!</v>
      </c>
    </row>
    <row r="644" spans="1:8">
      <c r="A644" t="str">
        <f>DICO_Export!D640</f>
        <v>interchange</v>
      </c>
      <c r="B644" t="str">
        <f>DICO_Export!E640</f>
        <v>amount</v>
      </c>
      <c r="C644" t="e">
        <f>#REF!</f>
        <v>#REF!</v>
      </c>
      <c r="D644" t="e">
        <f>#REF!</f>
        <v>#REF!</v>
      </c>
      <c r="E644" t="str">
        <f t="shared" ref="E644:E707" si="50">LEFT(A644,1)&amp;SUBSTITUTE(SUBSTITUTE(SUBSTITUTE(SUBSTITUTE(SUBSTITUTE(SUBSTITUTE(SUBSTITUTE(RIGHT(A644,LEN(A644)-1),"a"," "),"e"," "),"i"," "),"o"," "),"u"," "),"y"," ")," ","")</f>
        <v>intrchng</v>
      </c>
      <c r="F644" t="str">
        <f t="shared" ref="F644:F707" si="51">LEFT(B644,1)&amp;SUBSTITUTE(SUBSTITUTE(SUBSTITUTE(SUBSTITUTE(SUBSTITUTE(SUBSTITUTE(SUBSTITUTE(RIGHT(B644,LEN(B644)-1),"a"," "),"e"," "),"i"," "),"o"," "),"u"," "),"y"," ")," ","")</f>
        <v>amnt</v>
      </c>
      <c r="G644" t="e">
        <f t="shared" si="48"/>
        <v>#REF!</v>
      </c>
      <c r="H644" t="e">
        <f t="shared" si="49"/>
        <v>#REF!</v>
      </c>
    </row>
    <row r="645" spans="1:8">
      <c r="A645" t="str">
        <f>DICO_Export!D641</f>
        <v>interchange</v>
      </c>
      <c r="B645" t="str">
        <f>DICO_Export!E641</f>
        <v>icsCode</v>
      </c>
      <c r="C645" t="e">
        <f>#REF!</f>
        <v>#REF!</v>
      </c>
      <c r="D645" t="e">
        <f>#REF!</f>
        <v>#REF!</v>
      </c>
      <c r="E645" t="str">
        <f t="shared" si="50"/>
        <v>intrchng</v>
      </c>
      <c r="F645" t="str">
        <f t="shared" si="51"/>
        <v>icsCd</v>
      </c>
      <c r="G645" t="e">
        <f t="shared" si="48"/>
        <v>#REF!</v>
      </c>
      <c r="H645" t="e">
        <f t="shared" si="49"/>
        <v>#REF!</v>
      </c>
    </row>
    <row r="646" spans="1:8">
      <c r="A646" t="str">
        <f>DICO_Export!D642</f>
        <v>interchange</v>
      </c>
      <c r="B646" t="str">
        <f>DICO_Export!E642</f>
        <v>rate</v>
      </c>
      <c r="C646" t="e">
        <f>#REF!</f>
        <v>#REF!</v>
      </c>
      <c r="D646" t="e">
        <f>#REF!</f>
        <v>#REF!</v>
      </c>
      <c r="E646" t="str">
        <f t="shared" si="50"/>
        <v>intrchng</v>
      </c>
      <c r="F646" t="str">
        <f t="shared" si="51"/>
        <v>rt</v>
      </c>
      <c r="G646" t="e">
        <f t="shared" si="48"/>
        <v>#REF!</v>
      </c>
      <c r="H646" t="e">
        <f t="shared" si="49"/>
        <v>#REF!</v>
      </c>
    </row>
    <row r="647" spans="1:8">
      <c r="A647" t="str">
        <f>DICO_Export!D643</f>
        <v>issuerScript</v>
      </c>
      <c r="B647" t="str">
        <f>DICO_Export!E643</f>
        <v>issuerScriptTemplate1</v>
      </c>
      <c r="C647" t="e">
        <f>#REF!</f>
        <v>#REF!</v>
      </c>
      <c r="D647" t="e">
        <f>#REF!</f>
        <v>#REF!</v>
      </c>
      <c r="E647" t="str">
        <f t="shared" si="50"/>
        <v>issrScrpt</v>
      </c>
      <c r="F647" t="str">
        <f t="shared" si="51"/>
        <v>issrScrptTmplt1</v>
      </c>
      <c r="G647" t="e">
        <f t="shared" si="48"/>
        <v>#REF!</v>
      </c>
      <c r="H647" t="e">
        <f t="shared" si="49"/>
        <v>#REF!</v>
      </c>
    </row>
    <row r="648" spans="1:8">
      <c r="A648" t="str">
        <f>DICO_Export!D644</f>
        <v>issuerScript</v>
      </c>
      <c r="B648" t="str">
        <f>DICO_Export!E644</f>
        <v>issuerScriptTemplate2</v>
      </c>
      <c r="C648" t="e">
        <f>#REF!</f>
        <v>#REF!</v>
      </c>
      <c r="D648" t="e">
        <f>#REF!</f>
        <v>#REF!</v>
      </c>
      <c r="E648" t="str">
        <f t="shared" si="50"/>
        <v>issrScrpt</v>
      </c>
      <c r="F648" t="str">
        <f t="shared" si="51"/>
        <v>issrScrptTmplt2</v>
      </c>
      <c r="G648" t="e">
        <f t="shared" si="48"/>
        <v>#REF!</v>
      </c>
      <c r="H648" t="e">
        <f t="shared" si="49"/>
        <v>#REF!</v>
      </c>
    </row>
    <row r="649" spans="1:8">
      <c r="A649" t="str">
        <f>DICO_Export!D645</f>
        <v>originalTransactionData</v>
      </c>
      <c r="B649" t="str">
        <f>DICO_Export!E645</f>
        <v>acsTransactionId</v>
      </c>
      <c r="C649" t="e">
        <f>#REF!</f>
        <v>#REF!</v>
      </c>
      <c r="D649" t="e">
        <f>#REF!</f>
        <v>#REF!</v>
      </c>
      <c r="E649" t="str">
        <f t="shared" si="50"/>
        <v>orgnlTrnsctnDt</v>
      </c>
      <c r="F649" t="str">
        <f t="shared" si="51"/>
        <v>acsTrnsctnId</v>
      </c>
      <c r="G649" t="e">
        <f t="shared" si="48"/>
        <v>#REF!</v>
      </c>
      <c r="H649" t="e">
        <f t="shared" si="49"/>
        <v>#REF!</v>
      </c>
    </row>
    <row r="650" spans="1:8">
      <c r="A650" t="str">
        <f>DICO_Export!D646</f>
        <v>originalTransactionData</v>
      </c>
      <c r="B650" t="str">
        <f>DICO_Export!E646</f>
        <v>authenticationAmount</v>
      </c>
      <c r="C650" t="e">
        <f>#REF!</f>
        <v>#REF!</v>
      </c>
      <c r="D650" t="e">
        <f>#REF!</f>
        <v>#REF!</v>
      </c>
      <c r="E650" t="str">
        <f t="shared" si="50"/>
        <v>orgnlTrnsctnDt</v>
      </c>
      <c r="F650" t="str">
        <f t="shared" si="51"/>
        <v>athntctnAmnt</v>
      </c>
      <c r="G650" t="e">
        <f t="shared" si="48"/>
        <v>#REF!</v>
      </c>
      <c r="H650" t="e">
        <f t="shared" si="49"/>
        <v>#REF!</v>
      </c>
    </row>
    <row r="651" spans="1:8">
      <c r="A651" t="str">
        <f>DICO_Export!D647</f>
        <v>originalTransactionData</v>
      </c>
      <c r="B651" t="str">
        <f>DICO_Export!E647</f>
        <v>authenticationDateTime</v>
      </c>
      <c r="C651" t="e">
        <f>#REF!</f>
        <v>#REF!</v>
      </c>
      <c r="D651" t="e">
        <f>#REF!</f>
        <v>#REF!</v>
      </c>
      <c r="E651" t="str">
        <f t="shared" si="50"/>
        <v>orgnlTrnsctnDt</v>
      </c>
      <c r="F651" t="str">
        <f t="shared" si="51"/>
        <v>athntctnDtTm</v>
      </c>
      <c r="G651" t="e">
        <f t="shared" si="48"/>
        <v>#REF!</v>
      </c>
      <c r="H651" t="e">
        <f t="shared" si="49"/>
        <v>#REF!</v>
      </c>
    </row>
    <row r="652" spans="1:8">
      <c r="A652" t="str">
        <f>DICO_Export!D648</f>
        <v>originalTransactionData</v>
      </c>
      <c r="B652" t="str">
        <f>DICO_Export!E648</f>
        <v>authorisationCode</v>
      </c>
      <c r="C652" t="e">
        <f>#REF!</f>
        <v>#REF!</v>
      </c>
      <c r="D652" t="e">
        <f>#REF!</f>
        <v>#REF!</v>
      </c>
      <c r="E652" t="str">
        <f t="shared" si="50"/>
        <v>orgnlTrnsctnDt</v>
      </c>
      <c r="F652" t="str">
        <f t="shared" si="51"/>
        <v>athrstnCd</v>
      </c>
      <c r="G652" t="e">
        <f t="shared" si="48"/>
        <v>#REF!</v>
      </c>
      <c r="H652" t="e">
        <f t="shared" si="49"/>
        <v>#REF!</v>
      </c>
    </row>
    <row r="653" spans="1:8">
      <c r="A653" t="str">
        <f>DICO_Export!D649</f>
        <v>originalTransactionData</v>
      </c>
      <c r="B653" t="str">
        <f>DICO_Export!E649</f>
        <v>cardholderAuthenticationMethod</v>
      </c>
      <c r="C653" t="e">
        <f>#REF!</f>
        <v>#REF!</v>
      </c>
      <c r="D653" t="e">
        <f>#REF!</f>
        <v>#REF!</v>
      </c>
      <c r="E653" t="str">
        <f t="shared" si="50"/>
        <v>orgnlTrnsctnDt</v>
      </c>
      <c r="F653" t="str">
        <f t="shared" si="51"/>
        <v>crdhldrAthntctnMthd</v>
      </c>
      <c r="G653" t="e">
        <f t="shared" si="48"/>
        <v>#REF!</v>
      </c>
      <c r="H653" t="e">
        <f t="shared" si="49"/>
        <v>#REF!</v>
      </c>
    </row>
    <row r="654" spans="1:8">
      <c r="A654" t="str">
        <f>DICO_Export!D650</f>
        <v>originalTransactionData</v>
      </c>
      <c r="B654" t="str">
        <f>DICO_Export!E650</f>
        <v>cardholderAuthenticationValue</v>
      </c>
      <c r="C654" t="e">
        <f>#REF!</f>
        <v>#REF!</v>
      </c>
      <c r="D654" t="e">
        <f>#REF!</f>
        <v>#REF!</v>
      </c>
      <c r="E654" t="str">
        <f t="shared" si="50"/>
        <v>orgnlTrnsctnDt</v>
      </c>
      <c r="F654" t="str">
        <f t="shared" si="51"/>
        <v>crdhldrAthntctnVl</v>
      </c>
      <c r="G654" t="e">
        <f t="shared" si="48"/>
        <v>#REF!</v>
      </c>
      <c r="H654" t="e">
        <f t="shared" si="49"/>
        <v>#REF!</v>
      </c>
    </row>
    <row r="655" spans="1:8">
      <c r="A655" t="str">
        <f>DICO_Export!D651</f>
        <v>originalTransactionData</v>
      </c>
      <c r="B655" t="str">
        <f>DICO_Export!E651</f>
        <v>cardholderAuthenticationValueCalculationMethod</v>
      </c>
      <c r="C655" t="e">
        <f>#REF!</f>
        <v>#REF!</v>
      </c>
      <c r="D655" t="e">
        <f>#REF!</f>
        <v>#REF!</v>
      </c>
      <c r="E655" t="str">
        <f t="shared" si="50"/>
        <v>orgnlTrnsctnDt</v>
      </c>
      <c r="F655" t="str">
        <f t="shared" si="51"/>
        <v>crdhldrAthntctnVlClcltnMthd</v>
      </c>
      <c r="G655" t="e">
        <f t="shared" si="48"/>
        <v>#REF!</v>
      </c>
      <c r="H655" t="e">
        <f t="shared" si="49"/>
        <v>#REF!</v>
      </c>
    </row>
    <row r="656" spans="1:8">
      <c r="A656" t="str">
        <f>DICO_Export!D652</f>
        <v>originalTransactionData</v>
      </c>
      <c r="B656" t="str">
        <f>DICO_Export!E652</f>
        <v>dsTransactionId</v>
      </c>
      <c r="C656" t="e">
        <f>#REF!</f>
        <v>#REF!</v>
      </c>
      <c r="D656" t="e">
        <f>#REF!</f>
        <v>#REF!</v>
      </c>
      <c r="E656" t="str">
        <f t="shared" si="50"/>
        <v>orgnlTrnsctnDt</v>
      </c>
      <c r="F656" t="str">
        <f t="shared" si="51"/>
        <v>dsTrnsctnId</v>
      </c>
      <c r="G656" t="e">
        <f t="shared" si="48"/>
        <v>#REF!</v>
      </c>
      <c r="H656" t="e">
        <f t="shared" si="49"/>
        <v>#REF!</v>
      </c>
    </row>
    <row r="657" spans="1:8">
      <c r="A657" t="str">
        <f>DICO_Export!D653</f>
        <v>originalTransactionData</v>
      </c>
      <c r="B657" t="str">
        <f>DICO_Export!E653</f>
        <v>electronicCommerceAuthentication</v>
      </c>
      <c r="C657" t="e">
        <f>#REF!</f>
        <v>#REF!</v>
      </c>
      <c r="D657" t="e">
        <f>#REF!</f>
        <v>#REF!</v>
      </c>
      <c r="E657" t="str">
        <f t="shared" si="50"/>
        <v>orgnlTrnsctnDt</v>
      </c>
      <c r="F657" t="str">
        <f t="shared" si="51"/>
        <v>elctrncCmmrcAthntctn</v>
      </c>
      <c r="G657" t="e">
        <f t="shared" si="48"/>
        <v>#REF!</v>
      </c>
      <c r="H657" t="e">
        <f t="shared" si="49"/>
        <v>#REF!</v>
      </c>
    </row>
    <row r="658" spans="1:8">
      <c r="A658" t="str">
        <f>DICO_Export!D654</f>
        <v>originalTransactionData</v>
      </c>
      <c r="B658" t="str">
        <f>DICO_Export!E654</f>
        <v>institutionIdCode</v>
      </c>
      <c r="C658" t="e">
        <f>#REF!</f>
        <v>#REF!</v>
      </c>
      <c r="D658" t="e">
        <f>#REF!</f>
        <v>#REF!</v>
      </c>
      <c r="E658" t="str">
        <f t="shared" si="50"/>
        <v>orgnlTrnsctnDt</v>
      </c>
      <c r="F658" t="str">
        <f t="shared" si="51"/>
        <v>instttnIdCd</v>
      </c>
      <c r="G658" t="e">
        <f t="shared" si="48"/>
        <v>#REF!</v>
      </c>
      <c r="H658" t="e">
        <f t="shared" si="49"/>
        <v>#REF!</v>
      </c>
    </row>
    <row r="659" spans="1:8">
      <c r="A659" t="str">
        <f>DICO_Export!D655</f>
        <v>originalTransactionData</v>
      </c>
      <c r="B659" t="str">
        <f>DICO_Export!E655</f>
        <v>lengthOfAcquiringInstitutionIdCode</v>
      </c>
      <c r="C659" t="e">
        <f>#REF!</f>
        <v>#REF!</v>
      </c>
      <c r="D659" t="e">
        <f>#REF!</f>
        <v>#REF!</v>
      </c>
      <c r="E659" t="str">
        <f t="shared" si="50"/>
        <v>orgnlTrnsctnDt</v>
      </c>
      <c r="F659" t="str">
        <f t="shared" si="51"/>
        <v>lngthOfAcqrngInstttnIdCd</v>
      </c>
      <c r="G659" t="e">
        <f t="shared" si="48"/>
        <v>#REF!</v>
      </c>
      <c r="H659" t="e">
        <f t="shared" si="49"/>
        <v>#REF!</v>
      </c>
    </row>
    <row r="660" spans="1:8">
      <c r="A660" t="str">
        <f>DICO_Export!D656</f>
        <v>originalTransactionData</v>
      </c>
      <c r="B660" t="str">
        <f>DICO_Export!E656</f>
        <v>localDateTime</v>
      </c>
      <c r="C660" t="e">
        <f>#REF!</f>
        <v>#REF!</v>
      </c>
      <c r="D660" t="e">
        <f>#REF!</f>
        <v>#REF!</v>
      </c>
      <c r="E660" t="str">
        <f t="shared" si="50"/>
        <v>orgnlTrnsctnDt</v>
      </c>
      <c r="F660" t="str">
        <f t="shared" si="51"/>
        <v>lclDtTm</v>
      </c>
      <c r="G660" t="e">
        <f t="shared" si="48"/>
        <v>#REF!</v>
      </c>
      <c r="H660" t="e">
        <f t="shared" si="49"/>
        <v>#REF!</v>
      </c>
    </row>
    <row r="661" spans="1:8">
      <c r="A661" t="str">
        <f>DICO_Export!D657</f>
        <v>originalTransactionData</v>
      </c>
      <c r="B661" t="str">
        <f>DICO_Export!E657</f>
        <v>merchantName</v>
      </c>
      <c r="C661" t="e">
        <f>#REF!</f>
        <v>#REF!</v>
      </c>
      <c r="D661" t="e">
        <f>#REF!</f>
        <v>#REF!</v>
      </c>
      <c r="E661" t="str">
        <f t="shared" si="50"/>
        <v>orgnlTrnsctnDt</v>
      </c>
      <c r="F661" t="str">
        <f t="shared" si="51"/>
        <v>mrchntNm</v>
      </c>
      <c r="G661" t="e">
        <f t="shared" si="48"/>
        <v>#REF!</v>
      </c>
      <c r="H661" t="e">
        <f t="shared" si="49"/>
        <v>#REF!</v>
      </c>
    </row>
    <row r="662" spans="1:8">
      <c r="A662" t="str">
        <f>DICO_Export!D658</f>
        <v>originalTransactionData</v>
      </c>
      <c r="B662" t="str">
        <f>DICO_Export!E658</f>
        <v>messageId</v>
      </c>
      <c r="C662" t="e">
        <f>#REF!</f>
        <v>#REF!</v>
      </c>
      <c r="D662" t="e">
        <f>#REF!</f>
        <v>#REF!</v>
      </c>
      <c r="E662" t="str">
        <f t="shared" si="50"/>
        <v>orgnlTrnsctnDt</v>
      </c>
      <c r="F662" t="str">
        <f t="shared" si="51"/>
        <v>mssgId</v>
      </c>
      <c r="G662" t="e">
        <f t="shared" si="48"/>
        <v>#REF!</v>
      </c>
      <c r="H662" t="e">
        <f t="shared" si="49"/>
        <v>#REF!</v>
      </c>
    </row>
    <row r="663" spans="1:8">
      <c r="A663" t="str">
        <f>DICO_Export!D659</f>
        <v>originalTransactionData</v>
      </c>
      <c r="B663" t="str">
        <f>DICO_Export!E659</f>
        <v>originalUniqueIdentifier</v>
      </c>
      <c r="C663" t="e">
        <f>#REF!</f>
        <v>#REF!</v>
      </c>
      <c r="D663" t="e">
        <f>#REF!</f>
        <v>#REF!</v>
      </c>
      <c r="E663" t="str">
        <f t="shared" si="50"/>
        <v>orgnlTrnsctnDt</v>
      </c>
      <c r="F663" t="str">
        <f t="shared" si="51"/>
        <v>orgnlUnqIdntfr</v>
      </c>
      <c r="G663" t="e">
        <f t="shared" si="48"/>
        <v>#REF!</v>
      </c>
      <c r="H663" t="e">
        <f t="shared" si="49"/>
        <v>#REF!</v>
      </c>
    </row>
    <row r="664" spans="1:8">
      <c r="A664" t="str">
        <f>DICO_Export!D660</f>
        <v>originalTransactionData</v>
      </c>
      <c r="B664" t="str">
        <f>DICO_Export!E660</f>
        <v>securedRemotePaymentArchitectureResult</v>
      </c>
      <c r="C664" t="e">
        <f>#REF!</f>
        <v>#REF!</v>
      </c>
      <c r="D664" t="e">
        <f>#REF!</f>
        <v>#REF!</v>
      </c>
      <c r="E664" t="str">
        <f t="shared" si="50"/>
        <v>orgnlTrnsctnDt</v>
      </c>
      <c r="F664" t="str">
        <f t="shared" si="51"/>
        <v>scrdRmtPmntArchtctrRslt</v>
      </c>
      <c r="G664" t="e">
        <f t="shared" si="48"/>
        <v>#REF!</v>
      </c>
      <c r="H664" t="e">
        <f t="shared" si="49"/>
        <v>#REF!</v>
      </c>
    </row>
    <row r="665" spans="1:8">
      <c r="A665" t="str">
        <f>DICO_Export!D661</f>
        <v>originalTransactionData</v>
      </c>
      <c r="B665" t="str">
        <f>DICO_Export!E661</f>
        <v>securedRemotePaymentArchitectureResultExtension</v>
      </c>
      <c r="C665" t="e">
        <f>#REF!</f>
        <v>#REF!</v>
      </c>
      <c r="D665" t="e">
        <f>#REF!</f>
        <v>#REF!</v>
      </c>
      <c r="E665" t="str">
        <f t="shared" si="50"/>
        <v>orgnlTrnsctnDt</v>
      </c>
      <c r="F665" t="str">
        <f t="shared" si="51"/>
        <v>scrdRmtPmntArchtctrRsltExtnsn</v>
      </c>
      <c r="G665" t="e">
        <f t="shared" si="48"/>
        <v>#REF!</v>
      </c>
      <c r="H665" t="e">
        <f t="shared" si="49"/>
        <v>#REF!</v>
      </c>
    </row>
    <row r="666" spans="1:8">
      <c r="A666" t="str">
        <f>DICO_Export!D662</f>
        <v>originalTransactionData</v>
      </c>
      <c r="B666" t="str">
        <f>DICO_Export!E662</f>
        <v>serviceCalled</v>
      </c>
      <c r="C666" t="e">
        <f>#REF!</f>
        <v>#REF!</v>
      </c>
      <c r="D666" t="e">
        <f>#REF!</f>
        <v>#REF!</v>
      </c>
      <c r="E666" t="str">
        <f t="shared" si="50"/>
        <v>orgnlTrnsctnDt</v>
      </c>
      <c r="F666" t="str">
        <f t="shared" si="51"/>
        <v>srvcClld</v>
      </c>
      <c r="G666" t="e">
        <f t="shared" si="48"/>
        <v>#REF!</v>
      </c>
      <c r="H666" t="e">
        <f t="shared" si="49"/>
        <v>#REF!</v>
      </c>
    </row>
    <row r="667" spans="1:8">
      <c r="A667" t="str">
        <f>DICO_Export!D663</f>
        <v>originalTransactionData</v>
      </c>
      <c r="B667" t="str">
        <f>DICO_Export!E663</f>
        <v>technicalInfoTransactionUuid</v>
      </c>
      <c r="C667" t="e">
        <f>#REF!</f>
        <v>#REF!</v>
      </c>
      <c r="D667" t="e">
        <f>#REF!</f>
        <v>#REF!</v>
      </c>
      <c r="E667" t="str">
        <f t="shared" si="50"/>
        <v>orgnlTrnsctnDt</v>
      </c>
      <c r="F667" t="str">
        <f t="shared" si="51"/>
        <v>tchnclInfTrnsctnUd</v>
      </c>
      <c r="G667" t="e">
        <f t="shared" si="48"/>
        <v>#REF!</v>
      </c>
      <c r="H667" t="e">
        <f t="shared" si="49"/>
        <v>#REF!</v>
      </c>
    </row>
    <row r="668" spans="1:8">
      <c r="A668" t="str">
        <f>DICO_Export!D664</f>
        <v>originalTransactionData</v>
      </c>
      <c r="B668" t="str">
        <f>DICO_Export!E664</f>
        <v>technicalInfoTransmissionDateTime</v>
      </c>
      <c r="C668" t="e">
        <f>#REF!</f>
        <v>#REF!</v>
      </c>
      <c r="D668" t="e">
        <f>#REF!</f>
        <v>#REF!</v>
      </c>
      <c r="E668" t="str">
        <f t="shared" si="50"/>
        <v>orgnlTrnsctnDt</v>
      </c>
      <c r="F668" t="str">
        <f t="shared" si="51"/>
        <v>tchnclInfTrnsmssnDtTm</v>
      </c>
      <c r="G668" t="e">
        <f t="shared" si="48"/>
        <v>#REF!</v>
      </c>
      <c r="H668" t="e">
        <f t="shared" si="49"/>
        <v>#REF!</v>
      </c>
    </row>
    <row r="669" spans="1:8">
      <c r="A669" t="str">
        <f>DICO_Export!D665</f>
        <v>originalTransactionData</v>
      </c>
      <c r="B669" t="str">
        <f>DICO_Export!E665</f>
        <v>technicalInfoTransmittingServerId</v>
      </c>
      <c r="C669" t="e">
        <f>#REF!</f>
        <v>#REF!</v>
      </c>
      <c r="D669" t="e">
        <f>#REF!</f>
        <v>#REF!</v>
      </c>
      <c r="E669" t="str">
        <f t="shared" si="50"/>
        <v>orgnlTrnsctnDt</v>
      </c>
      <c r="F669" t="str">
        <f t="shared" si="51"/>
        <v>tchnclInfTrnsmttngSrvrId</v>
      </c>
      <c r="G669" t="e">
        <f t="shared" si="48"/>
        <v>#REF!</v>
      </c>
      <c r="H669" t="e">
        <f t="shared" si="49"/>
        <v>#REF!</v>
      </c>
    </row>
    <row r="670" spans="1:8">
      <c r="A670" t="str">
        <f>DICO_Export!D666</f>
        <v>originalTransactionData</v>
      </c>
      <c r="B670" t="str">
        <f>DICO_Export!E666</f>
        <v>threeDsProtocolVersion</v>
      </c>
      <c r="C670" t="e">
        <f>#REF!</f>
        <v>#REF!</v>
      </c>
      <c r="D670" t="e">
        <f>#REF!</f>
        <v>#REF!</v>
      </c>
      <c r="E670" t="str">
        <f t="shared" si="50"/>
        <v>orgnlTrnsctnDt</v>
      </c>
      <c r="F670" t="str">
        <f t="shared" si="51"/>
        <v>thrDsPrtclVrsn</v>
      </c>
      <c r="G670" t="e">
        <f t="shared" si="48"/>
        <v>#REF!</v>
      </c>
      <c r="H670" t="e">
        <f t="shared" si="49"/>
        <v>#REF!</v>
      </c>
    </row>
    <row r="671" spans="1:8">
      <c r="A671" t="str">
        <f>DICO_Export!D667</f>
        <v>originalTransactionData</v>
      </c>
      <c r="B671" t="str">
        <f>DICO_Export!E667</f>
        <v>transactionReference</v>
      </c>
      <c r="C671" t="e">
        <f>#REF!</f>
        <v>#REF!</v>
      </c>
      <c r="D671" t="e">
        <f>#REF!</f>
        <v>#REF!</v>
      </c>
      <c r="E671" t="str">
        <f t="shared" si="50"/>
        <v>orgnlTrnsctnDt</v>
      </c>
      <c r="F671" t="str">
        <f t="shared" si="51"/>
        <v>trnsctnRfrnc</v>
      </c>
      <c r="G671" t="e">
        <f t="shared" si="48"/>
        <v>#REF!</v>
      </c>
      <c r="H671" t="e">
        <f t="shared" si="49"/>
        <v>#REF!</v>
      </c>
    </row>
    <row r="672" spans="1:8">
      <c r="A672" t="str">
        <f>DICO_Export!D668</f>
        <v>originalTransactionData</v>
      </c>
      <c r="B672" t="str">
        <f>DICO_Export!E668</f>
        <v>transmissionGmtDateTime</v>
      </c>
      <c r="C672" t="e">
        <f>#REF!</f>
        <v>#REF!</v>
      </c>
      <c r="D672" t="e">
        <f>#REF!</f>
        <v>#REF!</v>
      </c>
      <c r="E672" t="str">
        <f t="shared" si="50"/>
        <v>orgnlTrnsctnDt</v>
      </c>
      <c r="F672" t="str">
        <f t="shared" si="51"/>
        <v>trnsmssnGmtDtTm</v>
      </c>
      <c r="G672" t="e">
        <f t="shared" ref="G672:G731" si="52">LEFT(C672,1)&amp;SUBSTITUTE(SUBSTITUTE(SUBSTITUTE(SUBSTITUTE(SUBSTITUTE(SUBSTITUTE(SUBSTITUTE(RIGHT(C672,LEN(C672)-1),"a"," "),"e"," "),"i"," "),"o"," "),"u"," "),"y"," ")," ","")</f>
        <v>#REF!</v>
      </c>
      <c r="H672" t="e">
        <f t="shared" ref="H672:H731" si="53">LEFT(D672,1)&amp;SUBSTITUTE(SUBSTITUTE(SUBSTITUTE(SUBSTITUTE(SUBSTITUTE(SUBSTITUTE(SUBSTITUTE(RIGHT(D672,LEN(D672)-1),"a"," "),"e"," "),"i"," "),"o"," "),"u"," "),"y"," ")," ","")</f>
        <v>#REF!</v>
      </c>
    </row>
    <row r="673" spans="1:8">
      <c r="A673" t="str">
        <f>DICO_Export!D669</f>
        <v>remittanceData</v>
      </c>
      <c r="B673" t="str">
        <f>DICO_Export!E669</f>
        <v>creditsAmount</v>
      </c>
      <c r="C673" t="e">
        <f>#REF!</f>
        <v>#REF!</v>
      </c>
      <c r="D673" t="e">
        <f>#REF!</f>
        <v>#REF!</v>
      </c>
      <c r="E673" t="str">
        <f t="shared" si="50"/>
        <v>rmttncDt</v>
      </c>
      <c r="F673" t="str">
        <f t="shared" si="51"/>
        <v>crdtsAmnt</v>
      </c>
      <c r="G673" t="e">
        <f t="shared" si="52"/>
        <v>#REF!</v>
      </c>
      <c r="H673" t="e">
        <f t="shared" si="53"/>
        <v>#REF!</v>
      </c>
    </row>
    <row r="674" spans="1:8">
      <c r="A674" t="str">
        <f>DICO_Export!D670</f>
        <v>remittanceData</v>
      </c>
      <c r="B674" t="str">
        <f>DICO_Export!E670</f>
        <v>creditsNumber</v>
      </c>
      <c r="C674" t="e">
        <f>#REF!</f>
        <v>#REF!</v>
      </c>
      <c r="D674" t="e">
        <f>#REF!</f>
        <v>#REF!</v>
      </c>
      <c r="E674" t="str">
        <f t="shared" si="50"/>
        <v>rmttncDt</v>
      </c>
      <c r="F674" t="str">
        <f t="shared" si="51"/>
        <v>crdtsNmbr</v>
      </c>
      <c r="G674" t="e">
        <f t="shared" si="52"/>
        <v>#REF!</v>
      </c>
      <c r="H674" t="e">
        <f t="shared" si="53"/>
        <v>#REF!</v>
      </c>
    </row>
    <row r="675" spans="1:8">
      <c r="A675" t="str">
        <f>DICO_Export!D671</f>
        <v>remittanceData</v>
      </c>
      <c r="B675" t="str">
        <f>DICO_Export!E671</f>
        <v>debitAmount</v>
      </c>
      <c r="C675" t="e">
        <f>#REF!</f>
        <v>#REF!</v>
      </c>
      <c r="D675" t="e">
        <f>#REF!</f>
        <v>#REF!</v>
      </c>
      <c r="E675" t="str">
        <f t="shared" si="50"/>
        <v>rmttncDt</v>
      </c>
      <c r="F675" t="str">
        <f t="shared" si="51"/>
        <v>dbtAmnt</v>
      </c>
      <c r="G675" t="e">
        <f t="shared" si="52"/>
        <v>#REF!</v>
      </c>
      <c r="H675" t="e">
        <f t="shared" si="53"/>
        <v>#REF!</v>
      </c>
    </row>
    <row r="676" spans="1:8">
      <c r="A676" t="str">
        <f>DICO_Export!D672</f>
        <v>remittanceData</v>
      </c>
      <c r="B676" t="str">
        <f>DICO_Export!E672</f>
        <v>debitReversalAmount</v>
      </c>
      <c r="C676" t="e">
        <f>#REF!</f>
        <v>#REF!</v>
      </c>
      <c r="D676" t="e">
        <f>#REF!</f>
        <v>#REF!</v>
      </c>
      <c r="E676" t="str">
        <f t="shared" si="50"/>
        <v>rmttncDt</v>
      </c>
      <c r="F676" t="str">
        <f t="shared" si="51"/>
        <v>dbtRvrslAmnt</v>
      </c>
      <c r="G676" t="e">
        <f t="shared" si="52"/>
        <v>#REF!</v>
      </c>
      <c r="H676" t="e">
        <f t="shared" si="53"/>
        <v>#REF!</v>
      </c>
    </row>
    <row r="677" spans="1:8">
      <c r="A677" t="str">
        <f>DICO_Export!D673</f>
        <v>remittanceData</v>
      </c>
      <c r="B677" t="str">
        <f>DICO_Export!E673</f>
        <v>debitsNumber</v>
      </c>
      <c r="C677" t="e">
        <f>#REF!</f>
        <v>#REF!</v>
      </c>
      <c r="D677" t="e">
        <f>#REF!</f>
        <v>#REF!</v>
      </c>
      <c r="E677" t="str">
        <f t="shared" si="50"/>
        <v>rmttncDt</v>
      </c>
      <c r="F677" t="str">
        <f t="shared" si="51"/>
        <v>dbtsNmbr</v>
      </c>
      <c r="G677" t="e">
        <f t="shared" si="52"/>
        <v>#REF!</v>
      </c>
      <c r="H677" t="e">
        <f t="shared" si="53"/>
        <v>#REF!</v>
      </c>
    </row>
    <row r="678" spans="1:8">
      <c r="A678" t="str">
        <f>DICO_Export!D674</f>
        <v>remittanceData</v>
      </c>
      <c r="B678" t="str">
        <f>DICO_Export!E674</f>
        <v>debitsReversalNumber</v>
      </c>
      <c r="C678" t="e">
        <f>#REF!</f>
        <v>#REF!</v>
      </c>
      <c r="D678" t="e">
        <f>#REF!</f>
        <v>#REF!</v>
      </c>
      <c r="E678" t="str">
        <f t="shared" si="50"/>
        <v>rmttncDt</v>
      </c>
      <c r="F678" t="str">
        <f t="shared" si="51"/>
        <v>dbtsRvrslNmbr</v>
      </c>
      <c r="G678" t="e">
        <f t="shared" si="52"/>
        <v>#REF!</v>
      </c>
      <c r="H678" t="e">
        <f t="shared" si="53"/>
        <v>#REF!</v>
      </c>
    </row>
    <row r="679" spans="1:8">
      <c r="A679" t="str">
        <f>DICO_Export!D675</f>
        <v>remittanceData</v>
      </c>
      <c r="B679" t="str">
        <f>DICO_Export!E675</f>
        <v>debitwithDonationAmount</v>
      </c>
      <c r="C679" t="e">
        <f>#REF!</f>
        <v>#REF!</v>
      </c>
      <c r="D679" t="e">
        <f>#REF!</f>
        <v>#REF!</v>
      </c>
      <c r="E679" t="str">
        <f t="shared" si="50"/>
        <v>rmttncDt</v>
      </c>
      <c r="F679" t="str">
        <f t="shared" si="51"/>
        <v>dbtwthDntnAmnt</v>
      </c>
      <c r="G679" t="e">
        <f t="shared" si="52"/>
        <v>#REF!</v>
      </c>
      <c r="H679" t="e">
        <f t="shared" si="53"/>
        <v>#REF!</v>
      </c>
    </row>
    <row r="680" spans="1:8">
      <c r="A680" t="str">
        <f>DICO_Export!D676</f>
        <v>remittanceData</v>
      </c>
      <c r="B680" t="str">
        <f>DICO_Export!E676</f>
        <v>debitwithDonationNumber</v>
      </c>
      <c r="C680" t="e">
        <f>#REF!</f>
        <v>#REF!</v>
      </c>
      <c r="D680" t="e">
        <f>#REF!</f>
        <v>#REF!</v>
      </c>
      <c r="E680" t="str">
        <f t="shared" si="50"/>
        <v>rmttncDt</v>
      </c>
      <c r="F680" t="str">
        <f t="shared" si="51"/>
        <v>dbtwthDntnNmbr</v>
      </c>
      <c r="G680" t="e">
        <f t="shared" si="52"/>
        <v>#REF!</v>
      </c>
      <c r="H680" t="e">
        <f t="shared" si="53"/>
        <v>#REF!</v>
      </c>
    </row>
    <row r="681" spans="1:8">
      <c r="A681" t="str">
        <f>DICO_Export!D677</f>
        <v>remittanceData</v>
      </c>
      <c r="B681" t="str">
        <f>DICO_Export!E677</f>
        <v>debitwithTipAmount</v>
      </c>
      <c r="C681" t="e">
        <f>#REF!</f>
        <v>#REF!</v>
      </c>
      <c r="D681" t="e">
        <f>#REF!</f>
        <v>#REF!</v>
      </c>
      <c r="E681" t="str">
        <f t="shared" si="50"/>
        <v>rmttncDt</v>
      </c>
      <c r="F681" t="str">
        <f t="shared" si="51"/>
        <v>dbtwthTpAmnt</v>
      </c>
      <c r="G681" t="e">
        <f t="shared" si="52"/>
        <v>#REF!</v>
      </c>
      <c r="H681" t="e">
        <f t="shared" si="53"/>
        <v>#REF!</v>
      </c>
    </row>
    <row r="682" spans="1:8">
      <c r="A682" t="str">
        <f>DICO_Export!D678</f>
        <v>remittanceData</v>
      </c>
      <c r="B682" t="str">
        <f>DICO_Export!E678</f>
        <v>debitwithTipNumber</v>
      </c>
      <c r="C682" t="e">
        <f>#REF!</f>
        <v>#REF!</v>
      </c>
      <c r="D682" t="e">
        <f>#REF!</f>
        <v>#REF!</v>
      </c>
      <c r="E682" t="str">
        <f t="shared" si="50"/>
        <v>rmttncDt</v>
      </c>
      <c r="F682" t="str">
        <f t="shared" si="51"/>
        <v>dbtwthTpNmbr</v>
      </c>
      <c r="G682" t="e">
        <f t="shared" si="52"/>
        <v>#REF!</v>
      </c>
      <c r="H682" t="e">
        <f t="shared" si="53"/>
        <v>#REF!</v>
      </c>
    </row>
    <row r="683" spans="1:8">
      <c r="A683" t="str">
        <f>DICO_Export!D679</f>
        <v>remittanceData</v>
      </c>
      <c r="B683" t="str">
        <f>DICO_Export!E679</f>
        <v>localDateTime</v>
      </c>
      <c r="C683" t="e">
        <f>#REF!</f>
        <v>#REF!</v>
      </c>
      <c r="D683" t="e">
        <f>#REF!</f>
        <v>#REF!</v>
      </c>
      <c r="E683" t="str">
        <f t="shared" si="50"/>
        <v>rmttncDt</v>
      </c>
      <c r="F683" t="str">
        <f t="shared" si="51"/>
        <v>lclDtTm</v>
      </c>
      <c r="G683" t="e">
        <f t="shared" si="52"/>
        <v>#REF!</v>
      </c>
      <c r="H683" t="e">
        <f t="shared" si="53"/>
        <v>#REF!</v>
      </c>
    </row>
    <row r="684" spans="1:8">
      <c r="A684" t="str">
        <f>DICO_Export!D680</f>
        <v>remittanceData</v>
      </c>
      <c r="B684" t="str">
        <f>DICO_Export!E680</f>
        <v>numberOfNonCompletedRemittanceTransactions</v>
      </c>
      <c r="C684" t="e">
        <f>#REF!</f>
        <v>#REF!</v>
      </c>
      <c r="D684" t="e">
        <f>#REF!</f>
        <v>#REF!</v>
      </c>
      <c r="E684" t="str">
        <f t="shared" si="50"/>
        <v>rmttncDt</v>
      </c>
      <c r="F684" t="str">
        <f t="shared" si="51"/>
        <v>nmbrOfNnCmpltdRmttncTrnsctns</v>
      </c>
      <c r="G684" t="e">
        <f t="shared" si="52"/>
        <v>#REF!</v>
      </c>
      <c r="H684" t="e">
        <f t="shared" si="53"/>
        <v>#REF!</v>
      </c>
    </row>
    <row r="685" spans="1:8">
      <c r="A685" t="str">
        <f>DICO_Export!D681</f>
        <v>remittanceData</v>
      </c>
      <c r="B685" t="str">
        <f>DICO_Export!E681</f>
        <v>numberOfNonCompletedTransactions</v>
      </c>
      <c r="C685" t="e">
        <f>#REF!</f>
        <v>#REF!</v>
      </c>
      <c r="D685" t="e">
        <f>#REF!</f>
        <v>#REF!</v>
      </c>
      <c r="E685" t="str">
        <f t="shared" si="50"/>
        <v>rmttncDt</v>
      </c>
      <c r="F685" t="str">
        <f t="shared" si="51"/>
        <v>nmbrOfNnCmpltdTrnsctns</v>
      </c>
      <c r="G685" t="e">
        <f t="shared" si="52"/>
        <v>#REF!</v>
      </c>
      <c r="H685" t="e">
        <f t="shared" si="53"/>
        <v>#REF!</v>
      </c>
    </row>
    <row r="686" spans="1:8">
      <c r="A686" t="str">
        <f>DICO_Export!D682</f>
        <v>remittanceData</v>
      </c>
      <c r="B686" t="str">
        <f>DICO_Export!E682</f>
        <v>remitterGroupingIdentifier</v>
      </c>
      <c r="C686" t="e">
        <f>#REF!</f>
        <v>#REF!</v>
      </c>
      <c r="D686" t="e">
        <f>#REF!</f>
        <v>#REF!</v>
      </c>
      <c r="E686" t="str">
        <f t="shared" si="50"/>
        <v>rmttncDt</v>
      </c>
      <c r="F686" t="str">
        <f t="shared" si="51"/>
        <v>rmttrGrpngIdntfr</v>
      </c>
      <c r="G686" t="e">
        <f t="shared" si="52"/>
        <v>#REF!</v>
      </c>
      <c r="H686" t="e">
        <f t="shared" si="53"/>
        <v>#REF!</v>
      </c>
    </row>
    <row r="687" spans="1:8">
      <c r="A687" t="str">
        <f>DICO_Export!D683</f>
        <v>remittanceData</v>
      </c>
      <c r="B687" t="str">
        <f>DICO_Export!E683</f>
        <v>stampingReference</v>
      </c>
      <c r="C687" t="e">
        <f>#REF!</f>
        <v>#REF!</v>
      </c>
      <c r="D687" t="e">
        <f>#REF!</f>
        <v>#REF!</v>
      </c>
      <c r="E687" t="str">
        <f t="shared" si="50"/>
        <v>rmttncDt</v>
      </c>
      <c r="F687" t="str">
        <f t="shared" si="51"/>
        <v>stmpngRfrnc</v>
      </c>
      <c r="G687" t="e">
        <f t="shared" si="52"/>
        <v>#REF!</v>
      </c>
      <c r="H687" t="e">
        <f t="shared" si="53"/>
        <v>#REF!</v>
      </c>
    </row>
    <row r="688" spans="1:8">
      <c r="A688" t="str">
        <f>DICO_Export!D684</f>
        <v>remittanceData</v>
      </c>
      <c r="B688" t="str">
        <f>DICO_Export!E684</f>
        <v>temp_grossAmount</v>
      </c>
      <c r="C688" t="e">
        <f>#REF!</f>
        <v>#REF!</v>
      </c>
      <c r="D688" t="e">
        <f>#REF!</f>
        <v>#REF!</v>
      </c>
      <c r="E688" t="str">
        <f t="shared" si="50"/>
        <v>rmttncDt</v>
      </c>
      <c r="F688" t="str">
        <f t="shared" si="51"/>
        <v>tmp_grssAmnt</v>
      </c>
      <c r="G688" t="e">
        <f t="shared" si="52"/>
        <v>#REF!</v>
      </c>
      <c r="H688" t="e">
        <f t="shared" si="53"/>
        <v>#REF!</v>
      </c>
    </row>
    <row r="689" spans="1:8">
      <c r="A689" t="str">
        <f>DICO_Export!D685</f>
        <v>remittanceData</v>
      </c>
      <c r="B689" t="str">
        <f>DICO_Export!E685</f>
        <v>temp_merchantRemittanceNumber</v>
      </c>
      <c r="C689" t="e">
        <f>#REF!</f>
        <v>#REF!</v>
      </c>
      <c r="D689" t="e">
        <f>#REF!</f>
        <v>#REF!</v>
      </c>
      <c r="E689" t="str">
        <f t="shared" si="50"/>
        <v>rmttncDt</v>
      </c>
      <c r="F689" t="str">
        <f t="shared" si="51"/>
        <v>tmp_mrchntRmttncNmbr</v>
      </c>
      <c r="G689" t="e">
        <f t="shared" si="52"/>
        <v>#REF!</v>
      </c>
      <c r="H689" t="e">
        <f t="shared" si="53"/>
        <v>#REF!</v>
      </c>
    </row>
    <row r="690" spans="1:8">
      <c r="A690" t="str">
        <f>DICO_Export!D686</f>
        <v>remittanceData</v>
      </c>
      <c r="B690" t="str">
        <f>DICO_Export!E686</f>
        <v>temp_sequentialNumber</v>
      </c>
      <c r="C690" t="e">
        <f>#REF!</f>
        <v>#REF!</v>
      </c>
      <c r="D690" t="e">
        <f>#REF!</f>
        <v>#REF!</v>
      </c>
      <c r="E690" t="str">
        <f t="shared" si="50"/>
        <v>rmttncDt</v>
      </c>
      <c r="F690" t="str">
        <f t="shared" si="51"/>
        <v>tmp_sqntlNmbr</v>
      </c>
      <c r="G690" t="e">
        <f t="shared" si="52"/>
        <v>#REF!</v>
      </c>
      <c r="H690" t="e">
        <f t="shared" si="53"/>
        <v>#REF!</v>
      </c>
    </row>
    <row r="691" spans="1:8">
      <c r="A691" t="str">
        <f>DICO_Export!D687</f>
        <v>remittanceData</v>
      </c>
      <c r="B691" t="str">
        <f>DICO_Export!E687</f>
        <v>temp_transactionsCount</v>
      </c>
      <c r="C691" t="e">
        <f>#REF!</f>
        <v>#REF!</v>
      </c>
      <c r="D691" t="e">
        <f>#REF!</f>
        <v>#REF!</v>
      </c>
      <c r="E691" t="str">
        <f t="shared" si="50"/>
        <v>rmttncDt</v>
      </c>
      <c r="F691" t="str">
        <f t="shared" si="51"/>
        <v>tmp_trnsctnsCnt</v>
      </c>
      <c r="G691" t="e">
        <f t="shared" si="52"/>
        <v>#REF!</v>
      </c>
      <c r="H691" t="e">
        <f t="shared" si="53"/>
        <v>#REF!</v>
      </c>
    </row>
    <row r="692" spans="1:8">
      <c r="A692" t="str">
        <f>DICO_Export!D688</f>
        <v>remittanceData</v>
      </c>
      <c r="B692" t="str">
        <f>DICO_Export!E688</f>
        <v>totalamountOfDebitTransactionsWithDeferredClearing</v>
      </c>
      <c r="C692" t="e">
        <f>#REF!</f>
        <v>#REF!</v>
      </c>
      <c r="D692" t="e">
        <f>#REF!</f>
        <v>#REF!</v>
      </c>
      <c r="E692" t="str">
        <f t="shared" si="50"/>
        <v>rmttncDt</v>
      </c>
      <c r="F692" t="str">
        <f t="shared" si="51"/>
        <v>ttlmntOfDbtTrnsctnsWthDfrrdClrng</v>
      </c>
      <c r="G692" t="e">
        <f t="shared" si="52"/>
        <v>#REF!</v>
      </c>
      <c r="H692" t="e">
        <f t="shared" si="53"/>
        <v>#REF!</v>
      </c>
    </row>
    <row r="693" spans="1:8">
      <c r="A693" t="str">
        <f>DICO_Export!D689</f>
        <v>remittanceData</v>
      </c>
      <c r="B693" t="str">
        <f>DICO_Export!E689</f>
        <v>totalDonationAmount</v>
      </c>
      <c r="C693" t="e">
        <f>#REF!</f>
        <v>#REF!</v>
      </c>
      <c r="D693" t="e">
        <f>#REF!</f>
        <v>#REF!</v>
      </c>
      <c r="E693" t="str">
        <f t="shared" si="50"/>
        <v>rmttncDt</v>
      </c>
      <c r="F693" t="str">
        <f t="shared" si="51"/>
        <v>ttlDntnAmnt</v>
      </c>
      <c r="G693" t="e">
        <f t="shared" si="52"/>
        <v>#REF!</v>
      </c>
      <c r="H693" t="e">
        <f t="shared" si="53"/>
        <v>#REF!</v>
      </c>
    </row>
    <row r="694" spans="1:8">
      <c r="A694" t="str">
        <f>DICO_Export!D690</f>
        <v>remittanceData</v>
      </c>
      <c r="B694" t="str">
        <f>DICO_Export!E690</f>
        <v>totalNumberOfDebitTransactionsWithDeferredClearing</v>
      </c>
      <c r="C694" t="e">
        <f>#REF!</f>
        <v>#REF!</v>
      </c>
      <c r="D694" t="e">
        <f>#REF!</f>
        <v>#REF!</v>
      </c>
      <c r="E694" t="str">
        <f t="shared" si="50"/>
        <v>rmttncDt</v>
      </c>
      <c r="F694" t="str">
        <f t="shared" si="51"/>
        <v>ttlNmbrOfDbtTrnsctnsWthDfrrdClrng</v>
      </c>
      <c r="G694" t="e">
        <f t="shared" si="52"/>
        <v>#REF!</v>
      </c>
      <c r="H694" t="e">
        <f t="shared" si="53"/>
        <v>#REF!</v>
      </c>
    </row>
    <row r="695" spans="1:8">
      <c r="A695" t="str">
        <f>DICO_Export!D691</f>
        <v>remittanceData</v>
      </c>
      <c r="B695" t="str">
        <f>DICO_Export!E691</f>
        <v>totalNumberOfPayments</v>
      </c>
      <c r="C695" t="e">
        <f>#REF!</f>
        <v>#REF!</v>
      </c>
      <c r="D695" t="e">
        <f>#REF!</f>
        <v>#REF!</v>
      </c>
      <c r="E695" t="str">
        <f t="shared" si="50"/>
        <v>rmttncDt</v>
      </c>
      <c r="F695" t="str">
        <f t="shared" si="51"/>
        <v>ttlNmbrOfPmnts</v>
      </c>
      <c r="G695" t="e">
        <f t="shared" si="52"/>
        <v>#REF!</v>
      </c>
      <c r="H695" t="e">
        <f t="shared" si="53"/>
        <v>#REF!</v>
      </c>
    </row>
    <row r="696" spans="1:8">
      <c r="A696" t="str">
        <f>DICO_Export!D692</f>
        <v>remittanceData</v>
      </c>
      <c r="B696" t="str">
        <f>DICO_Export!E692</f>
        <v>totalTipAmount</v>
      </c>
      <c r="C696" t="e">
        <f>#REF!</f>
        <v>#REF!</v>
      </c>
      <c r="D696" t="e">
        <f>#REF!</f>
        <v>#REF!</v>
      </c>
      <c r="E696" t="str">
        <f t="shared" si="50"/>
        <v>rmttncDt</v>
      </c>
      <c r="F696" t="str">
        <f t="shared" si="51"/>
        <v>ttlTpAmnt</v>
      </c>
      <c r="G696" t="e">
        <f t="shared" si="52"/>
        <v>#REF!</v>
      </c>
      <c r="H696" t="e">
        <f t="shared" si="53"/>
        <v>#REF!</v>
      </c>
    </row>
    <row r="697" spans="1:8">
      <c r="A697" t="str">
        <f>DICO_Export!D693</f>
        <v>response</v>
      </c>
      <c r="B697" t="str">
        <f>DICO_Export!E693</f>
        <v>authorisationCode</v>
      </c>
      <c r="C697" t="e">
        <f>#REF!</f>
        <v>#REF!</v>
      </c>
      <c r="D697" t="e">
        <f>#REF!</f>
        <v>#REF!</v>
      </c>
      <c r="E697" t="str">
        <f t="shared" si="50"/>
        <v>rspns</v>
      </c>
      <c r="F697" t="str">
        <f t="shared" si="51"/>
        <v>athrstnCd</v>
      </c>
      <c r="G697" t="e">
        <f t="shared" si="52"/>
        <v>#REF!</v>
      </c>
      <c r="H697" t="e">
        <f t="shared" si="53"/>
        <v>#REF!</v>
      </c>
    </row>
    <row r="698" spans="1:8">
      <c r="A698" t="str">
        <f>DICO_Export!D694</f>
        <v>response</v>
      </c>
      <c r="B698" t="str">
        <f>DICO_Export!E694</f>
        <v>responseCode</v>
      </c>
      <c r="C698" t="e">
        <f>#REF!</f>
        <v>#REF!</v>
      </c>
      <c r="D698" t="e">
        <f>#REF!</f>
        <v>#REF!</v>
      </c>
      <c r="E698" t="str">
        <f t="shared" si="50"/>
        <v>rspns</v>
      </c>
      <c r="F698" t="str">
        <f t="shared" si="51"/>
        <v>rspnsCd</v>
      </c>
      <c r="G698" t="e">
        <f t="shared" si="52"/>
        <v>#REF!</v>
      </c>
      <c r="H698" t="e">
        <f t="shared" si="53"/>
        <v>#REF!</v>
      </c>
    </row>
    <row r="699" spans="1:8">
      <c r="A699" t="str">
        <f>DICO_Export!D695</f>
        <v>response</v>
      </c>
      <c r="B699" t="str">
        <f>DICO_Export!E695</f>
        <v>responseDateTime</v>
      </c>
      <c r="C699" t="e">
        <f>#REF!</f>
        <v>#REF!</v>
      </c>
      <c r="D699" t="e">
        <f>#REF!</f>
        <v>#REF!</v>
      </c>
      <c r="E699" t="str">
        <f t="shared" si="50"/>
        <v>rspns</v>
      </c>
      <c r="F699" t="str">
        <f t="shared" si="51"/>
        <v>rspnsDtTm</v>
      </c>
      <c r="G699" t="e">
        <f t="shared" si="52"/>
        <v>#REF!</v>
      </c>
      <c r="H699" t="e">
        <f t="shared" si="53"/>
        <v>#REF!</v>
      </c>
    </row>
    <row r="700" spans="1:8">
      <c r="A700" t="str">
        <f>DICO_Export!D696</f>
        <v>response</v>
      </c>
      <c r="B700" t="str">
        <f>DICO_Export!E696</f>
        <v>reversalReason</v>
      </c>
      <c r="C700" t="e">
        <f>#REF!</f>
        <v>#REF!</v>
      </c>
      <c r="D700" t="e">
        <f>#REF!</f>
        <v>#REF!</v>
      </c>
      <c r="E700" t="str">
        <f t="shared" si="50"/>
        <v>rspns</v>
      </c>
      <c r="F700" t="str">
        <f t="shared" si="51"/>
        <v>rvrslRsn</v>
      </c>
      <c r="G700" t="e">
        <f t="shared" si="52"/>
        <v>#REF!</v>
      </c>
      <c r="H700" t="e">
        <f t="shared" si="53"/>
        <v>#REF!</v>
      </c>
    </row>
    <row r="701" spans="1:8">
      <c r="A701" t="str">
        <f>DICO_Export!D697</f>
        <v>response</v>
      </c>
      <c r="B701" t="str">
        <f>DICO_Export!E697</f>
        <v>storedResponseCode</v>
      </c>
      <c r="C701" t="e">
        <f>#REF!</f>
        <v>#REF!</v>
      </c>
      <c r="D701" t="e">
        <f>#REF!</f>
        <v>#REF!</v>
      </c>
      <c r="E701" t="str">
        <f t="shared" si="50"/>
        <v>rspns</v>
      </c>
      <c r="F701" t="str">
        <f t="shared" si="51"/>
        <v>strdRspnsCd</v>
      </c>
      <c r="G701" t="e">
        <f t="shared" si="52"/>
        <v>#REF!</v>
      </c>
      <c r="H701" t="e">
        <f t="shared" si="53"/>
        <v>#REF!</v>
      </c>
    </row>
    <row r="702" spans="1:8">
      <c r="A702" t="str">
        <f>DICO_Export!D698</f>
        <v>schemeFees</v>
      </c>
      <c r="B702" t="str">
        <f>DICO_Export!E698</f>
        <v>schemeFeesDetails</v>
      </c>
      <c r="C702" t="e">
        <f>#REF!</f>
        <v>#REF!</v>
      </c>
      <c r="D702" t="e">
        <f>#REF!</f>
        <v>#REF!</v>
      </c>
      <c r="E702" t="str">
        <f t="shared" si="50"/>
        <v>schmFs</v>
      </c>
      <c r="F702" t="str">
        <f t="shared" si="51"/>
        <v>schmFsDtls</v>
      </c>
      <c r="G702" t="e">
        <f t="shared" si="52"/>
        <v>#REF!</v>
      </c>
      <c r="H702" t="e">
        <f t="shared" si="53"/>
        <v>#REF!</v>
      </c>
    </row>
    <row r="703" spans="1:8">
      <c r="A703" t="str">
        <f>DICO_Export!D699</f>
        <v>schemeFees</v>
      </c>
      <c r="B703" t="str">
        <f>DICO_Export!E699</f>
        <v>totalAmount</v>
      </c>
      <c r="C703" t="e">
        <f>#REF!</f>
        <v>#REF!</v>
      </c>
      <c r="D703" t="e">
        <f>#REF!</f>
        <v>#REF!</v>
      </c>
      <c r="E703" t="str">
        <f t="shared" si="50"/>
        <v>schmFs</v>
      </c>
      <c r="F703" t="str">
        <f t="shared" si="51"/>
        <v>ttlAmnt</v>
      </c>
      <c r="G703" t="e">
        <f t="shared" si="52"/>
        <v>#REF!</v>
      </c>
      <c r="H703" t="e">
        <f t="shared" si="53"/>
        <v>#REF!</v>
      </c>
    </row>
    <row r="704" spans="1:8">
      <c r="A704" t="str">
        <f>DICO_Export!D700</f>
        <v>security</v>
      </c>
      <c r="B704" t="str">
        <f>DICO_Export!E700</f>
        <v>baseDerivationKeyIdentifier</v>
      </c>
      <c r="C704" t="e">
        <f>#REF!</f>
        <v>#REF!</v>
      </c>
      <c r="D704" t="e">
        <f>#REF!</f>
        <v>#REF!</v>
      </c>
      <c r="E704" t="str">
        <f t="shared" si="50"/>
        <v>scrt</v>
      </c>
      <c r="F704" t="str">
        <f t="shared" si="51"/>
        <v>bsDrvtnKIdntfr</v>
      </c>
      <c r="G704" t="e">
        <f t="shared" si="52"/>
        <v>#REF!</v>
      </c>
      <c r="H704" t="e">
        <f t="shared" si="53"/>
        <v>#REF!</v>
      </c>
    </row>
    <row r="705" spans="1:8">
      <c r="A705" t="str">
        <f>DICO_Export!D701</f>
        <v>security</v>
      </c>
      <c r="B705" t="str">
        <f>DICO_Export!E701</f>
        <v>baseDerivationKeyName</v>
      </c>
      <c r="C705" t="e">
        <f>#REF!</f>
        <v>#REF!</v>
      </c>
      <c r="D705" t="e">
        <f>#REF!</f>
        <v>#REF!</v>
      </c>
      <c r="E705" t="str">
        <f t="shared" si="50"/>
        <v>scrt</v>
      </c>
      <c r="F705" t="str">
        <f t="shared" si="51"/>
        <v>bsDrvtnKNm</v>
      </c>
      <c r="G705" t="e">
        <f t="shared" si="52"/>
        <v>#REF!</v>
      </c>
      <c r="H705" t="e">
        <f t="shared" si="53"/>
        <v>#REF!</v>
      </c>
    </row>
    <row r="706" spans="1:8">
      <c r="A706" t="str">
        <f>DICO_Export!D702</f>
        <v>security</v>
      </c>
      <c r="B706" t="str">
        <f>DICO_Export!E702</f>
        <v>connexionKeyIdentifier</v>
      </c>
      <c r="C706" t="e">
        <f>#REF!</f>
        <v>#REF!</v>
      </c>
      <c r="D706" t="e">
        <f>#REF!</f>
        <v>#REF!</v>
      </c>
      <c r="E706" t="str">
        <f t="shared" si="50"/>
        <v>scrt</v>
      </c>
      <c r="F706" t="str">
        <f t="shared" si="51"/>
        <v>cnnxnKIdntfr</v>
      </c>
      <c r="G706" t="e">
        <f t="shared" si="52"/>
        <v>#REF!</v>
      </c>
      <c r="H706" t="e">
        <f t="shared" si="53"/>
        <v>#REF!</v>
      </c>
    </row>
    <row r="707" spans="1:8">
      <c r="A707" t="str">
        <f>DICO_Export!D703</f>
        <v>security</v>
      </c>
      <c r="B707" t="str">
        <f>DICO_Export!E703</f>
        <v>dataSource</v>
      </c>
      <c r="C707" t="e">
        <f>#REF!</f>
        <v>#REF!</v>
      </c>
      <c r="D707" t="e">
        <f>#REF!</f>
        <v>#REF!</v>
      </c>
      <c r="E707" t="str">
        <f t="shared" si="50"/>
        <v>scrt</v>
      </c>
      <c r="F707" t="str">
        <f t="shared" si="51"/>
        <v>dtSrc</v>
      </c>
      <c r="G707" t="e">
        <f t="shared" si="52"/>
        <v>#REF!</v>
      </c>
      <c r="H707" t="e">
        <f t="shared" si="53"/>
        <v>#REF!</v>
      </c>
    </row>
    <row r="708" spans="1:8">
      <c r="A708" t="str">
        <f>DICO_Export!D704</f>
        <v>security</v>
      </c>
      <c r="B708" t="str">
        <f>DICO_Export!E704</f>
        <v>dataUsedForSign</v>
      </c>
      <c r="C708" t="e">
        <f>#REF!</f>
        <v>#REF!</v>
      </c>
      <c r="D708" t="e">
        <f>#REF!</f>
        <v>#REF!</v>
      </c>
      <c r="E708" t="str">
        <f t="shared" ref="E708:E731" si="54">LEFT(A708,1)&amp;SUBSTITUTE(SUBSTITUTE(SUBSTITUTE(SUBSTITUTE(SUBSTITUTE(SUBSTITUTE(SUBSTITUTE(RIGHT(A708,LEN(A708)-1),"a"," "),"e"," "),"i"," "),"o"," "),"u"," "),"y"," ")," ","")</f>
        <v>scrt</v>
      </c>
      <c r="F708" t="str">
        <f t="shared" ref="F708:F731" si="55">LEFT(B708,1)&amp;SUBSTITUTE(SUBSTITUTE(SUBSTITUTE(SUBSTITUTE(SUBSTITUTE(SUBSTITUTE(SUBSTITUTE(RIGHT(B708,LEN(B708)-1),"a"," "),"e"," "),"i"," "),"o"," "),"u"," "),"y"," ")," ","")</f>
        <v>dtUsdFrSgn</v>
      </c>
      <c r="G708" t="e">
        <f t="shared" si="52"/>
        <v>#REF!</v>
      </c>
      <c r="H708" t="e">
        <f t="shared" si="53"/>
        <v>#REF!</v>
      </c>
    </row>
    <row r="709" spans="1:8">
      <c r="A709" t="str">
        <f>DICO_Export!D705</f>
        <v>security</v>
      </c>
      <c r="B709" t="str">
        <f>DICO_Export!E705</f>
        <v>diversificationValue</v>
      </c>
      <c r="C709" t="e">
        <f>#REF!</f>
        <v>#REF!</v>
      </c>
      <c r="D709" t="e">
        <f>#REF!</f>
        <v>#REF!</v>
      </c>
      <c r="E709" t="str">
        <f t="shared" si="54"/>
        <v>scrt</v>
      </c>
      <c r="F709" t="str">
        <f t="shared" si="55"/>
        <v>dvrsfctnVl</v>
      </c>
      <c r="G709" t="e">
        <f t="shared" si="52"/>
        <v>#REF!</v>
      </c>
      <c r="H709" t="e">
        <f t="shared" si="53"/>
        <v>#REF!</v>
      </c>
    </row>
    <row r="710" spans="1:8">
      <c r="A710" t="str">
        <f>DICO_Export!D706</f>
        <v>security</v>
      </c>
      <c r="B710" t="str">
        <f>DICO_Export!E706</f>
        <v>dynKeyIdentifier</v>
      </c>
      <c r="C710" t="e">
        <f>#REF!</f>
        <v>#REF!</v>
      </c>
      <c r="D710" t="e">
        <f>#REF!</f>
        <v>#REF!</v>
      </c>
      <c r="E710" t="str">
        <f t="shared" si="54"/>
        <v>scrt</v>
      </c>
      <c r="F710" t="str">
        <f t="shared" si="55"/>
        <v>dnKIdntfr</v>
      </c>
      <c r="G710" t="e">
        <f t="shared" si="52"/>
        <v>#REF!</v>
      </c>
      <c r="H710" t="e">
        <f t="shared" si="53"/>
        <v>#REF!</v>
      </c>
    </row>
    <row r="711" spans="1:8">
      <c r="A711" t="str">
        <f>DICO_Export!D707</f>
        <v>security</v>
      </c>
      <c r="B711" t="str">
        <f>DICO_Export!E707</f>
        <v>encryptionAlgorithm</v>
      </c>
      <c r="C711" t="e">
        <f>#REF!</f>
        <v>#REF!</v>
      </c>
      <c r="D711" t="e">
        <f>#REF!</f>
        <v>#REF!</v>
      </c>
      <c r="E711" t="str">
        <f t="shared" si="54"/>
        <v>scrt</v>
      </c>
      <c r="F711" t="str">
        <f t="shared" si="55"/>
        <v>encrptnAlgrthm</v>
      </c>
      <c r="G711" t="e">
        <f t="shared" si="52"/>
        <v>#REF!</v>
      </c>
      <c r="H711" t="e">
        <f t="shared" si="53"/>
        <v>#REF!</v>
      </c>
    </row>
    <row r="712" spans="1:8">
      <c r="A712" t="str">
        <f>DICO_Export!D708</f>
        <v>security</v>
      </c>
      <c r="B712" t="str">
        <f>DICO_Export!E708</f>
        <v>jsonWebKeyIdentifier</v>
      </c>
      <c r="C712" t="e">
        <f>#REF!</f>
        <v>#REF!</v>
      </c>
      <c r="D712" t="e">
        <f>#REF!</f>
        <v>#REF!</v>
      </c>
      <c r="E712" t="str">
        <f t="shared" si="54"/>
        <v>scrt</v>
      </c>
      <c r="F712" t="str">
        <f t="shared" si="55"/>
        <v>jsnWbKIdntfr</v>
      </c>
      <c r="G712" t="e">
        <f t="shared" si="52"/>
        <v>#REF!</v>
      </c>
      <c r="H712" t="e">
        <f t="shared" si="53"/>
        <v>#REF!</v>
      </c>
    </row>
    <row r="713" spans="1:8">
      <c r="A713" t="str">
        <f>DICO_Export!D709</f>
        <v>security</v>
      </c>
      <c r="B713" t="str">
        <f>DICO_Export!E709</f>
        <v>jsonWebSignature</v>
      </c>
      <c r="C713" t="e">
        <f>#REF!</f>
        <v>#REF!</v>
      </c>
      <c r="D713" t="e">
        <f>#REF!</f>
        <v>#REF!</v>
      </c>
      <c r="E713" t="str">
        <f t="shared" si="54"/>
        <v>scrt</v>
      </c>
      <c r="F713" t="str">
        <f t="shared" si="55"/>
        <v>jsnWbSgntr</v>
      </c>
      <c r="G713" t="e">
        <f t="shared" si="52"/>
        <v>#REF!</v>
      </c>
      <c r="H713" t="e">
        <f t="shared" si="53"/>
        <v>#REF!</v>
      </c>
    </row>
    <row r="714" spans="1:8">
      <c r="A714" t="str">
        <f>DICO_Export!D710</f>
        <v>security</v>
      </c>
      <c r="B714" t="str">
        <f>DICO_Export!E710</f>
        <v>keyingMaterialSecurityData</v>
      </c>
      <c r="C714" t="e">
        <f>#REF!</f>
        <v>#REF!</v>
      </c>
      <c r="D714" t="e">
        <f>#REF!</f>
        <v>#REF!</v>
      </c>
      <c r="E714" t="str">
        <f t="shared" si="54"/>
        <v>scrt</v>
      </c>
      <c r="F714" t="str">
        <f t="shared" si="55"/>
        <v>kngMtrlScrtDt</v>
      </c>
      <c r="G714" t="e">
        <f t="shared" si="52"/>
        <v>#REF!</v>
      </c>
      <c r="H714" t="e">
        <f t="shared" si="53"/>
        <v>#REF!</v>
      </c>
    </row>
    <row r="715" spans="1:8">
      <c r="A715" t="str">
        <f>DICO_Export!D711</f>
        <v>security</v>
      </c>
      <c r="B715" t="str">
        <f>DICO_Export!E711</f>
        <v>keyLength</v>
      </c>
      <c r="C715" t="e">
        <f>#REF!</f>
        <v>#REF!</v>
      </c>
      <c r="D715" t="e">
        <f>#REF!</f>
        <v>#REF!</v>
      </c>
      <c r="E715" t="str">
        <f t="shared" si="54"/>
        <v>scrt</v>
      </c>
      <c r="F715" t="str">
        <f t="shared" si="55"/>
        <v>kLngth</v>
      </c>
      <c r="G715" t="e">
        <f t="shared" si="52"/>
        <v>#REF!</v>
      </c>
      <c r="H715" t="e">
        <f t="shared" si="53"/>
        <v>#REF!</v>
      </c>
    </row>
    <row r="716" spans="1:8">
      <c r="A716" t="str">
        <f>DICO_Export!D712</f>
        <v>security</v>
      </c>
      <c r="B716" t="str">
        <f>DICO_Export!E712</f>
        <v>keySerialNumber</v>
      </c>
      <c r="C716" t="e">
        <f>#REF!</f>
        <v>#REF!</v>
      </c>
      <c r="D716" t="e">
        <f>#REF!</f>
        <v>#REF!</v>
      </c>
      <c r="E716" t="str">
        <f t="shared" si="54"/>
        <v>scrt</v>
      </c>
      <c r="F716" t="str">
        <f t="shared" si="55"/>
        <v>kSrlNmbr</v>
      </c>
      <c r="G716" t="e">
        <f t="shared" si="52"/>
        <v>#REF!</v>
      </c>
      <c r="H716" t="e">
        <f t="shared" si="53"/>
        <v>#REF!</v>
      </c>
    </row>
    <row r="717" spans="1:8">
      <c r="A717" t="str">
        <f>DICO_Export!D713</f>
        <v>security</v>
      </c>
      <c r="B717" t="str">
        <f>DICO_Export!E713</f>
        <v>macAlgorithm</v>
      </c>
      <c r="C717" t="e">
        <f>#REF!</f>
        <v>#REF!</v>
      </c>
      <c r="D717" t="e">
        <f>#REF!</f>
        <v>#REF!</v>
      </c>
      <c r="E717" t="str">
        <f t="shared" si="54"/>
        <v>scrt</v>
      </c>
      <c r="F717" t="str">
        <f t="shared" si="55"/>
        <v>mcAlgrthm</v>
      </c>
      <c r="G717" t="e">
        <f t="shared" si="52"/>
        <v>#REF!</v>
      </c>
      <c r="H717" t="e">
        <f t="shared" si="53"/>
        <v>#REF!</v>
      </c>
    </row>
    <row r="718" spans="1:8">
      <c r="A718" t="str">
        <f>DICO_Export!D714</f>
        <v>security</v>
      </c>
      <c r="B718" t="str">
        <f>DICO_Export!E714</f>
        <v>macKeyIdentifier</v>
      </c>
      <c r="C718" t="e">
        <f>#REF!</f>
        <v>#REF!</v>
      </c>
      <c r="D718" t="e">
        <f>#REF!</f>
        <v>#REF!</v>
      </c>
      <c r="E718" t="str">
        <f t="shared" si="54"/>
        <v>scrt</v>
      </c>
      <c r="F718" t="str">
        <f t="shared" si="55"/>
        <v>mcKIdntfr</v>
      </c>
      <c r="G718" t="e">
        <f t="shared" si="52"/>
        <v>#REF!</v>
      </c>
      <c r="H718" t="e">
        <f t="shared" si="53"/>
        <v>#REF!</v>
      </c>
    </row>
    <row r="719" spans="1:8">
      <c r="A719" t="str">
        <f>DICO_Export!D715</f>
        <v>security</v>
      </c>
      <c r="B719" t="str">
        <f>DICO_Export!E715</f>
        <v>macLength</v>
      </c>
      <c r="C719" t="e">
        <f>#REF!</f>
        <v>#REF!</v>
      </c>
      <c r="D719" t="e">
        <f>#REF!</f>
        <v>#REF!</v>
      </c>
      <c r="E719" t="str">
        <f t="shared" si="54"/>
        <v>scrt</v>
      </c>
      <c r="F719" t="str">
        <f t="shared" si="55"/>
        <v>mcLngth</v>
      </c>
      <c r="G719" t="e">
        <f t="shared" si="52"/>
        <v>#REF!</v>
      </c>
      <c r="H719" t="e">
        <f t="shared" si="53"/>
        <v>#REF!</v>
      </c>
    </row>
    <row r="720" spans="1:8">
      <c r="A720" t="str">
        <f>DICO_Export!D716</f>
        <v>security</v>
      </c>
      <c r="B720" t="str">
        <f>DICO_Export!E716</f>
        <v>macValue</v>
      </c>
      <c r="C720" t="e">
        <f>#REF!</f>
        <v>#REF!</v>
      </c>
      <c r="D720" t="e">
        <f>#REF!</f>
        <v>#REF!</v>
      </c>
      <c r="E720" t="str">
        <f t="shared" si="54"/>
        <v>scrt</v>
      </c>
      <c r="F720" t="str">
        <f t="shared" si="55"/>
        <v>mcVl</v>
      </c>
      <c r="G720" t="e">
        <f t="shared" si="52"/>
        <v>#REF!</v>
      </c>
      <c r="H720" t="e">
        <f t="shared" si="53"/>
        <v>#REF!</v>
      </c>
    </row>
    <row r="721" spans="1:8">
      <c r="A721" t="str">
        <f>DICO_Export!D717</f>
        <v>security</v>
      </c>
      <c r="B721" t="str">
        <f>DICO_Export!E717</f>
        <v>maskGeneratorAlgorithm</v>
      </c>
      <c r="C721" t="e">
        <f>#REF!</f>
        <v>#REF!</v>
      </c>
      <c r="D721" t="e">
        <f>#REF!</f>
        <v>#REF!</v>
      </c>
      <c r="E721" t="str">
        <f t="shared" si="54"/>
        <v>scrt</v>
      </c>
      <c r="F721" t="str">
        <f t="shared" si="55"/>
        <v>mskGnrtrAlgrthm</v>
      </c>
      <c r="G721" t="e">
        <f t="shared" si="52"/>
        <v>#REF!</v>
      </c>
      <c r="H721" t="e">
        <f t="shared" si="53"/>
        <v>#REF!</v>
      </c>
    </row>
    <row r="722" spans="1:8">
      <c r="A722" t="str">
        <f>DICO_Export!D718</f>
        <v>security</v>
      </c>
      <c r="B722" t="str">
        <f>DICO_Export!E718</f>
        <v>paddingMethod</v>
      </c>
      <c r="C722" t="e">
        <f>#REF!</f>
        <v>#REF!</v>
      </c>
      <c r="D722" t="e">
        <f>#REF!</f>
        <v>#REF!</v>
      </c>
      <c r="E722" t="str">
        <f t="shared" si="54"/>
        <v>scrt</v>
      </c>
      <c r="F722" t="str">
        <f t="shared" si="55"/>
        <v>pddngMthd</v>
      </c>
      <c r="G722" t="e">
        <f t="shared" si="52"/>
        <v>#REF!</v>
      </c>
      <c r="H722" t="e">
        <f t="shared" si="53"/>
        <v>#REF!</v>
      </c>
    </row>
    <row r="723" spans="1:8">
      <c r="A723" t="str">
        <f>DICO_Export!D719</f>
        <v>security</v>
      </c>
      <c r="B723" t="str">
        <f>DICO_Export!E719</f>
        <v>partialHash</v>
      </c>
      <c r="C723" t="e">
        <f>#REF!</f>
        <v>#REF!</v>
      </c>
      <c r="D723" t="e">
        <f>#REF!</f>
        <v>#REF!</v>
      </c>
      <c r="E723" t="str">
        <f t="shared" si="54"/>
        <v>scrt</v>
      </c>
      <c r="F723" t="str">
        <f t="shared" si="55"/>
        <v>prtlHsh</v>
      </c>
      <c r="G723" t="e">
        <f t="shared" si="52"/>
        <v>#REF!</v>
      </c>
      <c r="H723" t="e">
        <f t="shared" si="53"/>
        <v>#REF!</v>
      </c>
    </row>
    <row r="724" spans="1:8">
      <c r="A724" t="str">
        <f>DICO_Export!D720</f>
        <v>security</v>
      </c>
      <c r="B724" t="str">
        <f>DICO_Export!E720</f>
        <v>partialHashLength</v>
      </c>
      <c r="C724" t="e">
        <f>#REF!</f>
        <v>#REF!</v>
      </c>
      <c r="D724" t="e">
        <f>#REF!</f>
        <v>#REF!</v>
      </c>
      <c r="E724" t="str">
        <f t="shared" si="54"/>
        <v>scrt</v>
      </c>
      <c r="F724" t="str">
        <f t="shared" si="55"/>
        <v>prtlHshLngth</v>
      </c>
      <c r="G724" t="e">
        <f t="shared" si="52"/>
        <v>#REF!</v>
      </c>
      <c r="H724" t="e">
        <f t="shared" si="53"/>
        <v>#REF!</v>
      </c>
    </row>
    <row r="725" spans="1:8">
      <c r="A725" t="str">
        <f>DICO_Export!D721</f>
        <v>security</v>
      </c>
      <c r="B725" t="str">
        <f>DICO_Export!E721</f>
        <v>pinBlockEncryptionFormat</v>
      </c>
      <c r="C725" t="e">
        <f>#REF!</f>
        <v>#REF!</v>
      </c>
      <c r="D725" t="e">
        <f>#REF!</f>
        <v>#REF!</v>
      </c>
      <c r="E725" t="str">
        <f t="shared" si="54"/>
        <v>scrt</v>
      </c>
      <c r="F725" t="str">
        <f t="shared" si="55"/>
        <v>pnBlckEncrptnFrmt</v>
      </c>
      <c r="G725" t="e">
        <f t="shared" si="52"/>
        <v>#REF!</v>
      </c>
      <c r="H725" t="e">
        <f t="shared" si="53"/>
        <v>#REF!</v>
      </c>
    </row>
    <row r="726" spans="1:8">
      <c r="A726" t="str">
        <f>DICO_Export!D722</f>
        <v>security</v>
      </c>
      <c r="B726" t="str">
        <f>DICO_Export!E722</f>
        <v>pinBlockFormat</v>
      </c>
      <c r="C726" t="e">
        <f>#REF!</f>
        <v>#REF!</v>
      </c>
      <c r="D726" t="e">
        <f>#REF!</f>
        <v>#REF!</v>
      </c>
      <c r="E726" t="str">
        <f t="shared" si="54"/>
        <v>scrt</v>
      </c>
      <c r="F726" t="str">
        <f t="shared" si="55"/>
        <v>pnBlckFrmt</v>
      </c>
      <c r="G726" t="e">
        <f t="shared" si="52"/>
        <v>#REF!</v>
      </c>
      <c r="H726" t="e">
        <f t="shared" si="53"/>
        <v>#REF!</v>
      </c>
    </row>
    <row r="727" spans="1:8">
      <c r="A727" t="str">
        <f>DICO_Export!D723</f>
        <v>security</v>
      </c>
      <c r="B727" t="str">
        <f>DICO_Export!E723</f>
        <v>pinVerificationResult</v>
      </c>
      <c r="C727" t="e">
        <f>#REF!</f>
        <v>#REF!</v>
      </c>
      <c r="D727" t="e">
        <f>#REF!</f>
        <v>#REF!</v>
      </c>
      <c r="E727" t="str">
        <f t="shared" si="54"/>
        <v>scrt</v>
      </c>
      <c r="F727" t="str">
        <f t="shared" si="55"/>
        <v>pnVrfctnRslt</v>
      </c>
      <c r="G727" t="e">
        <f t="shared" si="52"/>
        <v>#REF!</v>
      </c>
      <c r="H727" t="e">
        <f t="shared" si="53"/>
        <v>#REF!</v>
      </c>
    </row>
    <row r="728" spans="1:8">
      <c r="A728" t="str">
        <f>DICO_Export!D724</f>
        <v>security</v>
      </c>
      <c r="B728" t="str">
        <f>DICO_Export!E724</f>
        <v>saltLength</v>
      </c>
      <c r="C728" t="e">
        <f>#REF!</f>
        <v>#REF!</v>
      </c>
      <c r="D728" t="e">
        <f>#REF!</f>
        <v>#REF!</v>
      </c>
      <c r="E728" t="str">
        <f t="shared" si="54"/>
        <v>scrt</v>
      </c>
      <c r="F728" t="str">
        <f t="shared" si="55"/>
        <v>sltLngth</v>
      </c>
      <c r="G728" t="e">
        <f t="shared" si="52"/>
        <v>#REF!</v>
      </c>
      <c r="H728" t="e">
        <f t="shared" si="53"/>
        <v>#REF!</v>
      </c>
    </row>
    <row r="729" spans="1:8">
      <c r="A729" t="str">
        <f>DICO_Export!D725</f>
        <v>security</v>
      </c>
      <c r="B729" t="str">
        <f>DICO_Export!E725</f>
        <v>securePinBlockKeyIdentifier</v>
      </c>
      <c r="C729" t="e">
        <f>#REF!</f>
        <v>#REF!</v>
      </c>
      <c r="D729" t="e">
        <f>#REF!</f>
        <v>#REF!</v>
      </c>
      <c r="E729" t="str">
        <f t="shared" si="54"/>
        <v>scrt</v>
      </c>
      <c r="F729" t="str">
        <f t="shared" si="55"/>
        <v>scrPnBlckKIdntfr</v>
      </c>
      <c r="G729" t="e">
        <f t="shared" si="52"/>
        <v>#REF!</v>
      </c>
      <c r="H729" t="e">
        <f t="shared" si="53"/>
        <v>#REF!</v>
      </c>
    </row>
    <row r="730" spans="1:8">
      <c r="A730" t="str">
        <f>DICO_Export!D726</f>
        <v>security</v>
      </c>
      <c r="B730" t="str">
        <f>DICO_Export!E726</f>
        <v>signature</v>
      </c>
      <c r="C730" t="e">
        <f>#REF!</f>
        <v>#REF!</v>
      </c>
      <c r="D730" t="e">
        <f>#REF!</f>
        <v>#REF!</v>
      </c>
      <c r="E730" t="str">
        <f t="shared" si="54"/>
        <v>scrt</v>
      </c>
      <c r="F730" t="str">
        <f t="shared" si="55"/>
        <v>sgntr</v>
      </c>
      <c r="G730" t="e">
        <f t="shared" si="52"/>
        <v>#REF!</v>
      </c>
      <c r="H730" t="e">
        <f t="shared" si="53"/>
        <v>#REF!</v>
      </c>
    </row>
    <row r="731" spans="1:8">
      <c r="A731" t="str">
        <f>DICO_Export!D727</f>
        <v>security</v>
      </c>
      <c r="B731" t="str">
        <f>DICO_Export!E727</f>
        <v>signatureAlgorithm</v>
      </c>
      <c r="C731" t="e">
        <f>#REF!</f>
        <v>#REF!</v>
      </c>
      <c r="D731" t="e">
        <f>#REF!</f>
        <v>#REF!</v>
      </c>
      <c r="E731" t="str">
        <f t="shared" si="54"/>
        <v>scrt</v>
      </c>
      <c r="F731" t="str">
        <f t="shared" si="55"/>
        <v>sgntrAlgrthm</v>
      </c>
      <c r="G731" t="e">
        <f t="shared" si="52"/>
        <v>#REF!</v>
      </c>
      <c r="H731" t="e">
        <f t="shared" si="53"/>
        <v>#REF!</v>
      </c>
    </row>
    <row r="732" spans="1:8">
      <c r="G732" t="e">
        <f t="shared" si="34"/>
        <v>#VALUE!</v>
      </c>
      <c r="H732" t="e">
        <f t="shared" si="35"/>
        <v>#VALUE!</v>
      </c>
    </row>
    <row r="733" spans="1:8">
      <c r="G733" t="e">
        <f t="shared" si="34"/>
        <v>#VALUE!</v>
      </c>
      <c r="H733" t="e">
        <f t="shared" si="35"/>
        <v>#VALUE!</v>
      </c>
    </row>
    <row r="734" spans="1:8">
      <c r="G734" t="e">
        <f t="shared" si="34"/>
        <v>#VALUE!</v>
      </c>
      <c r="H734" t="e">
        <f t="shared" si="35"/>
        <v>#VALUE!</v>
      </c>
    </row>
    <row r="735" spans="1:8">
      <c r="G735" t="e">
        <f t="shared" si="34"/>
        <v>#VALUE!</v>
      </c>
      <c r="H735" t="e">
        <f t="shared" si="35"/>
        <v>#VALUE!</v>
      </c>
    </row>
    <row r="736" spans="1:8">
      <c r="G736" t="e">
        <f t="shared" si="34"/>
        <v>#VALUE!</v>
      </c>
      <c r="H736" t="e">
        <f t="shared" si="35"/>
        <v>#VALUE!</v>
      </c>
    </row>
    <row r="737" spans="3:8">
      <c r="G737" t="e">
        <f t="shared" si="34"/>
        <v>#VALUE!</v>
      </c>
      <c r="H737" t="e">
        <f t="shared" si="35"/>
        <v>#VALUE!</v>
      </c>
    </row>
    <row r="738" spans="3:8">
      <c r="G738" t="e">
        <f t="shared" si="34"/>
        <v>#VALUE!</v>
      </c>
      <c r="H738" t="e">
        <f t="shared" si="35"/>
        <v>#VALUE!</v>
      </c>
    </row>
    <row r="739" spans="3:8">
      <c r="G739" t="e">
        <f t="shared" si="34"/>
        <v>#VALUE!</v>
      </c>
      <c r="H739" t="e">
        <f t="shared" si="35"/>
        <v>#VALUE!</v>
      </c>
    </row>
    <row r="740" spans="3:8">
      <c r="G740" t="e">
        <f t="shared" si="34"/>
        <v>#VALUE!</v>
      </c>
      <c r="H740" t="e">
        <f t="shared" si="35"/>
        <v>#VALUE!</v>
      </c>
    </row>
    <row r="741" spans="3:8">
      <c r="G741" t="e">
        <f t="shared" si="34"/>
        <v>#VALUE!</v>
      </c>
      <c r="H741" t="e">
        <f t="shared" si="35"/>
        <v>#VALUE!</v>
      </c>
    </row>
    <row r="742" spans="3:8">
      <c r="G742" t="e">
        <f t="shared" si="34"/>
        <v>#VALUE!</v>
      </c>
      <c r="H742" t="e">
        <f t="shared" si="35"/>
        <v>#VALUE!</v>
      </c>
    </row>
    <row r="743" spans="3:8">
      <c r="G743" t="e">
        <f t="shared" si="34"/>
        <v>#VALUE!</v>
      </c>
      <c r="H743" t="e">
        <f t="shared" si="35"/>
        <v>#VALUE!</v>
      </c>
    </row>
    <row r="744" spans="3:8">
      <c r="G744" t="e">
        <f t="shared" si="34"/>
        <v>#VALUE!</v>
      </c>
      <c r="H744" t="e">
        <f t="shared" si="35"/>
        <v>#VALUE!</v>
      </c>
    </row>
    <row r="745" spans="3:8">
      <c r="G745" t="e">
        <f t="shared" si="34"/>
        <v>#VALUE!</v>
      </c>
      <c r="H745" t="e">
        <f t="shared" si="35"/>
        <v>#VALUE!</v>
      </c>
    </row>
    <row r="746" spans="3:8">
      <c r="G746" t="e">
        <f t="shared" ref="G746:G751" si="56">LEFT(C746,1)&amp;SUBSTITUTE(SUBSTITUTE(SUBSTITUTE(SUBSTITUTE(SUBSTITUTE(SUBSTITUTE(SUBSTITUTE(RIGHT(C746,LEN(C746)-1),"a"," "),"e"," "),"i"," "),"o"," "),"u"," "),"y"," ")," ","")</f>
        <v>#VALUE!</v>
      </c>
      <c r="H746" t="e">
        <f t="shared" ref="H746:H751" si="57">LEFT(D746,1)&amp;SUBSTITUTE(SUBSTITUTE(SUBSTITUTE(SUBSTITUTE(SUBSTITUTE(SUBSTITUTE(SUBSTITUTE(RIGHT(D746,LEN(D746)-1),"a"," "),"e"," "),"i"," "),"o"," "),"u"," "),"y"," ")," ","")</f>
        <v>#VALUE!</v>
      </c>
    </row>
    <row r="747" spans="3:8">
      <c r="G747" t="e">
        <f t="shared" si="56"/>
        <v>#VALUE!</v>
      </c>
      <c r="H747" t="e">
        <f t="shared" si="57"/>
        <v>#VALUE!</v>
      </c>
    </row>
    <row r="748" spans="3:8">
      <c r="G748" t="e">
        <f t="shared" si="56"/>
        <v>#VALUE!</v>
      </c>
      <c r="H748" t="e">
        <f t="shared" si="57"/>
        <v>#VALUE!</v>
      </c>
    </row>
    <row r="749" spans="3:8">
      <c r="G749" t="e">
        <f t="shared" si="56"/>
        <v>#VALUE!</v>
      </c>
      <c r="H749" t="e">
        <f t="shared" si="57"/>
        <v>#VALUE!</v>
      </c>
    </row>
    <row r="750" spans="3:8">
      <c r="G750" t="e">
        <f t="shared" si="56"/>
        <v>#VALUE!</v>
      </c>
      <c r="H750" t="e">
        <f t="shared" si="57"/>
        <v>#VALUE!</v>
      </c>
    </row>
    <row r="751" spans="3:8">
      <c r="G751" t="e">
        <f t="shared" si="56"/>
        <v>#VALUE!</v>
      </c>
      <c r="H751" t="e">
        <f t="shared" si="57"/>
        <v>#VALUE!</v>
      </c>
    </row>
    <row r="752" spans="3:8">
      <c r="C752" t="e">
        <f>#REF!</f>
        <v>#REF!</v>
      </c>
      <c r="D752" t="e">
        <f>#REF!</f>
        <v>#REF!</v>
      </c>
      <c r="G752" t="e">
        <f t="shared" si="22"/>
        <v>#REF!</v>
      </c>
      <c r="H752" t="e">
        <f t="shared" si="23"/>
        <v>#REF!</v>
      </c>
    </row>
    <row r="753" spans="3:8">
      <c r="C753" t="e">
        <f>#REF!</f>
        <v>#REF!</v>
      </c>
      <c r="D753" t="e">
        <f>#REF!</f>
        <v>#REF!</v>
      </c>
      <c r="G753" t="e">
        <f t="shared" si="22"/>
        <v>#REF!</v>
      </c>
      <c r="H753" t="e">
        <f t="shared" si="23"/>
        <v>#REF!</v>
      </c>
    </row>
    <row r="754" spans="3:8">
      <c r="C754" t="e">
        <f>#REF!</f>
        <v>#REF!</v>
      </c>
      <c r="D754" t="e">
        <f>#REF!</f>
        <v>#REF!</v>
      </c>
      <c r="G754" t="e">
        <f t="shared" si="22"/>
        <v>#REF!</v>
      </c>
      <c r="H754" t="e">
        <f t="shared" si="23"/>
        <v>#REF!</v>
      </c>
    </row>
    <row r="755" spans="3:8">
      <c r="C755" t="e">
        <f>#REF!</f>
        <v>#REF!</v>
      </c>
      <c r="D755" t="e">
        <f>#REF!</f>
        <v>#REF!</v>
      </c>
      <c r="G755" t="e">
        <f t="shared" si="22"/>
        <v>#REF!</v>
      </c>
      <c r="H755" t="e">
        <f t="shared" si="23"/>
        <v>#REF!</v>
      </c>
    </row>
    <row r="756" spans="3:8">
      <c r="C756" t="e">
        <f>#REF!</f>
        <v>#REF!</v>
      </c>
      <c r="D756" t="e">
        <f>#REF!</f>
        <v>#REF!</v>
      </c>
      <c r="G756" t="e">
        <f t="shared" si="22"/>
        <v>#REF!</v>
      </c>
      <c r="H756" t="e">
        <f t="shared" si="23"/>
        <v>#REF!</v>
      </c>
    </row>
    <row r="757" spans="3:8">
      <c r="C757" t="e">
        <f>#REF!</f>
        <v>#REF!</v>
      </c>
      <c r="D757" t="e">
        <f>#REF!</f>
        <v>#REF!</v>
      </c>
      <c r="G757" t="e">
        <f t="shared" si="22"/>
        <v>#REF!</v>
      </c>
      <c r="H757" t="e">
        <f t="shared" si="23"/>
        <v>#REF!</v>
      </c>
    </row>
    <row r="758" spans="3:8">
      <c r="C758" t="e">
        <f>#REF!</f>
        <v>#REF!</v>
      </c>
      <c r="D758" t="e">
        <f>#REF!</f>
        <v>#REF!</v>
      </c>
      <c r="G758" t="e">
        <f t="shared" si="22"/>
        <v>#REF!</v>
      </c>
      <c r="H758" t="e">
        <f t="shared" si="23"/>
        <v>#REF!</v>
      </c>
    </row>
    <row r="759" spans="3:8">
      <c r="C759" t="e">
        <f>#REF!</f>
        <v>#REF!</v>
      </c>
      <c r="D759" t="e">
        <f>#REF!</f>
        <v>#REF!</v>
      </c>
      <c r="G759" t="e">
        <f t="shared" si="22"/>
        <v>#REF!</v>
      </c>
      <c r="H759" t="e">
        <f t="shared" si="23"/>
        <v>#REF!</v>
      </c>
    </row>
    <row r="760" spans="3:8">
      <c r="C760" t="e">
        <f>#REF!</f>
        <v>#REF!</v>
      </c>
      <c r="D760" t="e">
        <f>#REF!</f>
        <v>#REF!</v>
      </c>
      <c r="G760" t="e">
        <f t="shared" si="22"/>
        <v>#REF!</v>
      </c>
      <c r="H760" t="e">
        <f t="shared" si="23"/>
        <v>#REF!</v>
      </c>
    </row>
    <row r="761" spans="3:8">
      <c r="C761" t="e">
        <f>#REF!</f>
        <v>#REF!</v>
      </c>
      <c r="D761" t="e">
        <f>#REF!</f>
        <v>#REF!</v>
      </c>
      <c r="G761" t="e">
        <f t="shared" si="22"/>
        <v>#REF!</v>
      </c>
      <c r="H761" t="e">
        <f t="shared" si="23"/>
        <v>#REF!</v>
      </c>
    </row>
    <row r="762" spans="3:8">
      <c r="C762" t="e">
        <f>#REF!</f>
        <v>#REF!</v>
      </c>
      <c r="D762" t="e">
        <f>#REF!</f>
        <v>#REF!</v>
      </c>
      <c r="G762" t="e">
        <f t="shared" si="22"/>
        <v>#REF!</v>
      </c>
      <c r="H762" t="e">
        <f t="shared" si="23"/>
        <v>#REF!</v>
      </c>
    </row>
    <row r="763" spans="3:8">
      <c r="C763" t="e">
        <f>#REF!</f>
        <v>#REF!</v>
      </c>
      <c r="D763" t="e">
        <f>#REF!</f>
        <v>#REF!</v>
      </c>
      <c r="G763" t="e">
        <f t="shared" si="22"/>
        <v>#REF!</v>
      </c>
      <c r="H763" t="e">
        <f t="shared" si="23"/>
        <v>#REF!</v>
      </c>
    </row>
    <row r="764" spans="3:8">
      <c r="C764" t="e">
        <f>#REF!</f>
        <v>#REF!</v>
      </c>
      <c r="D764" t="e">
        <f>#REF!</f>
        <v>#REF!</v>
      </c>
      <c r="G764" t="e">
        <f t="shared" si="22"/>
        <v>#REF!</v>
      </c>
      <c r="H764" t="e">
        <f t="shared" si="23"/>
        <v>#REF!</v>
      </c>
    </row>
    <row r="765" spans="3:8">
      <c r="C765" t="e">
        <f>#REF!</f>
        <v>#REF!</v>
      </c>
      <c r="D765" t="e">
        <f>#REF!</f>
        <v>#REF!</v>
      </c>
      <c r="G765" t="e">
        <f t="shared" si="22"/>
        <v>#REF!</v>
      </c>
      <c r="H765" t="e">
        <f t="shared" si="23"/>
        <v>#REF!</v>
      </c>
    </row>
    <row r="766" spans="3:8">
      <c r="C766" t="e">
        <f>#REF!</f>
        <v>#REF!</v>
      </c>
      <c r="D766" t="e">
        <f>#REF!</f>
        <v>#REF!</v>
      </c>
      <c r="G766" t="e">
        <f t="shared" si="22"/>
        <v>#REF!</v>
      </c>
      <c r="H766" t="e">
        <f t="shared" si="23"/>
        <v>#REF!</v>
      </c>
    </row>
    <row r="767" spans="3:8">
      <c r="C767" t="e">
        <f>#REF!</f>
        <v>#REF!</v>
      </c>
      <c r="D767" t="e">
        <f>#REF!</f>
        <v>#REF!</v>
      </c>
      <c r="G767" t="e">
        <f t="shared" si="22"/>
        <v>#REF!</v>
      </c>
      <c r="H767" t="e">
        <f t="shared" si="23"/>
        <v>#REF!</v>
      </c>
    </row>
    <row r="768" spans="3:8">
      <c r="C768" t="e">
        <f>#REF!</f>
        <v>#REF!</v>
      </c>
      <c r="D768" t="e">
        <f>#REF!</f>
        <v>#REF!</v>
      </c>
      <c r="G768" t="e">
        <f t="shared" si="22"/>
        <v>#REF!</v>
      </c>
      <c r="H768" t="e">
        <f t="shared" si="23"/>
        <v>#REF!</v>
      </c>
    </row>
    <row r="769" spans="3:8">
      <c r="C769" t="e">
        <f>#REF!</f>
        <v>#REF!</v>
      </c>
      <c r="D769" t="e">
        <f>#REF!</f>
        <v>#REF!</v>
      </c>
      <c r="G769" t="e">
        <f t="shared" si="22"/>
        <v>#REF!</v>
      </c>
      <c r="H769" t="e">
        <f t="shared" si="23"/>
        <v>#REF!</v>
      </c>
    </row>
    <row r="770" spans="3:8">
      <c r="C770" t="e">
        <f>#REF!</f>
        <v>#REF!</v>
      </c>
      <c r="D770" t="e">
        <f>#REF!</f>
        <v>#REF!</v>
      </c>
      <c r="G770" t="e">
        <f t="shared" si="22"/>
        <v>#REF!</v>
      </c>
      <c r="H770" t="e">
        <f t="shared" si="23"/>
        <v>#REF!</v>
      </c>
    </row>
    <row r="771" spans="3:8">
      <c r="C771" t="e">
        <f>#REF!</f>
        <v>#REF!</v>
      </c>
      <c r="D771" t="e">
        <f>#REF!</f>
        <v>#REF!</v>
      </c>
      <c r="G771" t="e">
        <f t="shared" si="22"/>
        <v>#REF!</v>
      </c>
      <c r="H771" t="e">
        <f t="shared" si="23"/>
        <v>#REF!</v>
      </c>
    </row>
    <row r="772" spans="3:8">
      <c r="C772" t="e">
        <f>#REF!</f>
        <v>#REF!</v>
      </c>
      <c r="D772" t="e">
        <f>#REF!</f>
        <v>#REF!</v>
      </c>
      <c r="G772" t="e">
        <f t="shared" si="22"/>
        <v>#REF!</v>
      </c>
      <c r="H772" t="e">
        <f t="shared" si="23"/>
        <v>#REF!</v>
      </c>
    </row>
    <row r="773" spans="3:8">
      <c r="C773" t="e">
        <f>#REF!</f>
        <v>#REF!</v>
      </c>
      <c r="D773" t="e">
        <f>#REF!</f>
        <v>#REF!</v>
      </c>
      <c r="G773" t="e">
        <f t="shared" si="22"/>
        <v>#REF!</v>
      </c>
      <c r="H773" t="e">
        <f t="shared" si="23"/>
        <v>#REF!</v>
      </c>
    </row>
    <row r="774" spans="3:8">
      <c r="C774" t="e">
        <f>#REF!</f>
        <v>#REF!</v>
      </c>
      <c r="D774" t="e">
        <f>#REF!</f>
        <v>#REF!</v>
      </c>
      <c r="G774" t="e">
        <f t="shared" si="22"/>
        <v>#REF!</v>
      </c>
      <c r="H774" t="e">
        <f t="shared" si="23"/>
        <v>#REF!</v>
      </c>
    </row>
    <row r="775" spans="3:8">
      <c r="C775" t="e">
        <f>#REF!</f>
        <v>#REF!</v>
      </c>
      <c r="D775" t="e">
        <f>#REF!</f>
        <v>#REF!</v>
      </c>
      <c r="G775" t="e">
        <f t="shared" si="22"/>
        <v>#REF!</v>
      </c>
      <c r="H775" t="e">
        <f t="shared" si="23"/>
        <v>#REF!</v>
      </c>
    </row>
    <row r="776" spans="3:8">
      <c r="C776" t="e">
        <f>#REF!</f>
        <v>#REF!</v>
      </c>
      <c r="D776" t="e">
        <f>#REF!</f>
        <v>#REF!</v>
      </c>
      <c r="G776" t="e">
        <f t="shared" si="22"/>
        <v>#REF!</v>
      </c>
      <c r="H776" t="e">
        <f t="shared" si="23"/>
        <v>#REF!</v>
      </c>
    </row>
    <row r="777" spans="3:8">
      <c r="C777" t="e">
        <f>#REF!</f>
        <v>#REF!</v>
      </c>
      <c r="D777" t="e">
        <f>#REF!</f>
        <v>#REF!</v>
      </c>
      <c r="G777" t="e">
        <f t="shared" si="22"/>
        <v>#REF!</v>
      </c>
      <c r="H777" t="e">
        <f t="shared" si="23"/>
        <v>#REF!</v>
      </c>
    </row>
    <row r="778" spans="3:8">
      <c r="C778" t="e">
        <f>#REF!</f>
        <v>#REF!</v>
      </c>
      <c r="D778" t="e">
        <f>#REF!</f>
        <v>#REF!</v>
      </c>
      <c r="G778" t="e">
        <f t="shared" si="22"/>
        <v>#REF!</v>
      </c>
      <c r="H778" t="e">
        <f t="shared" si="23"/>
        <v>#REF!</v>
      </c>
    </row>
    <row r="779" spans="3:8">
      <c r="C779" t="e">
        <f>#REF!</f>
        <v>#REF!</v>
      </c>
      <c r="D779" t="e">
        <f>#REF!</f>
        <v>#REF!</v>
      </c>
      <c r="G779" t="e">
        <f t="shared" si="22"/>
        <v>#REF!</v>
      </c>
      <c r="H779" t="e">
        <f t="shared" si="23"/>
        <v>#REF!</v>
      </c>
    </row>
    <row r="780" spans="3:8">
      <c r="C780" t="e">
        <f>#REF!</f>
        <v>#REF!</v>
      </c>
      <c r="D780" t="e">
        <f>#REF!</f>
        <v>#REF!</v>
      </c>
      <c r="G780" t="e">
        <f t="shared" si="22"/>
        <v>#REF!</v>
      </c>
      <c r="H780" t="e">
        <f t="shared" si="23"/>
        <v>#REF!</v>
      </c>
    </row>
    <row r="781" spans="3:8">
      <c r="C781" t="e">
        <f>#REF!</f>
        <v>#REF!</v>
      </c>
      <c r="D781" t="e">
        <f>#REF!</f>
        <v>#REF!</v>
      </c>
      <c r="G781" t="e">
        <f t="shared" si="22"/>
        <v>#REF!</v>
      </c>
      <c r="H781" t="e">
        <f t="shared" si="23"/>
        <v>#REF!</v>
      </c>
    </row>
    <row r="782" spans="3:8">
      <c r="C782" t="e">
        <f>#REF!</f>
        <v>#REF!</v>
      </c>
      <c r="D782" t="e">
        <f>#REF!</f>
        <v>#REF!</v>
      </c>
      <c r="G782" t="e">
        <f t="shared" si="22"/>
        <v>#REF!</v>
      </c>
      <c r="H782" t="e">
        <f t="shared" si="23"/>
        <v>#REF!</v>
      </c>
    </row>
    <row r="783" spans="3:8">
      <c r="C783" t="e">
        <f>#REF!</f>
        <v>#REF!</v>
      </c>
      <c r="D783" t="e">
        <f>#REF!</f>
        <v>#REF!</v>
      </c>
      <c r="G783" t="e">
        <f t="shared" si="22"/>
        <v>#REF!</v>
      </c>
      <c r="H783" t="e">
        <f t="shared" si="23"/>
        <v>#REF!</v>
      </c>
    </row>
    <row r="784" spans="3:8">
      <c r="C784" t="e">
        <f>#REF!</f>
        <v>#REF!</v>
      </c>
      <c r="D784" t="e">
        <f>#REF!</f>
        <v>#REF!</v>
      </c>
      <c r="G784" t="e">
        <f t="shared" si="22"/>
        <v>#REF!</v>
      </c>
      <c r="H784" t="e">
        <f t="shared" si="23"/>
        <v>#REF!</v>
      </c>
    </row>
    <row r="785" spans="3:8">
      <c r="C785" t="e">
        <f>#REF!</f>
        <v>#REF!</v>
      </c>
      <c r="D785" t="e">
        <f>#REF!</f>
        <v>#REF!</v>
      </c>
      <c r="G785" t="e">
        <f t="shared" si="22"/>
        <v>#REF!</v>
      </c>
      <c r="H785" t="e">
        <f t="shared" si="23"/>
        <v>#REF!</v>
      </c>
    </row>
    <row r="786" spans="3:8">
      <c r="C786" t="e">
        <f>#REF!</f>
        <v>#REF!</v>
      </c>
      <c r="D786" t="e">
        <f>#REF!</f>
        <v>#REF!</v>
      </c>
      <c r="G786" t="e">
        <f t="shared" si="22"/>
        <v>#REF!</v>
      </c>
      <c r="H786" t="e">
        <f t="shared" si="23"/>
        <v>#REF!</v>
      </c>
    </row>
    <row r="787" spans="3:8">
      <c r="C787" t="e">
        <f>#REF!</f>
        <v>#REF!</v>
      </c>
      <c r="D787" t="e">
        <f>#REF!</f>
        <v>#REF!</v>
      </c>
      <c r="G787" t="e">
        <f t="shared" si="22"/>
        <v>#REF!</v>
      </c>
      <c r="H787" t="e">
        <f t="shared" si="23"/>
        <v>#REF!</v>
      </c>
    </row>
    <row r="788" spans="3:8">
      <c r="C788" t="e">
        <f>#REF!</f>
        <v>#REF!</v>
      </c>
      <c r="D788" t="e">
        <f>#REF!</f>
        <v>#REF!</v>
      </c>
      <c r="G788" t="e">
        <f t="shared" si="22"/>
        <v>#REF!</v>
      </c>
      <c r="H788" t="e">
        <f t="shared" si="23"/>
        <v>#REF!</v>
      </c>
    </row>
    <row r="789" spans="3:8">
      <c r="C789" t="e">
        <f>#REF!</f>
        <v>#REF!</v>
      </c>
      <c r="D789" t="e">
        <f>#REF!</f>
        <v>#REF!</v>
      </c>
      <c r="G789" t="e">
        <f t="shared" si="22"/>
        <v>#REF!</v>
      </c>
      <c r="H789" t="e">
        <f t="shared" si="23"/>
        <v>#REF!</v>
      </c>
    </row>
    <row r="790" spans="3:8">
      <c r="C790" t="e">
        <f>#REF!</f>
        <v>#REF!</v>
      </c>
      <c r="D790" t="e">
        <f>#REF!</f>
        <v>#REF!</v>
      </c>
      <c r="G790" t="e">
        <f t="shared" si="22"/>
        <v>#REF!</v>
      </c>
      <c r="H790" t="e">
        <f t="shared" si="23"/>
        <v>#REF!</v>
      </c>
    </row>
    <row r="791" spans="3:8">
      <c r="C791" t="e">
        <f>#REF!</f>
        <v>#REF!</v>
      </c>
      <c r="D791" t="e">
        <f>#REF!</f>
        <v>#REF!</v>
      </c>
      <c r="G791" t="e">
        <f t="shared" ref="G791:G854" si="58">LEFT(C791,1)&amp;SUBSTITUTE(SUBSTITUTE(SUBSTITUTE(SUBSTITUTE(SUBSTITUTE(SUBSTITUTE(SUBSTITUTE(RIGHT(C791,LEN(C791)-1),"a"," "),"e"," "),"i"," "),"o"," "),"u"," "),"y"," ")," ","")</f>
        <v>#REF!</v>
      </c>
      <c r="H791" t="e">
        <f t="shared" ref="H791:H854" si="59">LEFT(D791,1)&amp;SUBSTITUTE(SUBSTITUTE(SUBSTITUTE(SUBSTITUTE(SUBSTITUTE(SUBSTITUTE(SUBSTITUTE(RIGHT(D791,LEN(D791)-1),"a"," "),"e"," "),"i"," "),"o"," "),"u"," "),"y"," ")," ","")</f>
        <v>#REF!</v>
      </c>
    </row>
    <row r="792" spans="3:8">
      <c r="C792" t="e">
        <f>#REF!</f>
        <v>#REF!</v>
      </c>
      <c r="D792" t="e">
        <f>#REF!</f>
        <v>#REF!</v>
      </c>
      <c r="G792" t="e">
        <f t="shared" si="58"/>
        <v>#REF!</v>
      </c>
      <c r="H792" t="e">
        <f t="shared" si="59"/>
        <v>#REF!</v>
      </c>
    </row>
    <row r="793" spans="3:8">
      <c r="C793" t="e">
        <f>#REF!</f>
        <v>#REF!</v>
      </c>
      <c r="D793" t="e">
        <f>#REF!</f>
        <v>#REF!</v>
      </c>
      <c r="G793" t="e">
        <f t="shared" si="58"/>
        <v>#REF!</v>
      </c>
      <c r="H793" t="e">
        <f t="shared" si="59"/>
        <v>#REF!</v>
      </c>
    </row>
    <row r="794" spans="3:8">
      <c r="C794" t="e">
        <f>#REF!</f>
        <v>#REF!</v>
      </c>
      <c r="D794" t="e">
        <f>#REF!</f>
        <v>#REF!</v>
      </c>
      <c r="G794" t="e">
        <f t="shared" si="58"/>
        <v>#REF!</v>
      </c>
      <c r="H794" t="e">
        <f t="shared" si="59"/>
        <v>#REF!</v>
      </c>
    </row>
    <row r="795" spans="3:8">
      <c r="C795" t="e">
        <f>#REF!</f>
        <v>#REF!</v>
      </c>
      <c r="D795" t="e">
        <f>#REF!</f>
        <v>#REF!</v>
      </c>
      <c r="G795" t="e">
        <f t="shared" si="58"/>
        <v>#REF!</v>
      </c>
      <c r="H795" t="e">
        <f t="shared" si="59"/>
        <v>#REF!</v>
      </c>
    </row>
    <row r="796" spans="3:8">
      <c r="C796" t="e">
        <f>#REF!</f>
        <v>#REF!</v>
      </c>
      <c r="D796" t="e">
        <f>#REF!</f>
        <v>#REF!</v>
      </c>
      <c r="G796" t="e">
        <f t="shared" si="58"/>
        <v>#REF!</v>
      </c>
      <c r="H796" t="e">
        <f t="shared" si="59"/>
        <v>#REF!</v>
      </c>
    </row>
    <row r="797" spans="3:8">
      <c r="C797" t="e">
        <f>#REF!</f>
        <v>#REF!</v>
      </c>
      <c r="D797" t="e">
        <f>#REF!</f>
        <v>#REF!</v>
      </c>
      <c r="G797" t="e">
        <f t="shared" si="58"/>
        <v>#REF!</v>
      </c>
      <c r="H797" t="e">
        <f t="shared" si="59"/>
        <v>#REF!</v>
      </c>
    </row>
    <row r="798" spans="3:8">
      <c r="C798" t="e">
        <f>#REF!</f>
        <v>#REF!</v>
      </c>
      <c r="D798" t="e">
        <f>#REF!</f>
        <v>#REF!</v>
      </c>
      <c r="G798" t="e">
        <f t="shared" si="58"/>
        <v>#REF!</v>
      </c>
      <c r="H798" t="e">
        <f t="shared" si="59"/>
        <v>#REF!</v>
      </c>
    </row>
    <row r="799" spans="3:8">
      <c r="C799" t="e">
        <f>#REF!</f>
        <v>#REF!</v>
      </c>
      <c r="D799" t="e">
        <f>#REF!</f>
        <v>#REF!</v>
      </c>
      <c r="G799" t="e">
        <f t="shared" si="58"/>
        <v>#REF!</v>
      </c>
      <c r="H799" t="e">
        <f t="shared" si="59"/>
        <v>#REF!</v>
      </c>
    </row>
    <row r="800" spans="3:8">
      <c r="C800" t="e">
        <f>#REF!</f>
        <v>#REF!</v>
      </c>
      <c r="D800" t="e">
        <f>#REF!</f>
        <v>#REF!</v>
      </c>
      <c r="G800" t="e">
        <f t="shared" si="58"/>
        <v>#REF!</v>
      </c>
      <c r="H800" t="e">
        <f t="shared" si="59"/>
        <v>#REF!</v>
      </c>
    </row>
    <row r="801" spans="3:8">
      <c r="C801" t="e">
        <f>#REF!</f>
        <v>#REF!</v>
      </c>
      <c r="D801" t="e">
        <f>#REF!</f>
        <v>#REF!</v>
      </c>
      <c r="G801" t="e">
        <f t="shared" si="58"/>
        <v>#REF!</v>
      </c>
      <c r="H801" t="e">
        <f t="shared" si="59"/>
        <v>#REF!</v>
      </c>
    </row>
    <row r="802" spans="3:8">
      <c r="C802" t="e">
        <f>#REF!</f>
        <v>#REF!</v>
      </c>
      <c r="D802" t="e">
        <f>#REF!</f>
        <v>#REF!</v>
      </c>
      <c r="G802" t="e">
        <f t="shared" si="58"/>
        <v>#REF!</v>
      </c>
      <c r="H802" t="e">
        <f t="shared" si="59"/>
        <v>#REF!</v>
      </c>
    </row>
    <row r="803" spans="3:8">
      <c r="C803" t="e">
        <f>#REF!</f>
        <v>#REF!</v>
      </c>
      <c r="D803" t="e">
        <f>#REF!</f>
        <v>#REF!</v>
      </c>
      <c r="G803" t="e">
        <f t="shared" si="58"/>
        <v>#REF!</v>
      </c>
      <c r="H803" t="e">
        <f t="shared" si="59"/>
        <v>#REF!</v>
      </c>
    </row>
    <row r="804" spans="3:8">
      <c r="C804" t="e">
        <f>#REF!</f>
        <v>#REF!</v>
      </c>
      <c r="D804" t="e">
        <f>#REF!</f>
        <v>#REF!</v>
      </c>
      <c r="G804" t="e">
        <f t="shared" si="58"/>
        <v>#REF!</v>
      </c>
      <c r="H804" t="e">
        <f t="shared" si="59"/>
        <v>#REF!</v>
      </c>
    </row>
    <row r="805" spans="3:8">
      <c r="C805" t="e">
        <f>#REF!</f>
        <v>#REF!</v>
      </c>
      <c r="D805" t="e">
        <f>#REF!</f>
        <v>#REF!</v>
      </c>
      <c r="G805" t="e">
        <f t="shared" si="58"/>
        <v>#REF!</v>
      </c>
      <c r="H805" t="e">
        <f t="shared" si="59"/>
        <v>#REF!</v>
      </c>
    </row>
    <row r="806" spans="3:8">
      <c r="C806" t="e">
        <f>#REF!</f>
        <v>#REF!</v>
      </c>
      <c r="D806" t="e">
        <f>#REF!</f>
        <v>#REF!</v>
      </c>
      <c r="G806" t="e">
        <f t="shared" si="58"/>
        <v>#REF!</v>
      </c>
      <c r="H806" t="e">
        <f t="shared" si="59"/>
        <v>#REF!</v>
      </c>
    </row>
    <row r="807" spans="3:8">
      <c r="C807" t="e">
        <f>#REF!</f>
        <v>#REF!</v>
      </c>
      <c r="D807" t="e">
        <f>#REF!</f>
        <v>#REF!</v>
      </c>
      <c r="G807" t="e">
        <f t="shared" si="58"/>
        <v>#REF!</v>
      </c>
      <c r="H807" t="e">
        <f t="shared" si="59"/>
        <v>#REF!</v>
      </c>
    </row>
    <row r="808" spans="3:8">
      <c r="C808" t="e">
        <f>#REF!</f>
        <v>#REF!</v>
      </c>
      <c r="D808" t="e">
        <f>#REF!</f>
        <v>#REF!</v>
      </c>
      <c r="G808" t="e">
        <f t="shared" si="58"/>
        <v>#REF!</v>
      </c>
      <c r="H808" t="e">
        <f t="shared" si="59"/>
        <v>#REF!</v>
      </c>
    </row>
    <row r="809" spans="3:8">
      <c r="C809" t="e">
        <f>#REF!</f>
        <v>#REF!</v>
      </c>
      <c r="D809" t="e">
        <f>#REF!</f>
        <v>#REF!</v>
      </c>
      <c r="G809" t="e">
        <f t="shared" si="58"/>
        <v>#REF!</v>
      </c>
      <c r="H809" t="e">
        <f t="shared" si="59"/>
        <v>#REF!</v>
      </c>
    </row>
    <row r="810" spans="3:8">
      <c r="C810" t="e">
        <f>#REF!</f>
        <v>#REF!</v>
      </c>
      <c r="D810" t="e">
        <f>#REF!</f>
        <v>#REF!</v>
      </c>
      <c r="G810" t="e">
        <f t="shared" si="58"/>
        <v>#REF!</v>
      </c>
      <c r="H810" t="e">
        <f t="shared" si="59"/>
        <v>#REF!</v>
      </c>
    </row>
    <row r="811" spans="3:8">
      <c r="C811" t="e">
        <f>#REF!</f>
        <v>#REF!</v>
      </c>
      <c r="D811" t="e">
        <f>#REF!</f>
        <v>#REF!</v>
      </c>
      <c r="G811" t="e">
        <f t="shared" si="58"/>
        <v>#REF!</v>
      </c>
      <c r="H811" t="e">
        <f t="shared" si="59"/>
        <v>#REF!</v>
      </c>
    </row>
    <row r="812" spans="3:8">
      <c r="C812" t="e">
        <f>#REF!</f>
        <v>#REF!</v>
      </c>
      <c r="D812" t="e">
        <f>#REF!</f>
        <v>#REF!</v>
      </c>
      <c r="G812" t="e">
        <f t="shared" si="58"/>
        <v>#REF!</v>
      </c>
      <c r="H812" t="e">
        <f t="shared" si="59"/>
        <v>#REF!</v>
      </c>
    </row>
    <row r="813" spans="3:8">
      <c r="C813" t="e">
        <f>#REF!</f>
        <v>#REF!</v>
      </c>
      <c r="D813" t="e">
        <f>#REF!</f>
        <v>#REF!</v>
      </c>
      <c r="G813" t="e">
        <f t="shared" si="58"/>
        <v>#REF!</v>
      </c>
      <c r="H813" t="e">
        <f t="shared" si="59"/>
        <v>#REF!</v>
      </c>
    </row>
    <row r="814" spans="3:8">
      <c r="C814" t="e">
        <f>#REF!</f>
        <v>#REF!</v>
      </c>
      <c r="D814" t="e">
        <f>#REF!</f>
        <v>#REF!</v>
      </c>
      <c r="G814" t="e">
        <f t="shared" si="58"/>
        <v>#REF!</v>
      </c>
      <c r="H814" t="e">
        <f t="shared" si="59"/>
        <v>#REF!</v>
      </c>
    </row>
    <row r="815" spans="3:8">
      <c r="C815" t="e">
        <f>#REF!</f>
        <v>#REF!</v>
      </c>
      <c r="D815" t="e">
        <f>#REF!</f>
        <v>#REF!</v>
      </c>
      <c r="G815" t="e">
        <f t="shared" si="58"/>
        <v>#REF!</v>
      </c>
      <c r="H815" t="e">
        <f t="shared" si="59"/>
        <v>#REF!</v>
      </c>
    </row>
    <row r="816" spans="3:8">
      <c r="C816" t="e">
        <f>#REF!</f>
        <v>#REF!</v>
      </c>
      <c r="D816" t="e">
        <f>#REF!</f>
        <v>#REF!</v>
      </c>
      <c r="G816" t="e">
        <f t="shared" si="58"/>
        <v>#REF!</v>
      </c>
      <c r="H816" t="e">
        <f t="shared" si="59"/>
        <v>#REF!</v>
      </c>
    </row>
    <row r="817" spans="3:8">
      <c r="C817" t="e">
        <f>#REF!</f>
        <v>#REF!</v>
      </c>
      <c r="D817" t="e">
        <f>#REF!</f>
        <v>#REF!</v>
      </c>
      <c r="G817" t="e">
        <f t="shared" si="58"/>
        <v>#REF!</v>
      </c>
      <c r="H817" t="e">
        <f t="shared" si="59"/>
        <v>#REF!</v>
      </c>
    </row>
    <row r="818" spans="3:8">
      <c r="C818" t="e">
        <f>#REF!</f>
        <v>#REF!</v>
      </c>
      <c r="D818" t="e">
        <f>#REF!</f>
        <v>#REF!</v>
      </c>
      <c r="G818" t="e">
        <f t="shared" si="58"/>
        <v>#REF!</v>
      </c>
      <c r="H818" t="e">
        <f t="shared" si="59"/>
        <v>#REF!</v>
      </c>
    </row>
    <row r="819" spans="3:8">
      <c r="C819" t="e">
        <f>#REF!</f>
        <v>#REF!</v>
      </c>
      <c r="D819" t="e">
        <f>#REF!</f>
        <v>#REF!</v>
      </c>
      <c r="G819" t="e">
        <f t="shared" si="58"/>
        <v>#REF!</v>
      </c>
      <c r="H819" t="e">
        <f t="shared" si="59"/>
        <v>#REF!</v>
      </c>
    </row>
    <row r="820" spans="3:8">
      <c r="C820" t="e">
        <f>#REF!</f>
        <v>#REF!</v>
      </c>
      <c r="D820" t="e">
        <f>#REF!</f>
        <v>#REF!</v>
      </c>
      <c r="G820" t="e">
        <f t="shared" si="58"/>
        <v>#REF!</v>
      </c>
      <c r="H820" t="e">
        <f t="shared" si="59"/>
        <v>#REF!</v>
      </c>
    </row>
    <row r="821" spans="3:8">
      <c r="C821" t="e">
        <f>#REF!</f>
        <v>#REF!</v>
      </c>
      <c r="D821" t="e">
        <f>#REF!</f>
        <v>#REF!</v>
      </c>
      <c r="G821" t="e">
        <f t="shared" si="58"/>
        <v>#REF!</v>
      </c>
      <c r="H821" t="e">
        <f t="shared" si="59"/>
        <v>#REF!</v>
      </c>
    </row>
    <row r="822" spans="3:8">
      <c r="C822" t="e">
        <f>#REF!</f>
        <v>#REF!</v>
      </c>
      <c r="D822" t="e">
        <f>#REF!</f>
        <v>#REF!</v>
      </c>
      <c r="G822" t="e">
        <f t="shared" si="58"/>
        <v>#REF!</v>
      </c>
      <c r="H822" t="e">
        <f t="shared" si="59"/>
        <v>#REF!</v>
      </c>
    </row>
    <row r="823" spans="3:8">
      <c r="C823" t="e">
        <f>#REF!</f>
        <v>#REF!</v>
      </c>
      <c r="D823" t="e">
        <f>#REF!</f>
        <v>#REF!</v>
      </c>
      <c r="G823" t="e">
        <f t="shared" si="58"/>
        <v>#REF!</v>
      </c>
      <c r="H823" t="e">
        <f t="shared" si="59"/>
        <v>#REF!</v>
      </c>
    </row>
    <row r="824" spans="3:8">
      <c r="C824" t="e">
        <f>#REF!</f>
        <v>#REF!</v>
      </c>
      <c r="D824" t="e">
        <f>#REF!</f>
        <v>#REF!</v>
      </c>
      <c r="G824" t="e">
        <f t="shared" si="58"/>
        <v>#REF!</v>
      </c>
      <c r="H824" t="e">
        <f t="shared" si="59"/>
        <v>#REF!</v>
      </c>
    </row>
    <row r="825" spans="3:8">
      <c r="C825" t="e">
        <f>#REF!</f>
        <v>#REF!</v>
      </c>
      <c r="D825" t="e">
        <f>#REF!</f>
        <v>#REF!</v>
      </c>
      <c r="G825" t="e">
        <f t="shared" si="58"/>
        <v>#REF!</v>
      </c>
      <c r="H825" t="e">
        <f t="shared" si="59"/>
        <v>#REF!</v>
      </c>
    </row>
    <row r="826" spans="3:8">
      <c r="C826" t="e">
        <f>#REF!</f>
        <v>#REF!</v>
      </c>
      <c r="D826" t="e">
        <f>#REF!</f>
        <v>#REF!</v>
      </c>
      <c r="G826" t="e">
        <f t="shared" si="58"/>
        <v>#REF!</v>
      </c>
      <c r="H826" t="e">
        <f t="shared" si="59"/>
        <v>#REF!</v>
      </c>
    </row>
    <row r="827" spans="3:8">
      <c r="C827" t="e">
        <f>#REF!</f>
        <v>#REF!</v>
      </c>
      <c r="D827" t="e">
        <f>#REF!</f>
        <v>#REF!</v>
      </c>
      <c r="G827" t="e">
        <f t="shared" si="58"/>
        <v>#REF!</v>
      </c>
      <c r="H827" t="e">
        <f t="shared" si="59"/>
        <v>#REF!</v>
      </c>
    </row>
    <row r="828" spans="3:8">
      <c r="C828" t="e">
        <f>#REF!</f>
        <v>#REF!</v>
      </c>
      <c r="D828" t="e">
        <f>#REF!</f>
        <v>#REF!</v>
      </c>
      <c r="G828" t="e">
        <f t="shared" si="58"/>
        <v>#REF!</v>
      </c>
      <c r="H828" t="e">
        <f t="shared" si="59"/>
        <v>#REF!</v>
      </c>
    </row>
    <row r="829" spans="3:8">
      <c r="C829" t="e">
        <f>#REF!</f>
        <v>#REF!</v>
      </c>
      <c r="D829" t="e">
        <f>#REF!</f>
        <v>#REF!</v>
      </c>
      <c r="G829" t="e">
        <f t="shared" si="58"/>
        <v>#REF!</v>
      </c>
      <c r="H829" t="e">
        <f t="shared" si="59"/>
        <v>#REF!</v>
      </c>
    </row>
    <row r="830" spans="3:8">
      <c r="C830" t="e">
        <f>#REF!</f>
        <v>#REF!</v>
      </c>
      <c r="D830" t="e">
        <f>#REF!</f>
        <v>#REF!</v>
      </c>
      <c r="G830" t="e">
        <f t="shared" si="58"/>
        <v>#REF!</v>
      </c>
      <c r="H830" t="e">
        <f t="shared" si="59"/>
        <v>#REF!</v>
      </c>
    </row>
    <row r="831" spans="3:8">
      <c r="C831" t="e">
        <f>#REF!</f>
        <v>#REF!</v>
      </c>
      <c r="D831" t="e">
        <f>#REF!</f>
        <v>#REF!</v>
      </c>
      <c r="G831" t="e">
        <f t="shared" si="58"/>
        <v>#REF!</v>
      </c>
      <c r="H831" t="e">
        <f t="shared" si="59"/>
        <v>#REF!</v>
      </c>
    </row>
    <row r="832" spans="3:8">
      <c r="C832" t="e">
        <f>#REF!</f>
        <v>#REF!</v>
      </c>
      <c r="D832" t="e">
        <f>#REF!</f>
        <v>#REF!</v>
      </c>
      <c r="G832" t="e">
        <f t="shared" si="58"/>
        <v>#REF!</v>
      </c>
      <c r="H832" t="e">
        <f t="shared" si="59"/>
        <v>#REF!</v>
      </c>
    </row>
    <row r="833" spans="3:8">
      <c r="C833" t="e">
        <f>#REF!</f>
        <v>#REF!</v>
      </c>
      <c r="D833" t="e">
        <f>#REF!</f>
        <v>#REF!</v>
      </c>
      <c r="G833" t="e">
        <f t="shared" si="58"/>
        <v>#REF!</v>
      </c>
      <c r="H833" t="e">
        <f t="shared" si="59"/>
        <v>#REF!</v>
      </c>
    </row>
    <row r="834" spans="3:8">
      <c r="C834" t="e">
        <f>#REF!</f>
        <v>#REF!</v>
      </c>
      <c r="D834" t="e">
        <f>#REF!</f>
        <v>#REF!</v>
      </c>
      <c r="G834" t="e">
        <f t="shared" si="58"/>
        <v>#REF!</v>
      </c>
      <c r="H834" t="e">
        <f t="shared" si="59"/>
        <v>#REF!</v>
      </c>
    </row>
    <row r="835" spans="3:8">
      <c r="C835" t="e">
        <f>#REF!</f>
        <v>#REF!</v>
      </c>
      <c r="D835" t="e">
        <f>#REF!</f>
        <v>#REF!</v>
      </c>
      <c r="G835" t="e">
        <f t="shared" si="58"/>
        <v>#REF!</v>
      </c>
      <c r="H835" t="e">
        <f t="shared" si="59"/>
        <v>#REF!</v>
      </c>
    </row>
    <row r="836" spans="3:8">
      <c r="C836" t="e">
        <f>#REF!</f>
        <v>#REF!</v>
      </c>
      <c r="D836" t="e">
        <f>#REF!</f>
        <v>#REF!</v>
      </c>
      <c r="G836" t="e">
        <f t="shared" si="58"/>
        <v>#REF!</v>
      </c>
      <c r="H836" t="e">
        <f t="shared" si="59"/>
        <v>#REF!</v>
      </c>
    </row>
    <row r="837" spans="3:8">
      <c r="C837" t="e">
        <f>#REF!</f>
        <v>#REF!</v>
      </c>
      <c r="D837" t="e">
        <f>#REF!</f>
        <v>#REF!</v>
      </c>
      <c r="G837" t="e">
        <f t="shared" si="58"/>
        <v>#REF!</v>
      </c>
      <c r="H837" t="e">
        <f t="shared" si="59"/>
        <v>#REF!</v>
      </c>
    </row>
    <row r="838" spans="3:8">
      <c r="C838" t="e">
        <f>#REF!</f>
        <v>#REF!</v>
      </c>
      <c r="D838" t="e">
        <f>#REF!</f>
        <v>#REF!</v>
      </c>
      <c r="G838" t="e">
        <f t="shared" si="58"/>
        <v>#REF!</v>
      </c>
      <c r="H838" t="e">
        <f t="shared" si="59"/>
        <v>#REF!</v>
      </c>
    </row>
    <row r="839" spans="3:8">
      <c r="C839" t="e">
        <f>#REF!</f>
        <v>#REF!</v>
      </c>
      <c r="D839" t="e">
        <f>#REF!</f>
        <v>#REF!</v>
      </c>
      <c r="G839" t="e">
        <f t="shared" si="58"/>
        <v>#REF!</v>
      </c>
      <c r="H839" t="e">
        <f t="shared" si="59"/>
        <v>#REF!</v>
      </c>
    </row>
    <row r="840" spans="3:8">
      <c r="C840" t="e">
        <f>#REF!</f>
        <v>#REF!</v>
      </c>
      <c r="D840" t="e">
        <f>#REF!</f>
        <v>#REF!</v>
      </c>
      <c r="G840" t="e">
        <f t="shared" si="58"/>
        <v>#REF!</v>
      </c>
      <c r="H840" t="e">
        <f t="shared" si="59"/>
        <v>#REF!</v>
      </c>
    </row>
    <row r="841" spans="3:8">
      <c r="C841" t="e">
        <f>#REF!</f>
        <v>#REF!</v>
      </c>
      <c r="D841" t="e">
        <f>#REF!</f>
        <v>#REF!</v>
      </c>
      <c r="G841" t="e">
        <f t="shared" si="58"/>
        <v>#REF!</v>
      </c>
      <c r="H841" t="e">
        <f t="shared" si="59"/>
        <v>#REF!</v>
      </c>
    </row>
    <row r="842" spans="3:8">
      <c r="C842" t="e">
        <f>#REF!</f>
        <v>#REF!</v>
      </c>
      <c r="D842" t="e">
        <f>#REF!</f>
        <v>#REF!</v>
      </c>
      <c r="G842" t="e">
        <f t="shared" si="58"/>
        <v>#REF!</v>
      </c>
      <c r="H842" t="e">
        <f t="shared" si="59"/>
        <v>#REF!</v>
      </c>
    </row>
    <row r="843" spans="3:8">
      <c r="C843" t="e">
        <f>#REF!</f>
        <v>#REF!</v>
      </c>
      <c r="D843" t="e">
        <f>#REF!</f>
        <v>#REF!</v>
      </c>
      <c r="G843" t="e">
        <f t="shared" si="58"/>
        <v>#REF!</v>
      </c>
      <c r="H843" t="e">
        <f t="shared" si="59"/>
        <v>#REF!</v>
      </c>
    </row>
    <row r="844" spans="3:8">
      <c r="C844" t="e">
        <f>#REF!</f>
        <v>#REF!</v>
      </c>
      <c r="D844" t="e">
        <f>#REF!</f>
        <v>#REF!</v>
      </c>
      <c r="G844" t="e">
        <f t="shared" si="58"/>
        <v>#REF!</v>
      </c>
      <c r="H844" t="e">
        <f t="shared" si="59"/>
        <v>#REF!</v>
      </c>
    </row>
    <row r="845" spans="3:8">
      <c r="C845" t="e">
        <f>#REF!</f>
        <v>#REF!</v>
      </c>
      <c r="D845" t="e">
        <f>#REF!</f>
        <v>#REF!</v>
      </c>
      <c r="G845" t="e">
        <f t="shared" si="58"/>
        <v>#REF!</v>
      </c>
      <c r="H845" t="e">
        <f t="shared" si="59"/>
        <v>#REF!</v>
      </c>
    </row>
    <row r="846" spans="3:8">
      <c r="C846" t="e">
        <f>#REF!</f>
        <v>#REF!</v>
      </c>
      <c r="D846" t="e">
        <f>#REF!</f>
        <v>#REF!</v>
      </c>
      <c r="G846" t="e">
        <f t="shared" si="58"/>
        <v>#REF!</v>
      </c>
      <c r="H846" t="e">
        <f t="shared" si="59"/>
        <v>#REF!</v>
      </c>
    </row>
    <row r="847" spans="3:8">
      <c r="C847" t="e">
        <f>#REF!</f>
        <v>#REF!</v>
      </c>
      <c r="D847" t="e">
        <f>#REF!</f>
        <v>#REF!</v>
      </c>
      <c r="G847" t="e">
        <f t="shared" si="58"/>
        <v>#REF!</v>
      </c>
      <c r="H847" t="e">
        <f t="shared" si="59"/>
        <v>#REF!</v>
      </c>
    </row>
    <row r="848" spans="3:8">
      <c r="C848" t="e">
        <f>#REF!</f>
        <v>#REF!</v>
      </c>
      <c r="D848" t="e">
        <f>#REF!</f>
        <v>#REF!</v>
      </c>
      <c r="G848" t="e">
        <f t="shared" si="58"/>
        <v>#REF!</v>
      </c>
      <c r="H848" t="e">
        <f t="shared" si="59"/>
        <v>#REF!</v>
      </c>
    </row>
    <row r="849" spans="3:8">
      <c r="C849" t="e">
        <f>#REF!</f>
        <v>#REF!</v>
      </c>
      <c r="D849" t="e">
        <f>#REF!</f>
        <v>#REF!</v>
      </c>
      <c r="G849" t="e">
        <f t="shared" si="58"/>
        <v>#REF!</v>
      </c>
      <c r="H849" t="e">
        <f t="shared" si="59"/>
        <v>#REF!</v>
      </c>
    </row>
    <row r="850" spans="3:8">
      <c r="C850" t="e">
        <f>#REF!</f>
        <v>#REF!</v>
      </c>
      <c r="D850" t="e">
        <f>#REF!</f>
        <v>#REF!</v>
      </c>
      <c r="G850" t="e">
        <f t="shared" si="58"/>
        <v>#REF!</v>
      </c>
      <c r="H850" t="e">
        <f t="shared" si="59"/>
        <v>#REF!</v>
      </c>
    </row>
    <row r="851" spans="3:8">
      <c r="C851" t="e">
        <f>#REF!</f>
        <v>#REF!</v>
      </c>
      <c r="D851" t="e">
        <f>#REF!</f>
        <v>#REF!</v>
      </c>
      <c r="G851" t="e">
        <f t="shared" si="58"/>
        <v>#REF!</v>
      </c>
      <c r="H851" t="e">
        <f t="shared" si="59"/>
        <v>#REF!</v>
      </c>
    </row>
    <row r="852" spans="3:8">
      <c r="C852" t="e">
        <f>#REF!</f>
        <v>#REF!</v>
      </c>
      <c r="D852" t="e">
        <f>#REF!</f>
        <v>#REF!</v>
      </c>
      <c r="G852" t="e">
        <f t="shared" si="58"/>
        <v>#REF!</v>
      </c>
      <c r="H852" t="e">
        <f t="shared" si="59"/>
        <v>#REF!</v>
      </c>
    </row>
    <row r="853" spans="3:8">
      <c r="C853" t="e">
        <f>#REF!</f>
        <v>#REF!</v>
      </c>
      <c r="D853" t="e">
        <f>#REF!</f>
        <v>#REF!</v>
      </c>
      <c r="G853" t="e">
        <f t="shared" si="58"/>
        <v>#REF!</v>
      </c>
      <c r="H853" t="e">
        <f t="shared" si="59"/>
        <v>#REF!</v>
      </c>
    </row>
    <row r="854" spans="3:8">
      <c r="C854" t="e">
        <f>#REF!</f>
        <v>#REF!</v>
      </c>
      <c r="D854" t="e">
        <f>#REF!</f>
        <v>#REF!</v>
      </c>
      <c r="G854" t="e">
        <f t="shared" si="58"/>
        <v>#REF!</v>
      </c>
      <c r="H854" t="e">
        <f t="shared" si="59"/>
        <v>#REF!</v>
      </c>
    </row>
    <row r="855" spans="3:8">
      <c r="C855" t="e">
        <f>#REF!</f>
        <v>#REF!</v>
      </c>
      <c r="D855" t="e">
        <f>#REF!</f>
        <v>#REF!</v>
      </c>
      <c r="G855" t="e">
        <f t="shared" ref="G855:G906" si="60">LEFT(C855,1)&amp;SUBSTITUTE(SUBSTITUTE(SUBSTITUTE(SUBSTITUTE(SUBSTITUTE(SUBSTITUTE(SUBSTITUTE(RIGHT(C855,LEN(C855)-1),"a"," "),"e"," "),"i"," "),"o"," "),"u"," "),"y"," ")," ","")</f>
        <v>#REF!</v>
      </c>
      <c r="H855" t="e">
        <f t="shared" ref="H855:H906" si="61">LEFT(D855,1)&amp;SUBSTITUTE(SUBSTITUTE(SUBSTITUTE(SUBSTITUTE(SUBSTITUTE(SUBSTITUTE(SUBSTITUTE(RIGHT(D855,LEN(D855)-1),"a"," "),"e"," "),"i"," "),"o"," "),"u"," "),"y"," ")," ","")</f>
        <v>#REF!</v>
      </c>
    </row>
    <row r="856" spans="3:8">
      <c r="C856" t="e">
        <f>#REF!</f>
        <v>#REF!</v>
      </c>
      <c r="D856" t="e">
        <f>#REF!</f>
        <v>#REF!</v>
      </c>
      <c r="G856" t="e">
        <f t="shared" si="60"/>
        <v>#REF!</v>
      </c>
      <c r="H856" t="e">
        <f t="shared" si="61"/>
        <v>#REF!</v>
      </c>
    </row>
    <row r="857" spans="3:8">
      <c r="C857" t="e">
        <f>#REF!</f>
        <v>#REF!</v>
      </c>
      <c r="D857" t="e">
        <f>#REF!</f>
        <v>#REF!</v>
      </c>
      <c r="G857" t="e">
        <f t="shared" si="60"/>
        <v>#REF!</v>
      </c>
      <c r="H857" t="e">
        <f t="shared" si="61"/>
        <v>#REF!</v>
      </c>
    </row>
    <row r="858" spans="3:8">
      <c r="C858" t="e">
        <f>#REF!</f>
        <v>#REF!</v>
      </c>
      <c r="D858" t="e">
        <f>#REF!</f>
        <v>#REF!</v>
      </c>
      <c r="G858" t="e">
        <f t="shared" si="60"/>
        <v>#REF!</v>
      </c>
      <c r="H858" t="e">
        <f t="shared" si="61"/>
        <v>#REF!</v>
      </c>
    </row>
    <row r="859" spans="3:8">
      <c r="C859" t="e">
        <f>#REF!</f>
        <v>#REF!</v>
      </c>
      <c r="D859" t="e">
        <f>#REF!</f>
        <v>#REF!</v>
      </c>
      <c r="G859" t="e">
        <f t="shared" si="60"/>
        <v>#REF!</v>
      </c>
      <c r="H859" t="e">
        <f t="shared" si="61"/>
        <v>#REF!</v>
      </c>
    </row>
    <row r="860" spans="3:8">
      <c r="C860" t="e">
        <f>#REF!</f>
        <v>#REF!</v>
      </c>
      <c r="D860" t="e">
        <f>#REF!</f>
        <v>#REF!</v>
      </c>
      <c r="G860" t="e">
        <f t="shared" si="60"/>
        <v>#REF!</v>
      </c>
      <c r="H860" t="e">
        <f t="shared" si="61"/>
        <v>#REF!</v>
      </c>
    </row>
    <row r="861" spans="3:8">
      <c r="C861" t="e">
        <f>#REF!</f>
        <v>#REF!</v>
      </c>
      <c r="D861" t="e">
        <f>#REF!</f>
        <v>#REF!</v>
      </c>
      <c r="G861" t="e">
        <f t="shared" si="60"/>
        <v>#REF!</v>
      </c>
      <c r="H861" t="e">
        <f t="shared" si="61"/>
        <v>#REF!</v>
      </c>
    </row>
    <row r="862" spans="3:8">
      <c r="C862" t="e">
        <f>#REF!</f>
        <v>#REF!</v>
      </c>
      <c r="D862" t="e">
        <f>#REF!</f>
        <v>#REF!</v>
      </c>
      <c r="G862" t="e">
        <f t="shared" si="60"/>
        <v>#REF!</v>
      </c>
      <c r="H862" t="e">
        <f t="shared" si="61"/>
        <v>#REF!</v>
      </c>
    </row>
    <row r="863" spans="3:8">
      <c r="C863" t="e">
        <f>#REF!</f>
        <v>#REF!</v>
      </c>
      <c r="D863" t="e">
        <f>#REF!</f>
        <v>#REF!</v>
      </c>
      <c r="G863" t="e">
        <f t="shared" si="60"/>
        <v>#REF!</v>
      </c>
      <c r="H863" t="e">
        <f t="shared" si="61"/>
        <v>#REF!</v>
      </c>
    </row>
    <row r="864" spans="3:8">
      <c r="C864" t="e">
        <f>#REF!</f>
        <v>#REF!</v>
      </c>
      <c r="D864" t="e">
        <f>#REF!</f>
        <v>#REF!</v>
      </c>
      <c r="G864" t="e">
        <f t="shared" si="60"/>
        <v>#REF!</v>
      </c>
      <c r="H864" t="e">
        <f t="shared" si="61"/>
        <v>#REF!</v>
      </c>
    </row>
    <row r="865" spans="3:8">
      <c r="C865" t="e">
        <f>#REF!</f>
        <v>#REF!</v>
      </c>
      <c r="D865" t="e">
        <f>#REF!</f>
        <v>#REF!</v>
      </c>
      <c r="G865" t="e">
        <f t="shared" si="60"/>
        <v>#REF!</v>
      </c>
      <c r="H865" t="e">
        <f t="shared" si="61"/>
        <v>#REF!</v>
      </c>
    </row>
    <row r="866" spans="3:8">
      <c r="C866" t="e">
        <f>#REF!</f>
        <v>#REF!</v>
      </c>
      <c r="D866" t="e">
        <f>#REF!</f>
        <v>#REF!</v>
      </c>
      <c r="G866" t="e">
        <f t="shared" si="60"/>
        <v>#REF!</v>
      </c>
      <c r="H866" t="e">
        <f t="shared" si="61"/>
        <v>#REF!</v>
      </c>
    </row>
    <row r="867" spans="3:8">
      <c r="C867" t="e">
        <f>#REF!</f>
        <v>#REF!</v>
      </c>
      <c r="D867" t="e">
        <f>#REF!</f>
        <v>#REF!</v>
      </c>
      <c r="G867" t="e">
        <f t="shared" si="60"/>
        <v>#REF!</v>
      </c>
      <c r="H867" t="e">
        <f t="shared" si="61"/>
        <v>#REF!</v>
      </c>
    </row>
    <row r="868" spans="3:8">
      <c r="C868" t="e">
        <f>#REF!</f>
        <v>#REF!</v>
      </c>
      <c r="D868" t="e">
        <f>#REF!</f>
        <v>#REF!</v>
      </c>
      <c r="G868" t="e">
        <f t="shared" si="60"/>
        <v>#REF!</v>
      </c>
      <c r="H868" t="e">
        <f t="shared" si="61"/>
        <v>#REF!</v>
      </c>
    </row>
    <row r="869" spans="3:8">
      <c r="C869" t="e">
        <f>#REF!</f>
        <v>#REF!</v>
      </c>
      <c r="D869" t="e">
        <f>#REF!</f>
        <v>#REF!</v>
      </c>
      <c r="G869" t="e">
        <f t="shared" si="60"/>
        <v>#REF!</v>
      </c>
      <c r="H869" t="e">
        <f t="shared" si="61"/>
        <v>#REF!</v>
      </c>
    </row>
    <row r="870" spans="3:8">
      <c r="C870" t="e">
        <f>#REF!</f>
        <v>#REF!</v>
      </c>
      <c r="D870" t="e">
        <f>#REF!</f>
        <v>#REF!</v>
      </c>
      <c r="G870" t="e">
        <f t="shared" si="60"/>
        <v>#REF!</v>
      </c>
      <c r="H870" t="e">
        <f t="shared" si="61"/>
        <v>#REF!</v>
      </c>
    </row>
    <row r="871" spans="3:8">
      <c r="C871" t="e">
        <f>#REF!</f>
        <v>#REF!</v>
      </c>
      <c r="D871" t="e">
        <f>#REF!</f>
        <v>#REF!</v>
      </c>
      <c r="G871" t="e">
        <f t="shared" si="60"/>
        <v>#REF!</v>
      </c>
      <c r="H871" t="e">
        <f t="shared" si="61"/>
        <v>#REF!</v>
      </c>
    </row>
    <row r="872" spans="3:8">
      <c r="C872" t="e">
        <f>#REF!</f>
        <v>#REF!</v>
      </c>
      <c r="D872" t="e">
        <f>#REF!</f>
        <v>#REF!</v>
      </c>
      <c r="G872" t="e">
        <f t="shared" si="60"/>
        <v>#REF!</v>
      </c>
      <c r="H872" t="e">
        <f t="shared" si="61"/>
        <v>#REF!</v>
      </c>
    </row>
    <row r="873" spans="3:8">
      <c r="C873" t="e">
        <f>#REF!</f>
        <v>#REF!</v>
      </c>
      <c r="D873" t="e">
        <f>#REF!</f>
        <v>#REF!</v>
      </c>
      <c r="G873" t="e">
        <f t="shared" si="60"/>
        <v>#REF!</v>
      </c>
      <c r="H873" t="e">
        <f t="shared" si="61"/>
        <v>#REF!</v>
      </c>
    </row>
    <row r="874" spans="3:8">
      <c r="C874" t="e">
        <f>#REF!</f>
        <v>#REF!</v>
      </c>
      <c r="D874" t="e">
        <f>#REF!</f>
        <v>#REF!</v>
      </c>
      <c r="G874" t="e">
        <f t="shared" si="60"/>
        <v>#REF!</v>
      </c>
      <c r="H874" t="e">
        <f t="shared" si="61"/>
        <v>#REF!</v>
      </c>
    </row>
    <row r="875" spans="3:8">
      <c r="C875" t="e">
        <f>#REF!</f>
        <v>#REF!</v>
      </c>
      <c r="D875" t="e">
        <f>#REF!</f>
        <v>#REF!</v>
      </c>
      <c r="G875" t="e">
        <f t="shared" si="60"/>
        <v>#REF!</v>
      </c>
      <c r="H875" t="e">
        <f t="shared" si="61"/>
        <v>#REF!</v>
      </c>
    </row>
    <row r="876" spans="3:8">
      <c r="C876" t="e">
        <f>#REF!</f>
        <v>#REF!</v>
      </c>
      <c r="D876" t="e">
        <f>#REF!</f>
        <v>#REF!</v>
      </c>
      <c r="G876" t="e">
        <f t="shared" si="60"/>
        <v>#REF!</v>
      </c>
      <c r="H876" t="e">
        <f t="shared" si="61"/>
        <v>#REF!</v>
      </c>
    </row>
    <row r="877" spans="3:8">
      <c r="C877" t="e">
        <f>#REF!</f>
        <v>#REF!</v>
      </c>
      <c r="D877" t="e">
        <f>#REF!</f>
        <v>#REF!</v>
      </c>
      <c r="G877" t="e">
        <f t="shared" si="60"/>
        <v>#REF!</v>
      </c>
      <c r="H877" t="e">
        <f t="shared" si="61"/>
        <v>#REF!</v>
      </c>
    </row>
    <row r="878" spans="3:8">
      <c r="C878" t="e">
        <f>#REF!</f>
        <v>#REF!</v>
      </c>
      <c r="D878" t="e">
        <f>#REF!</f>
        <v>#REF!</v>
      </c>
      <c r="G878" t="e">
        <f t="shared" si="60"/>
        <v>#REF!</v>
      </c>
      <c r="H878" t="e">
        <f t="shared" si="61"/>
        <v>#REF!</v>
      </c>
    </row>
    <row r="879" spans="3:8">
      <c r="C879" t="e">
        <f>#REF!</f>
        <v>#REF!</v>
      </c>
      <c r="D879" t="e">
        <f>#REF!</f>
        <v>#REF!</v>
      </c>
      <c r="G879" t="e">
        <f t="shared" si="60"/>
        <v>#REF!</v>
      </c>
      <c r="H879" t="e">
        <f t="shared" si="61"/>
        <v>#REF!</v>
      </c>
    </row>
    <row r="880" spans="3:8">
      <c r="C880" t="e">
        <f>#REF!</f>
        <v>#REF!</v>
      </c>
      <c r="D880" t="e">
        <f>#REF!</f>
        <v>#REF!</v>
      </c>
      <c r="G880" t="e">
        <f t="shared" si="60"/>
        <v>#REF!</v>
      </c>
      <c r="H880" t="e">
        <f t="shared" si="61"/>
        <v>#REF!</v>
      </c>
    </row>
    <row r="881" spans="3:8">
      <c r="C881" t="e">
        <f>#REF!</f>
        <v>#REF!</v>
      </c>
      <c r="D881" t="e">
        <f>#REF!</f>
        <v>#REF!</v>
      </c>
      <c r="G881" t="e">
        <f t="shared" si="60"/>
        <v>#REF!</v>
      </c>
      <c r="H881" t="e">
        <f t="shared" si="61"/>
        <v>#REF!</v>
      </c>
    </row>
    <row r="882" spans="3:8">
      <c r="C882" t="e">
        <f>#REF!</f>
        <v>#REF!</v>
      </c>
      <c r="D882" t="e">
        <f>#REF!</f>
        <v>#REF!</v>
      </c>
      <c r="G882" t="e">
        <f t="shared" si="60"/>
        <v>#REF!</v>
      </c>
      <c r="H882" t="e">
        <f t="shared" si="61"/>
        <v>#REF!</v>
      </c>
    </row>
    <row r="883" spans="3:8">
      <c r="C883" t="e">
        <f>#REF!</f>
        <v>#REF!</v>
      </c>
      <c r="D883" t="e">
        <f>#REF!</f>
        <v>#REF!</v>
      </c>
      <c r="G883" t="e">
        <f t="shared" si="60"/>
        <v>#REF!</v>
      </c>
      <c r="H883" t="e">
        <f t="shared" si="61"/>
        <v>#REF!</v>
      </c>
    </row>
    <row r="884" spans="3:8">
      <c r="C884" t="e">
        <f>#REF!</f>
        <v>#REF!</v>
      </c>
      <c r="D884" t="e">
        <f>#REF!</f>
        <v>#REF!</v>
      </c>
      <c r="G884" t="e">
        <f t="shared" si="60"/>
        <v>#REF!</v>
      </c>
      <c r="H884" t="e">
        <f t="shared" si="61"/>
        <v>#REF!</v>
      </c>
    </row>
    <row r="885" spans="3:8">
      <c r="C885" t="e">
        <f>#REF!</f>
        <v>#REF!</v>
      </c>
      <c r="D885" t="e">
        <f>#REF!</f>
        <v>#REF!</v>
      </c>
      <c r="G885" t="e">
        <f t="shared" si="60"/>
        <v>#REF!</v>
      </c>
      <c r="H885" t="e">
        <f t="shared" si="61"/>
        <v>#REF!</v>
      </c>
    </row>
    <row r="886" spans="3:8">
      <c r="C886" t="e">
        <f>#REF!</f>
        <v>#REF!</v>
      </c>
      <c r="D886" t="e">
        <f>#REF!</f>
        <v>#REF!</v>
      </c>
      <c r="G886" t="e">
        <f t="shared" si="60"/>
        <v>#REF!</v>
      </c>
      <c r="H886" t="e">
        <f t="shared" si="61"/>
        <v>#REF!</v>
      </c>
    </row>
    <row r="887" spans="3:8">
      <c r="C887" t="e">
        <f>#REF!</f>
        <v>#REF!</v>
      </c>
      <c r="D887" t="e">
        <f>#REF!</f>
        <v>#REF!</v>
      </c>
      <c r="G887" t="e">
        <f t="shared" si="60"/>
        <v>#REF!</v>
      </c>
      <c r="H887" t="e">
        <f t="shared" si="61"/>
        <v>#REF!</v>
      </c>
    </row>
    <row r="888" spans="3:8">
      <c r="C888" t="e">
        <f>#REF!</f>
        <v>#REF!</v>
      </c>
      <c r="D888" t="e">
        <f>#REF!</f>
        <v>#REF!</v>
      </c>
      <c r="G888" t="e">
        <f t="shared" si="60"/>
        <v>#REF!</v>
      </c>
      <c r="H888" t="e">
        <f t="shared" si="61"/>
        <v>#REF!</v>
      </c>
    </row>
    <row r="889" spans="3:8">
      <c r="C889" t="e">
        <f>#REF!</f>
        <v>#REF!</v>
      </c>
      <c r="D889" t="e">
        <f>#REF!</f>
        <v>#REF!</v>
      </c>
      <c r="G889" t="e">
        <f t="shared" si="60"/>
        <v>#REF!</v>
      </c>
      <c r="H889" t="e">
        <f t="shared" si="61"/>
        <v>#REF!</v>
      </c>
    </row>
    <row r="890" spans="3:8">
      <c r="C890" t="e">
        <f>#REF!</f>
        <v>#REF!</v>
      </c>
      <c r="D890" t="e">
        <f>#REF!</f>
        <v>#REF!</v>
      </c>
      <c r="G890" t="e">
        <f t="shared" si="60"/>
        <v>#REF!</v>
      </c>
      <c r="H890" t="e">
        <f t="shared" si="61"/>
        <v>#REF!</v>
      </c>
    </row>
    <row r="891" spans="3:8">
      <c r="C891" t="e">
        <f>#REF!</f>
        <v>#REF!</v>
      </c>
      <c r="D891" t="e">
        <f>#REF!</f>
        <v>#REF!</v>
      </c>
      <c r="G891" t="e">
        <f t="shared" si="60"/>
        <v>#REF!</v>
      </c>
      <c r="H891" t="e">
        <f t="shared" si="61"/>
        <v>#REF!</v>
      </c>
    </row>
    <row r="892" spans="3:8">
      <c r="C892" t="e">
        <f>#REF!</f>
        <v>#REF!</v>
      </c>
      <c r="D892" t="e">
        <f>#REF!</f>
        <v>#REF!</v>
      </c>
      <c r="G892" t="e">
        <f t="shared" si="60"/>
        <v>#REF!</v>
      </c>
      <c r="H892" t="e">
        <f t="shared" si="61"/>
        <v>#REF!</v>
      </c>
    </row>
    <row r="893" spans="3:8">
      <c r="C893" t="e">
        <f>#REF!</f>
        <v>#REF!</v>
      </c>
      <c r="D893" t="e">
        <f>#REF!</f>
        <v>#REF!</v>
      </c>
      <c r="G893" t="e">
        <f t="shared" si="60"/>
        <v>#REF!</v>
      </c>
      <c r="H893" t="e">
        <f t="shared" si="61"/>
        <v>#REF!</v>
      </c>
    </row>
    <row r="894" spans="3:8">
      <c r="C894" t="e">
        <f>#REF!</f>
        <v>#REF!</v>
      </c>
      <c r="D894" t="e">
        <f>#REF!</f>
        <v>#REF!</v>
      </c>
      <c r="G894" t="e">
        <f t="shared" si="60"/>
        <v>#REF!</v>
      </c>
      <c r="H894" t="e">
        <f t="shared" si="61"/>
        <v>#REF!</v>
      </c>
    </row>
    <row r="895" spans="3:8">
      <c r="C895" t="e">
        <f>#REF!</f>
        <v>#REF!</v>
      </c>
      <c r="D895" t="e">
        <f>#REF!</f>
        <v>#REF!</v>
      </c>
      <c r="G895" t="e">
        <f t="shared" si="60"/>
        <v>#REF!</v>
      </c>
      <c r="H895" t="e">
        <f t="shared" si="61"/>
        <v>#REF!</v>
      </c>
    </row>
    <row r="896" spans="3:8">
      <c r="C896" t="e">
        <f>#REF!</f>
        <v>#REF!</v>
      </c>
      <c r="D896" t="e">
        <f>#REF!</f>
        <v>#REF!</v>
      </c>
      <c r="G896" t="e">
        <f t="shared" si="60"/>
        <v>#REF!</v>
      </c>
      <c r="H896" t="e">
        <f t="shared" si="61"/>
        <v>#REF!</v>
      </c>
    </row>
    <row r="897" spans="3:8">
      <c r="C897" t="e">
        <f>#REF!</f>
        <v>#REF!</v>
      </c>
      <c r="D897" t="e">
        <f>#REF!</f>
        <v>#REF!</v>
      </c>
      <c r="G897" t="e">
        <f t="shared" si="60"/>
        <v>#REF!</v>
      </c>
      <c r="H897" t="e">
        <f t="shared" si="61"/>
        <v>#REF!</v>
      </c>
    </row>
    <row r="898" spans="3:8">
      <c r="C898" t="e">
        <f>#REF!</f>
        <v>#REF!</v>
      </c>
      <c r="D898" t="e">
        <f>#REF!</f>
        <v>#REF!</v>
      </c>
      <c r="G898" t="e">
        <f t="shared" si="60"/>
        <v>#REF!</v>
      </c>
      <c r="H898" t="e">
        <f t="shared" si="61"/>
        <v>#REF!</v>
      </c>
    </row>
    <row r="899" spans="3:8">
      <c r="C899" t="e">
        <f>#REF!</f>
        <v>#REF!</v>
      </c>
      <c r="D899" t="e">
        <f>#REF!</f>
        <v>#REF!</v>
      </c>
      <c r="G899" t="e">
        <f t="shared" si="60"/>
        <v>#REF!</v>
      </c>
      <c r="H899" t="e">
        <f t="shared" si="61"/>
        <v>#REF!</v>
      </c>
    </row>
    <row r="900" spans="3:8">
      <c r="C900" t="e">
        <f>#REF!</f>
        <v>#REF!</v>
      </c>
      <c r="D900" t="e">
        <f>#REF!</f>
        <v>#REF!</v>
      </c>
      <c r="G900" t="e">
        <f t="shared" si="60"/>
        <v>#REF!</v>
      </c>
      <c r="H900" t="e">
        <f t="shared" si="61"/>
        <v>#REF!</v>
      </c>
    </row>
    <row r="901" spans="3:8">
      <c r="C901" t="e">
        <f>#REF!</f>
        <v>#REF!</v>
      </c>
      <c r="D901" t="e">
        <f>#REF!</f>
        <v>#REF!</v>
      </c>
      <c r="G901" t="e">
        <f t="shared" si="60"/>
        <v>#REF!</v>
      </c>
      <c r="H901" t="e">
        <f t="shared" si="61"/>
        <v>#REF!</v>
      </c>
    </row>
    <row r="902" spans="3:8">
      <c r="C902" t="e">
        <f>#REF!</f>
        <v>#REF!</v>
      </c>
      <c r="D902" t="e">
        <f>#REF!</f>
        <v>#REF!</v>
      </c>
      <c r="G902" t="e">
        <f t="shared" si="60"/>
        <v>#REF!</v>
      </c>
      <c r="H902" t="e">
        <f t="shared" si="61"/>
        <v>#REF!</v>
      </c>
    </row>
    <row r="903" spans="3:8">
      <c r="C903" t="e">
        <f>#REF!</f>
        <v>#REF!</v>
      </c>
      <c r="D903" t="e">
        <f>#REF!</f>
        <v>#REF!</v>
      </c>
      <c r="G903" t="e">
        <f t="shared" si="60"/>
        <v>#REF!</v>
      </c>
      <c r="H903" t="e">
        <f t="shared" si="61"/>
        <v>#REF!</v>
      </c>
    </row>
    <row r="904" spans="3:8">
      <c r="C904" t="e">
        <f>#REF!</f>
        <v>#REF!</v>
      </c>
      <c r="D904" t="e">
        <f>#REF!</f>
        <v>#REF!</v>
      </c>
      <c r="G904" t="e">
        <f t="shared" si="60"/>
        <v>#REF!</v>
      </c>
      <c r="H904" t="e">
        <f t="shared" si="61"/>
        <v>#REF!</v>
      </c>
    </row>
    <row r="905" spans="3:8">
      <c r="C905" t="e">
        <f>#REF!</f>
        <v>#REF!</v>
      </c>
      <c r="D905" t="e">
        <f>#REF!</f>
        <v>#REF!</v>
      </c>
      <c r="G905" t="e">
        <f t="shared" si="60"/>
        <v>#REF!</v>
      </c>
      <c r="H905" t="e">
        <f t="shared" si="61"/>
        <v>#REF!</v>
      </c>
    </row>
    <row r="906" spans="3:8">
      <c r="C906" t="e">
        <f>#REF!</f>
        <v>#REF!</v>
      </c>
      <c r="D906" t="e">
        <f>#REF!</f>
        <v>#REF!</v>
      </c>
      <c r="G906" t="e">
        <f t="shared" si="60"/>
        <v>#REF!</v>
      </c>
      <c r="H906" t="e">
        <f t="shared" si="61"/>
        <v>#REF!</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58047-7472-499C-ADB5-EFAD8C9841DC}">
  <sheetPr codeName="Feuil7">
    <tabColor theme="9" tint="0.59999389629810485"/>
  </sheetPr>
  <dimension ref="A1:G2"/>
  <sheetViews>
    <sheetView workbookViewId="0">
      <selection activeCell="K32" sqref="K32"/>
    </sheetView>
  </sheetViews>
  <sheetFormatPr defaultColWidth="11.42578125" defaultRowHeight="14.45"/>
  <sheetData>
    <row r="1" spans="1:7">
      <c r="A1" s="94"/>
      <c r="B1" s="94"/>
      <c r="C1" s="94"/>
      <c r="D1" s="94"/>
      <c r="E1" s="94"/>
      <c r="F1" s="94"/>
      <c r="G1" s="94"/>
    </row>
    <row r="2" spans="1:7">
      <c r="A2" s="94"/>
      <c r="B2" s="94"/>
      <c r="C2" s="94"/>
      <c r="D2" s="94"/>
      <c r="E2" s="94"/>
      <c r="F2" s="94"/>
      <c r="G2" s="94"/>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F304E-5C79-4E3A-A3C2-B55A617B561D}">
  <sheetPr codeName="Feuil10"/>
  <dimension ref="A2:A7"/>
  <sheetViews>
    <sheetView workbookViewId="0">
      <selection activeCell="D7" sqref="D7"/>
    </sheetView>
  </sheetViews>
  <sheetFormatPr defaultColWidth="11.42578125" defaultRowHeight="14.45"/>
  <cols>
    <col min="1" max="1" width="130.28515625" customWidth="1"/>
  </cols>
  <sheetData>
    <row r="2" spans="1:1" ht="21">
      <c r="A2" s="20" t="s">
        <v>5828</v>
      </c>
    </row>
    <row r="3" spans="1:1" ht="144">
      <c r="A3" s="8" t="s">
        <v>5829</v>
      </c>
    </row>
    <row r="4" spans="1:1">
      <c r="A4" s="8"/>
    </row>
    <row r="5" spans="1:1" ht="21">
      <c r="A5" s="21" t="s">
        <v>5830</v>
      </c>
    </row>
    <row r="6" spans="1:1">
      <c r="A6" s="18" t="s">
        <v>5831</v>
      </c>
    </row>
    <row r="7" spans="1:1" ht="216">
      <c r="A7" s="8" t="s">
        <v>5832</v>
      </c>
    </row>
  </sheetData>
  <hyperlinks>
    <hyperlink ref="A6" r:id="rId1" location="dateTime" xr:uid="{97B198F6-F505-46DD-AA2E-13A6B2BA949E}"/>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1762A-7F43-412D-8B69-23119C7F6788}">
  <sheetPr codeName="Feuil19"/>
  <dimension ref="A2:A3"/>
  <sheetViews>
    <sheetView workbookViewId="0">
      <selection activeCell="A23" sqref="A23"/>
    </sheetView>
  </sheetViews>
  <sheetFormatPr defaultColWidth="11.42578125" defaultRowHeight="14.45"/>
  <cols>
    <col min="1" max="1" width="202.28515625" customWidth="1"/>
  </cols>
  <sheetData>
    <row r="2" spans="1:1">
      <c r="A2" s="26" t="s">
        <v>5833</v>
      </c>
    </row>
    <row r="3" spans="1:1" ht="158.44999999999999">
      <c r="A3" s="64" t="s">
        <v>5834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53BEA1791F9346B5C1EAAB8A5D0D3B" ma:contentTypeVersion="11" ma:contentTypeDescription="Crée un document." ma:contentTypeScope="" ma:versionID="b09204b3d10e5e3e7db0b0411f8065bf">
  <xsd:schema xmlns:xsd="http://www.w3.org/2001/XMLSchema" xmlns:xs="http://www.w3.org/2001/XMLSchema" xmlns:p="http://schemas.microsoft.com/office/2006/metadata/properties" xmlns:ns2="43ecc755-ef0f-40fc-9d17-1f1e582d6f45" xmlns:ns3="497ed1e2-261e-4ea7-8487-5f04a5c59107" targetNamespace="http://schemas.microsoft.com/office/2006/metadata/properties" ma:root="true" ma:fieldsID="9cf96a80e780da111874b712ce24d4ea" ns2:_="" ns3:_="">
    <xsd:import namespace="43ecc755-ef0f-40fc-9d17-1f1e582d6f45"/>
    <xsd:import namespace="497ed1e2-261e-4ea7-8487-5f04a5c59107"/>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ecc755-ef0f-40fc-9d17-1f1e582d6f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97ed1e2-261e-4ea7-8487-5f04a5c59107" elementFormDefault="qualified">
    <xsd:import namespace="http://schemas.microsoft.com/office/2006/documentManagement/types"/>
    <xsd:import namespace="http://schemas.microsoft.com/office/infopath/2007/PartnerControls"/>
    <xsd:element name="SharedWithUsers" ma:index="15"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497ed1e2-261e-4ea7-8487-5f04a5c59107">
      <UserInfo>
        <DisplayName/>
        <AccountId xsi:nil="true"/>
        <AccountType/>
      </UserInfo>
    </SharedWithUsers>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57DB0F0-F54C-4F8B-85AC-7BAE40A08413}"/>
</file>

<file path=customXml/itemProps2.xml><?xml version="1.0" encoding="utf-8"?>
<ds:datastoreItem xmlns:ds="http://schemas.openxmlformats.org/officeDocument/2006/customXml" ds:itemID="{63D3F724-DBF3-4410-A91F-00B2AA553687}"/>
</file>

<file path=customXml/itemProps3.xml><?xml version="1.0" encoding="utf-8"?>
<ds:datastoreItem xmlns:ds="http://schemas.openxmlformats.org/officeDocument/2006/customXml" ds:itemID="{D420A32E-C023-4011-81C8-6A4843EBCC6E}"/>
</file>

<file path=customXml/itemProps4.xml><?xml version="1.0" encoding="utf-8"?>
<ds:datastoreItem xmlns:ds="http://schemas.openxmlformats.org/officeDocument/2006/customXml" ds:itemID="{9F37B1F5-473D-4F1E-9223-9BA32FA05EBB}"/>
</file>

<file path=docMetadata/LabelInfo.xml><?xml version="1.0" encoding="utf-8"?>
<clbl:labelList xmlns:clbl="http://schemas.microsoft.com/office/2020/mipLabelMetadata">
  <clbl:label id="{80c03ee4-96b5-48f9-932f-9e0f343e9ec4}" enabled="1" method="Privileged" siteId="{635f8147-4ffc-49cd-bad4-1b704d1a943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Visa Europe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Graham, Lewis</dc:creator>
  <cp:keywords/>
  <dc:description/>
  <cp:lastModifiedBy/>
  <cp:revision/>
  <dcterms:created xsi:type="dcterms:W3CDTF">2016-06-08T08:59:54Z</dcterms:created>
  <dcterms:modified xsi:type="dcterms:W3CDTF">2025-05-13T10:59:14Z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19d5fe6-6ff0-4580-ac71-4bb0bf2203da_Enabled">
    <vt:lpwstr>True</vt:lpwstr>
  </property>
  <property fmtid="{D5CDD505-2E9C-101B-9397-08002B2CF9AE}" pid="3" name="MSIP_Label_d19d5fe6-6ff0-4580-ac71-4bb0bf2203da_SiteId">
    <vt:lpwstr>ae4df1f7-611e-444f-897e-f964e1205171</vt:lpwstr>
  </property>
  <property fmtid="{D5CDD505-2E9C-101B-9397-08002B2CF9AE}" pid="4" name="MSIP_Label_d19d5fe6-6ff0-4580-ac71-4bb0bf2203da_Owner">
    <vt:lpwstr>ah515164@ncr.com</vt:lpwstr>
  </property>
  <property fmtid="{D5CDD505-2E9C-101B-9397-08002B2CF9AE}" pid="5" name="MSIP_Label_d19d5fe6-6ff0-4580-ac71-4bb0bf2203da_SetDate">
    <vt:lpwstr>2019-12-12T10:16:50.0487024Z</vt:lpwstr>
  </property>
  <property fmtid="{D5CDD505-2E9C-101B-9397-08002B2CF9AE}" pid="6" name="MSIP_Label_d19d5fe6-6ff0-4580-ac71-4bb0bf2203da_Name">
    <vt:lpwstr>Public</vt:lpwstr>
  </property>
  <property fmtid="{D5CDD505-2E9C-101B-9397-08002B2CF9AE}" pid="7" name="MSIP_Label_d19d5fe6-6ff0-4580-ac71-4bb0bf2203da_Application">
    <vt:lpwstr>Microsoft Azure Information Protection</vt:lpwstr>
  </property>
  <property fmtid="{D5CDD505-2E9C-101B-9397-08002B2CF9AE}" pid="8" name="MSIP_Label_d19d5fe6-6ff0-4580-ac71-4bb0bf2203da_ActionId">
    <vt:lpwstr>df0e5bb8-d021-44a5-9a4c-fd1ccac315f9</vt:lpwstr>
  </property>
  <property fmtid="{D5CDD505-2E9C-101B-9397-08002B2CF9AE}" pid="9" name="MSIP_Label_d19d5fe6-6ff0-4580-ac71-4bb0bf2203da_Extended_MSFT_Method">
    <vt:lpwstr>Manual</vt:lpwstr>
  </property>
  <property fmtid="{D5CDD505-2E9C-101B-9397-08002B2CF9AE}" pid="10" name="ContentTypeId">
    <vt:lpwstr>0x010100F353BEA1791F9346B5C1EAAB8A5D0D3B</vt:lpwstr>
  </property>
  <property fmtid="{D5CDD505-2E9C-101B-9397-08002B2CF9AE}" pid="11" name="xd_ProgID">
    <vt:lpwstr/>
  </property>
  <property fmtid="{D5CDD505-2E9C-101B-9397-08002B2CF9AE}" pid="12" name="MediaServiceImageTags">
    <vt:lpwstr/>
  </property>
  <property fmtid="{D5CDD505-2E9C-101B-9397-08002B2CF9AE}" pid="13" name="ComplianceAssetId">
    <vt:lpwstr/>
  </property>
  <property fmtid="{D5CDD505-2E9C-101B-9397-08002B2CF9AE}" pid="14" name="TemplateUrl">
    <vt:lpwstr/>
  </property>
  <property fmtid="{D5CDD505-2E9C-101B-9397-08002B2CF9AE}" pid="15" name="_ExtendedDescription">
    <vt:lpwstr/>
  </property>
  <property fmtid="{D5CDD505-2E9C-101B-9397-08002B2CF9AE}" pid="16" name="TriggerFlowInfo">
    <vt:lpwstr/>
  </property>
  <property fmtid="{D5CDD505-2E9C-101B-9397-08002B2CF9AE}" pid="17" name="xd_Signature">
    <vt:bool>false</vt:bool>
  </property>
  <property fmtid="{D5CDD505-2E9C-101B-9397-08002B2CF9AE}" pid="18" name="Order">
    <vt:r8>132700</vt:r8>
  </property>
  <property fmtid="{D5CDD505-2E9C-101B-9397-08002B2CF9AE}" pid="19" name="MSIP_Label_56a12554-321c-45c3-b2fd-7e3f55c509d9_Enabled">
    <vt:lpwstr>true</vt:lpwstr>
  </property>
  <property fmtid="{D5CDD505-2E9C-101B-9397-08002B2CF9AE}" pid="20" name="MSIP_Label_56a12554-321c-45c3-b2fd-7e3f55c509d9_SetDate">
    <vt:lpwstr>2025-02-03T13:36:26Z</vt:lpwstr>
  </property>
  <property fmtid="{D5CDD505-2E9C-101B-9397-08002B2CF9AE}" pid="21" name="MSIP_Label_56a12554-321c-45c3-b2fd-7e3f55c509d9_Method">
    <vt:lpwstr>Privileged</vt:lpwstr>
  </property>
  <property fmtid="{D5CDD505-2E9C-101B-9397-08002B2CF9AE}" pid="22" name="MSIP_Label_56a12554-321c-45c3-b2fd-7e3f55c509d9_Name">
    <vt:lpwstr>56a12554-321c-45c3-b2fd-7e3f55c509d9</vt:lpwstr>
  </property>
  <property fmtid="{D5CDD505-2E9C-101B-9397-08002B2CF9AE}" pid="23" name="MSIP_Label_56a12554-321c-45c3-b2fd-7e3f55c509d9_SiteId">
    <vt:lpwstr>614f9c25-bffa-42c7-86d8-964101f55fa2</vt:lpwstr>
  </property>
  <property fmtid="{D5CDD505-2E9C-101B-9397-08002B2CF9AE}" pid="24" name="MSIP_Label_56a12554-321c-45c3-b2fd-7e3f55c509d9_ActionId">
    <vt:lpwstr>1b2fb743-d429-4903-9129-d58877d2154f</vt:lpwstr>
  </property>
  <property fmtid="{D5CDD505-2E9C-101B-9397-08002B2CF9AE}" pid="25" name="MSIP_Label_56a12554-321c-45c3-b2fd-7e3f55c509d9_ContentBits">
    <vt:lpwstr>0</vt:lpwstr>
  </property>
</Properties>
</file>